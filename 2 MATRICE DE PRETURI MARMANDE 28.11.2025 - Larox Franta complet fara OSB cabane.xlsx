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2.xml" ContentType="application/vnd.openxmlformats-officedocument.drawing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drawings/drawing3.xml" ContentType="application/vnd.openxmlformats-officedocument.drawing+xml"/>
  <Override PartName="/xl/comments5.xml" ContentType="application/vnd.openxmlformats-officedocument.spreadsheetml.comments+xml"/>
  <Override PartName="/xl/drawings/drawing4.xml" ContentType="application/vnd.openxmlformats-officedocument.drawing+xml"/>
  <Override PartName="/xl/comments6.xml" ContentType="application/vnd.openxmlformats-officedocument.spreadsheetml.comments+xml"/>
  <Override PartName="/xl/drawings/drawing5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user\Desktop\MARMANDE\"/>
    </mc:Choice>
  </mc:AlternateContent>
  <xr:revisionPtr revIDLastSave="0" documentId="13_ncr:1_{2E3F0748-7EF0-4C32-BB28-5CC448E592DE}" xr6:coauthVersionLast="47" xr6:coauthVersionMax="47" xr10:uidLastSave="{00000000-0000-0000-0000-000000000000}"/>
  <bookViews>
    <workbookView xWindow="-108" yWindow="-108" windowWidth="23256" windowHeight="12576" tabRatio="852" firstSheet="3" activeTab="9" xr2:uid="{00000000-000D-0000-FFFF-FFFF00000000}"/>
  </bookViews>
  <sheets>
    <sheet name="GESTION" sheetId="9" r:id="rId1"/>
    <sheet name="SERVICE" sheetId="15" r:id="rId2"/>
    <sheet name="COMPOSITION" sheetId="6" r:id="rId3"/>
    <sheet name="MATRICE COMPO" sheetId="2" r:id="rId4"/>
    <sheet name="Matrice Combo - date" sheetId="24" r:id="rId5"/>
    <sheet name="ARTICLE" sheetId="3" r:id="rId6"/>
    <sheet name="MATRICE ARTICLE" sheetId="7" r:id="rId7"/>
    <sheet name="MATERIAUX" sheetId="5" r:id="rId8"/>
    <sheet name="MAIN D OEUVRE" sheetId="4" r:id="rId9"/>
    <sheet name="MODELE LAROX" sheetId="16" r:id="rId10"/>
    <sheet name="MODELE TD DOXAR" sheetId="32" r:id="rId11"/>
    <sheet name="LAROX pe grupe" sheetId="31" r:id="rId12"/>
    <sheet name="MODELE LAROX bardaj" sheetId="26" r:id="rId13"/>
    <sheet name="MODELE SCGB" sheetId="21" r:id="rId14"/>
    <sheet name="Manopera" sheetId="25" r:id="rId15"/>
    <sheet name="Materiale complet" sheetId="28" r:id="rId16"/>
    <sheet name="Materiale final" sheetId="29" r:id="rId17"/>
    <sheet name="Materiale initial" sheetId="27" r:id="rId18"/>
    <sheet name="Calcule" sheetId="30" r:id="rId19"/>
  </sheets>
  <definedNames>
    <definedName name="_xlnm._FilterDatabase" localSheetId="16" hidden="1">'Materiale final'!$A$3:$D$25</definedName>
    <definedName name="_xlnm._FilterDatabase" localSheetId="17" hidden="1">'Materiale initial'!$A$4:$D$24</definedName>
    <definedName name="_xlnm._FilterDatabase" localSheetId="7" hidden="1">MATERIAUX!$A$1:$AT$1101</definedName>
    <definedName name="_xlnm._FilterDatabase" localSheetId="6" hidden="1">'MATRICE ARTICLE'!$A$2:$Q$1212</definedName>
    <definedName name="_xlnm._FilterDatabase" localSheetId="3" hidden="1">'MATRICE COMPO'!$A$1:$R$200</definedName>
    <definedName name="ARTICLE">_xlfn.ANCHORARRAY(ARTICLE!$A$2)</definedName>
    <definedName name="COMPO">'MATRICE COMPO'!$A$2:$A$199</definedName>
    <definedName name="COMPOSITION">_xlfn.ANCHORARRAY(COMPOSITION!$A$2)</definedName>
    <definedName name="COMPOSITIONS">COMPOSITION!$B$1:$I$91</definedName>
    <definedName name="ETAPE">_xlfn.ANCHORARRAY('MAIN D OEUVRE'!$G$4)</definedName>
    <definedName name="MATERIAUX">_xlfn.ANCHORARRAY(MATERIAUX!$A$3)</definedName>
    <definedName name="MATRICE_ARTICLE">ARTICLE!$B:$O</definedName>
    <definedName name="MATRICE_COMPOSITION">COMPOSITION!$B:$N</definedName>
    <definedName name="MATRICE_MATERIAUX">MATERIAUX!$C:$AM</definedName>
    <definedName name="MATRICE_SERVICE">SERVICE!$B:$N</definedName>
    <definedName name="PAVAWALL_40_mm___OSB_8___STRUCT_150_mm___IZOLATIE_LEMN_150_mm___FOLIE___OSB_15">'MATRICE COMPO'!$A$3:$A$199</definedName>
    <definedName name="PRESTATION">GESTION!$E$2:$E$9</definedName>
    <definedName name="SERVICE">_xlfn.ANCHORARRAY(SERVICE!$A$2)</definedName>
    <definedName name="Z_4C05D42E_3E5C_4FA0_B17F_90B6C7E70693_.wvu.Cols" localSheetId="5" hidden="1">ARTICLE!$A:$A</definedName>
    <definedName name="Z_4C05D42E_3E5C_4FA0_B17F_90B6C7E70693_.wvu.Cols" localSheetId="2" hidden="1">COMPOSITION!$A:$A</definedName>
    <definedName name="Z_4C05D42E_3E5C_4FA0_B17F_90B6C7E70693_.wvu.Cols" localSheetId="8" hidden="1">'MAIN D OEUVRE'!$G:$G</definedName>
    <definedName name="Z_4C05D42E_3E5C_4FA0_B17F_90B6C7E70693_.wvu.Cols" localSheetId="7" hidden="1">MATERIAUX!$A:$A</definedName>
    <definedName name="Z_4C05D42E_3E5C_4FA0_B17F_90B6C7E70693_.wvu.Cols" localSheetId="3" hidden="1">'MATRICE COMPO'!$A:$A</definedName>
    <definedName name="Z_4C05D42E_3E5C_4FA0_B17F_90B6C7E70693_.wvu.PrintArea" localSheetId="11" hidden="1">'LAROX pe grupe'!$B$2:$G$122</definedName>
    <definedName name="Z_4C05D42E_3E5C_4FA0_B17F_90B6C7E70693_.wvu.PrintArea" localSheetId="14" hidden="1">Manopera!$B$2:$G$74</definedName>
    <definedName name="Z_4C05D42E_3E5C_4FA0_B17F_90B6C7E70693_.wvu.PrintArea" localSheetId="3" hidden="1">'MATRICE COMPO'!$A$1:$H$239</definedName>
    <definedName name="Z_4C05D42E_3E5C_4FA0_B17F_90B6C7E70693_.wvu.PrintArea" localSheetId="9" hidden="1">'MODELE LAROX'!$B$2:$G$62</definedName>
    <definedName name="Z_4C05D42E_3E5C_4FA0_B17F_90B6C7E70693_.wvu.PrintArea" localSheetId="12" hidden="1">'MODELE LAROX bardaj'!$B$2:$G$63</definedName>
    <definedName name="Z_4C05D42E_3E5C_4FA0_B17F_90B6C7E70693_.wvu.PrintArea" localSheetId="13" hidden="1">'MODELE SCGB'!$B$2:$G$141</definedName>
    <definedName name="Z_4C05D42E_3E5C_4FA0_B17F_90B6C7E70693_.wvu.PrintArea" localSheetId="10" hidden="1">'MODELE TD DOXAR'!$B$2:$G$62</definedName>
    <definedName name="_xlnm.Print_Area" localSheetId="11">'LAROX pe grupe'!$B$2:$G$121</definedName>
    <definedName name="_xlnm.Print_Area" localSheetId="14">Manopera!$B$2:$G$74</definedName>
    <definedName name="_xlnm.Print_Area" localSheetId="9">'MODELE LAROX'!$B$2:$G$62</definedName>
    <definedName name="_xlnm.Print_Area" localSheetId="12">'MODELE LAROX bardaj'!$B$2:$G$63</definedName>
    <definedName name="_xlnm.Print_Area" localSheetId="13">'MODELE SCGB'!$B$2:$G$141</definedName>
    <definedName name="_xlnm.Print_Area" localSheetId="10">'MODELE TD DOXAR'!$B$2:$G$62</definedName>
  </definedNames>
  <calcPr calcId="191029"/>
  <customWorkbookViews>
    <customWorkbookView name="TEST" guid="{4C05D42E-3E5C-4FA0-B17F-90B6C7E70693}" maximized="1" xWindow="-8" yWindow="-8" windowWidth="2576" windowHeight="1416" activeSheetId="2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8" i="16" l="1"/>
  <c r="E24" i="16"/>
  <c r="E20" i="16"/>
  <c r="H97" i="5"/>
  <c r="G97" i="5" s="1"/>
  <c r="F97" i="5" s="1"/>
  <c r="F96" i="5"/>
  <c r="F94" i="5"/>
  <c r="F95" i="5"/>
  <c r="F92" i="5"/>
  <c r="F93" i="5"/>
  <c r="G692" i="7"/>
  <c r="H692" i="7" s="1"/>
  <c r="F692" i="7"/>
  <c r="G691" i="7"/>
  <c r="H691" i="7" s="1"/>
  <c r="F691" i="7"/>
  <c r="L690" i="7"/>
  <c r="M690" i="7" s="1"/>
  <c r="G690" i="7"/>
  <c r="H690" i="7" s="1"/>
  <c r="F690" i="7"/>
  <c r="L689" i="7"/>
  <c r="M689" i="7" s="1"/>
  <c r="G689" i="7"/>
  <c r="H689" i="7" s="1"/>
  <c r="F689" i="7"/>
  <c r="L688" i="7"/>
  <c r="M688" i="7" s="1"/>
  <c r="G688" i="7"/>
  <c r="H688" i="7" s="1"/>
  <c r="F688" i="7"/>
  <c r="L687" i="7"/>
  <c r="M687" i="7" s="1"/>
  <c r="G687" i="7"/>
  <c r="H687" i="7" s="1"/>
  <c r="F687" i="7"/>
  <c r="L686" i="7"/>
  <c r="M686" i="7" s="1"/>
  <c r="G686" i="7"/>
  <c r="H686" i="7" s="1"/>
  <c r="F686" i="7"/>
  <c r="L685" i="7"/>
  <c r="M685" i="7" s="1"/>
  <c r="G685" i="7"/>
  <c r="H685" i="7" s="1"/>
  <c r="F685" i="7"/>
  <c r="O684" i="7"/>
  <c r="O685" i="7" s="1"/>
  <c r="L684" i="7"/>
  <c r="M684" i="7" s="1"/>
  <c r="F684" i="7"/>
  <c r="D684" i="7"/>
  <c r="P684" i="7" s="1"/>
  <c r="Q684" i="7" s="1"/>
  <c r="Q683" i="7"/>
  <c r="P683" i="7"/>
  <c r="M683" i="7"/>
  <c r="L683" i="7"/>
  <c r="F683" i="7"/>
  <c r="E24" i="32"/>
  <c r="I22" i="32"/>
  <c r="I23" i="32"/>
  <c r="E20" i="32"/>
  <c r="B57" i="2"/>
  <c r="I17" i="29"/>
  <c r="K14" i="29"/>
  <c r="L14" i="29"/>
  <c r="M14" i="29"/>
  <c r="N14" i="29"/>
  <c r="O14" i="29"/>
  <c r="K15" i="29"/>
  <c r="L15" i="29" s="1"/>
  <c r="L17" i="29" s="1"/>
  <c r="M15" i="29"/>
  <c r="N15" i="29"/>
  <c r="O15" i="29"/>
  <c r="K16" i="29"/>
  <c r="L16" i="29" s="1"/>
  <c r="M16" i="29"/>
  <c r="N16" i="29"/>
  <c r="O16" i="29" s="1"/>
  <c r="I8" i="29"/>
  <c r="I7" i="29"/>
  <c r="H7" i="29"/>
  <c r="I12" i="29"/>
  <c r="H12" i="29"/>
  <c r="I5" i="29"/>
  <c r="H5" i="29"/>
  <c r="I13" i="29"/>
  <c r="H13" i="29"/>
  <c r="I6" i="29"/>
  <c r="H6" i="29"/>
  <c r="D25" i="29"/>
  <c r="F10" i="28"/>
  <c r="G10" i="28"/>
  <c r="H10" i="28"/>
  <c r="I10" i="28"/>
  <c r="J10" i="28"/>
  <c r="K10" i="28"/>
  <c r="L10" i="28"/>
  <c r="M10" i="28"/>
  <c r="E10" i="28"/>
  <c r="L9" i="28"/>
  <c r="G33" i="32"/>
  <c r="F26" i="16"/>
  <c r="H24" i="16"/>
  <c r="F40" i="32"/>
  <c r="F24" i="16"/>
  <c r="F39" i="32"/>
  <c r="F25" i="16"/>
  <c r="H25" i="16"/>
  <c r="G25" i="16" l="1"/>
  <c r="J25" i="16" s="1"/>
  <c r="G24" i="16"/>
  <c r="J24" i="16" s="1"/>
  <c r="G26" i="16"/>
  <c r="J26" i="16" s="1"/>
  <c r="B25" i="16"/>
  <c r="B24" i="16"/>
  <c r="P685" i="7"/>
  <c r="Q685" i="7" s="1"/>
  <c r="O686" i="7"/>
  <c r="N683" i="7"/>
  <c r="G39" i="32"/>
  <c r="G40" i="32"/>
  <c r="P686" i="7" l="1"/>
  <c r="Q686" i="7" s="1"/>
  <c r="O687" i="7"/>
  <c r="G41" i="32"/>
  <c r="P687" i="7" l="1"/>
  <c r="Q687" i="7" s="1"/>
  <c r="O688" i="7"/>
  <c r="I32" i="32"/>
  <c r="I31" i="32"/>
  <c r="I20" i="32"/>
  <c r="D54" i="32"/>
  <c r="J48" i="32"/>
  <c r="J47" i="32"/>
  <c r="J46" i="32"/>
  <c r="J45" i="32"/>
  <c r="J29" i="32"/>
  <c r="H35" i="32"/>
  <c r="I27" i="32"/>
  <c r="I26" i="32"/>
  <c r="I21" i="32"/>
  <c r="J14" i="32"/>
  <c r="E8" i="32"/>
  <c r="B1" i="32" s="1"/>
  <c r="E98" i="31"/>
  <c r="B98" i="31"/>
  <c r="E97" i="31"/>
  <c r="E96" i="31"/>
  <c r="E95" i="31"/>
  <c r="E84" i="31"/>
  <c r="B84" i="31"/>
  <c r="E83" i="31"/>
  <c r="E82" i="31"/>
  <c r="E81" i="31"/>
  <c r="E70" i="31"/>
  <c r="E69" i="31"/>
  <c r="E68" i="31"/>
  <c r="E67" i="31"/>
  <c r="B70" i="31"/>
  <c r="E56" i="31"/>
  <c r="E55" i="31"/>
  <c r="E54" i="31"/>
  <c r="E53" i="31"/>
  <c r="B56" i="31"/>
  <c r="E42" i="31"/>
  <c r="B42" i="31"/>
  <c r="E41" i="31"/>
  <c r="E40" i="31"/>
  <c r="E39" i="31"/>
  <c r="E28" i="31"/>
  <c r="E27" i="31"/>
  <c r="E26" i="31"/>
  <c r="E25" i="31"/>
  <c r="B28" i="31"/>
  <c r="I91" i="31"/>
  <c r="I90" i="31"/>
  <c r="I89" i="31"/>
  <c r="E88" i="31"/>
  <c r="I88" i="31" s="1"/>
  <c r="E74" i="31"/>
  <c r="E60" i="31"/>
  <c r="I60" i="31" s="1"/>
  <c r="E46" i="31"/>
  <c r="I46" i="31" s="1"/>
  <c r="E32" i="31"/>
  <c r="E18" i="31"/>
  <c r="I77" i="31"/>
  <c r="I76" i="31"/>
  <c r="I75" i="31"/>
  <c r="I74" i="31"/>
  <c r="I63" i="31"/>
  <c r="I62" i="31"/>
  <c r="I61" i="31"/>
  <c r="I49" i="31"/>
  <c r="I48" i="31"/>
  <c r="I47" i="31"/>
  <c r="B37" i="31"/>
  <c r="J37" i="31"/>
  <c r="D64" i="31"/>
  <c r="F29" i="32"/>
  <c r="H59" i="31"/>
  <c r="D40" i="32"/>
  <c r="D85" i="31"/>
  <c r="D50" i="31"/>
  <c r="D29" i="31"/>
  <c r="D45" i="32"/>
  <c r="D39" i="32"/>
  <c r="F29" i="16"/>
  <c r="D34" i="32"/>
  <c r="D57" i="31"/>
  <c r="F30" i="16"/>
  <c r="D92" i="31"/>
  <c r="D40" i="16"/>
  <c r="D71" i="31"/>
  <c r="H45" i="31"/>
  <c r="D78" i="31"/>
  <c r="D29" i="32"/>
  <c r="H19" i="32"/>
  <c r="D30" i="16"/>
  <c r="D29" i="16"/>
  <c r="H87" i="31"/>
  <c r="D43" i="31"/>
  <c r="F30" i="32"/>
  <c r="D30" i="32"/>
  <c r="H73" i="31"/>
  <c r="D99" i="31"/>
  <c r="F45" i="32"/>
  <c r="P688" i="7" l="1"/>
  <c r="Q688" i="7" s="1"/>
  <c r="O689" i="7"/>
  <c r="I35" i="32"/>
  <c r="H39" i="32" s="1"/>
  <c r="G30" i="32"/>
  <c r="G45" i="32"/>
  <c r="G29" i="32"/>
  <c r="G30" i="16"/>
  <c r="G29" i="16"/>
  <c r="D114" i="31"/>
  <c r="J108" i="31"/>
  <c r="J107" i="31"/>
  <c r="J106" i="31"/>
  <c r="J105" i="31"/>
  <c r="B101" i="31"/>
  <c r="J36" i="31"/>
  <c r="I35" i="31"/>
  <c r="I34" i="31"/>
  <c r="I33" i="31"/>
  <c r="I32" i="31"/>
  <c r="J31" i="31"/>
  <c r="I21" i="31"/>
  <c r="I20" i="31"/>
  <c r="I19" i="31"/>
  <c r="I18" i="31"/>
  <c r="J14" i="31"/>
  <c r="E8" i="31"/>
  <c r="B1" i="31" s="1"/>
  <c r="C12" i="30"/>
  <c r="C11" i="30"/>
  <c r="N8" i="29"/>
  <c r="O8" i="29" s="1"/>
  <c r="N11" i="29"/>
  <c r="O11" i="29" s="1"/>
  <c r="N12" i="29"/>
  <c r="O12" i="29" s="1"/>
  <c r="N13" i="29"/>
  <c r="O13" i="29" s="1"/>
  <c r="N4" i="29"/>
  <c r="O4" i="29" s="1"/>
  <c r="M8" i="29"/>
  <c r="M11" i="29"/>
  <c r="M12" i="29"/>
  <c r="M13" i="29"/>
  <c r="M4" i="29"/>
  <c r="K8" i="29"/>
  <c r="L8" i="29" s="1"/>
  <c r="K11" i="29"/>
  <c r="L11" i="29" s="1"/>
  <c r="K12" i="29"/>
  <c r="L12" i="29" s="1"/>
  <c r="K13" i="29"/>
  <c r="L13" i="29" s="1"/>
  <c r="K4" i="29"/>
  <c r="L4" i="29" s="1"/>
  <c r="D22" i="31"/>
  <c r="H31" i="31"/>
  <c r="D102" i="31"/>
  <c r="F31" i="31"/>
  <c r="D105" i="31"/>
  <c r="D36" i="31"/>
  <c r="D101" i="31"/>
  <c r="F105" i="31"/>
  <c r="D31" i="31"/>
  <c r="H17" i="31"/>
  <c r="P689" i="7" l="1"/>
  <c r="Q689" i="7" s="1"/>
  <c r="O690" i="7"/>
  <c r="G31" i="31"/>
  <c r="G105" i="31"/>
  <c r="K7" i="29"/>
  <c r="K9" i="29"/>
  <c r="K5" i="29"/>
  <c r="L5" i="29" s="1"/>
  <c r="K10" i="29"/>
  <c r="K6" i="29"/>
  <c r="F8" i="28"/>
  <c r="K7" i="28"/>
  <c r="H7" i="28"/>
  <c r="K6" i="28"/>
  <c r="H6" i="28"/>
  <c r="M5" i="28"/>
  <c r="L4" i="28"/>
  <c r="J3" i="28"/>
  <c r="I3" i="28"/>
  <c r="H3" i="28"/>
  <c r="J2" i="28"/>
  <c r="I2" i="28"/>
  <c r="G2" i="28"/>
  <c r="F2" i="28"/>
  <c r="E2" i="28"/>
  <c r="P4" i="27"/>
  <c r="P5" i="27"/>
  <c r="P6" i="27"/>
  <c r="P7" i="27"/>
  <c r="P8" i="27"/>
  <c r="P9" i="27"/>
  <c r="P10" i="27"/>
  <c r="P11" i="27"/>
  <c r="P12" i="27"/>
  <c r="P13" i="27"/>
  <c r="P14" i="27"/>
  <c r="P15" i="27"/>
  <c r="P16" i="27"/>
  <c r="O4" i="27"/>
  <c r="O5" i="27"/>
  <c r="O6" i="27"/>
  <c r="O7" i="27"/>
  <c r="O8" i="27"/>
  <c r="O9" i="27"/>
  <c r="O10" i="27"/>
  <c r="O11" i="27"/>
  <c r="O12" i="27"/>
  <c r="O13" i="27"/>
  <c r="O14" i="27"/>
  <c r="O15" i="27"/>
  <c r="O16" i="27"/>
  <c r="N5" i="27"/>
  <c r="N6" i="27"/>
  <c r="N7" i="27"/>
  <c r="N8" i="27"/>
  <c r="N9" i="27"/>
  <c r="N10" i="27"/>
  <c r="N11" i="27"/>
  <c r="N12" i="27"/>
  <c r="N13" i="27"/>
  <c r="N14" i="27"/>
  <c r="N15" i="27"/>
  <c r="N16" i="27"/>
  <c r="N4" i="27"/>
  <c r="D25" i="27"/>
  <c r="L1034" i="7"/>
  <c r="P690" i="7" l="1"/>
  <c r="Q690" i="7" s="1"/>
  <c r="O691" i="7"/>
  <c r="L6" i="29"/>
  <c r="N9" i="29"/>
  <c r="O9" i="29" s="1"/>
  <c r="M9" i="29"/>
  <c r="L9" i="29"/>
  <c r="M10" i="29"/>
  <c r="N10" i="29"/>
  <c r="O10" i="29" s="1"/>
  <c r="L7" i="29"/>
  <c r="M5" i="29"/>
  <c r="N5" i="29"/>
  <c r="O5" i="29" s="1"/>
  <c r="L10" i="29"/>
  <c r="N7" i="29"/>
  <c r="O7" i="29" s="1"/>
  <c r="M7" i="29"/>
  <c r="M6" i="29"/>
  <c r="N6" i="29"/>
  <c r="O6" i="29" s="1"/>
  <c r="P17" i="27"/>
  <c r="J13" i="2"/>
  <c r="J2" i="2"/>
  <c r="J24" i="2"/>
  <c r="J35" i="2"/>
  <c r="J46" i="2"/>
  <c r="B34" i="16"/>
  <c r="D39" i="16"/>
  <c r="O692" i="7" l="1"/>
  <c r="P692" i="7" s="1"/>
  <c r="Q692" i="7" s="1"/>
  <c r="P691" i="7"/>
  <c r="Q691" i="7" s="1"/>
  <c r="H26" i="16"/>
  <c r="I20" i="16"/>
  <c r="O884" i="7"/>
  <c r="O524" i="7"/>
  <c r="O525" i="7" s="1"/>
  <c r="O484" i="7"/>
  <c r="O485" i="7" s="1"/>
  <c r="O474" i="7"/>
  <c r="P474" i="7" s="1"/>
  <c r="Q474" i="7" s="1"/>
  <c r="O1034" i="7"/>
  <c r="P1033" i="7"/>
  <c r="O1024" i="7"/>
  <c r="P1024" i="7" s="1"/>
  <c r="Q1024" i="7" s="1"/>
  <c r="P1023" i="7"/>
  <c r="Q1023" i="7" s="1"/>
  <c r="O1014" i="7"/>
  <c r="O1015" i="7" s="1"/>
  <c r="P1013" i="7"/>
  <c r="Q1013" i="7" s="1"/>
  <c r="O1004" i="7"/>
  <c r="O1005" i="7" s="1"/>
  <c r="P1003" i="7"/>
  <c r="Q1003" i="7" s="1"/>
  <c r="O994" i="7"/>
  <c r="O995" i="7" s="1"/>
  <c r="O984" i="7"/>
  <c r="O985" i="7" s="1"/>
  <c r="P983" i="7"/>
  <c r="Q983" i="7" s="1"/>
  <c r="O974" i="7"/>
  <c r="O975" i="7" s="1"/>
  <c r="P973" i="7"/>
  <c r="Q973" i="7" s="1"/>
  <c r="O964" i="7"/>
  <c r="O965" i="7" s="1"/>
  <c r="O966" i="7" s="1"/>
  <c r="P963" i="7"/>
  <c r="Q963" i="7" s="1"/>
  <c r="O954" i="7"/>
  <c r="P954" i="7" s="1"/>
  <c r="Q954" i="7" s="1"/>
  <c r="P953" i="7"/>
  <c r="Q953" i="7" s="1"/>
  <c r="O944" i="7"/>
  <c r="P944" i="7" s="1"/>
  <c r="Q944" i="7" s="1"/>
  <c r="P943" i="7"/>
  <c r="Q943" i="7" s="1"/>
  <c r="O934" i="7"/>
  <c r="P934" i="7" s="1"/>
  <c r="Q934" i="7" s="1"/>
  <c r="P933" i="7"/>
  <c r="Q933" i="7" s="1"/>
  <c r="O924" i="7"/>
  <c r="P924" i="7" s="1"/>
  <c r="Q924" i="7" s="1"/>
  <c r="O914" i="7"/>
  <c r="O915" i="7" s="1"/>
  <c r="O916" i="7" s="1"/>
  <c r="O904" i="7"/>
  <c r="O905" i="7" s="1"/>
  <c r="O894" i="7"/>
  <c r="P894" i="7" s="1"/>
  <c r="Q894" i="7" s="1"/>
  <c r="O874" i="7"/>
  <c r="P874" i="7" s="1"/>
  <c r="Q874" i="7" s="1"/>
  <c r="O864" i="7"/>
  <c r="O865" i="7" s="1"/>
  <c r="P863" i="7"/>
  <c r="Q863" i="7" s="1"/>
  <c r="O854" i="7"/>
  <c r="O855" i="7" s="1"/>
  <c r="O844" i="7"/>
  <c r="P844" i="7" s="1"/>
  <c r="Q844" i="7" s="1"/>
  <c r="O834" i="7"/>
  <c r="O835" i="7" s="1"/>
  <c r="O824" i="7"/>
  <c r="O825" i="7" s="1"/>
  <c r="P823" i="7"/>
  <c r="Q823" i="7" s="1"/>
  <c r="O814" i="7"/>
  <c r="P814" i="7" s="1"/>
  <c r="Q814" i="7" s="1"/>
  <c r="O804" i="7"/>
  <c r="O805" i="7" s="1"/>
  <c r="P805" i="7" s="1"/>
  <c r="Q805" i="7" s="1"/>
  <c r="P803" i="7"/>
  <c r="Q803" i="7" s="1"/>
  <c r="O794" i="7"/>
  <c r="O795" i="7" s="1"/>
  <c r="P793" i="7"/>
  <c r="Q793" i="7" s="1"/>
  <c r="O784" i="7"/>
  <c r="O785" i="7" s="1"/>
  <c r="P785" i="7" s="1"/>
  <c r="Q785" i="7" s="1"/>
  <c r="P783" i="7"/>
  <c r="Q783" i="7" s="1"/>
  <c r="O774" i="7"/>
  <c r="O775" i="7" s="1"/>
  <c r="P773" i="7"/>
  <c r="Q773" i="7" s="1"/>
  <c r="O764" i="7"/>
  <c r="P764" i="7" s="1"/>
  <c r="Q764" i="7" s="1"/>
  <c r="P763" i="7"/>
  <c r="Q763" i="7" s="1"/>
  <c r="O754" i="7"/>
  <c r="O755" i="7" s="1"/>
  <c r="P753" i="7"/>
  <c r="Q753" i="7" s="1"/>
  <c r="O744" i="7"/>
  <c r="O745" i="7" s="1"/>
  <c r="P743" i="7"/>
  <c r="Q743" i="7" s="1"/>
  <c r="O734" i="7"/>
  <c r="O735" i="7" s="1"/>
  <c r="P733" i="7"/>
  <c r="Q733" i="7" s="1"/>
  <c r="O724" i="7"/>
  <c r="P724" i="7" s="1"/>
  <c r="P723" i="7"/>
  <c r="O714" i="7"/>
  <c r="O715" i="7" s="1"/>
  <c r="P713" i="7"/>
  <c r="O704" i="7"/>
  <c r="O705" i="7" s="1"/>
  <c r="P705" i="7" s="1"/>
  <c r="Q705" i="7" s="1"/>
  <c r="P703" i="7"/>
  <c r="Q703" i="7" s="1"/>
  <c r="O694" i="7"/>
  <c r="O695" i="7" s="1"/>
  <c r="P693" i="7"/>
  <c r="Q693" i="7" s="1"/>
  <c r="O674" i="7"/>
  <c r="O675" i="7" s="1"/>
  <c r="P673" i="7"/>
  <c r="Q673" i="7" s="1"/>
  <c r="O664" i="7"/>
  <c r="O665" i="7" s="1"/>
  <c r="P663" i="7"/>
  <c r="Q663" i="7" s="1"/>
  <c r="O654" i="7"/>
  <c r="O655" i="7" s="1"/>
  <c r="O644" i="7"/>
  <c r="O645" i="7" s="1"/>
  <c r="O634" i="7"/>
  <c r="P634" i="7" s="1"/>
  <c r="Q634" i="7" s="1"/>
  <c r="O624" i="7"/>
  <c r="P624" i="7" s="1"/>
  <c r="Q624" i="7" s="1"/>
  <c r="P623" i="7"/>
  <c r="Q623" i="7" s="1"/>
  <c r="O614" i="7"/>
  <c r="O615" i="7" s="1"/>
  <c r="O604" i="7"/>
  <c r="P604" i="7" s="1"/>
  <c r="Q604" i="7" s="1"/>
  <c r="O594" i="7"/>
  <c r="P594" i="7" s="1"/>
  <c r="Q594" i="7" s="1"/>
  <c r="P593" i="7"/>
  <c r="Q593" i="7" s="1"/>
  <c r="O584" i="7"/>
  <c r="O585" i="7" s="1"/>
  <c r="P585" i="7" s="1"/>
  <c r="Q585" i="7" s="1"/>
  <c r="P583" i="7"/>
  <c r="Q583" i="7" s="1"/>
  <c r="O574" i="7"/>
  <c r="O575" i="7" s="1"/>
  <c r="O576" i="7" s="1"/>
  <c r="P576" i="7" s="1"/>
  <c r="Q576" i="7" s="1"/>
  <c r="P573" i="7"/>
  <c r="Q573" i="7" s="1"/>
  <c r="O564" i="7"/>
  <c r="O565" i="7" s="1"/>
  <c r="P563" i="7"/>
  <c r="Q563" i="7" s="1"/>
  <c r="O554" i="7"/>
  <c r="P554" i="7" s="1"/>
  <c r="Q554" i="7" s="1"/>
  <c r="P553" i="7"/>
  <c r="Q553" i="7" s="1"/>
  <c r="O544" i="7"/>
  <c r="P544" i="7" s="1"/>
  <c r="Q544" i="7" s="1"/>
  <c r="P543" i="7"/>
  <c r="Q543" i="7" s="1"/>
  <c r="O534" i="7"/>
  <c r="O535" i="7" s="1"/>
  <c r="P533" i="7"/>
  <c r="Q533" i="7" s="1"/>
  <c r="P523" i="7"/>
  <c r="Q523" i="7" s="1"/>
  <c r="O514" i="7"/>
  <c r="O515" i="7" s="1"/>
  <c r="P513" i="7"/>
  <c r="Q513" i="7" s="1"/>
  <c r="O504" i="7"/>
  <c r="P504" i="7" s="1"/>
  <c r="Q504" i="7" s="1"/>
  <c r="P503" i="7"/>
  <c r="Q503" i="7" s="1"/>
  <c r="O494" i="7"/>
  <c r="O495" i="7" s="1"/>
  <c r="O496" i="7" s="1"/>
  <c r="O464" i="7"/>
  <c r="O465" i="7" s="1"/>
  <c r="P465" i="7" s="1"/>
  <c r="Q465" i="7" s="1"/>
  <c r="P463" i="7"/>
  <c r="Q463" i="7" s="1"/>
  <c r="O454" i="7"/>
  <c r="O455" i="7" s="1"/>
  <c r="P453" i="7"/>
  <c r="Q453" i="7" s="1"/>
  <c r="O444" i="7"/>
  <c r="O445" i="7" s="1"/>
  <c r="P443" i="7"/>
  <c r="Q443" i="7" s="1"/>
  <c r="O434" i="7"/>
  <c r="O435" i="7" s="1"/>
  <c r="P433" i="7"/>
  <c r="Q433" i="7" s="1"/>
  <c r="O424" i="7"/>
  <c r="O425" i="7" s="1"/>
  <c r="P423" i="7"/>
  <c r="Q423" i="7" s="1"/>
  <c r="O414" i="7"/>
  <c r="O415" i="7" s="1"/>
  <c r="P413" i="7"/>
  <c r="Q413" i="7" s="1"/>
  <c r="O404" i="7"/>
  <c r="P404" i="7" s="1"/>
  <c r="Q404" i="7" s="1"/>
  <c r="P403" i="7"/>
  <c r="Q403" i="7" s="1"/>
  <c r="O394" i="7"/>
  <c r="O395" i="7" s="1"/>
  <c r="P393" i="7"/>
  <c r="Q393" i="7" s="1"/>
  <c r="O384" i="7"/>
  <c r="P384" i="7" s="1"/>
  <c r="Q384" i="7" s="1"/>
  <c r="P383" i="7"/>
  <c r="Q383" i="7" s="1"/>
  <c r="O374" i="7"/>
  <c r="O375" i="7" s="1"/>
  <c r="P373" i="7"/>
  <c r="Q373" i="7" s="1"/>
  <c r="O364" i="7"/>
  <c r="O365" i="7" s="1"/>
  <c r="O366" i="7" s="1"/>
  <c r="P363" i="7"/>
  <c r="Q363" i="7" s="1"/>
  <c r="O354" i="7"/>
  <c r="P354" i="7" s="1"/>
  <c r="P353" i="7"/>
  <c r="O344" i="7"/>
  <c r="O345" i="7" s="1"/>
  <c r="P343" i="7"/>
  <c r="Q343" i="7" s="1"/>
  <c r="O334" i="7"/>
  <c r="O335" i="7" s="1"/>
  <c r="P333" i="7"/>
  <c r="Q333" i="7" s="1"/>
  <c r="O324" i="7"/>
  <c r="O325" i="7" s="1"/>
  <c r="P323" i="7"/>
  <c r="Q323" i="7" s="1"/>
  <c r="O314" i="7"/>
  <c r="O315" i="7" s="1"/>
  <c r="P315" i="7" s="1"/>
  <c r="Q315" i="7" s="1"/>
  <c r="P313" i="7"/>
  <c r="Q313" i="7" s="1"/>
  <c r="O304" i="7"/>
  <c r="O305" i="7" s="1"/>
  <c r="P303" i="7"/>
  <c r="Q303" i="7" s="1"/>
  <c r="O294" i="7"/>
  <c r="O295" i="7" s="1"/>
  <c r="P293" i="7"/>
  <c r="Q293" i="7" s="1"/>
  <c r="O284" i="7"/>
  <c r="O285" i="7" s="1"/>
  <c r="P283" i="7"/>
  <c r="Q283" i="7" s="1"/>
  <c r="O274" i="7"/>
  <c r="O275" i="7" s="1"/>
  <c r="P273" i="7"/>
  <c r="Q273" i="7" s="1"/>
  <c r="O264" i="7"/>
  <c r="O265" i="7" s="1"/>
  <c r="P263" i="7"/>
  <c r="Q263" i="7" s="1"/>
  <c r="O254" i="7"/>
  <c r="O255" i="7" s="1"/>
  <c r="P253" i="7"/>
  <c r="Q253" i="7" s="1"/>
  <c r="O244" i="7"/>
  <c r="O245" i="7" s="1"/>
  <c r="P243" i="7"/>
  <c r="O234" i="7"/>
  <c r="P234" i="7" s="1"/>
  <c r="Q234" i="7" s="1"/>
  <c r="P233" i="7"/>
  <c r="Q233" i="7" s="1"/>
  <c r="O224" i="7"/>
  <c r="O225" i="7" s="1"/>
  <c r="P223" i="7"/>
  <c r="Q223" i="7" s="1"/>
  <c r="O214" i="7"/>
  <c r="P214" i="7" s="1"/>
  <c r="Q214" i="7" s="1"/>
  <c r="P213" i="7"/>
  <c r="Q213" i="7" s="1"/>
  <c r="O204" i="7"/>
  <c r="O205" i="7" s="1"/>
  <c r="P203" i="7"/>
  <c r="Q203" i="7" s="1"/>
  <c r="O194" i="7"/>
  <c r="O195" i="7" s="1"/>
  <c r="O184" i="7"/>
  <c r="P184" i="7" s="1"/>
  <c r="Q184" i="7" s="1"/>
  <c r="O174" i="7"/>
  <c r="O175" i="7" s="1"/>
  <c r="O164" i="7"/>
  <c r="O165" i="7" s="1"/>
  <c r="O154" i="7"/>
  <c r="O155" i="7" s="1"/>
  <c r="O156" i="7" s="1"/>
  <c r="P156" i="7" s="1"/>
  <c r="Q156" i="7" s="1"/>
  <c r="O144" i="7"/>
  <c r="O145" i="7" s="1"/>
  <c r="O146" i="7" s="1"/>
  <c r="P146" i="7" s="1"/>
  <c r="Q146" i="7" s="1"/>
  <c r="O134" i="7"/>
  <c r="P134" i="7" s="1"/>
  <c r="Q134" i="7" s="1"/>
  <c r="O124" i="7"/>
  <c r="P124" i="7" s="1"/>
  <c r="Q124" i="7" s="1"/>
  <c r="O114" i="7"/>
  <c r="O115" i="7" s="1"/>
  <c r="O116" i="7" s="1"/>
  <c r="P116" i="7" s="1"/>
  <c r="Q116" i="7" s="1"/>
  <c r="O104" i="7"/>
  <c r="P104" i="7" s="1"/>
  <c r="Q104" i="7" s="1"/>
  <c r="O94" i="7"/>
  <c r="P94" i="7" s="1"/>
  <c r="Q94" i="7" s="1"/>
  <c r="O84" i="7"/>
  <c r="P84" i="7" s="1"/>
  <c r="Q84" i="7" s="1"/>
  <c r="O74" i="7"/>
  <c r="P74" i="7" s="1"/>
  <c r="Q74" i="7" s="1"/>
  <c r="O64" i="7"/>
  <c r="P64" i="7" s="1"/>
  <c r="Q64" i="7" s="1"/>
  <c r="O54" i="7"/>
  <c r="P54" i="7" s="1"/>
  <c r="Q54" i="7" s="1"/>
  <c r="O44" i="7"/>
  <c r="P44" i="7" s="1"/>
  <c r="Q44" i="7" s="1"/>
  <c r="O34" i="7"/>
  <c r="P34" i="7" s="1"/>
  <c r="Q34" i="7" s="1"/>
  <c r="O24" i="7"/>
  <c r="O25" i="7" s="1"/>
  <c r="O26" i="7" s="1"/>
  <c r="O14" i="7"/>
  <c r="O15" i="7" s="1"/>
  <c r="O16" i="7" s="1"/>
  <c r="O4" i="7"/>
  <c r="O5" i="7" s="1"/>
  <c r="O6" i="7" s="1"/>
  <c r="J29" i="16"/>
  <c r="H29" i="16"/>
  <c r="D24" i="16"/>
  <c r="D25" i="16"/>
  <c r="D26" i="16"/>
  <c r="D27" i="16"/>
  <c r="O1035" i="7" l="1"/>
  <c r="O1036" i="7" s="1"/>
  <c r="P1034" i="7"/>
  <c r="O505" i="7"/>
  <c r="O506" i="7" s="1"/>
  <c r="O45" i="7"/>
  <c r="O46" i="7" s="1"/>
  <c r="P46" i="7" s="1"/>
  <c r="Q46" i="7" s="1"/>
  <c r="O65" i="7"/>
  <c r="O125" i="7"/>
  <c r="O126" i="7" s="1"/>
  <c r="P126" i="7" s="1"/>
  <c r="Q126" i="7" s="1"/>
  <c r="O235" i="7"/>
  <c r="P235" i="7" s="1"/>
  <c r="Q235" i="7" s="1"/>
  <c r="O95" i="7"/>
  <c r="O96" i="7" s="1"/>
  <c r="P96" i="7" s="1"/>
  <c r="Q96" i="7" s="1"/>
  <c r="O105" i="7"/>
  <c r="O106" i="7" s="1"/>
  <c r="P106" i="7" s="1"/>
  <c r="Q106" i="7" s="1"/>
  <c r="P484" i="7"/>
  <c r="Q484" i="7" s="1"/>
  <c r="O385" i="7"/>
  <c r="P385" i="7" s="1"/>
  <c r="Q385" i="7" s="1"/>
  <c r="O85" i="7"/>
  <c r="O86" i="7" s="1"/>
  <c r="P86" i="7" s="1"/>
  <c r="Q86" i="7" s="1"/>
  <c r="O555" i="7"/>
  <c r="O556" i="7" s="1"/>
  <c r="O557" i="7" s="1"/>
  <c r="O55" i="7"/>
  <c r="O185" i="7"/>
  <c r="O935" i="7"/>
  <c r="O936" i="7" s="1"/>
  <c r="O937" i="7" s="1"/>
  <c r="O135" i="7"/>
  <c r="O136" i="7" s="1"/>
  <c r="P136" i="7" s="1"/>
  <c r="Q136" i="7" s="1"/>
  <c r="O885" i="7"/>
  <c r="P885" i="7" s="1"/>
  <c r="Q885" i="7" s="1"/>
  <c r="O35" i="7"/>
  <c r="O75" i="7"/>
  <c r="O475" i="7"/>
  <c r="P475" i="7" s="1"/>
  <c r="Q475" i="7" s="1"/>
  <c r="P524" i="7"/>
  <c r="Q524" i="7" s="1"/>
  <c r="O355" i="7"/>
  <c r="P355" i="7" s="1"/>
  <c r="Q355" i="7" s="1"/>
  <c r="O725" i="7"/>
  <c r="P725" i="7" s="1"/>
  <c r="O765" i="7"/>
  <c r="P765" i="7" s="1"/>
  <c r="Q765" i="7" s="1"/>
  <c r="O405" i="7"/>
  <c r="P405" i="7" s="1"/>
  <c r="Q405" i="7" s="1"/>
  <c r="O605" i="7"/>
  <c r="O606" i="7" s="1"/>
  <c r="P606" i="7" s="1"/>
  <c r="Q606" i="7" s="1"/>
  <c r="O1025" i="7"/>
  <c r="O1026" i="7" s="1"/>
  <c r="O1027" i="7" s="1"/>
  <c r="O545" i="7"/>
  <c r="O546" i="7" s="1"/>
  <c r="O547" i="7" s="1"/>
  <c r="O955" i="7"/>
  <c r="P955" i="7" s="1"/>
  <c r="Q955" i="7" s="1"/>
  <c r="P1015" i="7"/>
  <c r="Q1015" i="7" s="1"/>
  <c r="O1016" i="7"/>
  <c r="P1014" i="7"/>
  <c r="Q1014" i="7" s="1"/>
  <c r="P245" i="7"/>
  <c r="Q245" i="7" s="1"/>
  <c r="O246" i="7"/>
  <c r="P435" i="7"/>
  <c r="Q435" i="7" s="1"/>
  <c r="O436" i="7"/>
  <c r="P225" i="7"/>
  <c r="Q225" i="7" s="1"/>
  <c r="O226" i="7"/>
  <c r="P975" i="7"/>
  <c r="Q975" i="7" s="1"/>
  <c r="O976" i="7"/>
  <c r="P305" i="7"/>
  <c r="Q305" i="7" s="1"/>
  <c r="O306" i="7"/>
  <c r="P415" i="7"/>
  <c r="Q415" i="7" s="1"/>
  <c r="O416" i="7"/>
  <c r="P575" i="7"/>
  <c r="Q575" i="7" s="1"/>
  <c r="P414" i="7"/>
  <c r="Q414" i="7" s="1"/>
  <c r="P434" i="7"/>
  <c r="Q434" i="7" s="1"/>
  <c r="P574" i="7"/>
  <c r="Q574" i="7" s="1"/>
  <c r="O586" i="7"/>
  <c r="P964" i="7"/>
  <c r="Q964" i="7" s="1"/>
  <c r="P144" i="7"/>
  <c r="Q144" i="7" s="1"/>
  <c r="P224" i="7"/>
  <c r="Q224" i="7" s="1"/>
  <c r="P314" i="7"/>
  <c r="Q314" i="7" s="1"/>
  <c r="P364" i="7"/>
  <c r="Q364" i="7" s="1"/>
  <c r="O625" i="7"/>
  <c r="O626" i="7" s="1"/>
  <c r="O627" i="7" s="1"/>
  <c r="P974" i="7"/>
  <c r="Q974" i="7" s="1"/>
  <c r="P304" i="7"/>
  <c r="Q304" i="7" s="1"/>
  <c r="O815" i="7"/>
  <c r="O816" i="7" s="1"/>
  <c r="O817" i="7" s="1"/>
  <c r="O845" i="7"/>
  <c r="O895" i="7"/>
  <c r="P914" i="7"/>
  <c r="Q914" i="7" s="1"/>
  <c r="P704" i="7"/>
  <c r="Q704" i="7" s="1"/>
  <c r="P244" i="7"/>
  <c r="O875" i="7"/>
  <c r="O945" i="7"/>
  <c r="P985" i="7"/>
  <c r="Q985" i="7" s="1"/>
  <c r="O986" i="7"/>
  <c r="P984" i="7"/>
  <c r="Q984" i="7" s="1"/>
  <c r="O1006" i="7"/>
  <c r="P1005" i="7"/>
  <c r="Q1005" i="7" s="1"/>
  <c r="P1004" i="7"/>
  <c r="Q1004" i="7" s="1"/>
  <c r="P995" i="7"/>
  <c r="Q995" i="7" s="1"/>
  <c r="O996" i="7"/>
  <c r="P994" i="7"/>
  <c r="Q994" i="7" s="1"/>
  <c r="P966" i="7"/>
  <c r="Q966" i="7" s="1"/>
  <c r="O967" i="7"/>
  <c r="P965" i="7"/>
  <c r="Q965" i="7" s="1"/>
  <c r="O917" i="7"/>
  <c r="P916" i="7"/>
  <c r="Q916" i="7" s="1"/>
  <c r="O925" i="7"/>
  <c r="P915" i="7"/>
  <c r="Q915" i="7" s="1"/>
  <c r="P905" i="7"/>
  <c r="Q905" i="7" s="1"/>
  <c r="O906" i="7"/>
  <c r="P904" i="7"/>
  <c r="Q904" i="7" s="1"/>
  <c r="P865" i="7"/>
  <c r="Q865" i="7" s="1"/>
  <c r="O866" i="7"/>
  <c r="P864" i="7"/>
  <c r="Q864" i="7" s="1"/>
  <c r="O856" i="7"/>
  <c r="P855" i="7"/>
  <c r="Q855" i="7" s="1"/>
  <c r="P854" i="7"/>
  <c r="Q854" i="7" s="1"/>
  <c r="P835" i="7"/>
  <c r="Q835" i="7" s="1"/>
  <c r="O836" i="7"/>
  <c r="P825" i="7"/>
  <c r="Q825" i="7" s="1"/>
  <c r="O826" i="7"/>
  <c r="P824" i="7"/>
  <c r="Q824" i="7" s="1"/>
  <c r="O806" i="7"/>
  <c r="P804" i="7"/>
  <c r="Q804" i="7" s="1"/>
  <c r="P795" i="7"/>
  <c r="Q795" i="7" s="1"/>
  <c r="O796" i="7"/>
  <c r="O786" i="7"/>
  <c r="P784" i="7"/>
  <c r="Q784" i="7" s="1"/>
  <c r="O776" i="7"/>
  <c r="P775" i="7"/>
  <c r="Q775" i="7" s="1"/>
  <c r="P774" i="7"/>
  <c r="Q774" i="7" s="1"/>
  <c r="O756" i="7"/>
  <c r="P755" i="7"/>
  <c r="Q755" i="7" s="1"/>
  <c r="O746" i="7"/>
  <c r="P745" i="7"/>
  <c r="Q745" i="7" s="1"/>
  <c r="P744" i="7"/>
  <c r="Q744" i="7" s="1"/>
  <c r="O736" i="7"/>
  <c r="P735" i="7"/>
  <c r="Q735" i="7" s="1"/>
  <c r="P734" i="7"/>
  <c r="Q734" i="7" s="1"/>
  <c r="O716" i="7"/>
  <c r="P715" i="7"/>
  <c r="P714" i="7"/>
  <c r="O706" i="7"/>
  <c r="P695" i="7"/>
  <c r="Q695" i="7" s="1"/>
  <c r="O696" i="7"/>
  <c r="P694" i="7"/>
  <c r="Q694" i="7" s="1"/>
  <c r="O676" i="7"/>
  <c r="P675" i="7"/>
  <c r="Q675" i="7" s="1"/>
  <c r="O666" i="7"/>
  <c r="P665" i="7"/>
  <c r="Q665" i="7" s="1"/>
  <c r="O656" i="7"/>
  <c r="O646" i="7"/>
  <c r="P645" i="7"/>
  <c r="Q645" i="7" s="1"/>
  <c r="P644" i="7"/>
  <c r="Q644" i="7" s="1"/>
  <c r="O635" i="7"/>
  <c r="O616" i="7"/>
  <c r="P615" i="7"/>
  <c r="Q615" i="7" s="1"/>
  <c r="P614" i="7"/>
  <c r="Q614" i="7" s="1"/>
  <c r="O595" i="7"/>
  <c r="O566" i="7"/>
  <c r="P565" i="7"/>
  <c r="Q565" i="7" s="1"/>
  <c r="P564" i="7"/>
  <c r="Q564" i="7" s="1"/>
  <c r="O536" i="7"/>
  <c r="P535" i="7"/>
  <c r="Q535" i="7" s="1"/>
  <c r="P534" i="7"/>
  <c r="Q534" i="7" s="1"/>
  <c r="O526" i="7"/>
  <c r="P525" i="7"/>
  <c r="Q525" i="7" s="1"/>
  <c r="O516" i="7"/>
  <c r="P515" i="7"/>
  <c r="Q515" i="7" s="1"/>
  <c r="P514" i="7"/>
  <c r="Q514" i="7" s="1"/>
  <c r="P495" i="7"/>
  <c r="Q495" i="7" s="1"/>
  <c r="P485" i="7"/>
  <c r="Q485" i="7" s="1"/>
  <c r="O486" i="7"/>
  <c r="O466" i="7"/>
  <c r="P464" i="7"/>
  <c r="Q464" i="7" s="1"/>
  <c r="O456" i="7"/>
  <c r="P454" i="7"/>
  <c r="Q454" i="7" s="1"/>
  <c r="P445" i="7"/>
  <c r="Q445" i="7" s="1"/>
  <c r="O446" i="7"/>
  <c r="P444" i="7"/>
  <c r="Q444" i="7" s="1"/>
  <c r="P425" i="7"/>
  <c r="Q425" i="7" s="1"/>
  <c r="O426" i="7"/>
  <c r="P424" i="7"/>
  <c r="Q424" i="7" s="1"/>
  <c r="O396" i="7"/>
  <c r="P395" i="7"/>
  <c r="Q395" i="7" s="1"/>
  <c r="P394" i="7"/>
  <c r="Q394" i="7" s="1"/>
  <c r="O376" i="7"/>
  <c r="P375" i="7"/>
  <c r="Q375" i="7" s="1"/>
  <c r="P374" i="7"/>
  <c r="Q374" i="7" s="1"/>
  <c r="O367" i="7"/>
  <c r="P366" i="7"/>
  <c r="Q366" i="7" s="1"/>
  <c r="P365" i="7"/>
  <c r="Q365" i="7" s="1"/>
  <c r="P345" i="7"/>
  <c r="Q345" i="7" s="1"/>
  <c r="O346" i="7"/>
  <c r="P344" i="7"/>
  <c r="Q344" i="7" s="1"/>
  <c r="O336" i="7"/>
  <c r="P335" i="7"/>
  <c r="Q335" i="7" s="1"/>
  <c r="P325" i="7"/>
  <c r="Q325" i="7" s="1"/>
  <c r="O326" i="7"/>
  <c r="P324" i="7"/>
  <c r="Q324" i="7" s="1"/>
  <c r="O316" i="7"/>
  <c r="O296" i="7"/>
  <c r="P295" i="7"/>
  <c r="Q295" i="7" s="1"/>
  <c r="P294" i="7"/>
  <c r="Q294" i="7" s="1"/>
  <c r="O286" i="7"/>
  <c r="P285" i="7"/>
  <c r="Q285" i="7" s="1"/>
  <c r="P284" i="7"/>
  <c r="Q284" i="7" s="1"/>
  <c r="P275" i="7"/>
  <c r="Q275" i="7" s="1"/>
  <c r="O276" i="7"/>
  <c r="P274" i="7"/>
  <c r="Q274" i="7" s="1"/>
  <c r="P265" i="7"/>
  <c r="Q265" i="7" s="1"/>
  <c r="O266" i="7"/>
  <c r="P264" i="7"/>
  <c r="Q264" i="7" s="1"/>
  <c r="P255" i="7"/>
  <c r="Q255" i="7" s="1"/>
  <c r="O256" i="7"/>
  <c r="P254" i="7"/>
  <c r="Q254" i="7" s="1"/>
  <c r="O215" i="7"/>
  <c r="P205" i="7"/>
  <c r="Q205" i="7" s="1"/>
  <c r="O206" i="7"/>
  <c r="P204" i="7"/>
  <c r="Q204" i="7" s="1"/>
  <c r="O196" i="7"/>
  <c r="P194" i="7"/>
  <c r="Q194" i="7" s="1"/>
  <c r="O176" i="7"/>
  <c r="P174" i="7"/>
  <c r="Q174" i="7" s="1"/>
  <c r="O166" i="7"/>
  <c r="P164" i="7"/>
  <c r="Q164" i="7" s="1"/>
  <c r="P154" i="7"/>
  <c r="Q154" i="7" s="1"/>
  <c r="P114" i="7"/>
  <c r="Q114" i="7" s="1"/>
  <c r="P25" i="7"/>
  <c r="P24" i="7"/>
  <c r="Q24" i="7" s="1"/>
  <c r="P5" i="7"/>
  <c r="Q5" i="7" s="1"/>
  <c r="P15" i="7"/>
  <c r="P14" i="7"/>
  <c r="Q14" i="7" s="1"/>
  <c r="P4" i="7"/>
  <c r="Q4" i="7" s="1"/>
  <c r="I23" i="16"/>
  <c r="G885" i="7"/>
  <c r="F885" i="7"/>
  <c r="G892" i="7"/>
  <c r="H892" i="7" s="1"/>
  <c r="F892" i="7"/>
  <c r="G891" i="7"/>
  <c r="H891" i="7" s="1"/>
  <c r="F891" i="7"/>
  <c r="L890" i="7"/>
  <c r="M890" i="7" s="1"/>
  <c r="G890" i="7"/>
  <c r="H890" i="7" s="1"/>
  <c r="F890" i="7"/>
  <c r="L889" i="7"/>
  <c r="M889" i="7" s="1"/>
  <c r="G889" i="7"/>
  <c r="H889" i="7" s="1"/>
  <c r="F889" i="7"/>
  <c r="L888" i="7"/>
  <c r="M888" i="7" s="1"/>
  <c r="G888" i="7"/>
  <c r="H888" i="7" s="1"/>
  <c r="F888" i="7"/>
  <c r="L887" i="7"/>
  <c r="M887" i="7" s="1"/>
  <c r="G887" i="7"/>
  <c r="H887" i="7" s="1"/>
  <c r="F887" i="7"/>
  <c r="L886" i="7"/>
  <c r="M886" i="7" s="1"/>
  <c r="G886" i="7"/>
  <c r="H886" i="7" s="1"/>
  <c r="F886" i="7"/>
  <c r="L885" i="7"/>
  <c r="M885" i="7" s="1"/>
  <c r="L884" i="7"/>
  <c r="M884" i="7" s="1"/>
  <c r="F884" i="7"/>
  <c r="L883" i="7"/>
  <c r="F883" i="7"/>
  <c r="D883" i="7"/>
  <c r="P883" i="7" s="1"/>
  <c r="P884" i="7" l="1"/>
  <c r="P1035" i="7"/>
  <c r="Q1035" i="7" s="1"/>
  <c r="P555" i="7"/>
  <c r="Q555" i="7" s="1"/>
  <c r="O236" i="7"/>
  <c r="O237" i="7" s="1"/>
  <c r="P556" i="7"/>
  <c r="Q556" i="7" s="1"/>
  <c r="O137" i="7"/>
  <c r="O138" i="7" s="1"/>
  <c r="O886" i="7"/>
  <c r="P886" i="7" s="1"/>
  <c r="Q886" i="7" s="1"/>
  <c r="O107" i="7"/>
  <c r="P107" i="7" s="1"/>
  <c r="Q107" i="7" s="1"/>
  <c r="O726" i="7"/>
  <c r="P726" i="7" s="1"/>
  <c r="Q726" i="7" s="1"/>
  <c r="O766" i="7"/>
  <c r="P766" i="7" s="1"/>
  <c r="Q766" i="7" s="1"/>
  <c r="O56" i="7"/>
  <c r="P56" i="7" s="1"/>
  <c r="Q56" i="7" s="1"/>
  <c r="K883" i="7"/>
  <c r="M883" i="7" s="1"/>
  <c r="N883" i="7" s="1"/>
  <c r="O66" i="7"/>
  <c r="P66" i="7" s="1"/>
  <c r="Q66" i="7" s="1"/>
  <c r="O97" i="7"/>
  <c r="P97" i="7" s="1"/>
  <c r="Q97" i="7" s="1"/>
  <c r="O76" i="7"/>
  <c r="P76" i="7" s="1"/>
  <c r="Q76" i="7" s="1"/>
  <c r="P936" i="7"/>
  <c r="Q936" i="7" s="1"/>
  <c r="O36" i="7"/>
  <c r="P36" i="7" s="1"/>
  <c r="Q36" i="7" s="1"/>
  <c r="O356" i="7"/>
  <c r="P356" i="7" s="1"/>
  <c r="Q356" i="7" s="1"/>
  <c r="O956" i="7"/>
  <c r="P956" i="7" s="1"/>
  <c r="Q956" i="7" s="1"/>
  <c r="O186" i="7"/>
  <c r="O187" i="7" s="1"/>
  <c r="O188" i="7" s="1"/>
  <c r="P545" i="7"/>
  <c r="Q545" i="7" s="1"/>
  <c r="P546" i="7"/>
  <c r="Q546" i="7" s="1"/>
  <c r="P935" i="7"/>
  <c r="Q935" i="7" s="1"/>
  <c r="O386" i="7"/>
  <c r="O387" i="7" s="1"/>
  <c r="O87" i="7"/>
  <c r="O88" i="7" s="1"/>
  <c r="O476" i="7"/>
  <c r="P476" i="7" s="1"/>
  <c r="Q476" i="7" s="1"/>
  <c r="P1026" i="7"/>
  <c r="Q1026" i="7" s="1"/>
  <c r="P605" i="7"/>
  <c r="Q605" i="7" s="1"/>
  <c r="O607" i="7"/>
  <c r="O608" i="7" s="1"/>
  <c r="P815" i="7"/>
  <c r="Q815" i="7" s="1"/>
  <c r="O406" i="7"/>
  <c r="O407" i="7" s="1"/>
  <c r="P816" i="7"/>
  <c r="Q816" i="7" s="1"/>
  <c r="P1025" i="7"/>
  <c r="Q1025" i="7" s="1"/>
  <c r="P1027" i="7"/>
  <c r="Q1027" i="7" s="1"/>
  <c r="O1028" i="7"/>
  <c r="P1016" i="7"/>
  <c r="Q1016" i="7" s="1"/>
  <c r="O1017" i="7"/>
  <c r="P1036" i="7"/>
  <c r="Q1036" i="7" s="1"/>
  <c r="O1037" i="7"/>
  <c r="O147" i="7"/>
  <c r="P506" i="7"/>
  <c r="Q506" i="7" s="1"/>
  <c r="O507" i="7"/>
  <c r="H885" i="7"/>
  <c r="P895" i="7"/>
  <c r="Q895" i="7" s="1"/>
  <c r="O896" i="7"/>
  <c r="P586" i="7"/>
  <c r="Q586" i="7" s="1"/>
  <c r="O587" i="7"/>
  <c r="P416" i="7"/>
  <c r="Q416" i="7" s="1"/>
  <c r="O417" i="7"/>
  <c r="P226" i="7"/>
  <c r="Q226" i="7" s="1"/>
  <c r="O227" i="7"/>
  <c r="P845" i="7"/>
  <c r="Q845" i="7" s="1"/>
  <c r="O846" i="7"/>
  <c r="O577" i="7"/>
  <c r="P625" i="7"/>
  <c r="Q625" i="7" s="1"/>
  <c r="P306" i="7"/>
  <c r="Q306" i="7" s="1"/>
  <c r="O307" i="7"/>
  <c r="P436" i="7"/>
  <c r="Q436" i="7" s="1"/>
  <c r="O437" i="7"/>
  <c r="P626" i="7"/>
  <c r="Q626" i="7" s="1"/>
  <c r="P945" i="7"/>
  <c r="Q945" i="7" s="1"/>
  <c r="O946" i="7"/>
  <c r="P976" i="7"/>
  <c r="Q976" i="7" s="1"/>
  <c r="O977" i="7"/>
  <c r="P246" i="7"/>
  <c r="Q246" i="7" s="1"/>
  <c r="O247" i="7"/>
  <c r="P875" i="7"/>
  <c r="Q875" i="7" s="1"/>
  <c r="O876" i="7"/>
  <c r="P986" i="7"/>
  <c r="Q986" i="7" s="1"/>
  <c r="O987" i="7"/>
  <c r="P1006" i="7"/>
  <c r="Q1006" i="7" s="1"/>
  <c r="O1007" i="7"/>
  <c r="O997" i="7"/>
  <c r="O968" i="7"/>
  <c r="P967" i="7"/>
  <c r="Q967" i="7" s="1"/>
  <c r="P937" i="7"/>
  <c r="Q937" i="7" s="1"/>
  <c r="O938" i="7"/>
  <c r="P917" i="7"/>
  <c r="Q917" i="7" s="1"/>
  <c r="O918" i="7"/>
  <c r="O926" i="7"/>
  <c r="P925" i="7"/>
  <c r="Q925" i="7" s="1"/>
  <c r="P906" i="7"/>
  <c r="Q906" i="7" s="1"/>
  <c r="O907" i="7"/>
  <c r="P866" i="7"/>
  <c r="Q866" i="7" s="1"/>
  <c r="O867" i="7"/>
  <c r="P856" i="7"/>
  <c r="Q856" i="7" s="1"/>
  <c r="O857" i="7"/>
  <c r="P836" i="7"/>
  <c r="Q836" i="7" s="1"/>
  <c r="O837" i="7"/>
  <c r="O827" i="7"/>
  <c r="P826" i="7"/>
  <c r="Q826" i="7" s="1"/>
  <c r="O818" i="7"/>
  <c r="P817" i="7"/>
  <c r="Q817" i="7" s="1"/>
  <c r="P806" i="7"/>
  <c r="Q806" i="7" s="1"/>
  <c r="O807" i="7"/>
  <c r="O797" i="7"/>
  <c r="P796" i="7"/>
  <c r="Q796" i="7" s="1"/>
  <c r="O787" i="7"/>
  <c r="P786" i="7"/>
  <c r="Q786" i="7" s="1"/>
  <c r="P776" i="7"/>
  <c r="Q776" i="7" s="1"/>
  <c r="O777" i="7"/>
  <c r="P756" i="7"/>
  <c r="Q756" i="7" s="1"/>
  <c r="O757" i="7"/>
  <c r="P746" i="7"/>
  <c r="Q746" i="7" s="1"/>
  <c r="O747" i="7"/>
  <c r="P736" i="7"/>
  <c r="Q736" i="7" s="1"/>
  <c r="O737" i="7"/>
  <c r="P716" i="7"/>
  <c r="Q716" i="7" s="1"/>
  <c r="O717" i="7"/>
  <c r="O707" i="7"/>
  <c r="P706" i="7"/>
  <c r="Q706" i="7" s="1"/>
  <c r="P696" i="7"/>
  <c r="Q696" i="7" s="1"/>
  <c r="O697" i="7"/>
  <c r="O677" i="7"/>
  <c r="P676" i="7"/>
  <c r="Q676" i="7" s="1"/>
  <c r="O667" i="7"/>
  <c r="P666" i="7"/>
  <c r="Q666" i="7" s="1"/>
  <c r="O657" i="7"/>
  <c r="P656" i="7"/>
  <c r="Q656" i="7" s="1"/>
  <c r="O647" i="7"/>
  <c r="P646" i="7"/>
  <c r="Q646" i="7" s="1"/>
  <c r="O636" i="7"/>
  <c r="P635" i="7"/>
  <c r="Q635" i="7" s="1"/>
  <c r="O628" i="7"/>
  <c r="P627" i="7"/>
  <c r="Q627" i="7" s="1"/>
  <c r="P616" i="7"/>
  <c r="Q616" i="7" s="1"/>
  <c r="O617" i="7"/>
  <c r="O596" i="7"/>
  <c r="P595" i="7"/>
  <c r="Q595" i="7" s="1"/>
  <c r="P566" i="7"/>
  <c r="Q566" i="7" s="1"/>
  <c r="O567" i="7"/>
  <c r="O558" i="7"/>
  <c r="P557" i="7"/>
  <c r="Q557" i="7" s="1"/>
  <c r="P547" i="7"/>
  <c r="Q547" i="7" s="1"/>
  <c r="O548" i="7"/>
  <c r="P536" i="7"/>
  <c r="Q536" i="7" s="1"/>
  <c r="O537" i="7"/>
  <c r="O527" i="7"/>
  <c r="P526" i="7"/>
  <c r="Q526" i="7" s="1"/>
  <c r="O517" i="7"/>
  <c r="P516" i="7"/>
  <c r="Q516" i="7" s="1"/>
  <c r="O497" i="7"/>
  <c r="O487" i="7"/>
  <c r="P486" i="7"/>
  <c r="Q486" i="7" s="1"/>
  <c r="P466" i="7"/>
  <c r="Q466" i="7" s="1"/>
  <c r="O467" i="7"/>
  <c r="P456" i="7"/>
  <c r="Q456" i="7" s="1"/>
  <c r="O457" i="7"/>
  <c r="O447" i="7"/>
  <c r="O427" i="7"/>
  <c r="P426" i="7"/>
  <c r="Q426" i="7" s="1"/>
  <c r="O397" i="7"/>
  <c r="P396" i="7"/>
  <c r="Q396" i="7" s="1"/>
  <c r="O377" i="7"/>
  <c r="P376" i="7"/>
  <c r="Q376" i="7" s="1"/>
  <c r="P367" i="7"/>
  <c r="Q367" i="7" s="1"/>
  <c r="O368" i="7"/>
  <c r="O347" i="7"/>
  <c r="P346" i="7"/>
  <c r="Q346" i="7" s="1"/>
  <c r="P336" i="7"/>
  <c r="Q336" i="7" s="1"/>
  <c r="O337" i="7"/>
  <c r="O327" i="7"/>
  <c r="P326" i="7"/>
  <c r="Q326" i="7" s="1"/>
  <c r="O317" i="7"/>
  <c r="P316" i="7"/>
  <c r="Q316" i="7" s="1"/>
  <c r="P296" i="7"/>
  <c r="Q296" i="7" s="1"/>
  <c r="O297" i="7"/>
  <c r="O287" i="7"/>
  <c r="P286" i="7"/>
  <c r="Q286" i="7" s="1"/>
  <c r="O277" i="7"/>
  <c r="P276" i="7"/>
  <c r="Q276" i="7" s="1"/>
  <c r="P266" i="7"/>
  <c r="Q266" i="7" s="1"/>
  <c r="O267" i="7"/>
  <c r="O257" i="7"/>
  <c r="P256" i="7"/>
  <c r="Q256" i="7" s="1"/>
  <c r="O216" i="7"/>
  <c r="P215" i="7"/>
  <c r="Q215" i="7" s="1"/>
  <c r="O207" i="7"/>
  <c r="P206" i="7"/>
  <c r="Q206" i="7" s="1"/>
  <c r="O197" i="7"/>
  <c r="P196" i="7"/>
  <c r="Q196" i="7" s="1"/>
  <c r="O177" i="7"/>
  <c r="P176" i="7"/>
  <c r="Q176" i="7" s="1"/>
  <c r="P166" i="7"/>
  <c r="Q166" i="7" s="1"/>
  <c r="O167" i="7"/>
  <c r="O157" i="7"/>
  <c r="O117" i="7"/>
  <c r="O27" i="7"/>
  <c r="O17" i="7"/>
  <c r="O7" i="7"/>
  <c r="P137" i="7" l="1"/>
  <c r="Q137" i="7" s="1"/>
  <c r="O108" i="7"/>
  <c r="O109" i="7" s="1"/>
  <c r="P236" i="7"/>
  <c r="Q236" i="7" s="1"/>
  <c r="O887" i="7"/>
  <c r="P887" i="7" s="1"/>
  <c r="Q887" i="7" s="1"/>
  <c r="O98" i="7"/>
  <c r="O99" i="7" s="1"/>
  <c r="P87" i="7"/>
  <c r="Q87" i="7" s="1"/>
  <c r="O477" i="7"/>
  <c r="O478" i="7" s="1"/>
  <c r="O727" i="7"/>
  <c r="O728" i="7" s="1"/>
  <c r="O957" i="7"/>
  <c r="P957" i="7" s="1"/>
  <c r="Q957" i="7" s="1"/>
  <c r="P187" i="7"/>
  <c r="Q187" i="7" s="1"/>
  <c r="O57" i="7"/>
  <c r="P57" i="7" s="1"/>
  <c r="Q57" i="7" s="1"/>
  <c r="P386" i="7"/>
  <c r="Q386" i="7" s="1"/>
  <c r="O77" i="7"/>
  <c r="P77" i="7" s="1"/>
  <c r="Q77" i="7" s="1"/>
  <c r="P186" i="7"/>
  <c r="Q186" i="7" s="1"/>
  <c r="P406" i="7"/>
  <c r="Q406" i="7" s="1"/>
  <c r="O357" i="7"/>
  <c r="P357" i="7" s="1"/>
  <c r="Q357" i="7" s="1"/>
  <c r="O767" i="7"/>
  <c r="O768" i="7" s="1"/>
  <c r="O37" i="7"/>
  <c r="O38" i="7" s="1"/>
  <c r="P38" i="7" s="1"/>
  <c r="Q38" i="7" s="1"/>
  <c r="P607" i="7"/>
  <c r="Q607" i="7" s="1"/>
  <c r="O1029" i="7"/>
  <c r="P1028" i="7"/>
  <c r="Q1028" i="7" s="1"/>
  <c r="P1037" i="7"/>
  <c r="Q1037" i="7" s="1"/>
  <c r="O1038" i="7"/>
  <c r="O1018" i="7"/>
  <c r="P1017" i="7"/>
  <c r="Q1017" i="7" s="1"/>
  <c r="O978" i="7"/>
  <c r="P977" i="7"/>
  <c r="Q977" i="7" s="1"/>
  <c r="O508" i="7"/>
  <c r="P507" i="7"/>
  <c r="Q507" i="7" s="1"/>
  <c r="O308" i="7"/>
  <c r="P307" i="7"/>
  <c r="Q307" i="7" s="1"/>
  <c r="P846" i="7"/>
  <c r="Q846" i="7" s="1"/>
  <c r="O847" i="7"/>
  <c r="P896" i="7"/>
  <c r="Q896" i="7" s="1"/>
  <c r="O897" i="7"/>
  <c r="O578" i="7"/>
  <c r="P577" i="7"/>
  <c r="Q577" i="7" s="1"/>
  <c r="O228" i="7"/>
  <c r="P227" i="7"/>
  <c r="Q227" i="7" s="1"/>
  <c r="O238" i="7"/>
  <c r="P237" i="7"/>
  <c r="Q237" i="7" s="1"/>
  <c r="O438" i="7"/>
  <c r="P437" i="7"/>
  <c r="Q437" i="7" s="1"/>
  <c r="P876" i="7"/>
  <c r="Q876" i="7" s="1"/>
  <c r="O877" i="7"/>
  <c r="O947" i="7"/>
  <c r="P946" i="7"/>
  <c r="Q946" i="7" s="1"/>
  <c r="O408" i="7"/>
  <c r="P407" i="7"/>
  <c r="Q407" i="7" s="1"/>
  <c r="O248" i="7"/>
  <c r="P247" i="7"/>
  <c r="Q247" i="7" s="1"/>
  <c r="O588" i="7"/>
  <c r="P587" i="7"/>
  <c r="Q587" i="7" s="1"/>
  <c r="O388" i="7"/>
  <c r="P387" i="7"/>
  <c r="Q387" i="7" s="1"/>
  <c r="O418" i="7"/>
  <c r="P417" i="7"/>
  <c r="Q417" i="7" s="1"/>
  <c r="O148" i="7"/>
  <c r="P147" i="7"/>
  <c r="Q147" i="7" s="1"/>
  <c r="O988" i="7"/>
  <c r="P987" i="7"/>
  <c r="Q987" i="7" s="1"/>
  <c r="P1007" i="7"/>
  <c r="Q1007" i="7" s="1"/>
  <c r="O1008" i="7"/>
  <c r="P997" i="7"/>
  <c r="Q997" i="7" s="1"/>
  <c r="O998" i="7"/>
  <c r="O969" i="7"/>
  <c r="P968" i="7"/>
  <c r="Q968" i="7" s="1"/>
  <c r="O939" i="7"/>
  <c r="P938" i="7"/>
  <c r="Q938" i="7" s="1"/>
  <c r="P918" i="7"/>
  <c r="Q918" i="7" s="1"/>
  <c r="O919" i="7"/>
  <c r="O927" i="7"/>
  <c r="P926" i="7"/>
  <c r="Q926" i="7" s="1"/>
  <c r="O908" i="7"/>
  <c r="P907" i="7"/>
  <c r="Q907" i="7" s="1"/>
  <c r="P867" i="7"/>
  <c r="Q867" i="7" s="1"/>
  <c r="O868" i="7"/>
  <c r="O858" i="7"/>
  <c r="P857" i="7"/>
  <c r="Q857" i="7" s="1"/>
  <c r="P837" i="7"/>
  <c r="Q837" i="7" s="1"/>
  <c r="O838" i="7"/>
  <c r="P827" i="7"/>
  <c r="Q827" i="7" s="1"/>
  <c r="O828" i="7"/>
  <c r="O819" i="7"/>
  <c r="P818" i="7"/>
  <c r="Q818" i="7" s="1"/>
  <c r="O808" i="7"/>
  <c r="P807" i="7"/>
  <c r="Q807" i="7" s="1"/>
  <c r="P797" i="7"/>
  <c r="Q797" i="7" s="1"/>
  <c r="O798" i="7"/>
  <c r="O788" i="7"/>
  <c r="P787" i="7"/>
  <c r="Q787" i="7" s="1"/>
  <c r="P777" i="7"/>
  <c r="Q777" i="7" s="1"/>
  <c r="O778" i="7"/>
  <c r="P757" i="7"/>
  <c r="Q757" i="7" s="1"/>
  <c r="O758" i="7"/>
  <c r="O748" i="7"/>
  <c r="P747" i="7"/>
  <c r="Q747" i="7" s="1"/>
  <c r="P737" i="7"/>
  <c r="Q737" i="7" s="1"/>
  <c r="O738" i="7"/>
  <c r="P717" i="7"/>
  <c r="Q717" i="7" s="1"/>
  <c r="O718" i="7"/>
  <c r="P707" i="7"/>
  <c r="Q707" i="7" s="1"/>
  <c r="O708" i="7"/>
  <c r="O698" i="7"/>
  <c r="P697" i="7"/>
  <c r="Q697" i="7" s="1"/>
  <c r="O678" i="7"/>
  <c r="P677" i="7"/>
  <c r="Q677" i="7" s="1"/>
  <c r="O668" i="7"/>
  <c r="P667" i="7"/>
  <c r="Q667" i="7" s="1"/>
  <c r="O658" i="7"/>
  <c r="P657" i="7"/>
  <c r="Q657" i="7" s="1"/>
  <c r="P647" i="7"/>
  <c r="Q647" i="7" s="1"/>
  <c r="O648" i="7"/>
  <c r="O637" i="7"/>
  <c r="P636" i="7"/>
  <c r="Q636" i="7" s="1"/>
  <c r="O629" i="7"/>
  <c r="P628" i="7"/>
  <c r="Q628" i="7" s="1"/>
  <c r="O618" i="7"/>
  <c r="P617" i="7"/>
  <c r="Q617" i="7" s="1"/>
  <c r="O609" i="7"/>
  <c r="P608" i="7"/>
  <c r="Q608" i="7" s="1"/>
  <c r="O597" i="7"/>
  <c r="P596" i="7"/>
  <c r="Q596" i="7" s="1"/>
  <c r="O568" i="7"/>
  <c r="P567" i="7"/>
  <c r="Q567" i="7" s="1"/>
  <c r="P558" i="7"/>
  <c r="Q558" i="7" s="1"/>
  <c r="O559" i="7"/>
  <c r="O549" i="7"/>
  <c r="P548" i="7"/>
  <c r="Q548" i="7" s="1"/>
  <c r="O538" i="7"/>
  <c r="P537" i="7"/>
  <c r="Q537" i="7" s="1"/>
  <c r="P527" i="7"/>
  <c r="Q527" i="7" s="1"/>
  <c r="O528" i="7"/>
  <c r="P517" i="7"/>
  <c r="Q517" i="7" s="1"/>
  <c r="O518" i="7"/>
  <c r="O498" i="7"/>
  <c r="P497" i="7"/>
  <c r="Q497" i="7" s="1"/>
  <c r="P487" i="7"/>
  <c r="Q487" i="7" s="1"/>
  <c r="O488" i="7"/>
  <c r="P467" i="7"/>
  <c r="Q467" i="7" s="1"/>
  <c r="O468" i="7"/>
  <c r="O458" i="7"/>
  <c r="P457" i="7"/>
  <c r="Q457" i="7" s="1"/>
  <c r="P447" i="7"/>
  <c r="Q447" i="7" s="1"/>
  <c r="O448" i="7"/>
  <c r="P427" i="7"/>
  <c r="Q427" i="7" s="1"/>
  <c r="O428" i="7"/>
  <c r="O398" i="7"/>
  <c r="P397" i="7"/>
  <c r="Q397" i="7" s="1"/>
  <c r="P377" i="7"/>
  <c r="Q377" i="7" s="1"/>
  <c r="O378" i="7"/>
  <c r="O369" i="7"/>
  <c r="P368" i="7"/>
  <c r="Q368" i="7" s="1"/>
  <c r="P347" i="7"/>
  <c r="Q347" i="7" s="1"/>
  <c r="O348" i="7"/>
  <c r="O338" i="7"/>
  <c r="P337" i="7"/>
  <c r="Q337" i="7" s="1"/>
  <c r="O328" i="7"/>
  <c r="P327" i="7"/>
  <c r="Q327" i="7" s="1"/>
  <c r="P317" i="7"/>
  <c r="Q317" i="7" s="1"/>
  <c r="O318" i="7"/>
  <c r="P297" i="7"/>
  <c r="Q297" i="7" s="1"/>
  <c r="O298" i="7"/>
  <c r="O288" i="7"/>
  <c r="P287" i="7"/>
  <c r="Q287" i="7" s="1"/>
  <c r="P277" i="7"/>
  <c r="Q277" i="7" s="1"/>
  <c r="O278" i="7"/>
  <c r="P267" i="7"/>
  <c r="Q267" i="7" s="1"/>
  <c r="O268" i="7"/>
  <c r="P257" i="7"/>
  <c r="Q257" i="7" s="1"/>
  <c r="O258" i="7"/>
  <c r="O217" i="7"/>
  <c r="P216" i="7"/>
  <c r="Q216" i="7" s="1"/>
  <c r="P207" i="7"/>
  <c r="Q207" i="7" s="1"/>
  <c r="O208" i="7"/>
  <c r="P197" i="7"/>
  <c r="Q197" i="7" s="1"/>
  <c r="O198" i="7"/>
  <c r="O189" i="7"/>
  <c r="P188" i="7"/>
  <c r="Q188" i="7" s="1"/>
  <c r="P177" i="7"/>
  <c r="Q177" i="7" s="1"/>
  <c r="O178" i="7"/>
  <c r="O168" i="7"/>
  <c r="P167" i="7"/>
  <c r="Q167" i="7" s="1"/>
  <c r="O158" i="7"/>
  <c r="P157" i="7"/>
  <c r="Q157" i="7" s="1"/>
  <c r="O139" i="7"/>
  <c r="P138" i="7"/>
  <c r="Q138" i="7" s="1"/>
  <c r="O127" i="7"/>
  <c r="O118" i="7"/>
  <c r="P117" i="7"/>
  <c r="Q117" i="7" s="1"/>
  <c r="O89" i="7"/>
  <c r="P88" i="7"/>
  <c r="Q88" i="7" s="1"/>
  <c r="O67" i="7"/>
  <c r="O47" i="7"/>
  <c r="O28" i="7"/>
  <c r="P27" i="7"/>
  <c r="Q27" i="7" s="1"/>
  <c r="O18" i="7"/>
  <c r="P17" i="7"/>
  <c r="Q17" i="7" s="1"/>
  <c r="O8" i="7"/>
  <c r="P7" i="7"/>
  <c r="Q7" i="7" s="1"/>
  <c r="I22" i="16"/>
  <c r="O888" i="7" l="1"/>
  <c r="O889" i="7" s="1"/>
  <c r="P477" i="7"/>
  <c r="Q477" i="7" s="1"/>
  <c r="P108" i="7"/>
  <c r="Q108" i="7" s="1"/>
  <c r="P98" i="7"/>
  <c r="Q98" i="7" s="1"/>
  <c r="O958" i="7"/>
  <c r="O959" i="7" s="1"/>
  <c r="P727" i="7"/>
  <c r="Q727" i="7" s="1"/>
  <c r="O78" i="7"/>
  <c r="O79" i="7" s="1"/>
  <c r="O358" i="7"/>
  <c r="O359" i="7" s="1"/>
  <c r="I29" i="16"/>
  <c r="P767" i="7"/>
  <c r="Q767" i="7" s="1"/>
  <c r="O58" i="7"/>
  <c r="O59" i="7" s="1"/>
  <c r="O39" i="7"/>
  <c r="P39" i="7" s="1"/>
  <c r="Q39" i="7" s="1"/>
  <c r="P37" i="7"/>
  <c r="Q37" i="7" s="1"/>
  <c r="O1030" i="7"/>
  <c r="P1029" i="7"/>
  <c r="Q1029" i="7" s="1"/>
  <c r="O1019" i="7"/>
  <c r="P1018" i="7"/>
  <c r="Q1018" i="7" s="1"/>
  <c r="P1038" i="7"/>
  <c r="Q1038" i="7" s="1"/>
  <c r="O1039" i="7"/>
  <c r="P248" i="7"/>
  <c r="Q248" i="7" s="1"/>
  <c r="O249" i="7"/>
  <c r="P418" i="7"/>
  <c r="Q418" i="7" s="1"/>
  <c r="O419" i="7"/>
  <c r="O409" i="7"/>
  <c r="P408" i="7"/>
  <c r="Q408" i="7" s="1"/>
  <c r="O439" i="7"/>
  <c r="P438" i="7"/>
  <c r="Q438" i="7" s="1"/>
  <c r="P578" i="7"/>
  <c r="Q578" i="7" s="1"/>
  <c r="O579" i="7"/>
  <c r="O309" i="7"/>
  <c r="P308" i="7"/>
  <c r="Q308" i="7" s="1"/>
  <c r="P768" i="7"/>
  <c r="Q768" i="7" s="1"/>
  <c r="O769" i="7"/>
  <c r="O878" i="7"/>
  <c r="P877" i="7"/>
  <c r="Q877" i="7" s="1"/>
  <c r="O898" i="7"/>
  <c r="P897" i="7"/>
  <c r="Q897" i="7" s="1"/>
  <c r="O149" i="7"/>
  <c r="P148" i="7"/>
  <c r="Q148" i="7" s="1"/>
  <c r="P978" i="7"/>
  <c r="Q978" i="7" s="1"/>
  <c r="O979" i="7"/>
  <c r="P388" i="7"/>
  <c r="Q388" i="7" s="1"/>
  <c r="O389" i="7"/>
  <c r="O239" i="7"/>
  <c r="P238" i="7"/>
  <c r="Q238" i="7" s="1"/>
  <c r="O729" i="7"/>
  <c r="P728" i="7"/>
  <c r="Q728" i="7" s="1"/>
  <c r="O589" i="7"/>
  <c r="P588" i="7"/>
  <c r="Q588" i="7" s="1"/>
  <c r="O229" i="7"/>
  <c r="P228" i="7"/>
  <c r="Q228" i="7" s="1"/>
  <c r="O509" i="7"/>
  <c r="P508" i="7"/>
  <c r="Q508" i="7" s="1"/>
  <c r="O948" i="7"/>
  <c r="P947" i="7"/>
  <c r="Q947" i="7" s="1"/>
  <c r="O848" i="7"/>
  <c r="P847" i="7"/>
  <c r="Q847" i="7" s="1"/>
  <c r="O989" i="7"/>
  <c r="P988" i="7"/>
  <c r="Q988" i="7" s="1"/>
  <c r="O1009" i="7"/>
  <c r="P1008" i="7"/>
  <c r="Q1008" i="7" s="1"/>
  <c r="O999" i="7"/>
  <c r="P998" i="7"/>
  <c r="Q998" i="7" s="1"/>
  <c r="P969" i="7"/>
  <c r="Q969" i="7" s="1"/>
  <c r="O970" i="7"/>
  <c r="O940" i="7"/>
  <c r="P939" i="7"/>
  <c r="Q939" i="7" s="1"/>
  <c r="O920" i="7"/>
  <c r="P919" i="7"/>
  <c r="Q919" i="7" s="1"/>
  <c r="O928" i="7"/>
  <c r="P927" i="7"/>
  <c r="Q927" i="7" s="1"/>
  <c r="P908" i="7"/>
  <c r="Q908" i="7" s="1"/>
  <c r="O909" i="7"/>
  <c r="O869" i="7"/>
  <c r="P868" i="7"/>
  <c r="Q868" i="7" s="1"/>
  <c r="O859" i="7"/>
  <c r="P858" i="7"/>
  <c r="Q858" i="7" s="1"/>
  <c r="O839" i="7"/>
  <c r="P838" i="7"/>
  <c r="Q838" i="7" s="1"/>
  <c r="P828" i="7"/>
  <c r="Q828" i="7" s="1"/>
  <c r="O829" i="7"/>
  <c r="P819" i="7"/>
  <c r="Q819" i="7" s="1"/>
  <c r="O820" i="7"/>
  <c r="O809" i="7"/>
  <c r="P808" i="7"/>
  <c r="Q808" i="7" s="1"/>
  <c r="P798" i="7"/>
  <c r="Q798" i="7" s="1"/>
  <c r="O799" i="7"/>
  <c r="P788" i="7"/>
  <c r="Q788" i="7" s="1"/>
  <c r="O789" i="7"/>
  <c r="O779" i="7"/>
  <c r="P778" i="7"/>
  <c r="Q778" i="7" s="1"/>
  <c r="O759" i="7"/>
  <c r="P758" i="7"/>
  <c r="Q758" i="7" s="1"/>
  <c r="O749" i="7"/>
  <c r="P748" i="7"/>
  <c r="Q748" i="7" s="1"/>
  <c r="O739" i="7"/>
  <c r="P738" i="7"/>
  <c r="Q738" i="7" s="1"/>
  <c r="O719" i="7"/>
  <c r="P718" i="7"/>
  <c r="Q718" i="7" s="1"/>
  <c r="O709" i="7"/>
  <c r="P708" i="7"/>
  <c r="Q708" i="7" s="1"/>
  <c r="O699" i="7"/>
  <c r="P698" i="7"/>
  <c r="Q698" i="7" s="1"/>
  <c r="O679" i="7"/>
  <c r="P678" i="7"/>
  <c r="Q678" i="7" s="1"/>
  <c r="P668" i="7"/>
  <c r="Q668" i="7" s="1"/>
  <c r="O669" i="7"/>
  <c r="P658" i="7"/>
  <c r="Q658" i="7" s="1"/>
  <c r="O659" i="7"/>
  <c r="P648" i="7"/>
  <c r="Q648" i="7" s="1"/>
  <c r="O649" i="7"/>
  <c r="O638" i="7"/>
  <c r="P637" i="7"/>
  <c r="Q637" i="7" s="1"/>
  <c r="O630" i="7"/>
  <c r="P629" i="7"/>
  <c r="Q629" i="7" s="1"/>
  <c r="O619" i="7"/>
  <c r="P618" i="7"/>
  <c r="Q618" i="7" s="1"/>
  <c r="P609" i="7"/>
  <c r="Q609" i="7" s="1"/>
  <c r="O610" i="7"/>
  <c r="P597" i="7"/>
  <c r="Q597" i="7" s="1"/>
  <c r="O598" i="7"/>
  <c r="O569" i="7"/>
  <c r="P568" i="7"/>
  <c r="Q568" i="7" s="1"/>
  <c r="P559" i="7"/>
  <c r="Q559" i="7" s="1"/>
  <c r="O560" i="7"/>
  <c r="P549" i="7"/>
  <c r="Q549" i="7" s="1"/>
  <c r="O550" i="7"/>
  <c r="P538" i="7"/>
  <c r="Q538" i="7" s="1"/>
  <c r="O539" i="7"/>
  <c r="P528" i="7"/>
  <c r="Q528" i="7" s="1"/>
  <c r="O529" i="7"/>
  <c r="P518" i="7"/>
  <c r="Q518" i="7" s="1"/>
  <c r="O519" i="7"/>
  <c r="P498" i="7"/>
  <c r="Q498" i="7" s="1"/>
  <c r="O499" i="7"/>
  <c r="P488" i="7"/>
  <c r="Q488" i="7" s="1"/>
  <c r="O489" i="7"/>
  <c r="P478" i="7"/>
  <c r="Q478" i="7" s="1"/>
  <c r="O479" i="7"/>
  <c r="P468" i="7"/>
  <c r="Q468" i="7" s="1"/>
  <c r="O469" i="7"/>
  <c r="O459" i="7"/>
  <c r="P458" i="7"/>
  <c r="Q458" i="7" s="1"/>
  <c r="P448" i="7"/>
  <c r="Q448" i="7" s="1"/>
  <c r="O449" i="7"/>
  <c r="P428" i="7"/>
  <c r="Q428" i="7" s="1"/>
  <c r="O429" i="7"/>
  <c r="O399" i="7"/>
  <c r="P398" i="7"/>
  <c r="Q398" i="7" s="1"/>
  <c r="P378" i="7"/>
  <c r="Q378" i="7" s="1"/>
  <c r="O379" i="7"/>
  <c r="O370" i="7"/>
  <c r="P369" i="7"/>
  <c r="Q369" i="7" s="1"/>
  <c r="P348" i="7"/>
  <c r="Q348" i="7" s="1"/>
  <c r="O349" i="7"/>
  <c r="P338" i="7"/>
  <c r="Q338" i="7" s="1"/>
  <c r="O339" i="7"/>
  <c r="P328" i="7"/>
  <c r="Q328" i="7" s="1"/>
  <c r="O329" i="7"/>
  <c r="O319" i="7"/>
  <c r="P318" i="7"/>
  <c r="Q318" i="7" s="1"/>
  <c r="O299" i="7"/>
  <c r="P298" i="7"/>
  <c r="Q298" i="7" s="1"/>
  <c r="P288" i="7"/>
  <c r="Q288" i="7" s="1"/>
  <c r="O289" i="7"/>
  <c r="P278" i="7"/>
  <c r="Q278" i="7" s="1"/>
  <c r="O279" i="7"/>
  <c r="O269" i="7"/>
  <c r="P268" i="7"/>
  <c r="Q268" i="7" s="1"/>
  <c r="P258" i="7"/>
  <c r="Q258" i="7" s="1"/>
  <c r="O259" i="7"/>
  <c r="P217" i="7"/>
  <c r="Q217" i="7" s="1"/>
  <c r="O218" i="7"/>
  <c r="P208" i="7"/>
  <c r="Q208" i="7" s="1"/>
  <c r="O209" i="7"/>
  <c r="P198" i="7"/>
  <c r="Q198" i="7" s="1"/>
  <c r="O199" i="7"/>
  <c r="O190" i="7"/>
  <c r="P189" i="7"/>
  <c r="Q189" i="7" s="1"/>
  <c r="P178" i="7"/>
  <c r="Q178" i="7" s="1"/>
  <c r="O179" i="7"/>
  <c r="P168" i="7"/>
  <c r="Q168" i="7" s="1"/>
  <c r="O169" i="7"/>
  <c r="P158" i="7"/>
  <c r="Q158" i="7" s="1"/>
  <c r="O159" i="7"/>
  <c r="P139" i="7"/>
  <c r="Q139" i="7" s="1"/>
  <c r="O140" i="7"/>
  <c r="O128" i="7"/>
  <c r="P127" i="7"/>
  <c r="Q127" i="7" s="1"/>
  <c r="P118" i="7"/>
  <c r="Q118" i="7" s="1"/>
  <c r="O119" i="7"/>
  <c r="O110" i="7"/>
  <c r="P109" i="7"/>
  <c r="Q109" i="7" s="1"/>
  <c r="O100" i="7"/>
  <c r="P99" i="7"/>
  <c r="Q99" i="7" s="1"/>
  <c r="O90" i="7"/>
  <c r="P89" i="7"/>
  <c r="Q89" i="7" s="1"/>
  <c r="O68" i="7"/>
  <c r="P67" i="7"/>
  <c r="Q67" i="7" s="1"/>
  <c r="P47" i="7"/>
  <c r="Q47" i="7" s="1"/>
  <c r="O48" i="7"/>
  <c r="P28" i="7"/>
  <c r="Q28" i="7" s="1"/>
  <c r="O29" i="7"/>
  <c r="P8" i="7"/>
  <c r="Q8" i="7" s="1"/>
  <c r="O9" i="7"/>
  <c r="O19" i="7"/>
  <c r="P18" i="7"/>
  <c r="Q18" i="7" s="1"/>
  <c r="G922" i="7"/>
  <c r="H922" i="7" s="1"/>
  <c r="F922" i="7"/>
  <c r="G921" i="7"/>
  <c r="H921" i="7" s="1"/>
  <c r="F921" i="7"/>
  <c r="L920" i="7"/>
  <c r="M920" i="7" s="1"/>
  <c r="G920" i="7"/>
  <c r="H920" i="7" s="1"/>
  <c r="F920" i="7"/>
  <c r="L919" i="7"/>
  <c r="M919" i="7" s="1"/>
  <c r="G919" i="7"/>
  <c r="H919" i="7" s="1"/>
  <c r="F919" i="7"/>
  <c r="L918" i="7"/>
  <c r="M918" i="7" s="1"/>
  <c r="G918" i="7"/>
  <c r="H918" i="7" s="1"/>
  <c r="F918" i="7"/>
  <c r="L917" i="7"/>
  <c r="M917" i="7" s="1"/>
  <c r="G917" i="7"/>
  <c r="H917" i="7" s="1"/>
  <c r="F917" i="7"/>
  <c r="L916" i="7"/>
  <c r="M916" i="7" s="1"/>
  <c r="F916" i="7"/>
  <c r="L915" i="7"/>
  <c r="M915" i="7" s="1"/>
  <c r="F915" i="7"/>
  <c r="L914" i="7"/>
  <c r="M914" i="7" s="1"/>
  <c r="F914" i="7"/>
  <c r="L913" i="7"/>
  <c r="F913" i="7"/>
  <c r="D913" i="7"/>
  <c r="I21" i="16"/>
  <c r="I26" i="16" s="1"/>
  <c r="H27" i="16" s="1"/>
  <c r="P888" i="7" l="1"/>
  <c r="Q888" i="7" s="1"/>
  <c r="P78" i="7"/>
  <c r="Q78" i="7" s="1"/>
  <c r="P58" i="7"/>
  <c r="Q58" i="7" s="1"/>
  <c r="P958" i="7"/>
  <c r="Q958" i="7" s="1"/>
  <c r="O40" i="7"/>
  <c r="P40" i="7" s="1"/>
  <c r="Q40" i="7" s="1"/>
  <c r="P358" i="7"/>
  <c r="Q358" i="7" s="1"/>
  <c r="P1030" i="7"/>
  <c r="Q1030" i="7" s="1"/>
  <c r="O1031" i="7"/>
  <c r="O1040" i="7"/>
  <c r="P1039" i="7"/>
  <c r="Q1039" i="7" s="1"/>
  <c r="O1020" i="7"/>
  <c r="P1019" i="7"/>
  <c r="Q1019" i="7" s="1"/>
  <c r="P409" i="7"/>
  <c r="Q409" i="7" s="1"/>
  <c r="O410" i="7"/>
  <c r="O420" i="7"/>
  <c r="P419" i="7"/>
  <c r="Q419" i="7" s="1"/>
  <c r="P509" i="7"/>
  <c r="Q509" i="7" s="1"/>
  <c r="O510" i="7"/>
  <c r="O240" i="7"/>
  <c r="P239" i="7"/>
  <c r="Q239" i="7" s="1"/>
  <c r="O899" i="7"/>
  <c r="P898" i="7"/>
  <c r="Q898" i="7" s="1"/>
  <c r="P309" i="7"/>
  <c r="Q309" i="7" s="1"/>
  <c r="O310" i="7"/>
  <c r="P729" i="7"/>
  <c r="Q729" i="7" s="1"/>
  <c r="O730" i="7"/>
  <c r="P389" i="7"/>
  <c r="Q389" i="7" s="1"/>
  <c r="O390" i="7"/>
  <c r="O580" i="7"/>
  <c r="P579" i="7"/>
  <c r="Q579" i="7" s="1"/>
  <c r="O949" i="7"/>
  <c r="P948" i="7"/>
  <c r="Q948" i="7" s="1"/>
  <c r="P149" i="7"/>
  <c r="Q149" i="7" s="1"/>
  <c r="O150" i="7"/>
  <c r="K913" i="7"/>
  <c r="M913" i="7" s="1"/>
  <c r="N913" i="7" s="1"/>
  <c r="P913" i="7"/>
  <c r="Q913" i="7" s="1"/>
  <c r="O230" i="7"/>
  <c r="P229" i="7"/>
  <c r="Q229" i="7" s="1"/>
  <c r="O879" i="7"/>
  <c r="P878" i="7"/>
  <c r="Q878" i="7" s="1"/>
  <c r="P959" i="7"/>
  <c r="Q959" i="7" s="1"/>
  <c r="O960" i="7"/>
  <c r="P359" i="7"/>
  <c r="Q359" i="7" s="1"/>
  <c r="O360" i="7"/>
  <c r="P979" i="7"/>
  <c r="Q979" i="7" s="1"/>
  <c r="O980" i="7"/>
  <c r="O770" i="7"/>
  <c r="P769" i="7"/>
  <c r="Q769" i="7" s="1"/>
  <c r="P249" i="7"/>
  <c r="Q249" i="7" s="1"/>
  <c r="O250" i="7"/>
  <c r="P848" i="7"/>
  <c r="Q848" i="7" s="1"/>
  <c r="O849" i="7"/>
  <c r="P589" i="7"/>
  <c r="Q589" i="7" s="1"/>
  <c r="O590" i="7"/>
  <c r="O440" i="7"/>
  <c r="P439" i="7"/>
  <c r="Q439" i="7" s="1"/>
  <c r="P989" i="7"/>
  <c r="Q989" i="7" s="1"/>
  <c r="O990" i="7"/>
  <c r="O1010" i="7"/>
  <c r="P1009" i="7"/>
  <c r="Q1009" i="7" s="1"/>
  <c r="O1000" i="7"/>
  <c r="P999" i="7"/>
  <c r="Q999" i="7" s="1"/>
  <c r="P970" i="7"/>
  <c r="Q970" i="7" s="1"/>
  <c r="O971" i="7"/>
  <c r="O941" i="7"/>
  <c r="P940" i="7"/>
  <c r="Q940" i="7" s="1"/>
  <c r="O921" i="7"/>
  <c r="P920" i="7"/>
  <c r="Q920" i="7" s="1"/>
  <c r="O929" i="7"/>
  <c r="P928" i="7"/>
  <c r="Q928" i="7" s="1"/>
  <c r="O910" i="7"/>
  <c r="P909" i="7"/>
  <c r="Q909" i="7" s="1"/>
  <c r="O890" i="7"/>
  <c r="P889" i="7"/>
  <c r="Q889" i="7" s="1"/>
  <c r="O870" i="7"/>
  <c r="P869" i="7"/>
  <c r="Q869" i="7" s="1"/>
  <c r="O860" i="7"/>
  <c r="P859" i="7"/>
  <c r="Q859" i="7" s="1"/>
  <c r="P839" i="7"/>
  <c r="Q839" i="7" s="1"/>
  <c r="O840" i="7"/>
  <c r="O830" i="7"/>
  <c r="P829" i="7"/>
  <c r="Q829" i="7" s="1"/>
  <c r="O821" i="7"/>
  <c r="P820" i="7"/>
  <c r="Q820" i="7" s="1"/>
  <c r="O810" i="7"/>
  <c r="P809" i="7"/>
  <c r="Q809" i="7" s="1"/>
  <c r="O800" i="7"/>
  <c r="P799" i="7"/>
  <c r="Q799" i="7" s="1"/>
  <c r="O790" i="7"/>
  <c r="P789" i="7"/>
  <c r="Q789" i="7" s="1"/>
  <c r="O780" i="7"/>
  <c r="P779" i="7"/>
  <c r="Q779" i="7" s="1"/>
  <c r="O760" i="7"/>
  <c r="P759" i="7"/>
  <c r="Q759" i="7" s="1"/>
  <c r="P749" i="7"/>
  <c r="Q749" i="7" s="1"/>
  <c r="O750" i="7"/>
  <c r="O740" i="7"/>
  <c r="P739" i="7"/>
  <c r="Q739" i="7" s="1"/>
  <c r="O720" i="7"/>
  <c r="P719" i="7"/>
  <c r="Q719" i="7" s="1"/>
  <c r="O710" i="7"/>
  <c r="P709" i="7"/>
  <c r="Q709" i="7" s="1"/>
  <c r="O700" i="7"/>
  <c r="P699" i="7"/>
  <c r="Q699" i="7" s="1"/>
  <c r="O680" i="7"/>
  <c r="P679" i="7"/>
  <c r="Q679" i="7" s="1"/>
  <c r="O670" i="7"/>
  <c r="P669" i="7"/>
  <c r="Q669" i="7" s="1"/>
  <c r="P659" i="7"/>
  <c r="Q659" i="7" s="1"/>
  <c r="O660" i="7"/>
  <c r="O650" i="7"/>
  <c r="P649" i="7"/>
  <c r="Q649" i="7" s="1"/>
  <c r="O639" i="7"/>
  <c r="P638" i="7"/>
  <c r="Q638" i="7" s="1"/>
  <c r="O631" i="7"/>
  <c r="P630" i="7"/>
  <c r="Q630" i="7" s="1"/>
  <c r="O620" i="7"/>
  <c r="P619" i="7"/>
  <c r="Q619" i="7" s="1"/>
  <c r="O611" i="7"/>
  <c r="P610" i="7"/>
  <c r="Q610" i="7" s="1"/>
  <c r="O599" i="7"/>
  <c r="P598" i="7"/>
  <c r="Q598" i="7" s="1"/>
  <c r="O570" i="7"/>
  <c r="P569" i="7"/>
  <c r="Q569" i="7" s="1"/>
  <c r="O561" i="7"/>
  <c r="P560" i="7"/>
  <c r="Q560" i="7" s="1"/>
  <c r="O551" i="7"/>
  <c r="P550" i="7"/>
  <c r="Q550" i="7" s="1"/>
  <c r="O540" i="7"/>
  <c r="P539" i="7"/>
  <c r="Q539" i="7" s="1"/>
  <c r="O530" i="7"/>
  <c r="P529" i="7"/>
  <c r="Q529" i="7" s="1"/>
  <c r="O520" i="7"/>
  <c r="P519" i="7"/>
  <c r="Q519" i="7" s="1"/>
  <c r="O500" i="7"/>
  <c r="P499" i="7"/>
  <c r="Q499" i="7" s="1"/>
  <c r="P489" i="7"/>
  <c r="Q489" i="7" s="1"/>
  <c r="O490" i="7"/>
  <c r="O480" i="7"/>
  <c r="P479" i="7"/>
  <c r="Q479" i="7" s="1"/>
  <c r="O470" i="7"/>
  <c r="P469" i="7"/>
  <c r="Q469" i="7" s="1"/>
  <c r="O460" i="7"/>
  <c r="P459" i="7"/>
  <c r="Q459" i="7" s="1"/>
  <c r="O450" i="7"/>
  <c r="P449" i="7"/>
  <c r="Q449" i="7" s="1"/>
  <c r="O430" i="7"/>
  <c r="P429" i="7"/>
  <c r="Q429" i="7" s="1"/>
  <c r="O400" i="7"/>
  <c r="P399" i="7"/>
  <c r="Q399" i="7" s="1"/>
  <c r="O380" i="7"/>
  <c r="P379" i="7"/>
  <c r="Q379" i="7" s="1"/>
  <c r="O371" i="7"/>
  <c r="P370" i="7"/>
  <c r="Q370" i="7" s="1"/>
  <c r="P349" i="7"/>
  <c r="Q349" i="7" s="1"/>
  <c r="O350" i="7"/>
  <c r="P339" i="7"/>
  <c r="Q339" i="7" s="1"/>
  <c r="O340" i="7"/>
  <c r="O330" i="7"/>
  <c r="P329" i="7"/>
  <c r="Q329" i="7" s="1"/>
  <c r="O320" i="7"/>
  <c r="P319" i="7"/>
  <c r="Q319" i="7" s="1"/>
  <c r="O300" i="7"/>
  <c r="P299" i="7"/>
  <c r="Q299" i="7" s="1"/>
  <c r="P289" i="7"/>
  <c r="Q289" i="7" s="1"/>
  <c r="O290" i="7"/>
  <c r="O280" i="7"/>
  <c r="P279" i="7"/>
  <c r="Q279" i="7" s="1"/>
  <c r="P269" i="7"/>
  <c r="Q269" i="7" s="1"/>
  <c r="O270" i="7"/>
  <c r="O260" i="7"/>
  <c r="P259" i="7"/>
  <c r="Q259" i="7" s="1"/>
  <c r="O219" i="7"/>
  <c r="P218" i="7"/>
  <c r="Q218" i="7" s="1"/>
  <c r="O210" i="7"/>
  <c r="P209" i="7"/>
  <c r="Q209" i="7" s="1"/>
  <c r="O200" i="7"/>
  <c r="P199" i="7"/>
  <c r="Q199" i="7" s="1"/>
  <c r="O191" i="7"/>
  <c r="P190" i="7"/>
  <c r="Q190" i="7" s="1"/>
  <c r="O180" i="7"/>
  <c r="P179" i="7"/>
  <c r="Q179" i="7" s="1"/>
  <c r="P169" i="7"/>
  <c r="Q169" i="7" s="1"/>
  <c r="O170" i="7"/>
  <c r="P159" i="7"/>
  <c r="Q159" i="7" s="1"/>
  <c r="O160" i="7"/>
  <c r="O141" i="7"/>
  <c r="P140" i="7"/>
  <c r="Q140" i="7" s="1"/>
  <c r="P128" i="7"/>
  <c r="Q128" i="7" s="1"/>
  <c r="O129" i="7"/>
  <c r="O120" i="7"/>
  <c r="P119" i="7"/>
  <c r="Q119" i="7" s="1"/>
  <c r="O111" i="7"/>
  <c r="P110" i="7"/>
  <c r="Q110" i="7" s="1"/>
  <c r="P100" i="7"/>
  <c r="Q100" i="7" s="1"/>
  <c r="O101" i="7"/>
  <c r="P90" i="7"/>
  <c r="Q90" i="7" s="1"/>
  <c r="O91" i="7"/>
  <c r="O80" i="7"/>
  <c r="P79" i="7"/>
  <c r="Q79" i="7" s="1"/>
  <c r="O69" i="7"/>
  <c r="P68" i="7"/>
  <c r="Q68" i="7" s="1"/>
  <c r="O60" i="7"/>
  <c r="P59" i="7"/>
  <c r="Q59" i="7" s="1"/>
  <c r="O49" i="7"/>
  <c r="P48" i="7"/>
  <c r="Q48" i="7" s="1"/>
  <c r="O30" i="7"/>
  <c r="P29" i="7"/>
  <c r="Q29" i="7" s="1"/>
  <c r="P19" i="7"/>
  <c r="Q19" i="7" s="1"/>
  <c r="O20" i="7"/>
  <c r="O10" i="7"/>
  <c r="P9" i="7"/>
  <c r="Q9" i="7" s="1"/>
  <c r="D903" i="7"/>
  <c r="L893" i="7"/>
  <c r="G894" i="7"/>
  <c r="F894" i="7"/>
  <c r="G902" i="7"/>
  <c r="H902" i="7" s="1"/>
  <c r="F902" i="7"/>
  <c r="G901" i="7"/>
  <c r="H901" i="7" s="1"/>
  <c r="F901" i="7"/>
  <c r="L900" i="7"/>
  <c r="M900" i="7" s="1"/>
  <c r="G900" i="7"/>
  <c r="H900" i="7" s="1"/>
  <c r="F900" i="7"/>
  <c r="L899" i="7"/>
  <c r="M899" i="7" s="1"/>
  <c r="G899" i="7"/>
  <c r="H899" i="7" s="1"/>
  <c r="F899" i="7"/>
  <c r="L898" i="7"/>
  <c r="M898" i="7" s="1"/>
  <c r="G898" i="7"/>
  <c r="H898" i="7" s="1"/>
  <c r="F898" i="7"/>
  <c r="L897" i="7"/>
  <c r="M897" i="7" s="1"/>
  <c r="G897" i="7"/>
  <c r="H897" i="7" s="1"/>
  <c r="F897" i="7"/>
  <c r="L896" i="7"/>
  <c r="M896" i="7" s="1"/>
  <c r="G896" i="7"/>
  <c r="H896" i="7" s="1"/>
  <c r="F896" i="7"/>
  <c r="L895" i="7"/>
  <c r="M895" i="7" s="1"/>
  <c r="G895" i="7"/>
  <c r="H895" i="7" s="1"/>
  <c r="F895" i="7"/>
  <c r="L894" i="7"/>
  <c r="M894" i="7" s="1"/>
  <c r="F893" i="7"/>
  <c r="D893" i="7"/>
  <c r="K893" i="7" s="1"/>
  <c r="O41" i="7" l="1"/>
  <c r="O42" i="7" s="1"/>
  <c r="P42" i="7" s="1"/>
  <c r="Q42" i="7" s="1"/>
  <c r="O1021" i="7"/>
  <c r="P1020" i="7"/>
  <c r="Q1020" i="7" s="1"/>
  <c r="O1041" i="7"/>
  <c r="P1040" i="7"/>
  <c r="Q1040" i="7" s="1"/>
  <c r="O1032" i="7"/>
  <c r="P1032" i="7" s="1"/>
  <c r="Q1032" i="7" s="1"/>
  <c r="P1031" i="7"/>
  <c r="Q1031" i="7" s="1"/>
  <c r="O241" i="7"/>
  <c r="P240" i="7"/>
  <c r="Q240" i="7" s="1"/>
  <c r="M893" i="7"/>
  <c r="N893" i="7" s="1"/>
  <c r="P893" i="7"/>
  <c r="P250" i="7"/>
  <c r="Q250" i="7" s="1"/>
  <c r="O251" i="7"/>
  <c r="O961" i="7"/>
  <c r="P960" i="7"/>
  <c r="Q960" i="7" s="1"/>
  <c r="O151" i="7"/>
  <c r="P150" i="7"/>
  <c r="Q150" i="7" s="1"/>
  <c r="O731" i="7"/>
  <c r="P730" i="7"/>
  <c r="Q730" i="7" s="1"/>
  <c r="O511" i="7"/>
  <c r="P510" i="7"/>
  <c r="Q510" i="7" s="1"/>
  <c r="O850" i="7"/>
  <c r="P849" i="7"/>
  <c r="Q849" i="7" s="1"/>
  <c r="O361" i="7"/>
  <c r="P360" i="7"/>
  <c r="Q360" i="7" s="1"/>
  <c r="O311" i="7"/>
  <c r="P310" i="7"/>
  <c r="Q310" i="7" s="1"/>
  <c r="O441" i="7"/>
  <c r="P440" i="7"/>
  <c r="Q440" i="7" s="1"/>
  <c r="O771" i="7"/>
  <c r="P770" i="7"/>
  <c r="Q770" i="7" s="1"/>
  <c r="O880" i="7"/>
  <c r="P879" i="7"/>
  <c r="Q879" i="7" s="1"/>
  <c r="P949" i="7"/>
  <c r="Q949" i="7" s="1"/>
  <c r="O950" i="7"/>
  <c r="P420" i="7"/>
  <c r="Q420" i="7" s="1"/>
  <c r="O421" i="7"/>
  <c r="O391" i="7"/>
  <c r="P390" i="7"/>
  <c r="Q390" i="7" s="1"/>
  <c r="O591" i="7"/>
  <c r="P590" i="7"/>
  <c r="Q590" i="7" s="1"/>
  <c r="P980" i="7"/>
  <c r="Q980" i="7" s="1"/>
  <c r="O981" i="7"/>
  <c r="P410" i="7"/>
  <c r="Q410" i="7" s="1"/>
  <c r="O411" i="7"/>
  <c r="K903" i="7"/>
  <c r="P903" i="7"/>
  <c r="Q903" i="7" s="1"/>
  <c r="O231" i="7"/>
  <c r="P230" i="7"/>
  <c r="Q230" i="7" s="1"/>
  <c r="P580" i="7"/>
  <c r="Q580" i="7" s="1"/>
  <c r="O581" i="7"/>
  <c r="P899" i="7"/>
  <c r="Q899" i="7" s="1"/>
  <c r="O900" i="7"/>
  <c r="P990" i="7"/>
  <c r="Q990" i="7" s="1"/>
  <c r="O991" i="7"/>
  <c r="O1011" i="7"/>
  <c r="O1012" i="7" s="1"/>
  <c r="P1012" i="7" s="1"/>
  <c r="Q1012" i="7" s="1"/>
  <c r="P1010" i="7"/>
  <c r="Q1010" i="7" s="1"/>
  <c r="O1001" i="7"/>
  <c r="P1000" i="7"/>
  <c r="Q1000" i="7" s="1"/>
  <c r="O972" i="7"/>
  <c r="P972" i="7" s="1"/>
  <c r="Q972" i="7" s="1"/>
  <c r="P971" i="7"/>
  <c r="Q971" i="7" s="1"/>
  <c r="O942" i="7"/>
  <c r="P942" i="7" s="1"/>
  <c r="Q942" i="7" s="1"/>
  <c r="P941" i="7"/>
  <c r="Q941" i="7" s="1"/>
  <c r="P921" i="7"/>
  <c r="Q921" i="7" s="1"/>
  <c r="O922" i="7"/>
  <c r="P922" i="7" s="1"/>
  <c r="Q922" i="7" s="1"/>
  <c r="P929" i="7"/>
  <c r="Q929" i="7" s="1"/>
  <c r="O930" i="7"/>
  <c r="O911" i="7"/>
  <c r="P910" i="7"/>
  <c r="Q910" i="7" s="1"/>
  <c r="O891" i="7"/>
  <c r="P890" i="7"/>
  <c r="Q890" i="7" s="1"/>
  <c r="O871" i="7"/>
  <c r="P870" i="7"/>
  <c r="Q870" i="7" s="1"/>
  <c r="O861" i="7"/>
  <c r="P860" i="7"/>
  <c r="Q860" i="7" s="1"/>
  <c r="O841" i="7"/>
  <c r="P840" i="7"/>
  <c r="Q840" i="7" s="1"/>
  <c r="O831" i="7"/>
  <c r="P830" i="7"/>
  <c r="Q830" i="7" s="1"/>
  <c r="O822" i="7"/>
  <c r="P822" i="7" s="1"/>
  <c r="Q822" i="7" s="1"/>
  <c r="P821" i="7"/>
  <c r="Q821" i="7" s="1"/>
  <c r="O811" i="7"/>
  <c r="P810" i="7"/>
  <c r="Q810" i="7" s="1"/>
  <c r="O801" i="7"/>
  <c r="P800" i="7"/>
  <c r="Q800" i="7" s="1"/>
  <c r="O791" i="7"/>
  <c r="P790" i="7"/>
  <c r="Q790" i="7" s="1"/>
  <c r="O781" i="7"/>
  <c r="P780" i="7"/>
  <c r="Q780" i="7" s="1"/>
  <c r="O761" i="7"/>
  <c r="P760" i="7"/>
  <c r="Q760" i="7" s="1"/>
  <c r="O751" i="7"/>
  <c r="P750" i="7"/>
  <c r="Q750" i="7" s="1"/>
  <c r="O741" i="7"/>
  <c r="P740" i="7"/>
  <c r="Q740" i="7" s="1"/>
  <c r="O721" i="7"/>
  <c r="P720" i="7"/>
  <c r="Q720" i="7" s="1"/>
  <c r="P710" i="7"/>
  <c r="Q710" i="7" s="1"/>
  <c r="O711" i="7"/>
  <c r="O701" i="7"/>
  <c r="P700" i="7"/>
  <c r="Q700" i="7" s="1"/>
  <c r="O681" i="7"/>
  <c r="P680" i="7"/>
  <c r="Q680" i="7" s="1"/>
  <c r="O671" i="7"/>
  <c r="P670" i="7"/>
  <c r="Q670" i="7" s="1"/>
  <c r="O661" i="7"/>
  <c r="P660" i="7"/>
  <c r="Q660" i="7" s="1"/>
  <c r="O651" i="7"/>
  <c r="P650" i="7"/>
  <c r="Q650" i="7" s="1"/>
  <c r="P639" i="7"/>
  <c r="Q639" i="7" s="1"/>
  <c r="O640" i="7"/>
  <c r="O632" i="7"/>
  <c r="P632" i="7" s="1"/>
  <c r="Q632" i="7" s="1"/>
  <c r="P631" i="7"/>
  <c r="Q631" i="7" s="1"/>
  <c r="O621" i="7"/>
  <c r="P620" i="7"/>
  <c r="Q620" i="7" s="1"/>
  <c r="O612" i="7"/>
  <c r="P612" i="7" s="1"/>
  <c r="Q612" i="7" s="1"/>
  <c r="P611" i="7"/>
  <c r="Q611" i="7" s="1"/>
  <c r="O600" i="7"/>
  <c r="P599" i="7"/>
  <c r="Q599" i="7" s="1"/>
  <c r="O571" i="7"/>
  <c r="P570" i="7"/>
  <c r="Q570" i="7" s="1"/>
  <c r="O562" i="7"/>
  <c r="P562" i="7" s="1"/>
  <c r="Q562" i="7" s="1"/>
  <c r="P561" i="7"/>
  <c r="Q561" i="7" s="1"/>
  <c r="O552" i="7"/>
  <c r="P552" i="7" s="1"/>
  <c r="Q552" i="7" s="1"/>
  <c r="P551" i="7"/>
  <c r="Q551" i="7" s="1"/>
  <c r="O541" i="7"/>
  <c r="P540" i="7"/>
  <c r="Q540" i="7" s="1"/>
  <c r="O531" i="7"/>
  <c r="P530" i="7"/>
  <c r="Q530" i="7" s="1"/>
  <c r="O521" i="7"/>
  <c r="P520" i="7"/>
  <c r="Q520" i="7" s="1"/>
  <c r="O501" i="7"/>
  <c r="P500" i="7"/>
  <c r="Q500" i="7" s="1"/>
  <c r="O491" i="7"/>
  <c r="P490" i="7"/>
  <c r="Q490" i="7" s="1"/>
  <c r="O481" i="7"/>
  <c r="P480" i="7"/>
  <c r="Q480" i="7" s="1"/>
  <c r="O471" i="7"/>
  <c r="P470" i="7"/>
  <c r="Q470" i="7" s="1"/>
  <c r="O461" i="7"/>
  <c r="P460" i="7"/>
  <c r="Q460" i="7" s="1"/>
  <c r="O451" i="7"/>
  <c r="P450" i="7"/>
  <c r="Q450" i="7" s="1"/>
  <c r="O431" i="7"/>
  <c r="P430" i="7"/>
  <c r="Q430" i="7" s="1"/>
  <c r="O401" i="7"/>
  <c r="P400" i="7"/>
  <c r="Q400" i="7" s="1"/>
  <c r="O381" i="7"/>
  <c r="P380" i="7"/>
  <c r="Q380" i="7" s="1"/>
  <c r="O372" i="7"/>
  <c r="P372" i="7" s="1"/>
  <c r="Q372" i="7" s="1"/>
  <c r="P371" i="7"/>
  <c r="Q371" i="7" s="1"/>
  <c r="O351" i="7"/>
  <c r="P350" i="7"/>
  <c r="Q350" i="7" s="1"/>
  <c r="O341" i="7"/>
  <c r="P340" i="7"/>
  <c r="Q340" i="7" s="1"/>
  <c r="O331" i="7"/>
  <c r="P330" i="7"/>
  <c r="Q330" i="7" s="1"/>
  <c r="O321" i="7"/>
  <c r="P320" i="7"/>
  <c r="Q320" i="7" s="1"/>
  <c r="O301" i="7"/>
  <c r="P300" i="7"/>
  <c r="Q300" i="7" s="1"/>
  <c r="O291" i="7"/>
  <c r="P290" i="7"/>
  <c r="Q290" i="7" s="1"/>
  <c r="O281" i="7"/>
  <c r="P280" i="7"/>
  <c r="Q280" i="7" s="1"/>
  <c r="O271" i="7"/>
  <c r="P270" i="7"/>
  <c r="Q270" i="7" s="1"/>
  <c r="O261" i="7"/>
  <c r="P260" i="7"/>
  <c r="Q260" i="7" s="1"/>
  <c r="P219" i="7"/>
  <c r="Q219" i="7" s="1"/>
  <c r="O220" i="7"/>
  <c r="O211" i="7"/>
  <c r="P210" i="7"/>
  <c r="Q210" i="7" s="1"/>
  <c r="O201" i="7"/>
  <c r="P200" i="7"/>
  <c r="Q200" i="7" s="1"/>
  <c r="O192" i="7"/>
  <c r="P192" i="7" s="1"/>
  <c r="Q192" i="7" s="1"/>
  <c r="P191" i="7"/>
  <c r="Q191" i="7" s="1"/>
  <c r="O181" i="7"/>
  <c r="P180" i="7"/>
  <c r="Q180" i="7" s="1"/>
  <c r="O171" i="7"/>
  <c r="P170" i="7"/>
  <c r="Q170" i="7" s="1"/>
  <c r="O161" i="7"/>
  <c r="P160" i="7"/>
  <c r="Q160" i="7" s="1"/>
  <c r="O142" i="7"/>
  <c r="P142" i="7" s="1"/>
  <c r="Q142" i="7" s="1"/>
  <c r="P141" i="7"/>
  <c r="Q141" i="7" s="1"/>
  <c r="O130" i="7"/>
  <c r="P129" i="7"/>
  <c r="Q129" i="7" s="1"/>
  <c r="O121" i="7"/>
  <c r="P120" i="7"/>
  <c r="Q120" i="7" s="1"/>
  <c r="O112" i="7"/>
  <c r="P112" i="7" s="1"/>
  <c r="Q112" i="7" s="1"/>
  <c r="P111" i="7"/>
  <c r="Q111" i="7" s="1"/>
  <c r="O102" i="7"/>
  <c r="P102" i="7" s="1"/>
  <c r="Q102" i="7" s="1"/>
  <c r="P101" i="7"/>
  <c r="Q101" i="7" s="1"/>
  <c r="O92" i="7"/>
  <c r="P92" i="7" s="1"/>
  <c r="Q92" i="7" s="1"/>
  <c r="P91" i="7"/>
  <c r="Q91" i="7" s="1"/>
  <c r="P80" i="7"/>
  <c r="Q80" i="7" s="1"/>
  <c r="O81" i="7"/>
  <c r="P69" i="7"/>
  <c r="Q69" i="7" s="1"/>
  <c r="O70" i="7"/>
  <c r="P60" i="7"/>
  <c r="Q60" i="7" s="1"/>
  <c r="O61" i="7"/>
  <c r="P49" i="7"/>
  <c r="Q49" i="7" s="1"/>
  <c r="O50" i="7"/>
  <c r="O31" i="7"/>
  <c r="P30" i="7"/>
  <c r="Q30" i="7" s="1"/>
  <c r="P10" i="7"/>
  <c r="Q10" i="7" s="1"/>
  <c r="O11" i="7"/>
  <c r="O21" i="7"/>
  <c r="P20" i="7"/>
  <c r="Q20" i="7" s="1"/>
  <c r="H894" i="7"/>
  <c r="J200" i="2"/>
  <c r="H154" i="5"/>
  <c r="H153" i="5"/>
  <c r="H42" i="5"/>
  <c r="B2" i="2"/>
  <c r="B90" i="2"/>
  <c r="B79" i="2"/>
  <c r="B68" i="2"/>
  <c r="B46" i="2"/>
  <c r="B35" i="2"/>
  <c r="B24" i="2"/>
  <c r="B13" i="2"/>
  <c r="D50" i="26"/>
  <c r="J44" i="26"/>
  <c r="J43" i="26"/>
  <c r="J42" i="26"/>
  <c r="J41" i="26"/>
  <c r="J40" i="26"/>
  <c r="J39" i="26"/>
  <c r="J38" i="26"/>
  <c r="J35" i="26"/>
  <c r="J34" i="26"/>
  <c r="I33" i="26"/>
  <c r="J31" i="26"/>
  <c r="F31" i="26"/>
  <c r="G31" i="26" s="1"/>
  <c r="J30" i="26"/>
  <c r="I29" i="26"/>
  <c r="E28" i="26"/>
  <c r="E27" i="26"/>
  <c r="I26" i="26"/>
  <c r="I25" i="26"/>
  <c r="E24" i="26"/>
  <c r="I24" i="26" s="1"/>
  <c r="I32" i="26" s="1"/>
  <c r="I34" i="26" s="1"/>
  <c r="J17" i="26"/>
  <c r="E8" i="26"/>
  <c r="B1" i="26" s="1"/>
  <c r="D993" i="7"/>
  <c r="P993" i="7" s="1"/>
  <c r="Q993" i="7" s="1"/>
  <c r="D996" i="7"/>
  <c r="P996" i="7" s="1"/>
  <c r="Q996" i="7" s="1"/>
  <c r="D923" i="7"/>
  <c r="P923" i="7" s="1"/>
  <c r="Q923" i="7" s="1"/>
  <c r="H38" i="26"/>
  <c r="D36" i="26"/>
  <c r="D39" i="26"/>
  <c r="H34" i="26"/>
  <c r="F35" i="26"/>
  <c r="H22" i="26"/>
  <c r="D41" i="26"/>
  <c r="F39" i="26"/>
  <c r="D40" i="26"/>
  <c r="F40" i="26"/>
  <c r="D38" i="26"/>
  <c r="H19" i="26"/>
  <c r="H30" i="26"/>
  <c r="D35" i="26"/>
  <c r="H31" i="26"/>
  <c r="F41" i="26"/>
  <c r="F36" i="26"/>
  <c r="F37" i="26"/>
  <c r="H35" i="26"/>
  <c r="D30" i="26"/>
  <c r="D34" i="26"/>
  <c r="D37" i="26"/>
  <c r="F30" i="26"/>
  <c r="H23" i="26"/>
  <c r="D31" i="26"/>
  <c r="P41" i="7" l="1"/>
  <c r="Q41" i="7" s="1"/>
  <c r="O1022" i="7"/>
  <c r="P1022" i="7" s="1"/>
  <c r="Q1022" i="7" s="1"/>
  <c r="P1021" i="7"/>
  <c r="Q1021" i="7" s="1"/>
  <c r="O1042" i="7"/>
  <c r="P1042" i="7" s="1"/>
  <c r="Q1042" i="7" s="1"/>
  <c r="P1041" i="7"/>
  <c r="Q1041" i="7" s="1"/>
  <c r="O392" i="7"/>
  <c r="P392" i="7" s="1"/>
  <c r="Q392" i="7" s="1"/>
  <c r="P391" i="7"/>
  <c r="Q391" i="7" s="1"/>
  <c r="O772" i="7"/>
  <c r="P772" i="7" s="1"/>
  <c r="Q772" i="7" s="1"/>
  <c r="P771" i="7"/>
  <c r="Q771" i="7" s="1"/>
  <c r="O851" i="7"/>
  <c r="P850" i="7"/>
  <c r="Q850" i="7" s="1"/>
  <c r="O962" i="7"/>
  <c r="P962" i="7" s="1"/>
  <c r="Q962" i="7" s="1"/>
  <c r="P961" i="7"/>
  <c r="Q961" i="7" s="1"/>
  <c r="P900" i="7"/>
  <c r="Q900" i="7" s="1"/>
  <c r="O901" i="7"/>
  <c r="O412" i="7"/>
  <c r="P412" i="7" s="1"/>
  <c r="Q412" i="7" s="1"/>
  <c r="P411" i="7"/>
  <c r="Q411" i="7" s="1"/>
  <c r="O422" i="7"/>
  <c r="P422" i="7" s="1"/>
  <c r="Q422" i="7" s="1"/>
  <c r="P421" i="7"/>
  <c r="Q421" i="7" s="1"/>
  <c r="O252" i="7"/>
  <c r="P252" i="7" s="1"/>
  <c r="Q252" i="7" s="1"/>
  <c r="P251" i="7"/>
  <c r="Q251" i="7" s="1"/>
  <c r="O232" i="7"/>
  <c r="P232" i="7" s="1"/>
  <c r="Q232" i="7" s="1"/>
  <c r="P231" i="7"/>
  <c r="Q231" i="7" s="1"/>
  <c r="O592" i="7"/>
  <c r="P592" i="7" s="1"/>
  <c r="Q592" i="7" s="1"/>
  <c r="P591" i="7"/>
  <c r="Q591" i="7" s="1"/>
  <c r="O881" i="7"/>
  <c r="P880" i="7"/>
  <c r="Q880" i="7" s="1"/>
  <c r="O362" i="7"/>
  <c r="P362" i="7" s="1"/>
  <c r="Q362" i="7" s="1"/>
  <c r="P361" i="7"/>
  <c r="Q361" i="7" s="1"/>
  <c r="O242" i="7"/>
  <c r="P242" i="7" s="1"/>
  <c r="Q242" i="7" s="1"/>
  <c r="P241" i="7"/>
  <c r="Q241" i="7" s="1"/>
  <c r="O442" i="7"/>
  <c r="P442" i="7" s="1"/>
  <c r="Q442" i="7" s="1"/>
  <c r="P441" i="7"/>
  <c r="Q441" i="7" s="1"/>
  <c r="O512" i="7"/>
  <c r="P512" i="7" s="1"/>
  <c r="Q512" i="7" s="1"/>
  <c r="P511" i="7"/>
  <c r="Q511" i="7" s="1"/>
  <c r="O582" i="7"/>
  <c r="P582" i="7" s="1"/>
  <c r="Q582" i="7" s="1"/>
  <c r="P581" i="7"/>
  <c r="Q581" i="7" s="1"/>
  <c r="O982" i="7"/>
  <c r="P982" i="7" s="1"/>
  <c r="Q982" i="7" s="1"/>
  <c r="P981" i="7"/>
  <c r="Q981" i="7" s="1"/>
  <c r="O951" i="7"/>
  <c r="P950" i="7"/>
  <c r="Q950" i="7" s="1"/>
  <c r="O312" i="7"/>
  <c r="P312" i="7" s="1"/>
  <c r="Q312" i="7" s="1"/>
  <c r="P311" i="7"/>
  <c r="Q311" i="7" s="1"/>
  <c r="O732" i="7"/>
  <c r="P732" i="7" s="1"/>
  <c r="Q732" i="7" s="1"/>
  <c r="P731" i="7"/>
  <c r="Q731" i="7" s="1"/>
  <c r="O152" i="7"/>
  <c r="P152" i="7" s="1"/>
  <c r="Q152" i="7" s="1"/>
  <c r="P151" i="7"/>
  <c r="Q151" i="7" s="1"/>
  <c r="P991" i="7"/>
  <c r="Q991" i="7" s="1"/>
  <c r="O992" i="7"/>
  <c r="P992" i="7" s="1"/>
  <c r="Q992" i="7" s="1"/>
  <c r="P1011" i="7"/>
  <c r="Q1011" i="7" s="1"/>
  <c r="P1001" i="7"/>
  <c r="Q1001" i="7" s="1"/>
  <c r="O1002" i="7"/>
  <c r="P1002" i="7" s="1"/>
  <c r="Q1002" i="7" s="1"/>
  <c r="O931" i="7"/>
  <c r="P930" i="7"/>
  <c r="Q930" i="7" s="1"/>
  <c r="O912" i="7"/>
  <c r="P912" i="7" s="1"/>
  <c r="Q912" i="7" s="1"/>
  <c r="P911" i="7"/>
  <c r="Q911" i="7" s="1"/>
  <c r="O892" i="7"/>
  <c r="P892" i="7" s="1"/>
  <c r="Q892" i="7" s="1"/>
  <c r="P891" i="7"/>
  <c r="Q891" i="7" s="1"/>
  <c r="O872" i="7"/>
  <c r="P872" i="7" s="1"/>
  <c r="Q872" i="7" s="1"/>
  <c r="P871" i="7"/>
  <c r="Q871" i="7" s="1"/>
  <c r="O862" i="7"/>
  <c r="P862" i="7" s="1"/>
  <c r="Q862" i="7" s="1"/>
  <c r="P861" i="7"/>
  <c r="Q861" i="7" s="1"/>
  <c r="P841" i="7"/>
  <c r="Q841" i="7" s="1"/>
  <c r="O842" i="7"/>
  <c r="P842" i="7" s="1"/>
  <c r="Q842" i="7" s="1"/>
  <c r="O832" i="7"/>
  <c r="P832" i="7" s="1"/>
  <c r="Q832" i="7" s="1"/>
  <c r="P831" i="7"/>
  <c r="Q831" i="7" s="1"/>
  <c r="P811" i="7"/>
  <c r="Q811" i="7" s="1"/>
  <c r="O812" i="7"/>
  <c r="P812" i="7" s="1"/>
  <c r="Q812" i="7" s="1"/>
  <c r="O802" i="7"/>
  <c r="P802" i="7" s="1"/>
  <c r="Q802" i="7" s="1"/>
  <c r="P801" i="7"/>
  <c r="Q801" i="7" s="1"/>
  <c r="O792" i="7"/>
  <c r="P792" i="7" s="1"/>
  <c r="Q792" i="7" s="1"/>
  <c r="P791" i="7"/>
  <c r="Q791" i="7" s="1"/>
  <c r="P781" i="7"/>
  <c r="Q781" i="7" s="1"/>
  <c r="O782" i="7"/>
  <c r="P782" i="7" s="1"/>
  <c r="Q782" i="7" s="1"/>
  <c r="P761" i="7"/>
  <c r="Q761" i="7" s="1"/>
  <c r="O762" i="7"/>
  <c r="P762" i="7" s="1"/>
  <c r="Q762" i="7" s="1"/>
  <c r="O752" i="7"/>
  <c r="P752" i="7" s="1"/>
  <c r="Q752" i="7" s="1"/>
  <c r="P751" i="7"/>
  <c r="Q751" i="7" s="1"/>
  <c r="P741" i="7"/>
  <c r="Q741" i="7" s="1"/>
  <c r="O742" i="7"/>
  <c r="P742" i="7" s="1"/>
  <c r="Q742" i="7" s="1"/>
  <c r="O722" i="7"/>
  <c r="P722" i="7" s="1"/>
  <c r="Q722" i="7" s="1"/>
  <c r="P721" i="7"/>
  <c r="Q721" i="7" s="1"/>
  <c r="O712" i="7"/>
  <c r="P712" i="7" s="1"/>
  <c r="Q712" i="7" s="1"/>
  <c r="P711" i="7"/>
  <c r="Q711" i="7" s="1"/>
  <c r="P701" i="7"/>
  <c r="Q701" i="7" s="1"/>
  <c r="O702" i="7"/>
  <c r="P702" i="7" s="1"/>
  <c r="Q702" i="7" s="1"/>
  <c r="O682" i="7"/>
  <c r="P682" i="7" s="1"/>
  <c r="Q682" i="7" s="1"/>
  <c r="P681" i="7"/>
  <c r="Q681" i="7" s="1"/>
  <c r="O672" i="7"/>
  <c r="P672" i="7" s="1"/>
  <c r="Q672" i="7" s="1"/>
  <c r="P671" i="7"/>
  <c r="Q671" i="7" s="1"/>
  <c r="O662" i="7"/>
  <c r="P662" i="7" s="1"/>
  <c r="Q662" i="7" s="1"/>
  <c r="P661" i="7"/>
  <c r="Q661" i="7" s="1"/>
  <c r="O652" i="7"/>
  <c r="P652" i="7" s="1"/>
  <c r="Q652" i="7" s="1"/>
  <c r="P651" i="7"/>
  <c r="Q651" i="7" s="1"/>
  <c r="O641" i="7"/>
  <c r="P640" i="7"/>
  <c r="Q640" i="7" s="1"/>
  <c r="P621" i="7"/>
  <c r="Q621" i="7" s="1"/>
  <c r="O622" i="7"/>
  <c r="P622" i="7" s="1"/>
  <c r="Q622" i="7" s="1"/>
  <c r="O601" i="7"/>
  <c r="P600" i="7"/>
  <c r="Q600" i="7" s="1"/>
  <c r="P571" i="7"/>
  <c r="Q571" i="7" s="1"/>
  <c r="O572" i="7"/>
  <c r="P572" i="7" s="1"/>
  <c r="Q572" i="7" s="1"/>
  <c r="O542" i="7"/>
  <c r="P542" i="7" s="1"/>
  <c r="Q542" i="7" s="1"/>
  <c r="P541" i="7"/>
  <c r="Q541" i="7" s="1"/>
  <c r="O532" i="7"/>
  <c r="P532" i="7" s="1"/>
  <c r="Q532" i="7" s="1"/>
  <c r="P531" i="7"/>
  <c r="Q531" i="7" s="1"/>
  <c r="O522" i="7"/>
  <c r="P522" i="7" s="1"/>
  <c r="Q522" i="7" s="1"/>
  <c r="P521" i="7"/>
  <c r="Q521" i="7" s="1"/>
  <c r="O502" i="7"/>
  <c r="P502" i="7" s="1"/>
  <c r="Q502" i="7" s="1"/>
  <c r="P501" i="7"/>
  <c r="Q501" i="7" s="1"/>
  <c r="P491" i="7"/>
  <c r="Q491" i="7" s="1"/>
  <c r="O492" i="7"/>
  <c r="P492" i="7" s="1"/>
  <c r="Q492" i="7" s="1"/>
  <c r="P481" i="7"/>
  <c r="Q481" i="7" s="1"/>
  <c r="O482" i="7"/>
  <c r="P482" i="7" s="1"/>
  <c r="Q482" i="7" s="1"/>
  <c r="O472" i="7"/>
  <c r="P472" i="7" s="1"/>
  <c r="Q472" i="7" s="1"/>
  <c r="P471" i="7"/>
  <c r="Q471" i="7" s="1"/>
  <c r="P461" i="7"/>
  <c r="Q461" i="7" s="1"/>
  <c r="O462" i="7"/>
  <c r="P462" i="7" s="1"/>
  <c r="Q462" i="7" s="1"/>
  <c r="O452" i="7"/>
  <c r="P452" i="7" s="1"/>
  <c r="Q452" i="7" s="1"/>
  <c r="P451" i="7"/>
  <c r="Q451" i="7" s="1"/>
  <c r="O432" i="7"/>
  <c r="P432" i="7" s="1"/>
  <c r="Q432" i="7" s="1"/>
  <c r="P431" i="7"/>
  <c r="Q431" i="7" s="1"/>
  <c r="O402" i="7"/>
  <c r="P402" i="7" s="1"/>
  <c r="Q402" i="7" s="1"/>
  <c r="P401" i="7"/>
  <c r="Q401" i="7" s="1"/>
  <c r="O382" i="7"/>
  <c r="P382" i="7" s="1"/>
  <c r="Q382" i="7" s="1"/>
  <c r="P381" i="7"/>
  <c r="Q381" i="7" s="1"/>
  <c r="O352" i="7"/>
  <c r="P352" i="7" s="1"/>
  <c r="Q352" i="7" s="1"/>
  <c r="P351" i="7"/>
  <c r="Q351" i="7" s="1"/>
  <c r="O342" i="7"/>
  <c r="P342" i="7" s="1"/>
  <c r="Q342" i="7" s="1"/>
  <c r="P341" i="7"/>
  <c r="Q341" i="7" s="1"/>
  <c r="P331" i="7"/>
  <c r="Q331" i="7" s="1"/>
  <c r="O332" i="7"/>
  <c r="P332" i="7" s="1"/>
  <c r="Q332" i="7" s="1"/>
  <c r="O322" i="7"/>
  <c r="P322" i="7" s="1"/>
  <c r="Q322" i="7" s="1"/>
  <c r="P321" i="7"/>
  <c r="Q321" i="7" s="1"/>
  <c r="P301" i="7"/>
  <c r="Q301" i="7" s="1"/>
  <c r="O302" i="7"/>
  <c r="P302" i="7" s="1"/>
  <c r="Q302" i="7" s="1"/>
  <c r="O292" i="7"/>
  <c r="P292" i="7" s="1"/>
  <c r="Q292" i="7" s="1"/>
  <c r="P291" i="7"/>
  <c r="Q291" i="7" s="1"/>
  <c r="O282" i="7"/>
  <c r="P282" i="7" s="1"/>
  <c r="Q282" i="7" s="1"/>
  <c r="P281" i="7"/>
  <c r="Q281" i="7" s="1"/>
  <c r="P271" i="7"/>
  <c r="Q271" i="7" s="1"/>
  <c r="O272" i="7"/>
  <c r="P272" i="7" s="1"/>
  <c r="Q272" i="7" s="1"/>
  <c r="O262" i="7"/>
  <c r="P262" i="7" s="1"/>
  <c r="Q262" i="7" s="1"/>
  <c r="P261" i="7"/>
  <c r="Q261" i="7" s="1"/>
  <c r="O221" i="7"/>
  <c r="P220" i="7"/>
  <c r="Q220" i="7" s="1"/>
  <c r="P211" i="7"/>
  <c r="Q211" i="7" s="1"/>
  <c r="O212" i="7"/>
  <c r="P212" i="7" s="1"/>
  <c r="Q212" i="7" s="1"/>
  <c r="O202" i="7"/>
  <c r="P202" i="7" s="1"/>
  <c r="Q202" i="7" s="1"/>
  <c r="P201" i="7"/>
  <c r="Q201" i="7" s="1"/>
  <c r="O182" i="7"/>
  <c r="P182" i="7" s="1"/>
  <c r="Q182" i="7" s="1"/>
  <c r="P181" i="7"/>
  <c r="Q181" i="7" s="1"/>
  <c r="P171" i="7"/>
  <c r="Q171" i="7" s="1"/>
  <c r="O172" i="7"/>
  <c r="P172" i="7" s="1"/>
  <c r="Q172" i="7" s="1"/>
  <c r="P161" i="7"/>
  <c r="Q161" i="7" s="1"/>
  <c r="O162" i="7"/>
  <c r="P162" i="7" s="1"/>
  <c r="Q162" i="7" s="1"/>
  <c r="O131" i="7"/>
  <c r="P130" i="7"/>
  <c r="Q130" i="7" s="1"/>
  <c r="P121" i="7"/>
  <c r="Q121" i="7" s="1"/>
  <c r="O122" i="7"/>
  <c r="P122" i="7" s="1"/>
  <c r="Q122" i="7" s="1"/>
  <c r="O71" i="7"/>
  <c r="P70" i="7"/>
  <c r="Q70" i="7" s="1"/>
  <c r="O82" i="7"/>
  <c r="P82" i="7" s="1"/>
  <c r="Q82" i="7" s="1"/>
  <c r="P81" i="7"/>
  <c r="Q81" i="7" s="1"/>
  <c r="O62" i="7"/>
  <c r="P62" i="7" s="1"/>
  <c r="Q62" i="7" s="1"/>
  <c r="P61" i="7"/>
  <c r="Q61" i="7" s="1"/>
  <c r="O51" i="7"/>
  <c r="P50" i="7"/>
  <c r="Q50" i="7" s="1"/>
  <c r="O32" i="7"/>
  <c r="P32" i="7" s="1"/>
  <c r="Q32" i="7" s="1"/>
  <c r="P31" i="7"/>
  <c r="Q31" i="7" s="1"/>
  <c r="O12" i="7"/>
  <c r="P12" i="7" s="1"/>
  <c r="Q12" i="7" s="1"/>
  <c r="P11" i="7"/>
  <c r="Q11" i="7" s="1"/>
  <c r="P21" i="7"/>
  <c r="Q21" i="7" s="1"/>
  <c r="O22" i="7"/>
  <c r="P22" i="7" s="1"/>
  <c r="Q22" i="7" s="1"/>
  <c r="B34" i="26"/>
  <c r="G36" i="26"/>
  <c r="G40" i="26"/>
  <c r="B38" i="26"/>
  <c r="G35" i="26"/>
  <c r="G39" i="26"/>
  <c r="G41" i="26"/>
  <c r="G30" i="26"/>
  <c r="G37" i="26"/>
  <c r="B30" i="26"/>
  <c r="B35" i="26"/>
  <c r="G932" i="7"/>
  <c r="H932" i="7" s="1"/>
  <c r="F932" i="7"/>
  <c r="G931" i="7"/>
  <c r="H931" i="7" s="1"/>
  <c r="F931" i="7"/>
  <c r="L930" i="7"/>
  <c r="M930" i="7" s="1"/>
  <c r="G930" i="7"/>
  <c r="H930" i="7" s="1"/>
  <c r="F930" i="7"/>
  <c r="L929" i="7"/>
  <c r="M929" i="7" s="1"/>
  <c r="G929" i="7"/>
  <c r="H929" i="7" s="1"/>
  <c r="F929" i="7"/>
  <c r="L928" i="7"/>
  <c r="M928" i="7" s="1"/>
  <c r="G928" i="7"/>
  <c r="H928" i="7" s="1"/>
  <c r="F928" i="7"/>
  <c r="L927" i="7"/>
  <c r="M927" i="7" s="1"/>
  <c r="G927" i="7"/>
  <c r="H927" i="7" s="1"/>
  <c r="F927" i="7"/>
  <c r="L926" i="7"/>
  <c r="M926" i="7" s="1"/>
  <c r="F926" i="7"/>
  <c r="L925" i="7"/>
  <c r="M925" i="7" s="1"/>
  <c r="F925" i="7"/>
  <c r="L924" i="7"/>
  <c r="M924" i="7" s="1"/>
  <c r="F924" i="7"/>
  <c r="L923" i="7"/>
  <c r="M923" i="7" s="1"/>
  <c r="F923" i="7"/>
  <c r="O882" i="7" l="1"/>
  <c r="P882" i="7" s="1"/>
  <c r="Q882" i="7" s="1"/>
  <c r="P881" i="7"/>
  <c r="Q881" i="7" s="1"/>
  <c r="O852" i="7"/>
  <c r="P852" i="7" s="1"/>
  <c r="Q852" i="7" s="1"/>
  <c r="P851" i="7"/>
  <c r="Q851" i="7" s="1"/>
  <c r="O952" i="7"/>
  <c r="P952" i="7" s="1"/>
  <c r="Q952" i="7" s="1"/>
  <c r="P951" i="7"/>
  <c r="Q951" i="7" s="1"/>
  <c r="O902" i="7"/>
  <c r="P902" i="7" s="1"/>
  <c r="Q902" i="7" s="1"/>
  <c r="P901" i="7"/>
  <c r="Q901" i="7" s="1"/>
  <c r="O932" i="7"/>
  <c r="P932" i="7" s="1"/>
  <c r="Q932" i="7" s="1"/>
  <c r="P931" i="7"/>
  <c r="Q931" i="7" s="1"/>
  <c r="O642" i="7"/>
  <c r="P642" i="7" s="1"/>
  <c r="Q642" i="7" s="1"/>
  <c r="P641" i="7"/>
  <c r="Q641" i="7" s="1"/>
  <c r="O602" i="7"/>
  <c r="P602" i="7" s="1"/>
  <c r="Q602" i="7" s="1"/>
  <c r="P601" i="7"/>
  <c r="Q601" i="7" s="1"/>
  <c r="O222" i="7"/>
  <c r="P222" i="7" s="1"/>
  <c r="Q222" i="7" s="1"/>
  <c r="P221" i="7"/>
  <c r="Q221" i="7" s="1"/>
  <c r="P131" i="7"/>
  <c r="Q131" i="7" s="1"/>
  <c r="O132" i="7"/>
  <c r="P132" i="7" s="1"/>
  <c r="Q132" i="7" s="1"/>
  <c r="P71" i="7"/>
  <c r="Q71" i="7" s="1"/>
  <c r="O72" i="7"/>
  <c r="P72" i="7" s="1"/>
  <c r="Q72" i="7" s="1"/>
  <c r="P51" i="7"/>
  <c r="Q51" i="7" s="1"/>
  <c r="O52" i="7"/>
  <c r="P52" i="7" s="1"/>
  <c r="Q52" i="7" s="1"/>
  <c r="N923" i="7"/>
  <c r="G282" i="7" l="1"/>
  <c r="H282" i="7" s="1"/>
  <c r="F282" i="7"/>
  <c r="G281" i="7"/>
  <c r="H281" i="7" s="1"/>
  <c r="F281" i="7"/>
  <c r="L280" i="7"/>
  <c r="M280" i="7" s="1"/>
  <c r="G280" i="7"/>
  <c r="H280" i="7" s="1"/>
  <c r="F280" i="7"/>
  <c r="L279" i="7"/>
  <c r="M279" i="7" s="1"/>
  <c r="G279" i="7"/>
  <c r="H279" i="7" s="1"/>
  <c r="F279" i="7"/>
  <c r="L278" i="7"/>
  <c r="M278" i="7" s="1"/>
  <c r="G278" i="7"/>
  <c r="H278" i="7" s="1"/>
  <c r="F278" i="7"/>
  <c r="L277" i="7"/>
  <c r="M277" i="7" s="1"/>
  <c r="G277" i="7"/>
  <c r="H277" i="7" s="1"/>
  <c r="F277" i="7"/>
  <c r="L276" i="7"/>
  <c r="M276" i="7" s="1"/>
  <c r="G276" i="7"/>
  <c r="H276" i="7" s="1"/>
  <c r="F276" i="7"/>
  <c r="L275" i="7"/>
  <c r="M275" i="7" s="1"/>
  <c r="G275" i="7"/>
  <c r="H275" i="7" s="1"/>
  <c r="F275" i="7"/>
  <c r="L274" i="7"/>
  <c r="M274" i="7" s="1"/>
  <c r="G274" i="7"/>
  <c r="H274" i="7" s="1"/>
  <c r="F274" i="7"/>
  <c r="L273" i="7"/>
  <c r="M273" i="7" s="1"/>
  <c r="F273" i="7"/>
  <c r="G262" i="7"/>
  <c r="H262" i="7" s="1"/>
  <c r="F262" i="7"/>
  <c r="G261" i="7"/>
  <c r="H261" i="7" s="1"/>
  <c r="F261" i="7"/>
  <c r="L260" i="7"/>
  <c r="M260" i="7" s="1"/>
  <c r="G260" i="7"/>
  <c r="H260" i="7" s="1"/>
  <c r="F260" i="7"/>
  <c r="L259" i="7"/>
  <c r="M259" i="7" s="1"/>
  <c r="G259" i="7"/>
  <c r="H259" i="7" s="1"/>
  <c r="F259" i="7"/>
  <c r="L258" i="7"/>
  <c r="M258" i="7" s="1"/>
  <c r="G258" i="7"/>
  <c r="H258" i="7" s="1"/>
  <c r="F258" i="7"/>
  <c r="L257" i="7"/>
  <c r="M257" i="7" s="1"/>
  <c r="G257" i="7"/>
  <c r="H257" i="7" s="1"/>
  <c r="F257" i="7"/>
  <c r="L256" i="7"/>
  <c r="M256" i="7" s="1"/>
  <c r="G256" i="7"/>
  <c r="H256" i="7" s="1"/>
  <c r="F256" i="7"/>
  <c r="L255" i="7"/>
  <c r="M255" i="7" s="1"/>
  <c r="G255" i="7"/>
  <c r="H255" i="7" s="1"/>
  <c r="F255" i="7"/>
  <c r="L254" i="7"/>
  <c r="M254" i="7" s="1"/>
  <c r="G254" i="7"/>
  <c r="H254" i="7" s="1"/>
  <c r="F254" i="7"/>
  <c r="L253" i="7"/>
  <c r="M253" i="7" s="1"/>
  <c r="F253" i="7"/>
  <c r="D193" i="7"/>
  <c r="P195" i="7" s="1"/>
  <c r="Q195" i="7" s="1"/>
  <c r="G202" i="7"/>
  <c r="H202" i="7" s="1"/>
  <c r="F202" i="7"/>
  <c r="G201" i="7"/>
  <c r="H201" i="7" s="1"/>
  <c r="F201" i="7"/>
  <c r="L200" i="7"/>
  <c r="M200" i="7" s="1"/>
  <c r="G200" i="7"/>
  <c r="H200" i="7" s="1"/>
  <c r="F200" i="7"/>
  <c r="L199" i="7"/>
  <c r="M199" i="7" s="1"/>
  <c r="G199" i="7"/>
  <c r="H199" i="7" s="1"/>
  <c r="F199" i="7"/>
  <c r="L198" i="7"/>
  <c r="M198" i="7" s="1"/>
  <c r="G198" i="7"/>
  <c r="H198" i="7" s="1"/>
  <c r="F198" i="7"/>
  <c r="L197" i="7"/>
  <c r="M197" i="7" s="1"/>
  <c r="G197" i="7"/>
  <c r="H197" i="7" s="1"/>
  <c r="F197" i="7"/>
  <c r="L196" i="7"/>
  <c r="M196" i="7" s="1"/>
  <c r="G196" i="7"/>
  <c r="H196" i="7" s="1"/>
  <c r="F196" i="7"/>
  <c r="L195" i="7"/>
  <c r="M195" i="7" s="1"/>
  <c r="F195" i="7"/>
  <c r="L194" i="7"/>
  <c r="F194" i="7"/>
  <c r="L193" i="7"/>
  <c r="K193" i="7"/>
  <c r="F193" i="7"/>
  <c r="F180" i="5"/>
  <c r="F179" i="5"/>
  <c r="F178" i="5"/>
  <c r="F177" i="5"/>
  <c r="F176" i="5"/>
  <c r="F175" i="5"/>
  <c r="F174" i="5"/>
  <c r="F173" i="5"/>
  <c r="F172" i="5"/>
  <c r="F171" i="5"/>
  <c r="F170" i="5"/>
  <c r="F169" i="5"/>
  <c r="F168" i="5"/>
  <c r="F167" i="5"/>
  <c r="F166" i="5"/>
  <c r="F165" i="5"/>
  <c r="F164" i="5"/>
  <c r="F163" i="5"/>
  <c r="F162" i="5"/>
  <c r="F161" i="5"/>
  <c r="F160" i="5"/>
  <c r="F159" i="5"/>
  <c r="F158" i="5"/>
  <c r="F157" i="5"/>
  <c r="F156" i="5"/>
  <c r="H150" i="5"/>
  <c r="H138" i="5"/>
  <c r="H131" i="5"/>
  <c r="H129" i="5"/>
  <c r="H128" i="5"/>
  <c r="H120" i="5"/>
  <c r="H119" i="5"/>
  <c r="H96" i="5"/>
  <c r="H130" i="5" s="1"/>
  <c r="H95" i="5"/>
  <c r="G82" i="5"/>
  <c r="H57" i="5"/>
  <c r="H30" i="5"/>
  <c r="H29" i="5"/>
  <c r="H28" i="5"/>
  <c r="H27" i="5"/>
  <c r="H26" i="5"/>
  <c r="H25" i="5"/>
  <c r="K194" i="7" l="1"/>
  <c r="M194" i="7" s="1"/>
  <c r="P193" i="7"/>
  <c r="Q193" i="7" s="1"/>
  <c r="N273" i="7"/>
  <c r="M193" i="7"/>
  <c r="N253" i="7"/>
  <c r="F4" i="15"/>
  <c r="N193" i="7" l="1"/>
  <c r="F723" i="7"/>
  <c r="L723" i="7"/>
  <c r="M723" i="7" s="1"/>
  <c r="F724" i="7"/>
  <c r="L724" i="7"/>
  <c r="M724" i="7" s="1"/>
  <c r="F725" i="7"/>
  <c r="L725" i="7"/>
  <c r="M725" i="7" s="1"/>
  <c r="F726" i="7"/>
  <c r="G726" i="7"/>
  <c r="H726" i="7" s="1"/>
  <c r="L726" i="7"/>
  <c r="M726" i="7" s="1"/>
  <c r="F727" i="7"/>
  <c r="G727" i="7"/>
  <c r="H727" i="7" s="1"/>
  <c r="L727" i="7"/>
  <c r="M727" i="7" s="1"/>
  <c r="F728" i="7"/>
  <c r="G728" i="7"/>
  <c r="H728" i="7" s="1"/>
  <c r="L728" i="7"/>
  <c r="M728" i="7" s="1"/>
  <c r="F729" i="7"/>
  <c r="G729" i="7"/>
  <c r="H729" i="7" s="1"/>
  <c r="L729" i="7"/>
  <c r="M729" i="7" s="1"/>
  <c r="F730" i="7"/>
  <c r="G730" i="7"/>
  <c r="H730" i="7" s="1"/>
  <c r="L730" i="7"/>
  <c r="M730" i="7" s="1"/>
  <c r="F731" i="7"/>
  <c r="G731" i="7"/>
  <c r="H731" i="7" s="1"/>
  <c r="F732" i="7"/>
  <c r="G732" i="7"/>
  <c r="H732" i="7" s="1"/>
  <c r="N723" i="7" l="1"/>
  <c r="D873" i="7"/>
  <c r="P873" i="7" s="1"/>
  <c r="Q873" i="7" s="1"/>
  <c r="D853" i="7" l="1"/>
  <c r="P853" i="7" s="1"/>
  <c r="Q853" i="7" s="1"/>
  <c r="D843" i="7"/>
  <c r="P843" i="7" s="1"/>
  <c r="Q843" i="7" s="1"/>
  <c r="D834" i="7"/>
  <c r="P834" i="7" s="1"/>
  <c r="Q834" i="7" s="1"/>
  <c r="D833" i="7"/>
  <c r="P833" i="7" s="1"/>
  <c r="Q833" i="7" s="1"/>
  <c r="D813" i="7" l="1"/>
  <c r="P813" i="7" s="1"/>
  <c r="Q813" i="7" s="1"/>
  <c r="D183" i="7" l="1"/>
  <c r="P185" i="7" s="1"/>
  <c r="Q185" i="7" s="1"/>
  <c r="D173" i="7"/>
  <c r="P175" i="7" s="1"/>
  <c r="Q175" i="7" s="1"/>
  <c r="D103" i="7"/>
  <c r="P105" i="7" s="1"/>
  <c r="Q105" i="7" s="1"/>
  <c r="D23" i="7"/>
  <c r="P26" i="7" s="1"/>
  <c r="K804" i="7"/>
  <c r="F805" i="7"/>
  <c r="K784" i="7"/>
  <c r="D493" i="7"/>
  <c r="D494" i="7"/>
  <c r="P494" i="7" s="1"/>
  <c r="Q494" i="7" s="1"/>
  <c r="F524" i="7"/>
  <c r="G515" i="7"/>
  <c r="H515" i="7" s="1"/>
  <c r="F515" i="7"/>
  <c r="F496" i="7"/>
  <c r="F484" i="7"/>
  <c r="F474" i="7"/>
  <c r="F475" i="7"/>
  <c r="G475" i="7"/>
  <c r="H475" i="7" s="1"/>
  <c r="F465" i="7"/>
  <c r="F206" i="7"/>
  <c r="G206" i="7"/>
  <c r="H206" i="7" s="1"/>
  <c r="F185" i="7"/>
  <c r="F175" i="7"/>
  <c r="F165" i="7"/>
  <c r="F155" i="7"/>
  <c r="F145" i="7"/>
  <c r="F135" i="7"/>
  <c r="F125" i="7"/>
  <c r="F115" i="7"/>
  <c r="F105" i="7"/>
  <c r="F95" i="7"/>
  <c r="F85" i="7"/>
  <c r="F75" i="7"/>
  <c r="F65" i="7"/>
  <c r="F55" i="7"/>
  <c r="F45" i="7"/>
  <c r="F35" i="7"/>
  <c r="P493" i="7" l="1"/>
  <c r="Q493" i="7" s="1"/>
  <c r="P496" i="7"/>
  <c r="Q496" i="7" s="1"/>
  <c r="K24" i="7"/>
  <c r="P23" i="7"/>
  <c r="K104" i="7"/>
  <c r="P103" i="7"/>
  <c r="Q103" i="7" s="1"/>
  <c r="K174" i="7"/>
  <c r="P173" i="7"/>
  <c r="Q173" i="7" s="1"/>
  <c r="K184" i="7"/>
  <c r="P183" i="7"/>
  <c r="Q183" i="7" s="1"/>
  <c r="E794" i="7"/>
  <c r="P794" i="7" s="1"/>
  <c r="Q794" i="7" s="1"/>
  <c r="F773" i="7"/>
  <c r="F774" i="7"/>
  <c r="F775" i="7"/>
  <c r="F776" i="7"/>
  <c r="F777" i="7"/>
  <c r="F778" i="7"/>
  <c r="F779" i="7"/>
  <c r="F780" i="7"/>
  <c r="F781" i="7"/>
  <c r="F782" i="7"/>
  <c r="G412" i="7" l="1"/>
  <c r="H412" i="7" s="1"/>
  <c r="F412" i="7"/>
  <c r="G411" i="7"/>
  <c r="H411" i="7" s="1"/>
  <c r="F411" i="7"/>
  <c r="L410" i="7"/>
  <c r="M410" i="7" s="1"/>
  <c r="G410" i="7"/>
  <c r="H410" i="7" s="1"/>
  <c r="F410" i="7"/>
  <c r="L409" i="7"/>
  <c r="M409" i="7" s="1"/>
  <c r="G409" i="7"/>
  <c r="H409" i="7" s="1"/>
  <c r="F409" i="7"/>
  <c r="L408" i="7"/>
  <c r="M408" i="7" s="1"/>
  <c r="G408" i="7"/>
  <c r="H408" i="7" s="1"/>
  <c r="F408" i="7"/>
  <c r="L407" i="7"/>
  <c r="M407" i="7" s="1"/>
  <c r="G407" i="7"/>
  <c r="H407" i="7" s="1"/>
  <c r="F407" i="7"/>
  <c r="L406" i="7"/>
  <c r="M406" i="7" s="1"/>
  <c r="G406" i="7"/>
  <c r="H406" i="7" s="1"/>
  <c r="F406" i="7"/>
  <c r="L405" i="7"/>
  <c r="M405" i="7" s="1"/>
  <c r="G405" i="7"/>
  <c r="H405" i="7" s="1"/>
  <c r="F405" i="7"/>
  <c r="L404" i="7"/>
  <c r="M404" i="7" s="1"/>
  <c r="F404" i="7"/>
  <c r="L403" i="7"/>
  <c r="M403" i="7" s="1"/>
  <c r="F403" i="7"/>
  <c r="N403" i="7" l="1"/>
  <c r="G762" i="7"/>
  <c r="H762" i="7" s="1"/>
  <c r="F762" i="7"/>
  <c r="G761" i="7"/>
  <c r="H761" i="7" s="1"/>
  <c r="F761" i="7"/>
  <c r="L760" i="7"/>
  <c r="M760" i="7" s="1"/>
  <c r="G760" i="7"/>
  <c r="H760" i="7" s="1"/>
  <c r="F760" i="7"/>
  <c r="L759" i="7"/>
  <c r="M759" i="7" s="1"/>
  <c r="G759" i="7"/>
  <c r="H759" i="7" s="1"/>
  <c r="F759" i="7"/>
  <c r="L758" i="7"/>
  <c r="M758" i="7" s="1"/>
  <c r="G758" i="7"/>
  <c r="H758" i="7" s="1"/>
  <c r="F758" i="7"/>
  <c r="L757" i="7"/>
  <c r="M757" i="7" s="1"/>
  <c r="G757" i="7"/>
  <c r="H757" i="7" s="1"/>
  <c r="F757" i="7"/>
  <c r="L756" i="7"/>
  <c r="M756" i="7" s="1"/>
  <c r="G756" i="7"/>
  <c r="H756" i="7" s="1"/>
  <c r="F756" i="7"/>
  <c r="L755" i="7"/>
  <c r="M755" i="7" s="1"/>
  <c r="F755" i="7"/>
  <c r="L754" i="7"/>
  <c r="M754" i="7" s="1"/>
  <c r="F754" i="7"/>
  <c r="E754" i="7"/>
  <c r="P754" i="7" s="1"/>
  <c r="Q754" i="7" s="1"/>
  <c r="L753" i="7"/>
  <c r="M753" i="7" s="1"/>
  <c r="F753" i="7"/>
  <c r="G752" i="7"/>
  <c r="H752" i="7" s="1"/>
  <c r="F752" i="7"/>
  <c r="G751" i="7"/>
  <c r="H751" i="7" s="1"/>
  <c r="F751" i="7"/>
  <c r="L750" i="7"/>
  <c r="M750" i="7" s="1"/>
  <c r="G750" i="7"/>
  <c r="H750" i="7" s="1"/>
  <c r="F750" i="7"/>
  <c r="L749" i="7"/>
  <c r="M749" i="7" s="1"/>
  <c r="G749" i="7"/>
  <c r="H749" i="7" s="1"/>
  <c r="F749" i="7"/>
  <c r="L748" i="7"/>
  <c r="M748" i="7" s="1"/>
  <c r="G748" i="7"/>
  <c r="H748" i="7" s="1"/>
  <c r="F748" i="7"/>
  <c r="L747" i="7"/>
  <c r="M747" i="7" s="1"/>
  <c r="G747" i="7"/>
  <c r="H747" i="7" s="1"/>
  <c r="F747" i="7"/>
  <c r="L746" i="7"/>
  <c r="M746" i="7" s="1"/>
  <c r="G746" i="7"/>
  <c r="H746" i="7" s="1"/>
  <c r="F746" i="7"/>
  <c r="L745" i="7"/>
  <c r="M745" i="7" s="1"/>
  <c r="G745" i="7"/>
  <c r="H745" i="7" s="1"/>
  <c r="F745" i="7"/>
  <c r="L744" i="7"/>
  <c r="M744" i="7" s="1"/>
  <c r="F744" i="7"/>
  <c r="L743" i="7"/>
  <c r="M743" i="7" s="1"/>
  <c r="F743" i="7"/>
  <c r="G742" i="7"/>
  <c r="H742" i="7" s="1"/>
  <c r="F742" i="7"/>
  <c r="G741" i="7"/>
  <c r="H741" i="7" s="1"/>
  <c r="F741" i="7"/>
  <c r="L740" i="7"/>
  <c r="M740" i="7" s="1"/>
  <c r="G740" i="7"/>
  <c r="H740" i="7" s="1"/>
  <c r="F740" i="7"/>
  <c r="L739" i="7"/>
  <c r="M739" i="7" s="1"/>
  <c r="G739" i="7"/>
  <c r="H739" i="7" s="1"/>
  <c r="F739" i="7"/>
  <c r="L738" i="7"/>
  <c r="M738" i="7" s="1"/>
  <c r="G738" i="7"/>
  <c r="H738" i="7" s="1"/>
  <c r="F738" i="7"/>
  <c r="L737" i="7"/>
  <c r="M737" i="7" s="1"/>
  <c r="G737" i="7"/>
  <c r="H737" i="7" s="1"/>
  <c r="F737" i="7"/>
  <c r="L736" i="7"/>
  <c r="M736" i="7" s="1"/>
  <c r="G736" i="7"/>
  <c r="H736" i="7" s="1"/>
  <c r="F736" i="7"/>
  <c r="L735" i="7"/>
  <c r="M735" i="7" s="1"/>
  <c r="G735" i="7"/>
  <c r="H735" i="7" s="1"/>
  <c r="F735" i="7"/>
  <c r="L734" i="7"/>
  <c r="M734" i="7" s="1"/>
  <c r="F734" i="7"/>
  <c r="L733" i="7"/>
  <c r="M733" i="7" s="1"/>
  <c r="F733" i="7"/>
  <c r="N753" i="7" l="1"/>
  <c r="N743" i="7"/>
  <c r="N733" i="7"/>
  <c r="G722" i="7"/>
  <c r="H722" i="7" s="1"/>
  <c r="F722" i="7"/>
  <c r="G721" i="7"/>
  <c r="H721" i="7" s="1"/>
  <c r="F721" i="7"/>
  <c r="L720" i="7"/>
  <c r="M720" i="7" s="1"/>
  <c r="G720" i="7"/>
  <c r="H720" i="7" s="1"/>
  <c r="F720" i="7"/>
  <c r="L719" i="7"/>
  <c r="M719" i="7" s="1"/>
  <c r="G719" i="7"/>
  <c r="H719" i="7" s="1"/>
  <c r="F719" i="7"/>
  <c r="L718" i="7"/>
  <c r="M718" i="7" s="1"/>
  <c r="G718" i="7"/>
  <c r="H718" i="7" s="1"/>
  <c r="F718" i="7"/>
  <c r="L717" i="7"/>
  <c r="M717" i="7" s="1"/>
  <c r="G717" i="7"/>
  <c r="H717" i="7" s="1"/>
  <c r="F717" i="7"/>
  <c r="L716" i="7"/>
  <c r="M716" i="7" s="1"/>
  <c r="G716" i="7"/>
  <c r="H716" i="7" s="1"/>
  <c r="F716" i="7"/>
  <c r="L715" i="7"/>
  <c r="M715" i="7" s="1"/>
  <c r="F715" i="7"/>
  <c r="L714" i="7"/>
  <c r="M714" i="7" s="1"/>
  <c r="F714" i="7"/>
  <c r="L713" i="7"/>
  <c r="M713" i="7" s="1"/>
  <c r="F713" i="7"/>
  <c r="D163" i="7"/>
  <c r="P165" i="7" s="1"/>
  <c r="Q165" i="7" s="1"/>
  <c r="D93" i="7"/>
  <c r="P95" i="7" s="1"/>
  <c r="Q95" i="7" s="1"/>
  <c r="D83" i="7"/>
  <c r="P85" i="7" s="1"/>
  <c r="Q85" i="7" s="1"/>
  <c r="D13" i="7"/>
  <c r="P16" i="7" s="1"/>
  <c r="K84" i="7" l="1"/>
  <c r="P83" i="7"/>
  <c r="Q83" i="7" s="1"/>
  <c r="K14" i="7"/>
  <c r="P13" i="7"/>
  <c r="K94" i="7"/>
  <c r="P93" i="7"/>
  <c r="Q93" i="7" s="1"/>
  <c r="K164" i="7"/>
  <c r="P163" i="7"/>
  <c r="Q163" i="7" s="1"/>
  <c r="N713" i="7"/>
  <c r="O80" i="21" l="1"/>
  <c r="D81" i="21"/>
  <c r="H80" i="21"/>
  <c r="H81" i="21"/>
  <c r="H79" i="21"/>
  <c r="J79" i="21"/>
  <c r="J81" i="21"/>
  <c r="D80" i="21"/>
  <c r="D79" i="21"/>
  <c r="J80" i="21"/>
  <c r="I80" i="21" l="1"/>
  <c r="F80" i="21" s="1"/>
  <c r="G80" i="21" s="1"/>
  <c r="I79" i="21"/>
  <c r="F79" i="21" s="1"/>
  <c r="G79" i="21" s="1"/>
  <c r="I81" i="21"/>
  <c r="F81" i="21" s="1"/>
  <c r="G81" i="21" s="1"/>
  <c r="O81" i="21"/>
  <c r="D82" i="21"/>
  <c r="J82" i="21"/>
  <c r="H82" i="21"/>
  <c r="I82" i="21" l="1"/>
  <c r="F82" i="21" s="1"/>
  <c r="G82" i="21" s="1"/>
  <c r="O82" i="21"/>
  <c r="H83" i="21"/>
  <c r="D83" i="21"/>
  <c r="J83" i="21"/>
  <c r="I83" i="21" l="1"/>
  <c r="F83" i="21" s="1"/>
  <c r="G83" i="21" s="1"/>
  <c r="O83" i="21"/>
  <c r="J84" i="21"/>
  <c r="D84" i="21"/>
  <c r="H84" i="21"/>
  <c r="I84" i="21" l="1"/>
  <c r="F84" i="21" s="1"/>
  <c r="G84" i="21" s="1"/>
  <c r="O84" i="21"/>
  <c r="D85" i="21"/>
  <c r="H85" i="21"/>
  <c r="J85" i="21"/>
  <c r="I85" i="21" l="1"/>
  <c r="F85" i="21" s="1"/>
  <c r="G85" i="21" s="1"/>
  <c r="O85" i="21"/>
  <c r="D86" i="21"/>
  <c r="H86" i="21"/>
  <c r="J86" i="21"/>
  <c r="I86" i="21" l="1"/>
  <c r="F86" i="21" s="1"/>
  <c r="G86" i="21" s="1"/>
  <c r="O86" i="21"/>
  <c r="J87" i="21"/>
  <c r="D87" i="21"/>
  <c r="H87" i="21"/>
  <c r="I87" i="21" l="1"/>
  <c r="F87" i="21" s="1"/>
  <c r="G87" i="21" s="1"/>
  <c r="O87" i="21"/>
  <c r="D88" i="21"/>
  <c r="H88" i="21"/>
  <c r="J88" i="21"/>
  <c r="I88" i="21" l="1"/>
  <c r="F88" i="21" s="1"/>
  <c r="G88" i="21" s="1"/>
  <c r="O88" i="21"/>
  <c r="H89" i="21"/>
  <c r="J89" i="21"/>
  <c r="D89" i="21"/>
  <c r="D90" i="21"/>
  <c r="I89" i="21" l="1"/>
  <c r="F89" i="21" s="1"/>
  <c r="G89" i="21" s="1"/>
  <c r="H90" i="21"/>
  <c r="J90" i="21"/>
  <c r="D91" i="21"/>
  <c r="I90" i="21" l="1"/>
  <c r="F90" i="21" s="1"/>
  <c r="G90" i="21" s="1"/>
  <c r="J91" i="21"/>
  <c r="H91" i="21"/>
  <c r="D92" i="21"/>
  <c r="I91" i="21" l="1"/>
  <c r="F91" i="21" s="1"/>
  <c r="G91" i="21" s="1"/>
  <c r="H92" i="21"/>
  <c r="J92" i="21"/>
  <c r="I92" i="21" l="1"/>
  <c r="F92" i="21" s="1"/>
  <c r="G92" i="21" s="1"/>
  <c r="D93" i="21" s="1"/>
  <c r="O92" i="21"/>
  <c r="C93" i="21"/>
  <c r="H93" i="21"/>
  <c r="J93" i="21"/>
  <c r="I93" i="21" l="1"/>
  <c r="O93" i="21"/>
  <c r="D95" i="21"/>
  <c r="D94" i="21"/>
  <c r="H94" i="21"/>
  <c r="J94" i="21"/>
  <c r="I94" i="21" l="1"/>
  <c r="F94" i="21" s="1"/>
  <c r="G94" i="21" s="1"/>
  <c r="H95" i="21"/>
  <c r="J95" i="21"/>
  <c r="I95" i="21" l="1"/>
  <c r="F95" i="21" s="1"/>
  <c r="G95" i="21" s="1"/>
  <c r="O95" i="21"/>
  <c r="H96" i="21"/>
  <c r="D96" i="21"/>
  <c r="J96" i="21"/>
  <c r="I96" i="21" l="1"/>
  <c r="F96" i="21" s="1"/>
  <c r="G96" i="21" s="1"/>
  <c r="O96" i="21"/>
  <c r="D97" i="21"/>
  <c r="J97" i="21"/>
  <c r="H97" i="21"/>
  <c r="I97" i="21" l="1"/>
  <c r="F97" i="21" s="1"/>
  <c r="G97" i="21" s="1"/>
  <c r="O97" i="21"/>
  <c r="D98" i="21"/>
  <c r="H98" i="21"/>
  <c r="D99" i="21"/>
  <c r="J98" i="21"/>
  <c r="I98" i="21" l="1"/>
  <c r="F98" i="21" s="1"/>
  <c r="G98" i="21" s="1"/>
  <c r="J99" i="21"/>
  <c r="H99" i="21"/>
  <c r="I99" i="21" l="1"/>
  <c r="F99" i="21" s="1"/>
  <c r="G99" i="21" s="1"/>
  <c r="O99" i="21"/>
  <c r="D100" i="21"/>
  <c r="J100" i="21"/>
  <c r="H100" i="21"/>
  <c r="I100" i="21" l="1"/>
  <c r="F100" i="21" s="1"/>
  <c r="G100" i="21" s="1"/>
  <c r="O100" i="21"/>
  <c r="D101" i="21"/>
  <c r="J101" i="21"/>
  <c r="H101" i="21"/>
  <c r="I101" i="21" l="1"/>
  <c r="F101" i="21" s="1"/>
  <c r="G101" i="21" s="1"/>
  <c r="O101" i="21"/>
  <c r="J102" i="21"/>
  <c r="D102" i="21"/>
  <c r="H102" i="21"/>
  <c r="I102" i="21" l="1"/>
  <c r="F102" i="21" s="1"/>
  <c r="G102" i="21" s="1"/>
  <c r="O102" i="21"/>
  <c r="J103" i="21"/>
  <c r="D104" i="21"/>
  <c r="D103" i="21"/>
  <c r="I103" i="21" l="1"/>
  <c r="J104" i="21"/>
  <c r="H104" i="21"/>
  <c r="I104" i="21" l="1"/>
  <c r="F104" i="21" s="1"/>
  <c r="G104" i="21" s="1"/>
  <c r="D105" i="21" s="1"/>
  <c r="O104" i="21"/>
  <c r="C105" i="21"/>
  <c r="J105" i="21"/>
  <c r="H105" i="21"/>
  <c r="I105" i="21" l="1"/>
  <c r="O105" i="21"/>
  <c r="J106" i="21"/>
  <c r="D106" i="21"/>
  <c r="H106" i="21"/>
  <c r="I106" i="21" l="1"/>
  <c r="F106" i="21" s="1"/>
  <c r="G106" i="21" s="1"/>
  <c r="O106" i="21"/>
  <c r="H107" i="21"/>
  <c r="D107" i="21"/>
  <c r="J107" i="21"/>
  <c r="I107" i="21" l="1"/>
  <c r="F107" i="21" s="1"/>
  <c r="G107" i="21" s="1"/>
  <c r="O107" i="21"/>
  <c r="J108" i="21"/>
  <c r="D108" i="21"/>
  <c r="H108" i="21"/>
  <c r="I108" i="21" l="1"/>
  <c r="F108" i="21" s="1"/>
  <c r="G108" i="21" s="1"/>
  <c r="O108" i="21"/>
  <c r="J109" i="21"/>
  <c r="D109" i="21"/>
  <c r="H109" i="21"/>
  <c r="I109" i="21" l="1"/>
  <c r="F109" i="21" s="1"/>
  <c r="G109" i="21" s="1"/>
  <c r="O109" i="21"/>
  <c r="D110" i="21"/>
  <c r="J110" i="21"/>
  <c r="H110" i="21"/>
  <c r="I110" i="21" l="1"/>
  <c r="F110" i="21" s="1"/>
  <c r="G110" i="21" s="1"/>
  <c r="O110" i="21"/>
  <c r="H111" i="21"/>
  <c r="J111" i="21"/>
  <c r="D111" i="21"/>
  <c r="I111" i="21" l="1"/>
  <c r="F111" i="21" s="1"/>
  <c r="G111" i="21" s="1"/>
  <c r="O111" i="21"/>
  <c r="J112" i="21"/>
  <c r="D112" i="21"/>
  <c r="H112" i="21"/>
  <c r="I112" i="21" l="1"/>
  <c r="F112" i="21" s="1"/>
  <c r="G112" i="21" s="1"/>
  <c r="O112" i="21"/>
  <c r="D113" i="21"/>
  <c r="J113" i="21"/>
  <c r="H113" i="21"/>
  <c r="I113" i="21" l="1"/>
  <c r="F113" i="21" s="1"/>
  <c r="G113" i="21" s="1"/>
  <c r="O113" i="21"/>
  <c r="H114" i="21"/>
  <c r="D114" i="21"/>
  <c r="J114" i="21"/>
  <c r="I114" i="21" l="1"/>
  <c r="F114" i="21" s="1"/>
  <c r="G114" i="21" s="1"/>
  <c r="O114" i="21"/>
  <c r="D115" i="21"/>
  <c r="J115" i="21"/>
  <c r="H115" i="21"/>
  <c r="I115" i="21" l="1"/>
  <c r="F115" i="21" s="1"/>
  <c r="G115" i="21" s="1"/>
  <c r="D116" i="21" s="1"/>
  <c r="O115" i="21"/>
  <c r="C116" i="21"/>
  <c r="H116" i="21"/>
  <c r="J116" i="21"/>
  <c r="I116" i="21" l="1"/>
  <c r="O116" i="21"/>
  <c r="C78" i="21"/>
  <c r="H73" i="21"/>
  <c r="J121" i="21"/>
  <c r="D69" i="21"/>
  <c r="J119" i="21"/>
  <c r="D75" i="21"/>
  <c r="D68" i="21"/>
  <c r="J72" i="21"/>
  <c r="D70" i="21"/>
  <c r="J76" i="21"/>
  <c r="J78" i="21"/>
  <c r="J70" i="21"/>
  <c r="J118" i="21"/>
  <c r="J122" i="21"/>
  <c r="H75" i="21"/>
  <c r="D76" i="21"/>
  <c r="J73" i="21"/>
  <c r="H77" i="21"/>
  <c r="J75" i="21"/>
  <c r="D77" i="21"/>
  <c r="D72" i="21"/>
  <c r="H76" i="21"/>
  <c r="D74" i="21"/>
  <c r="H74" i="21"/>
  <c r="J117" i="21"/>
  <c r="J71" i="21"/>
  <c r="D71" i="21"/>
  <c r="J74" i="21"/>
  <c r="D66" i="21"/>
  <c r="H70" i="21"/>
  <c r="J68" i="21"/>
  <c r="J77" i="21"/>
  <c r="J69" i="21"/>
  <c r="J120" i="21"/>
  <c r="H71" i="21"/>
  <c r="D73" i="21"/>
  <c r="H72" i="21"/>
  <c r="I75" i="21" l="1"/>
  <c r="F75" i="21" s="1"/>
  <c r="G75" i="21" s="1"/>
  <c r="I76" i="21"/>
  <c r="F76" i="21" s="1"/>
  <c r="G76" i="21" s="1"/>
  <c r="I74" i="21"/>
  <c r="F74" i="21" s="1"/>
  <c r="G74" i="21" s="1"/>
  <c r="I77" i="21"/>
  <c r="F77" i="21" s="1"/>
  <c r="G77" i="21" s="1"/>
  <c r="I72" i="21"/>
  <c r="F72" i="21" s="1"/>
  <c r="G72" i="21" s="1"/>
  <c r="I71" i="21"/>
  <c r="F71" i="21" s="1"/>
  <c r="G71" i="21" s="1"/>
  <c r="V66" i="21" l="1"/>
  <c r="I73" i="21"/>
  <c r="F73" i="21" s="1"/>
  <c r="G73" i="21" s="1"/>
  <c r="F14" i="15" l="1"/>
  <c r="F16" i="15" l="1"/>
  <c r="F15" i="15"/>
  <c r="F13" i="15"/>
  <c r="F12" i="15"/>
  <c r="I70" i="21" l="1"/>
  <c r="S66" i="21" l="1"/>
  <c r="D128" i="21"/>
  <c r="D127" i="21"/>
  <c r="C127" i="21"/>
  <c r="O123" i="21"/>
  <c r="O122" i="21"/>
  <c r="O121" i="21"/>
  <c r="O120" i="21"/>
  <c r="O119" i="21"/>
  <c r="O118" i="21"/>
  <c r="O117" i="21"/>
  <c r="O78" i="21"/>
  <c r="F70" i="21"/>
  <c r="G70" i="21" s="1"/>
  <c r="O69" i="21"/>
  <c r="E8" i="21"/>
  <c r="B1" i="21" s="1"/>
  <c r="H65" i="21"/>
  <c r="D118" i="21"/>
  <c r="H121" i="21"/>
  <c r="H69" i="21"/>
  <c r="H68" i="21"/>
  <c r="D117" i="21"/>
  <c r="H117" i="21"/>
  <c r="H18" i="21"/>
  <c r="J123" i="21"/>
  <c r="D119" i="21"/>
  <c r="D121" i="21"/>
  <c r="D122" i="21"/>
  <c r="H119" i="21"/>
  <c r="H66" i="21"/>
  <c r="H122" i="21"/>
  <c r="D120" i="21"/>
  <c r="H118" i="21"/>
  <c r="I119" i="21" l="1"/>
  <c r="F119" i="21" s="1"/>
  <c r="G119" i="21" s="1"/>
  <c r="I117" i="21"/>
  <c r="F117" i="21" s="1"/>
  <c r="G117" i="21" s="1"/>
  <c r="I122" i="21"/>
  <c r="F122" i="21" s="1"/>
  <c r="G122" i="21" s="1"/>
  <c r="I120" i="21"/>
  <c r="F120" i="21" s="1"/>
  <c r="G120" i="21" s="1"/>
  <c r="I118" i="21"/>
  <c r="F118" i="21" s="1"/>
  <c r="G118" i="21" s="1"/>
  <c r="I121" i="21"/>
  <c r="F121" i="21" s="1"/>
  <c r="G121" i="21" s="1"/>
  <c r="I68" i="21"/>
  <c r="F68" i="21" s="1"/>
  <c r="G68" i="21" s="1"/>
  <c r="O68" i="21" s="1"/>
  <c r="I78" i="21"/>
  <c r="I69" i="21"/>
  <c r="F69" i="21" s="1"/>
  <c r="G69" i="21" s="1"/>
  <c r="I123" i="21"/>
  <c r="N4" i="5" l="1"/>
  <c r="N5" i="5"/>
  <c r="N6" i="5"/>
  <c r="N7" i="5"/>
  <c r="N8" i="5"/>
  <c r="N9" i="5"/>
  <c r="N10" i="5"/>
  <c r="N11" i="5"/>
  <c r="N12" i="5"/>
  <c r="N13" i="5"/>
  <c r="N14" i="5"/>
  <c r="N15" i="5"/>
  <c r="N16" i="5"/>
  <c r="N17" i="5"/>
  <c r="N18" i="5"/>
  <c r="N19" i="5"/>
  <c r="N20" i="5"/>
  <c r="N21" i="5"/>
  <c r="N22" i="5"/>
  <c r="N23" i="5"/>
  <c r="N24" i="5"/>
  <c r="N25" i="5"/>
  <c r="N26" i="5"/>
  <c r="N27" i="5"/>
  <c r="N28" i="5"/>
  <c r="N29" i="5"/>
  <c r="N31" i="5"/>
  <c r="N32" i="5"/>
  <c r="N33" i="5"/>
  <c r="N34" i="5"/>
  <c r="N35" i="5"/>
  <c r="N36" i="5"/>
  <c r="N37" i="5"/>
  <c r="N38" i="5"/>
  <c r="N39" i="5"/>
  <c r="N40" i="5"/>
  <c r="N41" i="5"/>
  <c r="N42" i="5"/>
  <c r="N43" i="5"/>
  <c r="N44" i="5"/>
  <c r="N45" i="5"/>
  <c r="N46" i="5"/>
  <c r="N47" i="5"/>
  <c r="N48" i="5"/>
  <c r="N49" i="5"/>
  <c r="N50" i="5"/>
  <c r="N51" i="5"/>
  <c r="N52" i="5"/>
  <c r="N55" i="5"/>
  <c r="N57" i="5"/>
  <c r="N58" i="5"/>
  <c r="N59" i="5"/>
  <c r="N60" i="5"/>
  <c r="N61" i="5"/>
  <c r="N62" i="5"/>
  <c r="N63" i="5"/>
  <c r="N64" i="5"/>
  <c r="N65" i="5"/>
  <c r="N66" i="5"/>
  <c r="N67" i="5"/>
  <c r="N68" i="5"/>
  <c r="N69" i="5"/>
  <c r="N70" i="5"/>
  <c r="N71" i="5"/>
  <c r="N72" i="5"/>
  <c r="N73" i="5"/>
  <c r="N76" i="5"/>
  <c r="N77" i="5"/>
  <c r="N78" i="5"/>
  <c r="N85" i="5"/>
  <c r="N86" i="5"/>
  <c r="N87" i="5"/>
  <c r="N88" i="5"/>
  <c r="N91" i="5"/>
  <c r="N92" i="5"/>
  <c r="N93" i="5"/>
  <c r="N94" i="5"/>
  <c r="N95" i="5"/>
  <c r="N96" i="5"/>
  <c r="N98" i="5"/>
  <c r="N99" i="5"/>
  <c r="N100" i="5"/>
  <c r="N101" i="5"/>
  <c r="N102" i="5"/>
  <c r="N103" i="5"/>
  <c r="N104" i="5"/>
  <c r="N105" i="5"/>
  <c r="N106" i="5"/>
  <c r="N107" i="5"/>
  <c r="N108" i="5"/>
  <c r="N109" i="5"/>
  <c r="N110" i="5"/>
  <c r="N111" i="5"/>
  <c r="N112" i="5"/>
  <c r="N113" i="5"/>
  <c r="N114" i="5"/>
  <c r="N115" i="5"/>
  <c r="N116" i="5"/>
  <c r="N117" i="5"/>
  <c r="N3" i="5"/>
  <c r="G4" i="15"/>
  <c r="H4" i="15" s="1"/>
  <c r="G3" i="15"/>
  <c r="H3" i="15" s="1"/>
  <c r="R1101" i="5"/>
  <c r="R1100" i="5"/>
  <c r="R1099" i="5"/>
  <c r="R1098" i="5"/>
  <c r="R1097" i="5"/>
  <c r="R1096" i="5"/>
  <c r="R1095" i="5"/>
  <c r="R1094" i="5"/>
  <c r="R1093" i="5"/>
  <c r="R1092" i="5"/>
  <c r="R1091" i="5"/>
  <c r="R1090" i="5"/>
  <c r="R1089" i="5"/>
  <c r="R1088" i="5"/>
  <c r="R1087" i="5"/>
  <c r="R1086" i="5"/>
  <c r="R1085" i="5"/>
  <c r="R1084" i="5"/>
  <c r="R1083" i="5"/>
  <c r="R1082" i="5"/>
  <c r="R1081" i="5"/>
  <c r="R1080" i="5"/>
  <c r="R1079" i="5"/>
  <c r="R1078" i="5"/>
  <c r="R1077" i="5"/>
  <c r="R1076" i="5"/>
  <c r="R1075" i="5"/>
  <c r="R1074" i="5"/>
  <c r="R1073" i="5"/>
  <c r="R1072" i="5"/>
  <c r="R1071" i="5"/>
  <c r="R1070" i="5"/>
  <c r="R1069" i="5"/>
  <c r="R1068" i="5"/>
  <c r="R1067" i="5"/>
  <c r="R1066" i="5"/>
  <c r="R1065" i="5"/>
  <c r="R1064" i="5"/>
  <c r="R1063" i="5"/>
  <c r="R1062" i="5"/>
  <c r="R1061" i="5"/>
  <c r="R1060" i="5"/>
  <c r="R1059" i="5"/>
  <c r="R1058" i="5"/>
  <c r="R1057" i="5"/>
  <c r="R1056" i="5"/>
  <c r="R1055" i="5"/>
  <c r="R1054" i="5"/>
  <c r="R1053" i="5"/>
  <c r="R1052" i="5"/>
  <c r="R1051" i="5"/>
  <c r="R1050" i="5"/>
  <c r="R1049" i="5"/>
  <c r="R1048" i="5"/>
  <c r="R1047" i="5"/>
  <c r="R1046" i="5"/>
  <c r="R1045" i="5"/>
  <c r="R1044" i="5"/>
  <c r="R1043" i="5"/>
  <c r="R1042" i="5"/>
  <c r="R1041" i="5"/>
  <c r="R1040" i="5"/>
  <c r="R1039" i="5"/>
  <c r="R1038" i="5"/>
  <c r="R1037" i="5"/>
  <c r="R1036" i="5"/>
  <c r="R1035" i="5"/>
  <c r="R1034" i="5"/>
  <c r="R1033" i="5"/>
  <c r="R1032" i="5"/>
  <c r="R1031" i="5"/>
  <c r="R1030" i="5"/>
  <c r="R1029" i="5"/>
  <c r="R1028" i="5"/>
  <c r="R1027" i="5"/>
  <c r="R1026" i="5"/>
  <c r="R1025" i="5"/>
  <c r="R1024" i="5"/>
  <c r="R1023" i="5"/>
  <c r="R1022" i="5"/>
  <c r="R1021" i="5"/>
  <c r="R1020" i="5"/>
  <c r="R1019" i="5"/>
  <c r="R1018" i="5"/>
  <c r="R1017" i="5"/>
  <c r="R1016" i="5"/>
  <c r="R1015" i="5"/>
  <c r="R1014" i="5"/>
  <c r="R1013" i="5"/>
  <c r="R1012" i="5"/>
  <c r="R1011" i="5"/>
  <c r="R1010" i="5"/>
  <c r="R1009" i="5"/>
  <c r="R1008" i="5"/>
  <c r="R1007" i="5"/>
  <c r="R1006" i="5"/>
  <c r="R1005" i="5"/>
  <c r="R1004" i="5"/>
  <c r="R1003" i="5"/>
  <c r="R1002" i="5"/>
  <c r="R1001" i="5"/>
  <c r="R1000" i="5"/>
  <c r="R999" i="5"/>
  <c r="R998" i="5"/>
  <c r="R997" i="5"/>
  <c r="R996" i="5"/>
  <c r="R995" i="5"/>
  <c r="R994" i="5"/>
  <c r="R993" i="5"/>
  <c r="R992" i="5"/>
  <c r="R991" i="5"/>
  <c r="R990" i="5"/>
  <c r="R989" i="5"/>
  <c r="R988" i="5"/>
  <c r="R987" i="5"/>
  <c r="R986" i="5"/>
  <c r="R985" i="5"/>
  <c r="R984" i="5"/>
  <c r="R983" i="5"/>
  <c r="R982" i="5"/>
  <c r="R981" i="5"/>
  <c r="R980" i="5"/>
  <c r="R979" i="5"/>
  <c r="R978" i="5"/>
  <c r="R977" i="5"/>
  <c r="R976" i="5"/>
  <c r="R975" i="5"/>
  <c r="R974" i="5"/>
  <c r="R973" i="5"/>
  <c r="R972" i="5"/>
  <c r="R971" i="5"/>
  <c r="R970" i="5"/>
  <c r="R969" i="5"/>
  <c r="R968" i="5"/>
  <c r="R967" i="5"/>
  <c r="R966" i="5"/>
  <c r="R965" i="5"/>
  <c r="R964" i="5"/>
  <c r="R963" i="5"/>
  <c r="R962" i="5"/>
  <c r="R961" i="5"/>
  <c r="R960" i="5"/>
  <c r="R959" i="5"/>
  <c r="R958" i="5"/>
  <c r="R957" i="5"/>
  <c r="R956" i="5"/>
  <c r="R955" i="5"/>
  <c r="R954" i="5"/>
  <c r="R953" i="5"/>
  <c r="R952" i="5"/>
  <c r="R951" i="5"/>
  <c r="R950" i="5"/>
  <c r="R949" i="5"/>
  <c r="R948" i="5"/>
  <c r="R947" i="5"/>
  <c r="R946" i="5"/>
  <c r="R945" i="5"/>
  <c r="R944" i="5"/>
  <c r="R943" i="5"/>
  <c r="R942" i="5"/>
  <c r="R941" i="5"/>
  <c r="R940" i="5"/>
  <c r="R939" i="5"/>
  <c r="R938" i="5"/>
  <c r="R937" i="5"/>
  <c r="R936" i="5"/>
  <c r="R935" i="5"/>
  <c r="R934" i="5"/>
  <c r="R933" i="5"/>
  <c r="R932" i="5"/>
  <c r="R931" i="5"/>
  <c r="R930" i="5"/>
  <c r="R929" i="5"/>
  <c r="R928" i="5"/>
  <c r="R927" i="5"/>
  <c r="R926" i="5"/>
  <c r="R925" i="5"/>
  <c r="R924" i="5"/>
  <c r="R923" i="5"/>
  <c r="R922" i="5"/>
  <c r="R921" i="5"/>
  <c r="R920" i="5"/>
  <c r="R919" i="5"/>
  <c r="R918" i="5"/>
  <c r="R917" i="5"/>
  <c r="R916" i="5"/>
  <c r="R915" i="5"/>
  <c r="R914" i="5"/>
  <c r="R913" i="5"/>
  <c r="R912" i="5"/>
  <c r="R911" i="5"/>
  <c r="R910" i="5"/>
  <c r="R909" i="5"/>
  <c r="R908" i="5"/>
  <c r="R907" i="5"/>
  <c r="R906" i="5"/>
  <c r="R905" i="5"/>
  <c r="R904" i="5"/>
  <c r="R903" i="5"/>
  <c r="R902" i="5"/>
  <c r="R901" i="5"/>
  <c r="R900" i="5"/>
  <c r="R899" i="5"/>
  <c r="R898" i="5"/>
  <c r="R897" i="5"/>
  <c r="R896" i="5"/>
  <c r="R895" i="5"/>
  <c r="R894" i="5"/>
  <c r="R893" i="5"/>
  <c r="R892" i="5"/>
  <c r="R891" i="5"/>
  <c r="R890" i="5"/>
  <c r="R889" i="5"/>
  <c r="R888" i="5"/>
  <c r="R887" i="5"/>
  <c r="R886" i="5"/>
  <c r="R885" i="5"/>
  <c r="R884" i="5"/>
  <c r="R883" i="5"/>
  <c r="R882" i="5"/>
  <c r="R881" i="5"/>
  <c r="R880" i="5"/>
  <c r="R879" i="5"/>
  <c r="R878" i="5"/>
  <c r="R877" i="5"/>
  <c r="R876" i="5"/>
  <c r="R875" i="5"/>
  <c r="R874" i="5"/>
  <c r="R873" i="5"/>
  <c r="R872" i="5"/>
  <c r="R871" i="5"/>
  <c r="R870" i="5"/>
  <c r="R869" i="5"/>
  <c r="R868" i="5"/>
  <c r="R867" i="5"/>
  <c r="R866" i="5"/>
  <c r="R865" i="5"/>
  <c r="R864" i="5"/>
  <c r="R863" i="5"/>
  <c r="R862" i="5"/>
  <c r="R861" i="5"/>
  <c r="R860" i="5"/>
  <c r="R859" i="5"/>
  <c r="R858" i="5"/>
  <c r="R857" i="5"/>
  <c r="R856" i="5"/>
  <c r="R855" i="5"/>
  <c r="R854" i="5"/>
  <c r="R853" i="5"/>
  <c r="R852" i="5"/>
  <c r="R851" i="5"/>
  <c r="R850" i="5"/>
  <c r="R849" i="5"/>
  <c r="R848" i="5"/>
  <c r="R847" i="5"/>
  <c r="R846" i="5"/>
  <c r="R845" i="5"/>
  <c r="R844" i="5"/>
  <c r="R843" i="5"/>
  <c r="R842" i="5"/>
  <c r="R841" i="5"/>
  <c r="R840" i="5"/>
  <c r="R839" i="5"/>
  <c r="R838" i="5"/>
  <c r="R837" i="5"/>
  <c r="R836" i="5"/>
  <c r="R835" i="5"/>
  <c r="R834" i="5"/>
  <c r="R833" i="5"/>
  <c r="R832" i="5"/>
  <c r="R831" i="5"/>
  <c r="R830" i="5"/>
  <c r="R829" i="5"/>
  <c r="R828" i="5"/>
  <c r="R827" i="5"/>
  <c r="R826" i="5"/>
  <c r="R825" i="5"/>
  <c r="R824" i="5"/>
  <c r="R823" i="5"/>
  <c r="R822" i="5"/>
  <c r="R821" i="5"/>
  <c r="R820" i="5"/>
  <c r="R819" i="5"/>
  <c r="R818" i="5"/>
  <c r="R817" i="5"/>
  <c r="R816" i="5"/>
  <c r="R815" i="5"/>
  <c r="R814" i="5"/>
  <c r="R813" i="5"/>
  <c r="R812" i="5"/>
  <c r="R811" i="5"/>
  <c r="R810" i="5"/>
  <c r="R809" i="5"/>
  <c r="R808" i="5"/>
  <c r="R807" i="5"/>
  <c r="R806" i="5"/>
  <c r="R805" i="5"/>
  <c r="R804" i="5"/>
  <c r="R803" i="5"/>
  <c r="R802" i="5"/>
  <c r="R801" i="5"/>
  <c r="R800" i="5"/>
  <c r="R799" i="5"/>
  <c r="R798" i="5"/>
  <c r="R797" i="5"/>
  <c r="R796" i="5"/>
  <c r="R795" i="5"/>
  <c r="R794" i="5"/>
  <c r="R793" i="5"/>
  <c r="R792" i="5"/>
  <c r="R791" i="5"/>
  <c r="R790" i="5"/>
  <c r="R789" i="5"/>
  <c r="R788" i="5"/>
  <c r="R787" i="5"/>
  <c r="R786" i="5"/>
  <c r="R785" i="5"/>
  <c r="R784" i="5"/>
  <c r="R783" i="5"/>
  <c r="R782" i="5"/>
  <c r="R781" i="5"/>
  <c r="R780" i="5"/>
  <c r="R779" i="5"/>
  <c r="R778" i="5"/>
  <c r="R777" i="5"/>
  <c r="R776" i="5"/>
  <c r="R775" i="5"/>
  <c r="R774" i="5"/>
  <c r="R773" i="5"/>
  <c r="R772" i="5"/>
  <c r="R771" i="5"/>
  <c r="R770" i="5"/>
  <c r="R769" i="5"/>
  <c r="R768" i="5"/>
  <c r="R767" i="5"/>
  <c r="R766" i="5"/>
  <c r="R765" i="5"/>
  <c r="R764" i="5"/>
  <c r="R763" i="5"/>
  <c r="R762" i="5"/>
  <c r="R761" i="5"/>
  <c r="R760" i="5"/>
  <c r="R759" i="5"/>
  <c r="R758" i="5"/>
  <c r="R757" i="5"/>
  <c r="R756" i="5"/>
  <c r="R755" i="5"/>
  <c r="R754" i="5"/>
  <c r="R753" i="5"/>
  <c r="R752" i="5"/>
  <c r="R751" i="5"/>
  <c r="R750" i="5"/>
  <c r="R749" i="5"/>
  <c r="R748" i="5"/>
  <c r="R747" i="5"/>
  <c r="R746" i="5"/>
  <c r="R745" i="5"/>
  <c r="R744" i="5"/>
  <c r="R743" i="5"/>
  <c r="R742" i="5"/>
  <c r="R741" i="5"/>
  <c r="R740" i="5"/>
  <c r="R739" i="5"/>
  <c r="R738" i="5"/>
  <c r="R737" i="5"/>
  <c r="R736" i="5"/>
  <c r="R735" i="5"/>
  <c r="R734" i="5"/>
  <c r="R733" i="5"/>
  <c r="R732" i="5"/>
  <c r="R731" i="5"/>
  <c r="R730" i="5"/>
  <c r="R729" i="5"/>
  <c r="R728" i="5"/>
  <c r="R727" i="5"/>
  <c r="R726" i="5"/>
  <c r="R725" i="5"/>
  <c r="R724" i="5"/>
  <c r="R723" i="5"/>
  <c r="R722" i="5"/>
  <c r="R721" i="5"/>
  <c r="R720" i="5"/>
  <c r="R719" i="5"/>
  <c r="R718" i="5"/>
  <c r="R717" i="5"/>
  <c r="R716" i="5"/>
  <c r="R715" i="5"/>
  <c r="R714" i="5"/>
  <c r="R713" i="5"/>
  <c r="R712" i="5"/>
  <c r="R711" i="5"/>
  <c r="R710" i="5"/>
  <c r="R709" i="5"/>
  <c r="R708" i="5"/>
  <c r="R707" i="5"/>
  <c r="R706" i="5"/>
  <c r="R705" i="5"/>
  <c r="R704" i="5"/>
  <c r="R703" i="5"/>
  <c r="R702" i="5"/>
  <c r="R701" i="5"/>
  <c r="R700" i="5"/>
  <c r="R699" i="5"/>
  <c r="R698" i="5"/>
  <c r="R697" i="5"/>
  <c r="R696" i="5"/>
  <c r="R695" i="5"/>
  <c r="R694" i="5"/>
  <c r="R693" i="5"/>
  <c r="R692" i="5"/>
  <c r="R691" i="5"/>
  <c r="R690" i="5"/>
  <c r="R689" i="5"/>
  <c r="R688" i="5"/>
  <c r="R687" i="5"/>
  <c r="R686" i="5"/>
  <c r="R685" i="5"/>
  <c r="R684" i="5"/>
  <c r="R683" i="5"/>
  <c r="R682" i="5"/>
  <c r="R681" i="5"/>
  <c r="R680" i="5"/>
  <c r="R679" i="5"/>
  <c r="R678" i="5"/>
  <c r="R677" i="5"/>
  <c r="R676" i="5"/>
  <c r="R675" i="5"/>
  <c r="R674" i="5"/>
  <c r="R673" i="5"/>
  <c r="R672" i="5"/>
  <c r="R671" i="5"/>
  <c r="R670" i="5"/>
  <c r="R669" i="5"/>
  <c r="R668" i="5"/>
  <c r="R667" i="5"/>
  <c r="R666" i="5"/>
  <c r="R665" i="5"/>
  <c r="R664" i="5"/>
  <c r="R663" i="5"/>
  <c r="R662" i="5"/>
  <c r="R661" i="5"/>
  <c r="R660" i="5"/>
  <c r="R659" i="5"/>
  <c r="R658" i="5"/>
  <c r="R657" i="5"/>
  <c r="R656" i="5"/>
  <c r="R655" i="5"/>
  <c r="R654" i="5"/>
  <c r="R653" i="5"/>
  <c r="R652" i="5"/>
  <c r="R651" i="5"/>
  <c r="R650" i="5"/>
  <c r="R649" i="5"/>
  <c r="R648" i="5"/>
  <c r="R647" i="5"/>
  <c r="R646" i="5"/>
  <c r="R645" i="5"/>
  <c r="R644" i="5"/>
  <c r="R643" i="5"/>
  <c r="R642" i="5"/>
  <c r="R641" i="5"/>
  <c r="R640" i="5"/>
  <c r="R639" i="5"/>
  <c r="R638" i="5"/>
  <c r="R637" i="5"/>
  <c r="R636" i="5"/>
  <c r="R635" i="5"/>
  <c r="R634" i="5"/>
  <c r="R633" i="5"/>
  <c r="R632" i="5"/>
  <c r="R631" i="5"/>
  <c r="R630" i="5"/>
  <c r="R629" i="5"/>
  <c r="R628" i="5"/>
  <c r="R627" i="5"/>
  <c r="R626" i="5"/>
  <c r="R625" i="5"/>
  <c r="R624" i="5"/>
  <c r="R623" i="5"/>
  <c r="R622" i="5"/>
  <c r="R621" i="5"/>
  <c r="R620" i="5"/>
  <c r="R619" i="5"/>
  <c r="R618" i="5"/>
  <c r="R617" i="5"/>
  <c r="R616" i="5"/>
  <c r="R615" i="5"/>
  <c r="R614" i="5"/>
  <c r="R613" i="5"/>
  <c r="R612" i="5"/>
  <c r="R611" i="5"/>
  <c r="R610" i="5"/>
  <c r="R609" i="5"/>
  <c r="R608" i="5"/>
  <c r="R607" i="5"/>
  <c r="R606" i="5"/>
  <c r="R605" i="5"/>
  <c r="R604" i="5"/>
  <c r="R603" i="5"/>
  <c r="R602" i="5"/>
  <c r="R601" i="5"/>
  <c r="R600" i="5"/>
  <c r="R599" i="5"/>
  <c r="R598" i="5"/>
  <c r="R597" i="5"/>
  <c r="R596" i="5"/>
  <c r="R595" i="5"/>
  <c r="R594" i="5"/>
  <c r="R593" i="5"/>
  <c r="R592" i="5"/>
  <c r="R591" i="5"/>
  <c r="R590" i="5"/>
  <c r="R589" i="5"/>
  <c r="R588" i="5"/>
  <c r="R587" i="5"/>
  <c r="R586" i="5"/>
  <c r="R585" i="5"/>
  <c r="R584" i="5"/>
  <c r="R583" i="5"/>
  <c r="R582" i="5"/>
  <c r="R581" i="5"/>
  <c r="R580" i="5"/>
  <c r="R579" i="5"/>
  <c r="R578" i="5"/>
  <c r="R577" i="5"/>
  <c r="R576" i="5"/>
  <c r="R575" i="5"/>
  <c r="R574" i="5"/>
  <c r="R573" i="5"/>
  <c r="R572" i="5"/>
  <c r="R571" i="5"/>
  <c r="R570" i="5"/>
  <c r="R569" i="5"/>
  <c r="R568" i="5"/>
  <c r="R567" i="5"/>
  <c r="R566" i="5"/>
  <c r="R565" i="5"/>
  <c r="R564" i="5"/>
  <c r="R563" i="5"/>
  <c r="R562" i="5"/>
  <c r="R561" i="5"/>
  <c r="R560" i="5"/>
  <c r="R559" i="5"/>
  <c r="R558" i="5"/>
  <c r="R557" i="5"/>
  <c r="R556" i="5"/>
  <c r="R555" i="5"/>
  <c r="R554" i="5"/>
  <c r="R553" i="5"/>
  <c r="R552" i="5"/>
  <c r="R551" i="5"/>
  <c r="R550" i="5"/>
  <c r="R549" i="5"/>
  <c r="R548" i="5"/>
  <c r="R547" i="5"/>
  <c r="R546" i="5"/>
  <c r="R545" i="5"/>
  <c r="R544" i="5"/>
  <c r="R543" i="5"/>
  <c r="R542" i="5"/>
  <c r="R541" i="5"/>
  <c r="R540" i="5"/>
  <c r="R539" i="5"/>
  <c r="R538" i="5"/>
  <c r="R537" i="5"/>
  <c r="R536" i="5"/>
  <c r="R535" i="5"/>
  <c r="R534" i="5"/>
  <c r="R533" i="5"/>
  <c r="R532" i="5"/>
  <c r="R531" i="5"/>
  <c r="R530" i="5"/>
  <c r="R529" i="5"/>
  <c r="R528" i="5"/>
  <c r="R527" i="5"/>
  <c r="R526" i="5"/>
  <c r="R525" i="5"/>
  <c r="R524" i="5"/>
  <c r="R523" i="5"/>
  <c r="R522" i="5"/>
  <c r="R521" i="5"/>
  <c r="R520" i="5"/>
  <c r="R519" i="5"/>
  <c r="R518" i="5"/>
  <c r="R517" i="5"/>
  <c r="R516" i="5"/>
  <c r="R515" i="5"/>
  <c r="R514" i="5"/>
  <c r="R513" i="5"/>
  <c r="R512" i="5"/>
  <c r="R511" i="5"/>
  <c r="R510" i="5"/>
  <c r="R509" i="5"/>
  <c r="R508" i="5"/>
  <c r="R507" i="5"/>
  <c r="R506" i="5"/>
  <c r="R505" i="5"/>
  <c r="R504" i="5"/>
  <c r="R503" i="5"/>
  <c r="R502" i="5"/>
  <c r="R501" i="5"/>
  <c r="R500" i="5"/>
  <c r="R499" i="5"/>
  <c r="R498" i="5"/>
  <c r="R497" i="5"/>
  <c r="R496" i="5"/>
  <c r="R495" i="5"/>
  <c r="R494" i="5"/>
  <c r="R493" i="5"/>
  <c r="R492" i="5"/>
  <c r="R491" i="5"/>
  <c r="R490" i="5"/>
  <c r="R489" i="5"/>
  <c r="R488" i="5"/>
  <c r="R487" i="5"/>
  <c r="R486" i="5"/>
  <c r="R485" i="5"/>
  <c r="R484" i="5"/>
  <c r="R483" i="5"/>
  <c r="R482" i="5"/>
  <c r="R481" i="5"/>
  <c r="R480" i="5"/>
  <c r="R479" i="5"/>
  <c r="R478" i="5"/>
  <c r="R477" i="5"/>
  <c r="R476" i="5"/>
  <c r="R475" i="5"/>
  <c r="R474" i="5"/>
  <c r="R473" i="5"/>
  <c r="R472" i="5"/>
  <c r="R471" i="5"/>
  <c r="R470" i="5"/>
  <c r="R469" i="5"/>
  <c r="R468" i="5"/>
  <c r="R467" i="5"/>
  <c r="R466" i="5"/>
  <c r="R465" i="5"/>
  <c r="R464" i="5"/>
  <c r="R463" i="5"/>
  <c r="R462" i="5"/>
  <c r="R461" i="5"/>
  <c r="R460" i="5"/>
  <c r="R459" i="5"/>
  <c r="R458" i="5"/>
  <c r="R457" i="5"/>
  <c r="R456" i="5"/>
  <c r="R455" i="5"/>
  <c r="R454" i="5"/>
  <c r="R453" i="5"/>
  <c r="R452" i="5"/>
  <c r="R451" i="5"/>
  <c r="R450" i="5"/>
  <c r="R449" i="5"/>
  <c r="R448" i="5"/>
  <c r="R447" i="5"/>
  <c r="R446" i="5"/>
  <c r="R445" i="5"/>
  <c r="R444" i="5"/>
  <c r="R443" i="5"/>
  <c r="R442" i="5"/>
  <c r="R441" i="5"/>
  <c r="R440" i="5"/>
  <c r="R439" i="5"/>
  <c r="R438" i="5"/>
  <c r="R437" i="5"/>
  <c r="R436" i="5"/>
  <c r="R435" i="5"/>
  <c r="R434" i="5"/>
  <c r="R433" i="5"/>
  <c r="R432" i="5"/>
  <c r="R431" i="5"/>
  <c r="R430" i="5"/>
  <c r="R429" i="5"/>
  <c r="R428" i="5"/>
  <c r="R427" i="5"/>
  <c r="R426" i="5"/>
  <c r="R425" i="5"/>
  <c r="R424" i="5"/>
  <c r="R423" i="5"/>
  <c r="R422" i="5"/>
  <c r="R421" i="5"/>
  <c r="R420" i="5"/>
  <c r="R419" i="5"/>
  <c r="R418" i="5"/>
  <c r="R417" i="5"/>
  <c r="R416" i="5"/>
  <c r="R415" i="5"/>
  <c r="R414" i="5"/>
  <c r="R413" i="5"/>
  <c r="R412" i="5"/>
  <c r="R411" i="5"/>
  <c r="R410" i="5"/>
  <c r="R409" i="5"/>
  <c r="R408" i="5"/>
  <c r="R407" i="5"/>
  <c r="R406" i="5"/>
  <c r="R405" i="5"/>
  <c r="R404" i="5"/>
  <c r="R403" i="5"/>
  <c r="R402" i="5"/>
  <c r="R401" i="5"/>
  <c r="R400" i="5"/>
  <c r="R399" i="5"/>
  <c r="R398" i="5"/>
  <c r="R397" i="5"/>
  <c r="R396" i="5"/>
  <c r="R395" i="5"/>
  <c r="R394" i="5"/>
  <c r="R393" i="5"/>
  <c r="R392" i="5"/>
  <c r="R391" i="5"/>
  <c r="R390" i="5"/>
  <c r="R389" i="5"/>
  <c r="R388" i="5"/>
  <c r="R387" i="5"/>
  <c r="R386" i="5"/>
  <c r="R385" i="5"/>
  <c r="R384" i="5"/>
  <c r="R383" i="5"/>
  <c r="R382" i="5"/>
  <c r="R381" i="5"/>
  <c r="R380" i="5"/>
  <c r="R379" i="5"/>
  <c r="R378" i="5"/>
  <c r="R377" i="5"/>
  <c r="R376" i="5"/>
  <c r="R375" i="5"/>
  <c r="R374" i="5"/>
  <c r="R373" i="5"/>
  <c r="R372" i="5"/>
  <c r="R371" i="5"/>
  <c r="R370" i="5"/>
  <c r="R369" i="5"/>
  <c r="R368" i="5"/>
  <c r="R367" i="5"/>
  <c r="R366" i="5"/>
  <c r="R365" i="5"/>
  <c r="R364" i="5"/>
  <c r="R363" i="5"/>
  <c r="R362" i="5"/>
  <c r="R361" i="5"/>
  <c r="R360" i="5"/>
  <c r="R359" i="5"/>
  <c r="R358" i="5"/>
  <c r="R357" i="5"/>
  <c r="R356" i="5"/>
  <c r="R355" i="5"/>
  <c r="R354" i="5"/>
  <c r="R353" i="5"/>
  <c r="R352" i="5"/>
  <c r="R351" i="5"/>
  <c r="R350" i="5"/>
  <c r="R349" i="5"/>
  <c r="R348" i="5"/>
  <c r="R347" i="5"/>
  <c r="R346" i="5"/>
  <c r="R345" i="5"/>
  <c r="R344" i="5"/>
  <c r="R343" i="5"/>
  <c r="R342" i="5"/>
  <c r="R341" i="5"/>
  <c r="R340" i="5"/>
  <c r="R339" i="5"/>
  <c r="R338" i="5"/>
  <c r="R337" i="5"/>
  <c r="R336" i="5"/>
  <c r="R335" i="5"/>
  <c r="R334" i="5"/>
  <c r="R333" i="5"/>
  <c r="R332" i="5"/>
  <c r="R331" i="5"/>
  <c r="R330" i="5"/>
  <c r="R329" i="5"/>
  <c r="R328" i="5"/>
  <c r="R327" i="5"/>
  <c r="R326" i="5"/>
  <c r="R325" i="5"/>
  <c r="R324" i="5"/>
  <c r="R323" i="5"/>
  <c r="R322" i="5"/>
  <c r="R321" i="5"/>
  <c r="R320" i="5"/>
  <c r="R319" i="5"/>
  <c r="R318" i="5"/>
  <c r="R317" i="5"/>
  <c r="R316" i="5"/>
  <c r="R315" i="5"/>
  <c r="R314" i="5"/>
  <c r="R313" i="5"/>
  <c r="R312" i="5"/>
  <c r="R311" i="5"/>
  <c r="R310" i="5"/>
  <c r="R309" i="5"/>
  <c r="R308" i="5"/>
  <c r="R307" i="5"/>
  <c r="R306" i="5"/>
  <c r="R305" i="5"/>
  <c r="R304" i="5"/>
  <c r="R303" i="5"/>
  <c r="R302" i="5"/>
  <c r="R301" i="5"/>
  <c r="R300" i="5"/>
  <c r="R299" i="5"/>
  <c r="R298" i="5"/>
  <c r="R297" i="5"/>
  <c r="R296" i="5"/>
  <c r="R295" i="5"/>
  <c r="R294" i="5"/>
  <c r="R293" i="5"/>
  <c r="R292" i="5"/>
  <c r="R291" i="5"/>
  <c r="R290" i="5"/>
  <c r="R289" i="5"/>
  <c r="R288" i="5"/>
  <c r="R287" i="5"/>
  <c r="R286" i="5"/>
  <c r="R285" i="5"/>
  <c r="R284" i="5"/>
  <c r="R283" i="5"/>
  <c r="R282" i="5"/>
  <c r="R281" i="5"/>
  <c r="R280" i="5"/>
  <c r="R279" i="5"/>
  <c r="R278" i="5"/>
  <c r="R277" i="5"/>
  <c r="R276" i="5"/>
  <c r="R275" i="5"/>
  <c r="R274" i="5"/>
  <c r="R273" i="5"/>
  <c r="R272" i="5"/>
  <c r="R271" i="5"/>
  <c r="R270" i="5"/>
  <c r="R269" i="5"/>
  <c r="R268" i="5"/>
  <c r="R267" i="5"/>
  <c r="R266" i="5"/>
  <c r="R265" i="5"/>
  <c r="R264" i="5"/>
  <c r="R263" i="5"/>
  <c r="R262" i="5"/>
  <c r="R261" i="5"/>
  <c r="R260" i="5"/>
  <c r="R259" i="5"/>
  <c r="R258" i="5"/>
  <c r="R257" i="5"/>
  <c r="R256" i="5"/>
  <c r="R255" i="5"/>
  <c r="R254" i="5"/>
  <c r="R253" i="5"/>
  <c r="R252" i="5"/>
  <c r="R251" i="5"/>
  <c r="R250" i="5"/>
  <c r="R249" i="5"/>
  <c r="R248" i="5"/>
  <c r="R247" i="5"/>
  <c r="R246" i="5"/>
  <c r="R245" i="5"/>
  <c r="R244" i="5"/>
  <c r="R243" i="5"/>
  <c r="R242" i="5"/>
  <c r="R241" i="5"/>
  <c r="R240" i="5"/>
  <c r="R239" i="5"/>
  <c r="R238" i="5"/>
  <c r="R237" i="5"/>
  <c r="R236" i="5"/>
  <c r="R235" i="5"/>
  <c r="R234" i="5"/>
  <c r="R233" i="5"/>
  <c r="R232" i="5"/>
  <c r="R231" i="5"/>
  <c r="R230" i="5"/>
  <c r="R229" i="5"/>
  <c r="R228" i="5"/>
  <c r="R227" i="5"/>
  <c r="R226" i="5"/>
  <c r="R225" i="5"/>
  <c r="R224" i="5"/>
  <c r="R223" i="5"/>
  <c r="R222" i="5"/>
  <c r="R221" i="5"/>
  <c r="R220" i="5"/>
  <c r="R219" i="5"/>
  <c r="R218" i="5"/>
  <c r="R217" i="5"/>
  <c r="R216" i="5"/>
  <c r="R215" i="5"/>
  <c r="R214" i="5"/>
  <c r="R213" i="5"/>
  <c r="R212" i="5"/>
  <c r="R211" i="5"/>
  <c r="R210" i="5"/>
  <c r="R209" i="5"/>
  <c r="R208" i="5"/>
  <c r="R207" i="5"/>
  <c r="R206" i="5"/>
  <c r="R205" i="5"/>
  <c r="R204" i="5"/>
  <c r="R203" i="5"/>
  <c r="R202" i="5"/>
  <c r="R201" i="5"/>
  <c r="R200" i="5"/>
  <c r="R199" i="5"/>
  <c r="R198" i="5"/>
  <c r="R197" i="5"/>
  <c r="R196" i="5"/>
  <c r="R195" i="5"/>
  <c r="R194" i="5"/>
  <c r="R193" i="5"/>
  <c r="R192" i="5"/>
  <c r="R191" i="5"/>
  <c r="R190" i="5"/>
  <c r="R189" i="5"/>
  <c r="R188" i="5"/>
  <c r="R187" i="5"/>
  <c r="R186" i="5"/>
  <c r="R185" i="5"/>
  <c r="R184" i="5"/>
  <c r="R183" i="5"/>
  <c r="R182" i="5"/>
  <c r="R181" i="5"/>
  <c r="R180" i="5"/>
  <c r="R179" i="5"/>
  <c r="R178" i="5"/>
  <c r="R177" i="5"/>
  <c r="R176" i="5"/>
  <c r="R175" i="5"/>
  <c r="R174" i="5"/>
  <c r="R173" i="5"/>
  <c r="R172" i="5"/>
  <c r="R171" i="5"/>
  <c r="R170" i="5"/>
  <c r="R169" i="5"/>
  <c r="R168" i="5"/>
  <c r="R167" i="5"/>
  <c r="R166" i="5"/>
  <c r="R165" i="5"/>
  <c r="R164" i="5"/>
  <c r="R163" i="5"/>
  <c r="R162" i="5"/>
  <c r="R161" i="5"/>
  <c r="R160" i="5"/>
  <c r="R159" i="5"/>
  <c r="R158" i="5"/>
  <c r="R157" i="5"/>
  <c r="R156" i="5"/>
  <c r="R155" i="5"/>
  <c r="R154" i="5"/>
  <c r="R153" i="5"/>
  <c r="R152" i="5"/>
  <c r="R151" i="5"/>
  <c r="R150" i="5"/>
  <c r="R149" i="5"/>
  <c r="R148" i="5"/>
  <c r="R147" i="5"/>
  <c r="R146" i="5"/>
  <c r="R145" i="5"/>
  <c r="R144" i="5"/>
  <c r="R143" i="5"/>
  <c r="R142" i="5"/>
  <c r="R141" i="5"/>
  <c r="R140" i="5"/>
  <c r="R139" i="5"/>
  <c r="R138" i="5"/>
  <c r="R137" i="5"/>
  <c r="R136" i="5"/>
  <c r="R135" i="5"/>
  <c r="R134" i="5"/>
  <c r="R133" i="5"/>
  <c r="R132" i="5"/>
  <c r="R131" i="5"/>
  <c r="R130" i="5"/>
  <c r="R129" i="5"/>
  <c r="R128" i="5"/>
  <c r="R127" i="5"/>
  <c r="R126" i="5"/>
  <c r="R125" i="5"/>
  <c r="R124" i="5"/>
  <c r="R123" i="5"/>
  <c r="R122" i="5"/>
  <c r="R121" i="5"/>
  <c r="R120" i="5"/>
  <c r="T119" i="5"/>
  <c r="N119" i="5" s="1"/>
  <c r="T118" i="5"/>
  <c r="N118" i="5" s="1"/>
  <c r="S81" i="5"/>
  <c r="T56" i="5"/>
  <c r="N56" i="5" s="1"/>
  <c r="T30" i="5"/>
  <c r="N30" i="5" s="1"/>
  <c r="S2" i="5"/>
  <c r="S73" i="5" s="1"/>
  <c r="R2" i="5"/>
  <c r="J45" i="16"/>
  <c r="J46" i="16"/>
  <c r="J47" i="16"/>
  <c r="J48" i="16"/>
  <c r="G5" i="15"/>
  <c r="H5" i="15" s="1"/>
  <c r="G6" i="15"/>
  <c r="H6" i="15"/>
  <c r="G7" i="15"/>
  <c r="H7" i="15"/>
  <c r="G8" i="15"/>
  <c r="H8" i="15" s="1"/>
  <c r="G9" i="15"/>
  <c r="H9" i="15"/>
  <c r="G10" i="15"/>
  <c r="H10" i="15"/>
  <c r="G11" i="15"/>
  <c r="H11" i="15" s="1"/>
  <c r="G12" i="15"/>
  <c r="H12" i="15" s="1"/>
  <c r="G13" i="15"/>
  <c r="H13" i="15" s="1"/>
  <c r="G14" i="15"/>
  <c r="H14" i="15" s="1"/>
  <c r="F45" i="16"/>
  <c r="D45" i="16"/>
  <c r="G45" i="16" l="1"/>
  <c r="E8" i="15"/>
  <c r="AE82" i="5" l="1"/>
  <c r="AE81" i="5"/>
  <c r="AE80" i="5"/>
  <c r="AE79" i="5"/>
  <c r="AE75" i="5"/>
  <c r="Z75" i="5" s="1"/>
  <c r="AE74" i="5"/>
  <c r="AP55" i="5"/>
  <c r="AP52" i="5"/>
  <c r="AP51" i="5"/>
  <c r="AP50" i="5"/>
  <c r="AP49" i="5"/>
  <c r="AP48" i="5"/>
  <c r="AP47" i="5"/>
  <c r="AP46" i="5"/>
  <c r="AP45" i="5"/>
  <c r="AP44" i="5"/>
  <c r="AP43" i="5"/>
  <c r="AP42" i="5"/>
  <c r="AP41" i="5"/>
  <c r="AP40" i="5"/>
  <c r="AP39" i="5"/>
  <c r="AP38" i="5"/>
  <c r="AP37" i="5"/>
  <c r="AP36" i="5"/>
  <c r="AP35" i="5"/>
  <c r="AP34" i="5"/>
  <c r="AP33" i="5"/>
  <c r="AP32" i="5"/>
  <c r="AP31" i="5"/>
  <c r="AP30" i="5"/>
  <c r="AP29" i="5"/>
  <c r="AP28" i="5"/>
  <c r="AP27" i="5"/>
  <c r="AP26" i="5"/>
  <c r="AP25" i="5"/>
  <c r="AP24" i="5"/>
  <c r="AP23" i="5"/>
  <c r="AP22" i="5"/>
  <c r="AP21" i="5"/>
  <c r="AP20" i="5"/>
  <c r="AP18" i="5"/>
  <c r="AP17" i="5"/>
  <c r="AP16" i="5"/>
  <c r="AP15" i="5"/>
  <c r="AP14" i="5"/>
  <c r="AP13" i="5"/>
  <c r="AP12" i="5"/>
  <c r="AP11" i="5"/>
  <c r="AP10" i="5"/>
  <c r="AP9" i="5"/>
  <c r="AP8" i="5"/>
  <c r="AP7" i="5"/>
  <c r="AP6" i="5"/>
  <c r="AP5" i="5"/>
  <c r="AP4" i="5"/>
  <c r="AP3" i="5"/>
  <c r="AK55" i="5"/>
  <c r="AK52" i="5"/>
  <c r="AK51" i="5"/>
  <c r="AK50" i="5"/>
  <c r="AK49" i="5"/>
  <c r="AK48" i="5"/>
  <c r="AK47" i="5"/>
  <c r="AK46" i="5"/>
  <c r="AK45" i="5"/>
  <c r="AK44" i="5"/>
  <c r="AK43" i="5"/>
  <c r="AK42" i="5"/>
  <c r="AK41" i="5"/>
  <c r="AK40" i="5"/>
  <c r="AK39" i="5"/>
  <c r="AK38" i="5"/>
  <c r="AK37" i="5"/>
  <c r="AK36" i="5"/>
  <c r="AK35" i="5"/>
  <c r="AK34" i="5"/>
  <c r="AK33" i="5"/>
  <c r="AK32" i="5"/>
  <c r="AK31" i="5"/>
  <c r="AK30" i="5"/>
  <c r="AK29" i="5"/>
  <c r="AK28" i="5"/>
  <c r="AK27" i="5"/>
  <c r="AK26" i="5"/>
  <c r="AK25" i="5"/>
  <c r="AK24" i="5"/>
  <c r="AK23" i="5"/>
  <c r="AK22" i="5"/>
  <c r="AK21" i="5"/>
  <c r="AK20" i="5"/>
  <c r="AK18" i="5"/>
  <c r="AK17" i="5"/>
  <c r="AK16" i="5"/>
  <c r="AK15" i="5"/>
  <c r="AK14" i="5"/>
  <c r="AK13" i="5"/>
  <c r="AK12" i="5"/>
  <c r="AK11" i="5"/>
  <c r="AK10" i="5"/>
  <c r="AK9" i="5"/>
  <c r="AK8" i="5"/>
  <c r="AK7" i="5"/>
  <c r="AK6" i="5"/>
  <c r="AK5" i="5"/>
  <c r="AK4" i="5"/>
  <c r="AK3" i="5"/>
  <c r="AF71" i="5"/>
  <c r="AF70" i="5"/>
  <c r="AF69" i="5"/>
  <c r="AF68" i="5"/>
  <c r="AF67" i="5"/>
  <c r="AF66" i="5"/>
  <c r="AF65" i="5"/>
  <c r="AF64" i="5"/>
  <c r="AF63" i="5"/>
  <c r="AF62" i="5"/>
  <c r="AF61" i="5"/>
  <c r="AF60" i="5"/>
  <c r="AF59" i="5"/>
  <c r="AF58" i="5"/>
  <c r="AF57" i="5"/>
  <c r="AF56" i="5"/>
  <c r="AF55" i="5"/>
  <c r="AF52" i="5"/>
  <c r="AF51" i="5"/>
  <c r="AF50" i="5"/>
  <c r="AF49" i="5"/>
  <c r="AF48" i="5"/>
  <c r="AF47" i="5"/>
  <c r="AF46" i="5"/>
  <c r="AF45" i="5"/>
  <c r="AF44" i="5"/>
  <c r="AF43" i="5"/>
  <c r="AF42" i="5"/>
  <c r="AF41" i="5"/>
  <c r="AF40" i="5"/>
  <c r="AF39" i="5"/>
  <c r="AF38" i="5"/>
  <c r="AF37" i="5"/>
  <c r="AF36" i="5"/>
  <c r="AF35" i="5"/>
  <c r="AF34" i="5"/>
  <c r="AF33" i="5"/>
  <c r="AF32" i="5"/>
  <c r="AF31" i="5"/>
  <c r="AF30" i="5"/>
  <c r="AF29" i="5"/>
  <c r="AF28" i="5"/>
  <c r="AF27" i="5"/>
  <c r="AF26" i="5"/>
  <c r="AF25" i="5"/>
  <c r="AF24" i="5"/>
  <c r="AF23" i="5"/>
  <c r="AF22" i="5"/>
  <c r="AF21" i="5"/>
  <c r="AF20" i="5"/>
  <c r="AF19" i="5"/>
  <c r="AF18" i="5"/>
  <c r="AF17" i="5"/>
  <c r="AF16" i="5"/>
  <c r="AF15" i="5"/>
  <c r="AF14" i="5"/>
  <c r="AF13" i="5"/>
  <c r="AF12" i="5"/>
  <c r="AF11" i="5"/>
  <c r="AF10" i="5"/>
  <c r="AF9" i="5"/>
  <c r="AF8" i="5"/>
  <c r="AF7" i="5"/>
  <c r="AF6" i="5"/>
  <c r="AF5" i="5"/>
  <c r="AF4" i="5"/>
  <c r="AF3" i="5"/>
  <c r="Y89" i="5"/>
  <c r="Y83" i="5"/>
  <c r="Y82" i="5"/>
  <c r="Y81" i="5"/>
  <c r="Y80" i="5"/>
  <c r="Y79" i="5"/>
  <c r="Z78" i="5"/>
  <c r="Z77" i="5"/>
  <c r="Z76" i="5"/>
  <c r="Y74" i="5"/>
  <c r="Z73" i="5"/>
  <c r="Z72" i="5"/>
  <c r="Z71" i="5"/>
  <c r="Z70" i="5"/>
  <c r="Z69" i="5"/>
  <c r="Z68" i="5"/>
  <c r="Z67" i="5"/>
  <c r="Z66" i="5"/>
  <c r="Z65" i="5"/>
  <c r="Z64" i="5"/>
  <c r="Z63" i="5"/>
  <c r="Z62" i="5"/>
  <c r="Z61" i="5"/>
  <c r="Z60" i="5"/>
  <c r="Z59" i="5"/>
  <c r="Z58" i="5"/>
  <c r="Z57" i="5"/>
  <c r="Z56" i="5"/>
  <c r="Z55" i="5"/>
  <c r="Z52" i="5"/>
  <c r="Z51" i="5"/>
  <c r="Z50" i="5"/>
  <c r="Z49" i="5"/>
  <c r="Z48" i="5"/>
  <c r="Z47" i="5"/>
  <c r="Z46" i="5"/>
  <c r="Z45" i="5"/>
  <c r="Z44" i="5"/>
  <c r="Z43" i="5"/>
  <c r="Z42" i="5"/>
  <c r="Z41" i="5"/>
  <c r="Z40" i="5"/>
  <c r="Z39" i="5"/>
  <c r="Z38" i="5"/>
  <c r="Z37" i="5"/>
  <c r="Z36" i="5"/>
  <c r="Z35" i="5"/>
  <c r="Z34" i="5"/>
  <c r="Z33" i="5"/>
  <c r="Z32" i="5"/>
  <c r="Z31" i="5"/>
  <c r="Z30" i="5"/>
  <c r="Z29" i="5"/>
  <c r="Z28" i="5"/>
  <c r="Z27" i="5"/>
  <c r="Z26" i="5"/>
  <c r="Z25" i="5"/>
  <c r="Z24" i="5"/>
  <c r="Z23" i="5"/>
  <c r="Z22" i="5"/>
  <c r="Z21" i="5"/>
  <c r="Z20" i="5"/>
  <c r="Z19" i="5"/>
  <c r="Z18" i="5"/>
  <c r="Z17" i="5"/>
  <c r="Z16" i="5"/>
  <c r="Z15" i="5"/>
  <c r="Z14" i="5"/>
  <c r="Z13" i="5"/>
  <c r="Z12" i="5"/>
  <c r="Z11" i="5"/>
  <c r="Z10" i="5"/>
  <c r="Z9" i="5"/>
  <c r="Z8" i="5"/>
  <c r="Z7" i="5"/>
  <c r="Z6" i="5"/>
  <c r="Z5" i="5"/>
  <c r="Z4" i="5"/>
  <c r="Z3" i="5"/>
  <c r="Z81" i="5" l="1"/>
  <c r="Z79" i="5"/>
  <c r="Z80" i="5"/>
  <c r="Z82" i="5"/>
  <c r="Z74" i="5"/>
  <c r="D674" i="7"/>
  <c r="P674" i="7" s="1"/>
  <c r="Q674" i="7" s="1"/>
  <c r="D643" i="7" l="1"/>
  <c r="P643" i="7" s="1"/>
  <c r="Q643" i="7" s="1"/>
  <c r="D664" i="7"/>
  <c r="P664" i="7" s="1"/>
  <c r="Q664" i="7" s="1"/>
  <c r="K663" i="7"/>
  <c r="K664" i="7" s="1"/>
  <c r="D654" i="7"/>
  <c r="P654" i="7" s="1"/>
  <c r="Q654" i="7" s="1"/>
  <c r="D655" i="7" l="1"/>
  <c r="P655" i="7" s="1"/>
  <c r="Q655" i="7" s="1"/>
  <c r="D653" i="7"/>
  <c r="K654" i="7" l="1"/>
  <c r="P653" i="7"/>
  <c r="Q653" i="7" s="1"/>
  <c r="K653" i="7"/>
  <c r="D633" i="7"/>
  <c r="P633" i="7" s="1"/>
  <c r="Q633" i="7" s="1"/>
  <c r="D613" i="7" l="1"/>
  <c r="P613" i="7" s="1"/>
  <c r="Q613" i="7" s="1"/>
  <c r="D603" i="7"/>
  <c r="P603" i="7" s="1"/>
  <c r="Q603" i="7" s="1"/>
  <c r="D584" i="7"/>
  <c r="P584" i="7" s="1"/>
  <c r="Q584" i="7" s="1"/>
  <c r="E32" i="4"/>
  <c r="C32" i="4"/>
  <c r="G602" i="7" l="1"/>
  <c r="H602" i="7" s="1"/>
  <c r="F602" i="7"/>
  <c r="G601" i="7"/>
  <c r="H601" i="7" s="1"/>
  <c r="F601" i="7"/>
  <c r="L600" i="7"/>
  <c r="M600" i="7" s="1"/>
  <c r="G600" i="7"/>
  <c r="H600" i="7" s="1"/>
  <c r="F600" i="7"/>
  <c r="L599" i="7"/>
  <c r="M599" i="7" s="1"/>
  <c r="G599" i="7"/>
  <c r="H599" i="7" s="1"/>
  <c r="F599" i="7"/>
  <c r="L598" i="7"/>
  <c r="M598" i="7" s="1"/>
  <c r="G598" i="7"/>
  <c r="H598" i="7" s="1"/>
  <c r="F598" i="7"/>
  <c r="L597" i="7"/>
  <c r="M597" i="7" s="1"/>
  <c r="G597" i="7"/>
  <c r="H597" i="7" s="1"/>
  <c r="F597" i="7"/>
  <c r="L596" i="7"/>
  <c r="M596" i="7" s="1"/>
  <c r="F596" i="7"/>
  <c r="L595" i="7"/>
  <c r="M595" i="7" s="1"/>
  <c r="F595" i="7"/>
  <c r="L594" i="7"/>
  <c r="M594" i="7" s="1"/>
  <c r="F594" i="7"/>
  <c r="L593" i="7"/>
  <c r="M593" i="7" s="1"/>
  <c r="G593" i="7"/>
  <c r="H593" i="7" s="1"/>
  <c r="F593" i="7"/>
  <c r="G592" i="7"/>
  <c r="H592" i="7" s="1"/>
  <c r="F592" i="7"/>
  <c r="G591" i="7"/>
  <c r="H591" i="7" s="1"/>
  <c r="F591" i="7"/>
  <c r="L590" i="7"/>
  <c r="M590" i="7" s="1"/>
  <c r="G590" i="7"/>
  <c r="H590" i="7" s="1"/>
  <c r="F590" i="7"/>
  <c r="L589" i="7"/>
  <c r="M589" i="7" s="1"/>
  <c r="G589" i="7"/>
  <c r="H589" i="7" s="1"/>
  <c r="F589" i="7"/>
  <c r="L588" i="7"/>
  <c r="M588" i="7" s="1"/>
  <c r="G588" i="7"/>
  <c r="H588" i="7" s="1"/>
  <c r="F588" i="7"/>
  <c r="L587" i="7"/>
  <c r="M587" i="7" s="1"/>
  <c r="G587" i="7"/>
  <c r="H587" i="7" s="1"/>
  <c r="F587" i="7"/>
  <c r="L586" i="7"/>
  <c r="M586" i="7" s="1"/>
  <c r="F586" i="7"/>
  <c r="L585" i="7"/>
  <c r="M585" i="7" s="1"/>
  <c r="F585" i="7"/>
  <c r="L584" i="7"/>
  <c r="M584" i="7" s="1"/>
  <c r="F584" i="7"/>
  <c r="L583" i="7"/>
  <c r="M583" i="7" s="1"/>
  <c r="F583" i="7"/>
  <c r="F3" i="7"/>
  <c r="F4" i="7"/>
  <c r="F5" i="7"/>
  <c r="F6" i="7"/>
  <c r="F7" i="7"/>
  <c r="F8" i="7"/>
  <c r="F9" i="7"/>
  <c r="F10" i="7"/>
  <c r="F11" i="7"/>
  <c r="F12" i="7"/>
  <c r="F13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F34" i="7"/>
  <c r="F36" i="7"/>
  <c r="F37" i="7"/>
  <c r="F38" i="7"/>
  <c r="F39" i="7"/>
  <c r="F40" i="7"/>
  <c r="F41" i="7"/>
  <c r="F42" i="7"/>
  <c r="F43" i="7"/>
  <c r="F44" i="7"/>
  <c r="F46" i="7"/>
  <c r="F47" i="7"/>
  <c r="F48" i="7"/>
  <c r="F49" i="7"/>
  <c r="F50" i="7"/>
  <c r="F51" i="7"/>
  <c r="F52" i="7"/>
  <c r="F53" i="7"/>
  <c r="F54" i="7"/>
  <c r="F56" i="7"/>
  <c r="F57" i="7"/>
  <c r="F58" i="7"/>
  <c r="F59" i="7"/>
  <c r="F60" i="7"/>
  <c r="F61" i="7"/>
  <c r="F62" i="7"/>
  <c r="F63" i="7"/>
  <c r="F64" i="7"/>
  <c r="F66" i="7"/>
  <c r="F67" i="7"/>
  <c r="F68" i="7"/>
  <c r="F69" i="7"/>
  <c r="F70" i="7"/>
  <c r="F71" i="7"/>
  <c r="F72" i="7"/>
  <c r="F73" i="7"/>
  <c r="F74" i="7"/>
  <c r="F76" i="7"/>
  <c r="F77" i="7"/>
  <c r="F78" i="7"/>
  <c r="F79" i="7"/>
  <c r="F80" i="7"/>
  <c r="F81" i="7"/>
  <c r="F82" i="7"/>
  <c r="F83" i="7"/>
  <c r="F84" i="7"/>
  <c r="F86" i="7"/>
  <c r="F87" i="7"/>
  <c r="F88" i="7"/>
  <c r="F89" i="7"/>
  <c r="F90" i="7"/>
  <c r="F91" i="7"/>
  <c r="F92" i="7"/>
  <c r="F93" i="7"/>
  <c r="F94" i="7"/>
  <c r="F96" i="7"/>
  <c r="F97" i="7"/>
  <c r="F98" i="7"/>
  <c r="F99" i="7"/>
  <c r="F100" i="7"/>
  <c r="F101" i="7"/>
  <c r="F102" i="7"/>
  <c r="F103" i="7"/>
  <c r="F104" i="7"/>
  <c r="F106" i="7"/>
  <c r="F107" i="7"/>
  <c r="F108" i="7"/>
  <c r="F109" i="7"/>
  <c r="F110" i="7"/>
  <c r="F111" i="7"/>
  <c r="F112" i="7"/>
  <c r="F113" i="7"/>
  <c r="F114" i="7"/>
  <c r="F116" i="7"/>
  <c r="F117" i="7"/>
  <c r="F118" i="7"/>
  <c r="F119" i="7"/>
  <c r="F120" i="7"/>
  <c r="F121" i="7"/>
  <c r="F122" i="7"/>
  <c r="F123" i="7"/>
  <c r="F124" i="7"/>
  <c r="F126" i="7"/>
  <c r="F127" i="7"/>
  <c r="F128" i="7"/>
  <c r="F129" i="7"/>
  <c r="F130" i="7"/>
  <c r="F131" i="7"/>
  <c r="F132" i="7"/>
  <c r="F133" i="7"/>
  <c r="F134" i="7"/>
  <c r="F136" i="7"/>
  <c r="F137" i="7"/>
  <c r="F138" i="7"/>
  <c r="F139" i="7"/>
  <c r="F140" i="7"/>
  <c r="F141" i="7"/>
  <c r="F142" i="7"/>
  <c r="F143" i="7"/>
  <c r="F144" i="7"/>
  <c r="F146" i="7"/>
  <c r="F147" i="7"/>
  <c r="F148" i="7"/>
  <c r="F149" i="7"/>
  <c r="F150" i="7"/>
  <c r="F151" i="7"/>
  <c r="F152" i="7"/>
  <c r="F153" i="7"/>
  <c r="F154" i="7"/>
  <c r="F156" i="7"/>
  <c r="F157" i="7"/>
  <c r="F158" i="7"/>
  <c r="F159" i="7"/>
  <c r="F160" i="7"/>
  <c r="F161" i="7"/>
  <c r="F162" i="7"/>
  <c r="F163" i="7"/>
  <c r="F164" i="7"/>
  <c r="F166" i="7"/>
  <c r="F167" i="7"/>
  <c r="F168" i="7"/>
  <c r="F169" i="7"/>
  <c r="F170" i="7"/>
  <c r="F171" i="7"/>
  <c r="F172" i="7"/>
  <c r="F173" i="7"/>
  <c r="F174" i="7"/>
  <c r="F176" i="7"/>
  <c r="F177" i="7"/>
  <c r="F178" i="7"/>
  <c r="F179" i="7"/>
  <c r="F180" i="7"/>
  <c r="F181" i="7"/>
  <c r="F182" i="7"/>
  <c r="F183" i="7"/>
  <c r="F184" i="7"/>
  <c r="F186" i="7"/>
  <c r="F187" i="7"/>
  <c r="F188" i="7"/>
  <c r="F189" i="7"/>
  <c r="F190" i="7"/>
  <c r="F191" i="7"/>
  <c r="F192" i="7"/>
  <c r="F203" i="7"/>
  <c r="F204" i="7"/>
  <c r="F205" i="7"/>
  <c r="F207" i="7"/>
  <c r="F208" i="7"/>
  <c r="F209" i="7"/>
  <c r="F210" i="7"/>
  <c r="F211" i="7"/>
  <c r="F212" i="7"/>
  <c r="F213" i="7"/>
  <c r="F214" i="7"/>
  <c r="F215" i="7"/>
  <c r="F216" i="7"/>
  <c r="F217" i="7"/>
  <c r="F218" i="7"/>
  <c r="F219" i="7"/>
  <c r="F220" i="7"/>
  <c r="F221" i="7"/>
  <c r="F222" i="7"/>
  <c r="F223" i="7"/>
  <c r="F224" i="7"/>
  <c r="F225" i="7"/>
  <c r="F226" i="7"/>
  <c r="F227" i="7"/>
  <c r="F228" i="7"/>
  <c r="F229" i="7"/>
  <c r="F230" i="7"/>
  <c r="F231" i="7"/>
  <c r="F232" i="7"/>
  <c r="F233" i="7"/>
  <c r="F234" i="7"/>
  <c r="F235" i="7"/>
  <c r="F236" i="7"/>
  <c r="F237" i="7"/>
  <c r="F238" i="7"/>
  <c r="F239" i="7"/>
  <c r="F240" i="7"/>
  <c r="F241" i="7"/>
  <c r="F242" i="7"/>
  <c r="F243" i="7"/>
  <c r="F244" i="7"/>
  <c r="F245" i="7"/>
  <c r="F246" i="7"/>
  <c r="F247" i="7"/>
  <c r="F248" i="7"/>
  <c r="F249" i="7"/>
  <c r="F250" i="7"/>
  <c r="F251" i="7"/>
  <c r="F252" i="7"/>
  <c r="F263" i="7"/>
  <c r="F264" i="7"/>
  <c r="F265" i="7"/>
  <c r="F266" i="7"/>
  <c r="F267" i="7"/>
  <c r="F268" i="7"/>
  <c r="F269" i="7"/>
  <c r="F270" i="7"/>
  <c r="F271" i="7"/>
  <c r="F272" i="7"/>
  <c r="F283" i="7"/>
  <c r="F284" i="7"/>
  <c r="F285" i="7"/>
  <c r="F286" i="7"/>
  <c r="F287" i="7"/>
  <c r="F288" i="7"/>
  <c r="F289" i="7"/>
  <c r="F290" i="7"/>
  <c r="F291" i="7"/>
  <c r="F292" i="7"/>
  <c r="F293" i="7"/>
  <c r="F294" i="7"/>
  <c r="F295" i="7"/>
  <c r="F296" i="7"/>
  <c r="F297" i="7"/>
  <c r="F298" i="7"/>
  <c r="F299" i="7"/>
  <c r="F300" i="7"/>
  <c r="F301" i="7"/>
  <c r="F302" i="7"/>
  <c r="F303" i="7"/>
  <c r="F304" i="7"/>
  <c r="F305" i="7"/>
  <c r="F306" i="7"/>
  <c r="F307" i="7"/>
  <c r="F308" i="7"/>
  <c r="F309" i="7"/>
  <c r="F310" i="7"/>
  <c r="F311" i="7"/>
  <c r="F312" i="7"/>
  <c r="F313" i="7"/>
  <c r="F314" i="7"/>
  <c r="F315" i="7"/>
  <c r="F316" i="7"/>
  <c r="F317" i="7"/>
  <c r="F318" i="7"/>
  <c r="F319" i="7"/>
  <c r="F320" i="7"/>
  <c r="F321" i="7"/>
  <c r="F322" i="7"/>
  <c r="F323" i="7"/>
  <c r="F324" i="7"/>
  <c r="F325" i="7"/>
  <c r="F326" i="7"/>
  <c r="F327" i="7"/>
  <c r="F328" i="7"/>
  <c r="F329" i="7"/>
  <c r="F330" i="7"/>
  <c r="F331" i="7"/>
  <c r="F332" i="7"/>
  <c r="F333" i="7"/>
  <c r="F334" i="7"/>
  <c r="F335" i="7"/>
  <c r="F336" i="7"/>
  <c r="F337" i="7"/>
  <c r="F338" i="7"/>
  <c r="F339" i="7"/>
  <c r="F340" i="7"/>
  <c r="F341" i="7"/>
  <c r="F342" i="7"/>
  <c r="F343" i="7"/>
  <c r="F344" i="7"/>
  <c r="F345" i="7"/>
  <c r="F346" i="7"/>
  <c r="F347" i="7"/>
  <c r="F348" i="7"/>
  <c r="F349" i="7"/>
  <c r="F350" i="7"/>
  <c r="F351" i="7"/>
  <c r="F352" i="7"/>
  <c r="F353" i="7"/>
  <c r="F354" i="7"/>
  <c r="F355" i="7"/>
  <c r="F356" i="7"/>
  <c r="F357" i="7"/>
  <c r="F358" i="7"/>
  <c r="F359" i="7"/>
  <c r="F360" i="7"/>
  <c r="F361" i="7"/>
  <c r="F362" i="7"/>
  <c r="F363" i="7"/>
  <c r="F364" i="7"/>
  <c r="F365" i="7"/>
  <c r="F366" i="7"/>
  <c r="F367" i="7"/>
  <c r="F368" i="7"/>
  <c r="F369" i="7"/>
  <c r="F370" i="7"/>
  <c r="F371" i="7"/>
  <c r="F372" i="7"/>
  <c r="F373" i="7"/>
  <c r="F374" i="7"/>
  <c r="F375" i="7"/>
  <c r="F376" i="7"/>
  <c r="F377" i="7"/>
  <c r="F378" i="7"/>
  <c r="F379" i="7"/>
  <c r="F380" i="7"/>
  <c r="F381" i="7"/>
  <c r="F382" i="7"/>
  <c r="F383" i="7"/>
  <c r="F384" i="7"/>
  <c r="F385" i="7"/>
  <c r="F386" i="7"/>
  <c r="F387" i="7"/>
  <c r="F388" i="7"/>
  <c r="F389" i="7"/>
  <c r="F390" i="7"/>
  <c r="F391" i="7"/>
  <c r="F392" i="7"/>
  <c r="F393" i="7"/>
  <c r="F394" i="7"/>
  <c r="F395" i="7"/>
  <c r="F396" i="7"/>
  <c r="F397" i="7"/>
  <c r="F398" i="7"/>
  <c r="F399" i="7"/>
  <c r="F400" i="7"/>
  <c r="F401" i="7"/>
  <c r="F402" i="7"/>
  <c r="F413" i="7"/>
  <c r="F414" i="7"/>
  <c r="F415" i="7"/>
  <c r="F416" i="7"/>
  <c r="F417" i="7"/>
  <c r="F418" i="7"/>
  <c r="F419" i="7"/>
  <c r="F420" i="7"/>
  <c r="F421" i="7"/>
  <c r="F422" i="7"/>
  <c r="F423" i="7"/>
  <c r="F424" i="7"/>
  <c r="F425" i="7"/>
  <c r="F426" i="7"/>
  <c r="F427" i="7"/>
  <c r="F428" i="7"/>
  <c r="F429" i="7"/>
  <c r="F430" i="7"/>
  <c r="F431" i="7"/>
  <c r="F432" i="7"/>
  <c r="F433" i="7"/>
  <c r="F434" i="7"/>
  <c r="F435" i="7"/>
  <c r="F436" i="7"/>
  <c r="F437" i="7"/>
  <c r="F438" i="7"/>
  <c r="F439" i="7"/>
  <c r="F440" i="7"/>
  <c r="F441" i="7"/>
  <c r="F442" i="7"/>
  <c r="F443" i="7"/>
  <c r="F444" i="7"/>
  <c r="F445" i="7"/>
  <c r="F446" i="7"/>
  <c r="F447" i="7"/>
  <c r="F448" i="7"/>
  <c r="F449" i="7"/>
  <c r="F450" i="7"/>
  <c r="F451" i="7"/>
  <c r="F452" i="7"/>
  <c r="F453" i="7"/>
  <c r="F454" i="7"/>
  <c r="F455" i="7"/>
  <c r="F456" i="7"/>
  <c r="F457" i="7"/>
  <c r="F458" i="7"/>
  <c r="F459" i="7"/>
  <c r="F460" i="7"/>
  <c r="F461" i="7"/>
  <c r="F462" i="7"/>
  <c r="F463" i="7"/>
  <c r="F464" i="7"/>
  <c r="F466" i="7"/>
  <c r="F467" i="7"/>
  <c r="F468" i="7"/>
  <c r="F469" i="7"/>
  <c r="F470" i="7"/>
  <c r="F471" i="7"/>
  <c r="F472" i="7"/>
  <c r="F473" i="7"/>
  <c r="F476" i="7"/>
  <c r="F477" i="7"/>
  <c r="F478" i="7"/>
  <c r="F479" i="7"/>
  <c r="F480" i="7"/>
  <c r="F481" i="7"/>
  <c r="F482" i="7"/>
  <c r="F483" i="7"/>
  <c r="F485" i="7"/>
  <c r="F486" i="7"/>
  <c r="F487" i="7"/>
  <c r="F488" i="7"/>
  <c r="F489" i="7"/>
  <c r="F490" i="7"/>
  <c r="F491" i="7"/>
  <c r="F492" i="7"/>
  <c r="F493" i="7"/>
  <c r="F494" i="7"/>
  <c r="F495" i="7"/>
  <c r="F497" i="7"/>
  <c r="F498" i="7"/>
  <c r="F499" i="7"/>
  <c r="F500" i="7"/>
  <c r="F501" i="7"/>
  <c r="F502" i="7"/>
  <c r="F503" i="7"/>
  <c r="F504" i="7"/>
  <c r="F505" i="7"/>
  <c r="F506" i="7"/>
  <c r="F507" i="7"/>
  <c r="F508" i="7"/>
  <c r="F509" i="7"/>
  <c r="F510" i="7"/>
  <c r="F511" i="7"/>
  <c r="F512" i="7"/>
  <c r="F513" i="7"/>
  <c r="F514" i="7"/>
  <c r="F516" i="7"/>
  <c r="F517" i="7"/>
  <c r="F518" i="7"/>
  <c r="F519" i="7"/>
  <c r="F520" i="7"/>
  <c r="F521" i="7"/>
  <c r="F522" i="7"/>
  <c r="F523" i="7"/>
  <c r="F525" i="7"/>
  <c r="F526" i="7"/>
  <c r="F527" i="7"/>
  <c r="F528" i="7"/>
  <c r="F529" i="7"/>
  <c r="F530" i="7"/>
  <c r="F531" i="7"/>
  <c r="F532" i="7"/>
  <c r="F533" i="7"/>
  <c r="F534" i="7"/>
  <c r="F535" i="7"/>
  <c r="F536" i="7"/>
  <c r="F537" i="7"/>
  <c r="F538" i="7"/>
  <c r="F539" i="7"/>
  <c r="F540" i="7"/>
  <c r="F541" i="7"/>
  <c r="F542" i="7"/>
  <c r="F543" i="7"/>
  <c r="F544" i="7"/>
  <c r="F545" i="7"/>
  <c r="F546" i="7"/>
  <c r="F547" i="7"/>
  <c r="F548" i="7"/>
  <c r="F549" i="7"/>
  <c r="F550" i="7"/>
  <c r="F551" i="7"/>
  <c r="F552" i="7"/>
  <c r="F553" i="7"/>
  <c r="F554" i="7"/>
  <c r="F555" i="7"/>
  <c r="F556" i="7"/>
  <c r="F557" i="7"/>
  <c r="F558" i="7"/>
  <c r="F559" i="7"/>
  <c r="F560" i="7"/>
  <c r="F561" i="7"/>
  <c r="F562" i="7"/>
  <c r="F563" i="7"/>
  <c r="F564" i="7"/>
  <c r="F565" i="7"/>
  <c r="F566" i="7"/>
  <c r="F567" i="7"/>
  <c r="F568" i="7"/>
  <c r="F569" i="7"/>
  <c r="F570" i="7"/>
  <c r="F571" i="7"/>
  <c r="F572" i="7"/>
  <c r="F573" i="7"/>
  <c r="F574" i="7"/>
  <c r="F575" i="7"/>
  <c r="F576" i="7"/>
  <c r="F577" i="7"/>
  <c r="F578" i="7"/>
  <c r="F579" i="7"/>
  <c r="F580" i="7"/>
  <c r="F581" i="7"/>
  <c r="F582" i="7"/>
  <c r="L3" i="7"/>
  <c r="L4" i="7"/>
  <c r="L5" i="7"/>
  <c r="L6" i="7"/>
  <c r="L7" i="7"/>
  <c r="L8" i="7"/>
  <c r="L9" i="7"/>
  <c r="L10" i="7"/>
  <c r="L13" i="7"/>
  <c r="L14" i="7"/>
  <c r="L15" i="7"/>
  <c r="L16" i="7"/>
  <c r="L17" i="7"/>
  <c r="L18" i="7"/>
  <c r="L19" i="7"/>
  <c r="L20" i="7"/>
  <c r="L23" i="7"/>
  <c r="L24" i="7"/>
  <c r="L25" i="7"/>
  <c r="L26" i="7"/>
  <c r="L27" i="7"/>
  <c r="L28" i="7"/>
  <c r="L29" i="7"/>
  <c r="L30" i="7"/>
  <c r="L33" i="7"/>
  <c r="L34" i="7"/>
  <c r="L35" i="7"/>
  <c r="L36" i="7"/>
  <c r="L37" i="7"/>
  <c r="L38" i="7"/>
  <c r="L39" i="7"/>
  <c r="L40" i="7"/>
  <c r="L43" i="7"/>
  <c r="L44" i="7"/>
  <c r="L45" i="7"/>
  <c r="L46" i="7"/>
  <c r="L47" i="7"/>
  <c r="L48" i="7"/>
  <c r="L49" i="7"/>
  <c r="L50" i="7"/>
  <c r="L53" i="7"/>
  <c r="L54" i="7"/>
  <c r="L55" i="7"/>
  <c r="L56" i="7"/>
  <c r="L57" i="7"/>
  <c r="L58" i="7"/>
  <c r="L59" i="7"/>
  <c r="L60" i="7"/>
  <c r="L63" i="7"/>
  <c r="L64" i="7"/>
  <c r="L65" i="7"/>
  <c r="L66" i="7"/>
  <c r="L67" i="7"/>
  <c r="L68" i="7"/>
  <c r="L69" i="7"/>
  <c r="L70" i="7"/>
  <c r="L73" i="7"/>
  <c r="L74" i="7"/>
  <c r="L75" i="7"/>
  <c r="L76" i="7"/>
  <c r="L77" i="7"/>
  <c r="L78" i="7"/>
  <c r="L79" i="7"/>
  <c r="L80" i="7"/>
  <c r="L83" i="7"/>
  <c r="L84" i="7"/>
  <c r="L85" i="7"/>
  <c r="L86" i="7"/>
  <c r="L87" i="7"/>
  <c r="L88" i="7"/>
  <c r="L89" i="7"/>
  <c r="L90" i="7"/>
  <c r="L93" i="7"/>
  <c r="L94" i="7"/>
  <c r="L95" i="7"/>
  <c r="L96" i="7"/>
  <c r="L97" i="7"/>
  <c r="L98" i="7"/>
  <c r="L99" i="7"/>
  <c r="L100" i="7"/>
  <c r="L103" i="7"/>
  <c r="L104" i="7"/>
  <c r="L105" i="7"/>
  <c r="L106" i="7"/>
  <c r="L107" i="7"/>
  <c r="L108" i="7"/>
  <c r="L109" i="7"/>
  <c r="L110" i="7"/>
  <c r="L113" i="7"/>
  <c r="L114" i="7"/>
  <c r="L115" i="7"/>
  <c r="L116" i="7"/>
  <c r="L117" i="7"/>
  <c r="L118" i="7"/>
  <c r="L119" i="7"/>
  <c r="L120" i="7"/>
  <c r="L123" i="7"/>
  <c r="L124" i="7"/>
  <c r="L125" i="7"/>
  <c r="L126" i="7"/>
  <c r="L127" i="7"/>
  <c r="L128" i="7"/>
  <c r="L129" i="7"/>
  <c r="L130" i="7"/>
  <c r="L133" i="7"/>
  <c r="L134" i="7"/>
  <c r="L135" i="7"/>
  <c r="L136" i="7"/>
  <c r="L137" i="7"/>
  <c r="L138" i="7"/>
  <c r="L139" i="7"/>
  <c r="L140" i="7"/>
  <c r="L143" i="7"/>
  <c r="L144" i="7"/>
  <c r="L145" i="7"/>
  <c r="L146" i="7"/>
  <c r="L147" i="7"/>
  <c r="L148" i="7"/>
  <c r="L149" i="7"/>
  <c r="L150" i="7"/>
  <c r="L153" i="7"/>
  <c r="L154" i="7"/>
  <c r="L155" i="7"/>
  <c r="L156" i="7"/>
  <c r="L157" i="7"/>
  <c r="L158" i="7"/>
  <c r="L159" i="7"/>
  <c r="L160" i="7"/>
  <c r="L163" i="7"/>
  <c r="L164" i="7"/>
  <c r="L165" i="7"/>
  <c r="L166" i="7"/>
  <c r="L167" i="7"/>
  <c r="L168" i="7"/>
  <c r="L169" i="7"/>
  <c r="L170" i="7"/>
  <c r="L173" i="7"/>
  <c r="L174" i="7"/>
  <c r="L175" i="7"/>
  <c r="L176" i="7"/>
  <c r="L177" i="7"/>
  <c r="L178" i="7"/>
  <c r="L179" i="7"/>
  <c r="L180" i="7"/>
  <c r="L183" i="7"/>
  <c r="L184" i="7"/>
  <c r="L185" i="7"/>
  <c r="L186" i="7"/>
  <c r="L187" i="7"/>
  <c r="L188" i="7"/>
  <c r="L189" i="7"/>
  <c r="L190" i="7"/>
  <c r="L203" i="7"/>
  <c r="L204" i="7"/>
  <c r="L205" i="7"/>
  <c r="L206" i="7"/>
  <c r="L207" i="7"/>
  <c r="L208" i="7"/>
  <c r="L209" i="7"/>
  <c r="L210" i="7"/>
  <c r="L213" i="7"/>
  <c r="L214" i="7"/>
  <c r="L215" i="7"/>
  <c r="L216" i="7"/>
  <c r="L217" i="7"/>
  <c r="L218" i="7"/>
  <c r="L219" i="7"/>
  <c r="L220" i="7"/>
  <c r="L223" i="7"/>
  <c r="L224" i="7"/>
  <c r="L225" i="7"/>
  <c r="L226" i="7"/>
  <c r="L227" i="7"/>
  <c r="L228" i="7"/>
  <c r="L229" i="7"/>
  <c r="L230" i="7"/>
  <c r="L233" i="7"/>
  <c r="L234" i="7"/>
  <c r="L235" i="7"/>
  <c r="L236" i="7"/>
  <c r="L237" i="7"/>
  <c r="L238" i="7"/>
  <c r="L239" i="7"/>
  <c r="L240" i="7"/>
  <c r="L243" i="7"/>
  <c r="L244" i="7"/>
  <c r="L245" i="7"/>
  <c r="L246" i="7"/>
  <c r="L247" i="7"/>
  <c r="L248" i="7"/>
  <c r="L249" i="7"/>
  <c r="L250" i="7"/>
  <c r="L263" i="7"/>
  <c r="L264" i="7"/>
  <c r="L265" i="7"/>
  <c r="L266" i="7"/>
  <c r="L267" i="7"/>
  <c r="L268" i="7"/>
  <c r="L269" i="7"/>
  <c r="L270" i="7"/>
  <c r="L283" i="7"/>
  <c r="L284" i="7"/>
  <c r="L285" i="7"/>
  <c r="L286" i="7"/>
  <c r="L287" i="7"/>
  <c r="L288" i="7"/>
  <c r="L289" i="7"/>
  <c r="L290" i="7"/>
  <c r="L293" i="7"/>
  <c r="L294" i="7"/>
  <c r="L295" i="7"/>
  <c r="L296" i="7"/>
  <c r="L297" i="7"/>
  <c r="L298" i="7"/>
  <c r="L299" i="7"/>
  <c r="L300" i="7"/>
  <c r="L303" i="7"/>
  <c r="L304" i="7"/>
  <c r="L305" i="7"/>
  <c r="L306" i="7"/>
  <c r="L307" i="7"/>
  <c r="L308" i="7"/>
  <c r="L309" i="7"/>
  <c r="L310" i="7"/>
  <c r="L313" i="7"/>
  <c r="L314" i="7"/>
  <c r="L315" i="7"/>
  <c r="L316" i="7"/>
  <c r="L317" i="7"/>
  <c r="L318" i="7"/>
  <c r="L319" i="7"/>
  <c r="L320" i="7"/>
  <c r="L323" i="7"/>
  <c r="L324" i="7"/>
  <c r="L325" i="7"/>
  <c r="L326" i="7"/>
  <c r="L327" i="7"/>
  <c r="L328" i="7"/>
  <c r="L329" i="7"/>
  <c r="L330" i="7"/>
  <c r="L333" i="7"/>
  <c r="L334" i="7"/>
  <c r="L335" i="7"/>
  <c r="L336" i="7"/>
  <c r="L337" i="7"/>
  <c r="L338" i="7"/>
  <c r="L339" i="7"/>
  <c r="L340" i="7"/>
  <c r="L343" i="7"/>
  <c r="L344" i="7"/>
  <c r="L345" i="7"/>
  <c r="L346" i="7"/>
  <c r="L347" i="7"/>
  <c r="L348" i="7"/>
  <c r="L349" i="7"/>
  <c r="L350" i="7"/>
  <c r="L353" i="7"/>
  <c r="L354" i="7"/>
  <c r="L355" i="7"/>
  <c r="L356" i="7"/>
  <c r="L357" i="7"/>
  <c r="L358" i="7"/>
  <c r="L359" i="7"/>
  <c r="L360" i="7"/>
  <c r="L363" i="7"/>
  <c r="L364" i="7"/>
  <c r="L365" i="7"/>
  <c r="L366" i="7"/>
  <c r="L367" i="7"/>
  <c r="L368" i="7"/>
  <c r="L369" i="7"/>
  <c r="L370" i="7"/>
  <c r="L373" i="7"/>
  <c r="L374" i="7"/>
  <c r="L375" i="7"/>
  <c r="L376" i="7"/>
  <c r="L377" i="7"/>
  <c r="L378" i="7"/>
  <c r="L379" i="7"/>
  <c r="L380" i="7"/>
  <c r="L383" i="7"/>
  <c r="L384" i="7"/>
  <c r="L385" i="7"/>
  <c r="L386" i="7"/>
  <c r="L387" i="7"/>
  <c r="L388" i="7"/>
  <c r="L389" i="7"/>
  <c r="L390" i="7"/>
  <c r="L393" i="7"/>
  <c r="L394" i="7"/>
  <c r="L395" i="7"/>
  <c r="L396" i="7"/>
  <c r="L397" i="7"/>
  <c r="L398" i="7"/>
  <c r="L399" i="7"/>
  <c r="L400" i="7"/>
  <c r="L413" i="7"/>
  <c r="L414" i="7"/>
  <c r="L415" i="7"/>
  <c r="L416" i="7"/>
  <c r="L417" i="7"/>
  <c r="L418" i="7"/>
  <c r="L419" i="7"/>
  <c r="L420" i="7"/>
  <c r="L423" i="7"/>
  <c r="L424" i="7"/>
  <c r="L425" i="7"/>
  <c r="L426" i="7"/>
  <c r="L427" i="7"/>
  <c r="L428" i="7"/>
  <c r="L429" i="7"/>
  <c r="L430" i="7"/>
  <c r="L433" i="7"/>
  <c r="L434" i="7"/>
  <c r="L435" i="7"/>
  <c r="L436" i="7"/>
  <c r="L437" i="7"/>
  <c r="L438" i="7"/>
  <c r="L439" i="7"/>
  <c r="L440" i="7"/>
  <c r="L443" i="7"/>
  <c r="L444" i="7"/>
  <c r="L445" i="7"/>
  <c r="L446" i="7"/>
  <c r="L447" i="7"/>
  <c r="L448" i="7"/>
  <c r="L449" i="7"/>
  <c r="L450" i="7"/>
  <c r="L453" i="7"/>
  <c r="L454" i="7"/>
  <c r="L455" i="7"/>
  <c r="L456" i="7"/>
  <c r="L457" i="7"/>
  <c r="L458" i="7"/>
  <c r="L459" i="7"/>
  <c r="L460" i="7"/>
  <c r="L463" i="7"/>
  <c r="L464" i="7"/>
  <c r="L465" i="7"/>
  <c r="L466" i="7"/>
  <c r="L467" i="7"/>
  <c r="L468" i="7"/>
  <c r="L469" i="7"/>
  <c r="L470" i="7"/>
  <c r="L473" i="7"/>
  <c r="L474" i="7"/>
  <c r="L475" i="7"/>
  <c r="L476" i="7"/>
  <c r="L477" i="7"/>
  <c r="L478" i="7"/>
  <c r="L479" i="7"/>
  <c r="L480" i="7"/>
  <c r="L483" i="7"/>
  <c r="L484" i="7"/>
  <c r="L485" i="7"/>
  <c r="L486" i="7"/>
  <c r="L487" i="7"/>
  <c r="L488" i="7"/>
  <c r="L489" i="7"/>
  <c r="L490" i="7"/>
  <c r="L493" i="7"/>
  <c r="L494" i="7"/>
  <c r="L495" i="7"/>
  <c r="L496" i="7"/>
  <c r="L497" i="7"/>
  <c r="L498" i="7"/>
  <c r="L499" i="7"/>
  <c r="L500" i="7"/>
  <c r="L503" i="7"/>
  <c r="L504" i="7"/>
  <c r="L505" i="7"/>
  <c r="L506" i="7"/>
  <c r="L507" i="7"/>
  <c r="L508" i="7"/>
  <c r="L509" i="7"/>
  <c r="L510" i="7"/>
  <c r="L513" i="7"/>
  <c r="L514" i="7"/>
  <c r="L515" i="7"/>
  <c r="L516" i="7"/>
  <c r="L517" i="7"/>
  <c r="L518" i="7"/>
  <c r="L519" i="7"/>
  <c r="L520" i="7"/>
  <c r="L523" i="7"/>
  <c r="L524" i="7"/>
  <c r="L525" i="7"/>
  <c r="L526" i="7"/>
  <c r="L527" i="7"/>
  <c r="L528" i="7"/>
  <c r="L529" i="7"/>
  <c r="L530" i="7"/>
  <c r="L533" i="7"/>
  <c r="L534" i="7"/>
  <c r="L535" i="7"/>
  <c r="L536" i="7"/>
  <c r="L537" i="7"/>
  <c r="L538" i="7"/>
  <c r="L539" i="7"/>
  <c r="L540" i="7"/>
  <c r="L543" i="7"/>
  <c r="L544" i="7"/>
  <c r="L545" i="7"/>
  <c r="L546" i="7"/>
  <c r="L547" i="7"/>
  <c r="L548" i="7"/>
  <c r="L549" i="7"/>
  <c r="L550" i="7"/>
  <c r="L553" i="7"/>
  <c r="L554" i="7"/>
  <c r="L555" i="7"/>
  <c r="L556" i="7"/>
  <c r="L557" i="7"/>
  <c r="L558" i="7"/>
  <c r="L559" i="7"/>
  <c r="L560" i="7"/>
  <c r="L563" i="7"/>
  <c r="L564" i="7"/>
  <c r="L565" i="7"/>
  <c r="L566" i="7"/>
  <c r="L567" i="7"/>
  <c r="L568" i="7"/>
  <c r="L569" i="7"/>
  <c r="L570" i="7"/>
  <c r="L573" i="7"/>
  <c r="M573" i="7" s="1"/>
  <c r="L574" i="7"/>
  <c r="M574" i="7" s="1"/>
  <c r="L575" i="7"/>
  <c r="M575" i="7" s="1"/>
  <c r="L576" i="7"/>
  <c r="M576" i="7" s="1"/>
  <c r="L577" i="7"/>
  <c r="M577" i="7" s="1"/>
  <c r="L578" i="7"/>
  <c r="M578" i="7" s="1"/>
  <c r="L579" i="7"/>
  <c r="M579" i="7" s="1"/>
  <c r="L580" i="7"/>
  <c r="M580" i="7" s="1"/>
  <c r="G7" i="7"/>
  <c r="G8" i="7"/>
  <c r="G9" i="7"/>
  <c r="G10" i="7"/>
  <c r="G11" i="7"/>
  <c r="G12" i="7"/>
  <c r="G17" i="7"/>
  <c r="G18" i="7"/>
  <c r="G19" i="7"/>
  <c r="G20" i="7"/>
  <c r="G21" i="7"/>
  <c r="G22" i="7"/>
  <c r="G27" i="7"/>
  <c r="G28" i="7"/>
  <c r="G29" i="7"/>
  <c r="G30" i="7"/>
  <c r="G31" i="7"/>
  <c r="G32" i="7"/>
  <c r="G36" i="7"/>
  <c r="G37" i="7"/>
  <c r="G38" i="7"/>
  <c r="G39" i="7"/>
  <c r="G40" i="7"/>
  <c r="G41" i="7"/>
  <c r="G42" i="7"/>
  <c r="G46" i="7"/>
  <c r="G47" i="7"/>
  <c r="G48" i="7"/>
  <c r="G49" i="7"/>
  <c r="G50" i="7"/>
  <c r="G51" i="7"/>
  <c r="G52" i="7"/>
  <c r="G56" i="7"/>
  <c r="G57" i="7"/>
  <c r="G58" i="7"/>
  <c r="G59" i="7"/>
  <c r="G60" i="7"/>
  <c r="G61" i="7"/>
  <c r="G62" i="7"/>
  <c r="G66" i="7"/>
  <c r="G67" i="7"/>
  <c r="G68" i="7"/>
  <c r="G69" i="7"/>
  <c r="G70" i="7"/>
  <c r="G71" i="7"/>
  <c r="G72" i="7"/>
  <c r="G76" i="7"/>
  <c r="G77" i="7"/>
  <c r="G78" i="7"/>
  <c r="G79" i="7"/>
  <c r="G80" i="7"/>
  <c r="G81" i="7"/>
  <c r="G82" i="7"/>
  <c r="G86" i="7"/>
  <c r="G87" i="7"/>
  <c r="G88" i="7"/>
  <c r="G89" i="7"/>
  <c r="G90" i="7"/>
  <c r="G91" i="7"/>
  <c r="G92" i="7"/>
  <c r="G96" i="7"/>
  <c r="G97" i="7"/>
  <c r="G98" i="7"/>
  <c r="G99" i="7"/>
  <c r="G100" i="7"/>
  <c r="G101" i="7"/>
  <c r="G102" i="7"/>
  <c r="G106" i="7"/>
  <c r="G107" i="7"/>
  <c r="G108" i="7"/>
  <c r="G109" i="7"/>
  <c r="G110" i="7"/>
  <c r="G111" i="7"/>
  <c r="G112" i="7"/>
  <c r="G116" i="7"/>
  <c r="G117" i="7"/>
  <c r="G118" i="7"/>
  <c r="G119" i="7"/>
  <c r="G120" i="7"/>
  <c r="G121" i="7"/>
  <c r="G122" i="7"/>
  <c r="G126" i="7"/>
  <c r="G127" i="7"/>
  <c r="G128" i="7"/>
  <c r="G129" i="7"/>
  <c r="G130" i="7"/>
  <c r="G131" i="7"/>
  <c r="G132" i="7"/>
  <c r="G136" i="7"/>
  <c r="G137" i="7"/>
  <c r="G138" i="7"/>
  <c r="G139" i="7"/>
  <c r="G140" i="7"/>
  <c r="G141" i="7"/>
  <c r="G142" i="7"/>
  <c r="G146" i="7"/>
  <c r="G147" i="7"/>
  <c r="G148" i="7"/>
  <c r="G149" i="7"/>
  <c r="G150" i="7"/>
  <c r="G151" i="7"/>
  <c r="G152" i="7"/>
  <c r="G156" i="7"/>
  <c r="G157" i="7"/>
  <c r="G158" i="7"/>
  <c r="G159" i="7"/>
  <c r="G160" i="7"/>
  <c r="G161" i="7"/>
  <c r="G162" i="7"/>
  <c r="G166" i="7"/>
  <c r="G167" i="7"/>
  <c r="G168" i="7"/>
  <c r="G169" i="7"/>
  <c r="G170" i="7"/>
  <c r="G171" i="7"/>
  <c r="G172" i="7"/>
  <c r="G176" i="7"/>
  <c r="G177" i="7"/>
  <c r="G178" i="7"/>
  <c r="G179" i="7"/>
  <c r="G180" i="7"/>
  <c r="G181" i="7"/>
  <c r="G182" i="7"/>
  <c r="G186" i="7"/>
  <c r="G187" i="7"/>
  <c r="G188" i="7"/>
  <c r="G189" i="7"/>
  <c r="G190" i="7"/>
  <c r="G191" i="7"/>
  <c r="G192" i="7"/>
  <c r="G207" i="7"/>
  <c r="G208" i="7"/>
  <c r="G209" i="7"/>
  <c r="G210" i="7"/>
  <c r="G211" i="7"/>
  <c r="G212" i="7"/>
  <c r="G216" i="7"/>
  <c r="G217" i="7"/>
  <c r="G218" i="7"/>
  <c r="G219" i="7"/>
  <c r="G220" i="7"/>
  <c r="G221" i="7"/>
  <c r="G222" i="7"/>
  <c r="G227" i="7"/>
  <c r="G228" i="7"/>
  <c r="G229" i="7"/>
  <c r="G230" i="7"/>
  <c r="G231" i="7"/>
  <c r="G232" i="7"/>
  <c r="G237" i="7"/>
  <c r="G238" i="7"/>
  <c r="G239" i="7"/>
  <c r="G240" i="7"/>
  <c r="G241" i="7"/>
  <c r="G242" i="7"/>
  <c r="G245" i="7"/>
  <c r="G246" i="7"/>
  <c r="G247" i="7"/>
  <c r="G248" i="7"/>
  <c r="G249" i="7"/>
  <c r="G250" i="7"/>
  <c r="G251" i="7"/>
  <c r="G252" i="7"/>
  <c r="G264" i="7"/>
  <c r="G265" i="7"/>
  <c r="G266" i="7"/>
  <c r="G267" i="7"/>
  <c r="G268" i="7"/>
  <c r="G269" i="7"/>
  <c r="G270" i="7"/>
  <c r="G271" i="7"/>
  <c r="G272" i="7"/>
  <c r="G284" i="7"/>
  <c r="G285" i="7"/>
  <c r="G286" i="7"/>
  <c r="G287" i="7"/>
  <c r="G288" i="7"/>
  <c r="G289" i="7"/>
  <c r="G290" i="7"/>
  <c r="G291" i="7"/>
  <c r="G292" i="7"/>
  <c r="G295" i="7"/>
  <c r="G296" i="7"/>
  <c r="G297" i="7"/>
  <c r="G298" i="7"/>
  <c r="G299" i="7"/>
  <c r="G300" i="7"/>
  <c r="G301" i="7"/>
  <c r="G302" i="7"/>
  <c r="G304" i="7"/>
  <c r="G305" i="7"/>
  <c r="G306" i="7"/>
  <c r="G307" i="7"/>
  <c r="G308" i="7"/>
  <c r="G309" i="7"/>
  <c r="G310" i="7"/>
  <c r="G311" i="7"/>
  <c r="G312" i="7"/>
  <c r="G314" i="7"/>
  <c r="G315" i="7"/>
  <c r="G316" i="7"/>
  <c r="G317" i="7"/>
  <c r="G318" i="7"/>
  <c r="G319" i="7"/>
  <c r="G320" i="7"/>
  <c r="G321" i="7"/>
  <c r="G322" i="7"/>
  <c r="G326" i="7"/>
  <c r="G327" i="7"/>
  <c r="G328" i="7"/>
  <c r="G329" i="7"/>
  <c r="G330" i="7"/>
  <c r="G331" i="7"/>
  <c r="G332" i="7"/>
  <c r="G336" i="7"/>
  <c r="G337" i="7"/>
  <c r="G338" i="7"/>
  <c r="G339" i="7"/>
  <c r="G340" i="7"/>
  <c r="G341" i="7"/>
  <c r="G342" i="7"/>
  <c r="G345" i="7"/>
  <c r="G346" i="7"/>
  <c r="G347" i="7"/>
  <c r="G348" i="7"/>
  <c r="G349" i="7"/>
  <c r="G350" i="7"/>
  <c r="G351" i="7"/>
  <c r="G352" i="7"/>
  <c r="G355" i="7"/>
  <c r="G356" i="7"/>
  <c r="G357" i="7"/>
  <c r="G358" i="7"/>
  <c r="G359" i="7"/>
  <c r="G360" i="7"/>
  <c r="G361" i="7"/>
  <c r="G362" i="7"/>
  <c r="G365" i="7"/>
  <c r="G366" i="7"/>
  <c r="G367" i="7"/>
  <c r="G368" i="7"/>
  <c r="G369" i="7"/>
  <c r="G370" i="7"/>
  <c r="G371" i="7"/>
  <c r="G372" i="7"/>
  <c r="G377" i="7"/>
  <c r="G378" i="7"/>
  <c r="G379" i="7"/>
  <c r="G380" i="7"/>
  <c r="G381" i="7"/>
  <c r="G382" i="7"/>
  <c r="G385" i="7"/>
  <c r="G386" i="7"/>
  <c r="G387" i="7"/>
  <c r="G388" i="7"/>
  <c r="G389" i="7"/>
  <c r="G390" i="7"/>
  <c r="G391" i="7"/>
  <c r="G392" i="7"/>
  <c r="G395" i="7"/>
  <c r="G396" i="7"/>
  <c r="G397" i="7"/>
  <c r="G398" i="7"/>
  <c r="G399" i="7"/>
  <c r="G400" i="7"/>
  <c r="G401" i="7"/>
  <c r="G402" i="7"/>
  <c r="G415" i="7"/>
  <c r="G416" i="7"/>
  <c r="G417" i="7"/>
  <c r="G418" i="7"/>
  <c r="G419" i="7"/>
  <c r="G420" i="7"/>
  <c r="G421" i="7"/>
  <c r="G422" i="7"/>
  <c r="G425" i="7"/>
  <c r="G426" i="7"/>
  <c r="G427" i="7"/>
  <c r="G428" i="7"/>
  <c r="G429" i="7"/>
  <c r="G430" i="7"/>
  <c r="G431" i="7"/>
  <c r="G432" i="7"/>
  <c r="G435" i="7"/>
  <c r="G436" i="7"/>
  <c r="G437" i="7"/>
  <c r="G438" i="7"/>
  <c r="G439" i="7"/>
  <c r="G440" i="7"/>
  <c r="G441" i="7"/>
  <c r="G442" i="7"/>
  <c r="G447" i="7"/>
  <c r="G448" i="7"/>
  <c r="G449" i="7"/>
  <c r="G450" i="7"/>
  <c r="G451" i="7"/>
  <c r="G452" i="7"/>
  <c r="G456" i="7"/>
  <c r="G457" i="7"/>
  <c r="G458" i="7"/>
  <c r="G459" i="7"/>
  <c r="G460" i="7"/>
  <c r="G461" i="7"/>
  <c r="G462" i="7"/>
  <c r="G466" i="7"/>
  <c r="G467" i="7"/>
  <c r="G468" i="7"/>
  <c r="G469" i="7"/>
  <c r="G470" i="7"/>
  <c r="G471" i="7"/>
  <c r="G472" i="7"/>
  <c r="G476" i="7"/>
  <c r="G477" i="7"/>
  <c r="G478" i="7"/>
  <c r="G479" i="7"/>
  <c r="G480" i="7"/>
  <c r="G481" i="7"/>
  <c r="G482" i="7"/>
  <c r="G485" i="7"/>
  <c r="G486" i="7"/>
  <c r="G487" i="7"/>
  <c r="G488" i="7"/>
  <c r="G489" i="7"/>
  <c r="G490" i="7"/>
  <c r="G491" i="7"/>
  <c r="G492" i="7"/>
  <c r="G497" i="7"/>
  <c r="G498" i="7"/>
  <c r="G499" i="7"/>
  <c r="G500" i="7"/>
  <c r="G501" i="7"/>
  <c r="G502" i="7"/>
  <c r="G506" i="7"/>
  <c r="G507" i="7"/>
  <c r="G508" i="7"/>
  <c r="G509" i="7"/>
  <c r="G510" i="7"/>
  <c r="G511" i="7"/>
  <c r="G512" i="7"/>
  <c r="G516" i="7"/>
  <c r="G517" i="7"/>
  <c r="G518" i="7"/>
  <c r="G519" i="7"/>
  <c r="G520" i="7"/>
  <c r="G521" i="7"/>
  <c r="G522" i="7"/>
  <c r="G525" i="7"/>
  <c r="G526" i="7"/>
  <c r="G527" i="7"/>
  <c r="G528" i="7"/>
  <c r="G529" i="7"/>
  <c r="G530" i="7"/>
  <c r="G531" i="7"/>
  <c r="G532" i="7"/>
  <c r="G536" i="7"/>
  <c r="G537" i="7"/>
  <c r="G538" i="7"/>
  <c r="G539" i="7"/>
  <c r="G540" i="7"/>
  <c r="G541" i="7"/>
  <c r="G542" i="7"/>
  <c r="G545" i="7"/>
  <c r="G546" i="7"/>
  <c r="G547" i="7"/>
  <c r="G548" i="7"/>
  <c r="G549" i="7"/>
  <c r="G550" i="7"/>
  <c r="G551" i="7"/>
  <c r="G552" i="7"/>
  <c r="G557" i="7"/>
  <c r="G558" i="7"/>
  <c r="G559" i="7"/>
  <c r="G560" i="7"/>
  <c r="G561" i="7"/>
  <c r="G562" i="7"/>
  <c r="G564" i="7"/>
  <c r="G565" i="7"/>
  <c r="G566" i="7"/>
  <c r="G567" i="7"/>
  <c r="G568" i="7"/>
  <c r="G569" i="7"/>
  <c r="G570" i="7"/>
  <c r="G571" i="7"/>
  <c r="G572" i="7"/>
  <c r="G577" i="7"/>
  <c r="H577" i="7" s="1"/>
  <c r="G578" i="7"/>
  <c r="H578" i="7" s="1"/>
  <c r="G579" i="7"/>
  <c r="H579" i="7" s="1"/>
  <c r="G580" i="7"/>
  <c r="H580" i="7" s="1"/>
  <c r="G581" i="7"/>
  <c r="H581" i="7" s="1"/>
  <c r="G582" i="7"/>
  <c r="H582" i="7" s="1"/>
  <c r="G603" i="7"/>
  <c r="G604" i="7"/>
  <c r="G605" i="7"/>
  <c r="G606" i="7"/>
  <c r="G607" i="7"/>
  <c r="G608" i="7"/>
  <c r="G609" i="7"/>
  <c r="G610" i="7"/>
  <c r="G611" i="7"/>
  <c r="G612" i="7"/>
  <c r="G613" i="7"/>
  <c r="G614" i="7"/>
  <c r="G615" i="7"/>
  <c r="G616" i="7"/>
  <c r="G617" i="7"/>
  <c r="G618" i="7"/>
  <c r="G619" i="7"/>
  <c r="G620" i="7"/>
  <c r="G621" i="7"/>
  <c r="G622" i="7"/>
  <c r="G626" i="7"/>
  <c r="G627" i="7"/>
  <c r="G628" i="7"/>
  <c r="G629" i="7"/>
  <c r="G630" i="7"/>
  <c r="G631" i="7"/>
  <c r="G632" i="7"/>
  <c r="G637" i="7"/>
  <c r="G638" i="7"/>
  <c r="G639" i="7"/>
  <c r="G640" i="7"/>
  <c r="G641" i="7"/>
  <c r="G642" i="7"/>
  <c r="G644" i="7"/>
  <c r="G645" i="7"/>
  <c r="G646" i="7"/>
  <c r="G647" i="7"/>
  <c r="G648" i="7"/>
  <c r="G649" i="7"/>
  <c r="G650" i="7"/>
  <c r="G651" i="7"/>
  <c r="G652" i="7"/>
  <c r="G655" i="7"/>
  <c r="G656" i="7"/>
  <c r="G657" i="7"/>
  <c r="G658" i="7"/>
  <c r="G659" i="7"/>
  <c r="G660" i="7"/>
  <c r="G661" i="7"/>
  <c r="G662" i="7"/>
  <c r="G665" i="7"/>
  <c r="G666" i="7"/>
  <c r="G667" i="7"/>
  <c r="G668" i="7"/>
  <c r="G669" i="7"/>
  <c r="G670" i="7"/>
  <c r="G671" i="7"/>
  <c r="G672" i="7"/>
  <c r="G675" i="7"/>
  <c r="G676" i="7"/>
  <c r="G677" i="7"/>
  <c r="G678" i="7"/>
  <c r="G679" i="7"/>
  <c r="G680" i="7"/>
  <c r="G681" i="7"/>
  <c r="G682" i="7"/>
  <c r="G695" i="7"/>
  <c r="G696" i="7"/>
  <c r="G697" i="7"/>
  <c r="G698" i="7"/>
  <c r="G699" i="7"/>
  <c r="G700" i="7"/>
  <c r="G701" i="7"/>
  <c r="G702" i="7"/>
  <c r="G706" i="7"/>
  <c r="G707" i="7"/>
  <c r="G708" i="7"/>
  <c r="G709" i="7"/>
  <c r="G710" i="7"/>
  <c r="G711" i="7"/>
  <c r="G712" i="7"/>
  <c r="G765" i="7"/>
  <c r="G766" i="7"/>
  <c r="G767" i="7"/>
  <c r="G768" i="7"/>
  <c r="G769" i="7"/>
  <c r="G770" i="7"/>
  <c r="G771" i="7"/>
  <c r="G772" i="7"/>
  <c r="G775" i="7"/>
  <c r="G776" i="7"/>
  <c r="G777" i="7"/>
  <c r="G778" i="7"/>
  <c r="G779" i="7"/>
  <c r="G780" i="7"/>
  <c r="G781" i="7"/>
  <c r="G782" i="7"/>
  <c r="G786" i="7"/>
  <c r="G787" i="7"/>
  <c r="G788" i="7"/>
  <c r="G789" i="7"/>
  <c r="G790" i="7"/>
  <c r="G791" i="7"/>
  <c r="G792" i="7"/>
  <c r="G796" i="7"/>
  <c r="G797" i="7"/>
  <c r="G798" i="7"/>
  <c r="G799" i="7"/>
  <c r="G800" i="7"/>
  <c r="G801" i="7"/>
  <c r="G802" i="7"/>
  <c r="G806" i="7"/>
  <c r="G807" i="7"/>
  <c r="G808" i="7"/>
  <c r="G809" i="7"/>
  <c r="G810" i="7"/>
  <c r="G811" i="7"/>
  <c r="G812" i="7"/>
  <c r="G816" i="7"/>
  <c r="G817" i="7"/>
  <c r="G818" i="7"/>
  <c r="G819" i="7"/>
  <c r="G820" i="7"/>
  <c r="G821" i="7"/>
  <c r="G822" i="7"/>
  <c r="G825" i="7"/>
  <c r="H825" i="7" s="1"/>
  <c r="G826" i="7"/>
  <c r="G827" i="7"/>
  <c r="G828" i="7"/>
  <c r="G829" i="7"/>
  <c r="G830" i="7"/>
  <c r="G831" i="7"/>
  <c r="G832" i="7"/>
  <c r="G834" i="7"/>
  <c r="G835" i="7"/>
  <c r="G836" i="7"/>
  <c r="G837" i="7"/>
  <c r="G838" i="7"/>
  <c r="G839" i="7"/>
  <c r="G840" i="7"/>
  <c r="G841" i="7"/>
  <c r="G842" i="7"/>
  <c r="G845" i="7"/>
  <c r="G846" i="7"/>
  <c r="G847" i="7"/>
  <c r="G848" i="7"/>
  <c r="G849" i="7"/>
  <c r="G850" i="7"/>
  <c r="G851" i="7"/>
  <c r="G852" i="7"/>
  <c r="G855" i="7"/>
  <c r="G856" i="7"/>
  <c r="G857" i="7"/>
  <c r="G858" i="7"/>
  <c r="G859" i="7"/>
  <c r="G860" i="7"/>
  <c r="G861" i="7"/>
  <c r="G862" i="7"/>
  <c r="G865" i="7"/>
  <c r="G866" i="7"/>
  <c r="G867" i="7"/>
  <c r="G868" i="7"/>
  <c r="G869" i="7"/>
  <c r="G870" i="7"/>
  <c r="G871" i="7"/>
  <c r="G872" i="7"/>
  <c r="G875" i="7"/>
  <c r="G876" i="7"/>
  <c r="G877" i="7"/>
  <c r="G878" i="7"/>
  <c r="G879" i="7"/>
  <c r="G880" i="7"/>
  <c r="G881" i="7"/>
  <c r="G882" i="7"/>
  <c r="G907" i="7"/>
  <c r="G908" i="7"/>
  <c r="G909" i="7"/>
  <c r="G910" i="7"/>
  <c r="G911" i="7"/>
  <c r="G912" i="7"/>
  <c r="G933" i="7"/>
  <c r="G937" i="7"/>
  <c r="G938" i="7"/>
  <c r="G939" i="7"/>
  <c r="G940" i="7"/>
  <c r="G941" i="7"/>
  <c r="G942" i="7"/>
  <c r="G948" i="7"/>
  <c r="G949" i="7"/>
  <c r="G950" i="7"/>
  <c r="G951" i="7"/>
  <c r="G952" i="7"/>
  <c r="G958" i="7"/>
  <c r="G959" i="7"/>
  <c r="G960" i="7"/>
  <c r="G961" i="7"/>
  <c r="G962" i="7"/>
  <c r="G964" i="7"/>
  <c r="G965" i="7"/>
  <c r="G966" i="7"/>
  <c r="G967" i="7"/>
  <c r="G968" i="7"/>
  <c r="G969" i="7"/>
  <c r="G970" i="7"/>
  <c r="G971" i="7"/>
  <c r="G972" i="7"/>
  <c r="G975" i="7"/>
  <c r="G976" i="7"/>
  <c r="G977" i="7"/>
  <c r="G978" i="7"/>
  <c r="G979" i="7"/>
  <c r="G980" i="7"/>
  <c r="G981" i="7"/>
  <c r="G982" i="7"/>
  <c r="G983" i="7"/>
  <c r="G984" i="7"/>
  <c r="G985" i="7"/>
  <c r="G986" i="7"/>
  <c r="G987" i="7"/>
  <c r="G988" i="7"/>
  <c r="G989" i="7"/>
  <c r="G990" i="7"/>
  <c r="G991" i="7"/>
  <c r="G992" i="7"/>
  <c r="G997" i="7"/>
  <c r="G998" i="7"/>
  <c r="G999" i="7"/>
  <c r="G1000" i="7"/>
  <c r="G1001" i="7"/>
  <c r="G1002" i="7"/>
  <c r="G1004" i="7"/>
  <c r="G1005" i="7"/>
  <c r="G1006" i="7"/>
  <c r="G1007" i="7"/>
  <c r="G1008" i="7"/>
  <c r="G1009" i="7"/>
  <c r="G1010" i="7"/>
  <c r="G1011" i="7"/>
  <c r="G1012" i="7"/>
  <c r="G1014" i="7"/>
  <c r="G1015" i="7"/>
  <c r="G1016" i="7"/>
  <c r="G1017" i="7"/>
  <c r="G1018" i="7"/>
  <c r="G1019" i="7"/>
  <c r="G1020" i="7"/>
  <c r="G1021" i="7"/>
  <c r="G1022" i="7"/>
  <c r="G1026" i="7"/>
  <c r="G1027" i="7"/>
  <c r="G1028" i="7"/>
  <c r="G1029" i="7"/>
  <c r="G1030" i="7"/>
  <c r="G1031" i="7"/>
  <c r="G1032" i="7"/>
  <c r="G1035" i="7"/>
  <c r="G1036" i="7"/>
  <c r="G1037" i="7"/>
  <c r="G1038" i="7"/>
  <c r="G1039" i="7"/>
  <c r="G1040" i="7"/>
  <c r="G1041" i="7"/>
  <c r="G1042" i="7"/>
  <c r="G1043" i="7"/>
  <c r="G1044" i="7"/>
  <c r="G1045" i="7"/>
  <c r="G1046" i="7"/>
  <c r="G1047" i="7"/>
  <c r="G1048" i="7"/>
  <c r="G1049" i="7"/>
  <c r="G1050" i="7"/>
  <c r="G1051" i="7"/>
  <c r="G1052" i="7"/>
  <c r="G1053" i="7"/>
  <c r="G1054" i="7"/>
  <c r="G1055" i="7"/>
  <c r="G1056" i="7"/>
  <c r="G1057" i="7"/>
  <c r="G1058" i="7"/>
  <c r="G1059" i="7"/>
  <c r="G1060" i="7"/>
  <c r="G1061" i="7"/>
  <c r="G1062" i="7"/>
  <c r="G1063" i="7"/>
  <c r="G1064" i="7"/>
  <c r="G1065" i="7"/>
  <c r="G1066" i="7"/>
  <c r="G1067" i="7"/>
  <c r="G1068" i="7"/>
  <c r="G1069" i="7"/>
  <c r="G1070" i="7"/>
  <c r="G1071" i="7"/>
  <c r="G1072" i="7"/>
  <c r="G1073" i="7"/>
  <c r="G1074" i="7"/>
  <c r="G1075" i="7"/>
  <c r="G1076" i="7"/>
  <c r="G1077" i="7"/>
  <c r="G1078" i="7"/>
  <c r="G1079" i="7"/>
  <c r="G1080" i="7"/>
  <c r="G1081" i="7"/>
  <c r="G1082" i="7"/>
  <c r="G1083" i="7"/>
  <c r="G1084" i="7"/>
  <c r="G1085" i="7"/>
  <c r="G1086" i="7"/>
  <c r="G1087" i="7"/>
  <c r="G1088" i="7"/>
  <c r="G1089" i="7"/>
  <c r="G1090" i="7"/>
  <c r="G1091" i="7"/>
  <c r="G1092" i="7"/>
  <c r="G1093" i="7"/>
  <c r="G1094" i="7"/>
  <c r="G1095" i="7"/>
  <c r="G1096" i="7"/>
  <c r="G1097" i="7"/>
  <c r="G1098" i="7"/>
  <c r="G1099" i="7"/>
  <c r="G1100" i="7"/>
  <c r="G1101" i="7"/>
  <c r="G1102" i="7"/>
  <c r="G1103" i="7"/>
  <c r="G1104" i="7"/>
  <c r="G1105" i="7"/>
  <c r="G1106" i="7"/>
  <c r="G1107" i="7"/>
  <c r="G1108" i="7"/>
  <c r="G1109" i="7"/>
  <c r="G1110" i="7"/>
  <c r="G1111" i="7"/>
  <c r="G1112" i="7"/>
  <c r="G1113" i="7"/>
  <c r="G1114" i="7"/>
  <c r="G1115" i="7"/>
  <c r="G1116" i="7"/>
  <c r="G1117" i="7"/>
  <c r="G1118" i="7"/>
  <c r="G1119" i="7"/>
  <c r="G1120" i="7"/>
  <c r="G1121" i="7"/>
  <c r="G1122" i="7"/>
  <c r="G1123" i="7"/>
  <c r="G1124" i="7"/>
  <c r="G1125" i="7"/>
  <c r="G1126" i="7"/>
  <c r="G1127" i="7"/>
  <c r="G1128" i="7"/>
  <c r="G1129" i="7"/>
  <c r="G1130" i="7"/>
  <c r="G1131" i="7"/>
  <c r="G1132" i="7"/>
  <c r="G1133" i="7"/>
  <c r="G1134" i="7"/>
  <c r="G1135" i="7"/>
  <c r="G1136" i="7"/>
  <c r="G1137" i="7"/>
  <c r="G1138" i="7"/>
  <c r="G1139" i="7"/>
  <c r="G1140" i="7"/>
  <c r="G1141" i="7"/>
  <c r="G1142" i="7"/>
  <c r="G1143" i="7"/>
  <c r="G1144" i="7"/>
  <c r="G1145" i="7"/>
  <c r="G1146" i="7"/>
  <c r="G1147" i="7"/>
  <c r="G1148" i="7"/>
  <c r="G1149" i="7"/>
  <c r="G1150" i="7"/>
  <c r="G1151" i="7"/>
  <c r="G1152" i="7"/>
  <c r="G1153" i="7"/>
  <c r="G1154" i="7"/>
  <c r="G1155" i="7"/>
  <c r="G1156" i="7"/>
  <c r="G1157" i="7"/>
  <c r="G1158" i="7"/>
  <c r="G1159" i="7"/>
  <c r="G1160" i="7"/>
  <c r="G1161" i="7"/>
  <c r="G1162" i="7"/>
  <c r="G1163" i="7"/>
  <c r="G1164" i="7"/>
  <c r="G1165" i="7"/>
  <c r="G1166" i="7"/>
  <c r="G1167" i="7"/>
  <c r="G1168" i="7"/>
  <c r="G1169" i="7"/>
  <c r="G1170" i="7"/>
  <c r="G1171" i="7"/>
  <c r="G1172" i="7"/>
  <c r="G1173" i="7"/>
  <c r="G1174" i="7"/>
  <c r="G1175" i="7"/>
  <c r="G1176" i="7"/>
  <c r="G1177" i="7"/>
  <c r="G1178" i="7"/>
  <c r="G1179" i="7"/>
  <c r="G1180" i="7"/>
  <c r="G1181" i="7"/>
  <c r="G1182" i="7"/>
  <c r="G1183" i="7"/>
  <c r="G1184" i="7"/>
  <c r="G1185" i="7"/>
  <c r="G1186" i="7"/>
  <c r="G1187" i="7"/>
  <c r="G1188" i="7"/>
  <c r="G1189" i="7"/>
  <c r="G1190" i="7"/>
  <c r="G1191" i="7"/>
  <c r="G1192" i="7"/>
  <c r="G1193" i="7"/>
  <c r="G1194" i="7"/>
  <c r="G1195" i="7"/>
  <c r="G1196" i="7"/>
  <c r="G1197" i="7"/>
  <c r="G1198" i="7"/>
  <c r="G1199" i="7"/>
  <c r="G1200" i="7"/>
  <c r="G1201" i="7"/>
  <c r="G1202" i="7"/>
  <c r="G1203" i="7"/>
  <c r="G1204" i="7"/>
  <c r="G1205" i="7"/>
  <c r="G1206" i="7"/>
  <c r="G1207" i="7"/>
  <c r="G1208" i="7"/>
  <c r="G1209" i="7"/>
  <c r="G1210" i="7"/>
  <c r="G1211" i="7"/>
  <c r="G1212" i="7"/>
  <c r="N593" i="7" l="1"/>
  <c r="N583" i="7"/>
  <c r="N573" i="7"/>
  <c r="B189" i="2" l="1"/>
  <c r="B178" i="2"/>
  <c r="B167" i="2"/>
  <c r="B156" i="2"/>
  <c r="B145" i="2"/>
  <c r="B134" i="2"/>
  <c r="B123" i="2"/>
  <c r="B112" i="2"/>
  <c r="B101" i="2"/>
  <c r="H572" i="7" l="1"/>
  <c r="H571" i="7"/>
  <c r="M570" i="7"/>
  <c r="H570" i="7"/>
  <c r="M569" i="7"/>
  <c r="H569" i="7"/>
  <c r="M568" i="7"/>
  <c r="H568" i="7"/>
  <c r="M567" i="7"/>
  <c r="H567" i="7"/>
  <c r="M566" i="7"/>
  <c r="H566" i="7"/>
  <c r="M565" i="7"/>
  <c r="H565" i="7"/>
  <c r="M564" i="7"/>
  <c r="H564" i="7"/>
  <c r="M563" i="7"/>
  <c r="E31" i="4"/>
  <c r="C31" i="4"/>
  <c r="D54" i="16"/>
  <c r="N563" i="7" l="1"/>
  <c r="J14" i="16" l="1"/>
  <c r="B1" i="16"/>
  <c r="H562" i="7"/>
  <c r="H561" i="7"/>
  <c r="M560" i="7"/>
  <c r="H560" i="7"/>
  <c r="M559" i="7"/>
  <c r="H559" i="7"/>
  <c r="M558" i="7"/>
  <c r="H558" i="7"/>
  <c r="M557" i="7"/>
  <c r="H557" i="7"/>
  <c r="M556" i="7"/>
  <c r="M555" i="7"/>
  <c r="M554" i="7"/>
  <c r="M553" i="7"/>
  <c r="H19" i="16"/>
  <c r="N553" i="7" l="1"/>
  <c r="F5" i="4" l="1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4" i="4"/>
  <c r="A3" i="5" a="1"/>
  <c r="A3" i="5" s="1"/>
  <c r="G15" i="15"/>
  <c r="G16" i="15"/>
  <c r="G17" i="15"/>
  <c r="G18" i="15"/>
  <c r="G19" i="15"/>
  <c r="G20" i="15"/>
  <c r="G21" i="15"/>
  <c r="G22" i="15"/>
  <c r="G23" i="15"/>
  <c r="G24" i="15"/>
  <c r="G25" i="15"/>
  <c r="G26" i="15"/>
  <c r="G27" i="15"/>
  <c r="G28" i="15"/>
  <c r="G29" i="15"/>
  <c r="G30" i="15"/>
  <c r="G31" i="15"/>
  <c r="G32" i="15"/>
  <c r="G33" i="15"/>
  <c r="G34" i="15"/>
  <c r="G35" i="15"/>
  <c r="G36" i="15"/>
  <c r="G37" i="15"/>
  <c r="G38" i="15"/>
  <c r="G39" i="15"/>
  <c r="G40" i="15"/>
  <c r="G41" i="15"/>
  <c r="G42" i="15"/>
  <c r="G43" i="15"/>
  <c r="G44" i="15"/>
  <c r="G45" i="15"/>
  <c r="G46" i="15"/>
  <c r="G47" i="15"/>
  <c r="G48" i="15"/>
  <c r="G49" i="15"/>
  <c r="G50" i="15"/>
  <c r="G51" i="15"/>
  <c r="G52" i="15"/>
  <c r="G53" i="15"/>
  <c r="G54" i="15"/>
  <c r="G55" i="15"/>
  <c r="G56" i="15"/>
  <c r="G57" i="15"/>
  <c r="G58" i="15"/>
  <c r="G59" i="15"/>
  <c r="G60" i="15"/>
  <c r="G61" i="15"/>
  <c r="G62" i="15"/>
  <c r="G63" i="15"/>
  <c r="G64" i="15"/>
  <c r="G65" i="15"/>
  <c r="G66" i="15"/>
  <c r="G67" i="15"/>
  <c r="G68" i="15"/>
  <c r="G69" i="15"/>
  <c r="G70" i="15"/>
  <c r="G71" i="15"/>
  <c r="G72" i="15"/>
  <c r="G73" i="15"/>
  <c r="G74" i="15"/>
  <c r="G75" i="15"/>
  <c r="G76" i="15"/>
  <c r="G77" i="15"/>
  <c r="G78" i="15"/>
  <c r="G79" i="15"/>
  <c r="G80" i="15"/>
  <c r="G81" i="15"/>
  <c r="G82" i="15"/>
  <c r="G83" i="15"/>
  <c r="G84" i="15"/>
  <c r="G85" i="15"/>
  <c r="G86" i="15"/>
  <c r="G87" i="15"/>
  <c r="G88" i="15"/>
  <c r="G89" i="15"/>
  <c r="G90" i="15"/>
  <c r="G91" i="15"/>
  <c r="A189" i="2"/>
  <c r="A178" i="2"/>
  <c r="A167" i="2"/>
  <c r="A156" i="2"/>
  <c r="A145" i="2"/>
  <c r="A134" i="2"/>
  <c r="A123" i="2"/>
  <c r="I1" i="3"/>
  <c r="H1" i="3"/>
  <c r="I1" i="6"/>
  <c r="H1" i="6"/>
  <c r="E30" i="4"/>
  <c r="C30" i="4"/>
  <c r="H1212" i="7" l="1"/>
  <c r="F1212" i="7"/>
  <c r="H1211" i="7"/>
  <c r="F1211" i="7"/>
  <c r="L1210" i="7"/>
  <c r="M1210" i="7" s="1"/>
  <c r="H1210" i="7"/>
  <c r="F1210" i="7"/>
  <c r="L1209" i="7"/>
  <c r="M1209" i="7" s="1"/>
  <c r="H1209" i="7"/>
  <c r="F1209" i="7"/>
  <c r="L1208" i="7"/>
  <c r="M1208" i="7" s="1"/>
  <c r="H1208" i="7"/>
  <c r="F1208" i="7"/>
  <c r="L1207" i="7"/>
  <c r="M1207" i="7" s="1"/>
  <c r="H1207" i="7"/>
  <c r="F1207" i="7"/>
  <c r="L1206" i="7"/>
  <c r="M1206" i="7" s="1"/>
  <c r="H1206" i="7"/>
  <c r="F1206" i="7"/>
  <c r="L1205" i="7"/>
  <c r="M1205" i="7" s="1"/>
  <c r="H1205" i="7"/>
  <c r="F1205" i="7"/>
  <c r="L1204" i="7"/>
  <c r="M1204" i="7" s="1"/>
  <c r="H1204" i="7"/>
  <c r="F1204" i="7"/>
  <c r="L1203" i="7"/>
  <c r="M1203" i="7" s="1"/>
  <c r="H1203" i="7"/>
  <c r="F1203" i="7"/>
  <c r="H1202" i="7"/>
  <c r="F1202" i="7"/>
  <c r="H1201" i="7"/>
  <c r="F1201" i="7"/>
  <c r="L1200" i="7"/>
  <c r="M1200" i="7" s="1"/>
  <c r="H1200" i="7"/>
  <c r="F1200" i="7"/>
  <c r="L1199" i="7"/>
  <c r="M1199" i="7" s="1"/>
  <c r="H1199" i="7"/>
  <c r="F1199" i="7"/>
  <c r="L1198" i="7"/>
  <c r="M1198" i="7" s="1"/>
  <c r="H1198" i="7"/>
  <c r="F1198" i="7"/>
  <c r="L1197" i="7"/>
  <c r="M1197" i="7" s="1"/>
  <c r="H1197" i="7"/>
  <c r="F1197" i="7"/>
  <c r="L1196" i="7"/>
  <c r="M1196" i="7" s="1"/>
  <c r="H1196" i="7"/>
  <c r="F1196" i="7"/>
  <c r="L1195" i="7"/>
  <c r="M1195" i="7" s="1"/>
  <c r="H1195" i="7"/>
  <c r="F1195" i="7"/>
  <c r="L1194" i="7"/>
  <c r="M1194" i="7" s="1"/>
  <c r="H1194" i="7"/>
  <c r="F1194" i="7"/>
  <c r="L1193" i="7"/>
  <c r="M1193" i="7" s="1"/>
  <c r="H1193" i="7"/>
  <c r="F1193" i="7"/>
  <c r="H1192" i="7"/>
  <c r="F1192" i="7"/>
  <c r="H1191" i="7"/>
  <c r="F1191" i="7"/>
  <c r="L1190" i="7"/>
  <c r="M1190" i="7" s="1"/>
  <c r="H1190" i="7"/>
  <c r="F1190" i="7"/>
  <c r="L1189" i="7"/>
  <c r="M1189" i="7" s="1"/>
  <c r="H1189" i="7"/>
  <c r="F1189" i="7"/>
  <c r="L1188" i="7"/>
  <c r="M1188" i="7" s="1"/>
  <c r="H1188" i="7"/>
  <c r="F1188" i="7"/>
  <c r="L1187" i="7"/>
  <c r="M1187" i="7" s="1"/>
  <c r="H1187" i="7"/>
  <c r="F1187" i="7"/>
  <c r="L1186" i="7"/>
  <c r="M1186" i="7" s="1"/>
  <c r="H1186" i="7"/>
  <c r="F1186" i="7"/>
  <c r="L1185" i="7"/>
  <c r="M1185" i="7" s="1"/>
  <c r="H1185" i="7"/>
  <c r="F1185" i="7"/>
  <c r="L1184" i="7"/>
  <c r="M1184" i="7" s="1"/>
  <c r="H1184" i="7"/>
  <c r="F1184" i="7"/>
  <c r="L1183" i="7"/>
  <c r="M1183" i="7" s="1"/>
  <c r="H1183" i="7"/>
  <c r="F1183" i="7"/>
  <c r="H1182" i="7"/>
  <c r="F1182" i="7"/>
  <c r="H1181" i="7"/>
  <c r="F1181" i="7"/>
  <c r="L1180" i="7"/>
  <c r="M1180" i="7" s="1"/>
  <c r="H1180" i="7"/>
  <c r="F1180" i="7"/>
  <c r="L1179" i="7"/>
  <c r="M1179" i="7" s="1"/>
  <c r="H1179" i="7"/>
  <c r="F1179" i="7"/>
  <c r="L1178" i="7"/>
  <c r="M1178" i="7" s="1"/>
  <c r="H1178" i="7"/>
  <c r="F1178" i="7"/>
  <c r="L1177" i="7"/>
  <c r="M1177" i="7" s="1"/>
  <c r="H1177" i="7"/>
  <c r="F1177" i="7"/>
  <c r="L1176" i="7"/>
  <c r="M1176" i="7" s="1"/>
  <c r="H1176" i="7"/>
  <c r="F1176" i="7"/>
  <c r="L1175" i="7"/>
  <c r="M1175" i="7" s="1"/>
  <c r="H1175" i="7"/>
  <c r="F1175" i="7"/>
  <c r="L1174" i="7"/>
  <c r="M1174" i="7" s="1"/>
  <c r="H1174" i="7"/>
  <c r="F1174" i="7"/>
  <c r="L1173" i="7"/>
  <c r="M1173" i="7" s="1"/>
  <c r="H1173" i="7"/>
  <c r="F1173" i="7"/>
  <c r="H1172" i="7"/>
  <c r="F1172" i="7"/>
  <c r="H1171" i="7"/>
  <c r="F1171" i="7"/>
  <c r="L1170" i="7"/>
  <c r="M1170" i="7" s="1"/>
  <c r="H1170" i="7"/>
  <c r="F1170" i="7"/>
  <c r="L1169" i="7"/>
  <c r="M1169" i="7" s="1"/>
  <c r="H1169" i="7"/>
  <c r="F1169" i="7"/>
  <c r="L1168" i="7"/>
  <c r="M1168" i="7" s="1"/>
  <c r="H1168" i="7"/>
  <c r="F1168" i="7"/>
  <c r="L1167" i="7"/>
  <c r="M1167" i="7" s="1"/>
  <c r="H1167" i="7"/>
  <c r="F1167" i="7"/>
  <c r="L1166" i="7"/>
  <c r="M1166" i="7" s="1"/>
  <c r="H1166" i="7"/>
  <c r="F1166" i="7"/>
  <c r="L1165" i="7"/>
  <c r="M1165" i="7" s="1"/>
  <c r="H1165" i="7"/>
  <c r="F1165" i="7"/>
  <c r="L1164" i="7"/>
  <c r="M1164" i="7" s="1"/>
  <c r="H1164" i="7"/>
  <c r="F1164" i="7"/>
  <c r="L1163" i="7"/>
  <c r="M1163" i="7" s="1"/>
  <c r="H1163" i="7"/>
  <c r="F1163" i="7"/>
  <c r="F181" i="5"/>
  <c r="F182" i="5"/>
  <c r="F183" i="5"/>
  <c r="F184" i="5"/>
  <c r="F185" i="5"/>
  <c r="F186" i="5"/>
  <c r="F187" i="5"/>
  <c r="F188" i="5"/>
  <c r="F189" i="5"/>
  <c r="F190" i="5"/>
  <c r="F191" i="5"/>
  <c r="F192" i="5"/>
  <c r="F193" i="5"/>
  <c r="F194" i="5"/>
  <c r="F195" i="5"/>
  <c r="F196" i="5"/>
  <c r="F197" i="5"/>
  <c r="F198" i="5"/>
  <c r="F199" i="5"/>
  <c r="F200" i="5"/>
  <c r="F201" i="5"/>
  <c r="F202" i="5"/>
  <c r="F203" i="5"/>
  <c r="F204" i="5"/>
  <c r="F205" i="5"/>
  <c r="F206" i="5"/>
  <c r="F207" i="5"/>
  <c r="F208" i="5"/>
  <c r="F209" i="5"/>
  <c r="F210" i="5"/>
  <c r="F211" i="5"/>
  <c r="F212" i="5"/>
  <c r="F213" i="5"/>
  <c r="F214" i="5"/>
  <c r="F215" i="5"/>
  <c r="F216" i="5"/>
  <c r="F217" i="5"/>
  <c r="F218" i="5"/>
  <c r="F219" i="5"/>
  <c r="F220" i="5"/>
  <c r="F221" i="5"/>
  <c r="F222" i="5"/>
  <c r="F223" i="5"/>
  <c r="F224" i="5"/>
  <c r="F225" i="5"/>
  <c r="F226" i="5"/>
  <c r="F227" i="5"/>
  <c r="F228" i="5"/>
  <c r="F229" i="5"/>
  <c r="F230" i="5"/>
  <c r="F231" i="5"/>
  <c r="F232" i="5"/>
  <c r="F233" i="5"/>
  <c r="F234" i="5"/>
  <c r="F235" i="5"/>
  <c r="F236" i="5"/>
  <c r="F237" i="5"/>
  <c r="F238" i="5"/>
  <c r="F239" i="5"/>
  <c r="F240" i="5"/>
  <c r="F241" i="5"/>
  <c r="F242" i="5"/>
  <c r="F243" i="5"/>
  <c r="F244" i="5"/>
  <c r="F245" i="5"/>
  <c r="F246" i="5"/>
  <c r="F247" i="5"/>
  <c r="F248" i="5"/>
  <c r="F249" i="5"/>
  <c r="F250" i="5"/>
  <c r="F251" i="5"/>
  <c r="F252" i="5"/>
  <c r="F253" i="5"/>
  <c r="F254" i="5"/>
  <c r="F255" i="5"/>
  <c r="F256" i="5"/>
  <c r="F257" i="5"/>
  <c r="F258" i="5"/>
  <c r="F259" i="5"/>
  <c r="F260" i="5"/>
  <c r="F261" i="5"/>
  <c r="F262" i="5"/>
  <c r="F263" i="5"/>
  <c r="F264" i="5"/>
  <c r="F265" i="5"/>
  <c r="F266" i="5"/>
  <c r="F267" i="5"/>
  <c r="F268" i="5"/>
  <c r="F269" i="5"/>
  <c r="F270" i="5"/>
  <c r="F271" i="5"/>
  <c r="F272" i="5"/>
  <c r="F273" i="5"/>
  <c r="F274" i="5"/>
  <c r="F275" i="5"/>
  <c r="F276" i="5"/>
  <c r="F277" i="5"/>
  <c r="F278" i="5"/>
  <c r="F279" i="5"/>
  <c r="F280" i="5"/>
  <c r="F281" i="5"/>
  <c r="F282" i="5"/>
  <c r="F283" i="5"/>
  <c r="F284" i="5"/>
  <c r="F285" i="5"/>
  <c r="F286" i="5"/>
  <c r="F287" i="5"/>
  <c r="F288" i="5"/>
  <c r="F289" i="5"/>
  <c r="F290" i="5"/>
  <c r="F291" i="5"/>
  <c r="F292" i="5"/>
  <c r="F293" i="5"/>
  <c r="F294" i="5"/>
  <c r="F295" i="5"/>
  <c r="F296" i="5"/>
  <c r="F297" i="5"/>
  <c r="F298" i="5"/>
  <c r="F299" i="5"/>
  <c r="F300" i="5"/>
  <c r="F301" i="5"/>
  <c r="F302" i="5"/>
  <c r="F303" i="5"/>
  <c r="F304" i="5"/>
  <c r="F305" i="5"/>
  <c r="F306" i="5"/>
  <c r="F307" i="5"/>
  <c r="F308" i="5"/>
  <c r="F309" i="5"/>
  <c r="F310" i="5"/>
  <c r="F311" i="5"/>
  <c r="F312" i="5"/>
  <c r="F313" i="5"/>
  <c r="F314" i="5"/>
  <c r="F315" i="5"/>
  <c r="F316" i="5"/>
  <c r="F317" i="5"/>
  <c r="F318" i="5"/>
  <c r="F319" i="5"/>
  <c r="F320" i="5"/>
  <c r="F321" i="5"/>
  <c r="F322" i="5"/>
  <c r="F323" i="5"/>
  <c r="F324" i="5"/>
  <c r="F325" i="5"/>
  <c r="F326" i="5"/>
  <c r="F327" i="5"/>
  <c r="F328" i="5"/>
  <c r="F329" i="5"/>
  <c r="F330" i="5"/>
  <c r="F331" i="5"/>
  <c r="F332" i="5"/>
  <c r="F333" i="5"/>
  <c r="F334" i="5"/>
  <c r="F335" i="5"/>
  <c r="F336" i="5"/>
  <c r="F337" i="5"/>
  <c r="F338" i="5"/>
  <c r="F339" i="5"/>
  <c r="F340" i="5"/>
  <c r="F341" i="5"/>
  <c r="F342" i="5"/>
  <c r="F343" i="5"/>
  <c r="F344" i="5"/>
  <c r="F345" i="5"/>
  <c r="F346" i="5"/>
  <c r="F347" i="5"/>
  <c r="F348" i="5"/>
  <c r="F349" i="5"/>
  <c r="F350" i="5"/>
  <c r="F351" i="5"/>
  <c r="F352" i="5"/>
  <c r="F353" i="5"/>
  <c r="F354" i="5"/>
  <c r="F355" i="5"/>
  <c r="F356" i="5"/>
  <c r="F357" i="5"/>
  <c r="F358" i="5"/>
  <c r="F359" i="5"/>
  <c r="F360" i="5"/>
  <c r="F361" i="5"/>
  <c r="F362" i="5"/>
  <c r="F363" i="5"/>
  <c r="F364" i="5"/>
  <c r="F365" i="5"/>
  <c r="F366" i="5"/>
  <c r="F367" i="5"/>
  <c r="F368" i="5"/>
  <c r="F369" i="5"/>
  <c r="F370" i="5"/>
  <c r="F371" i="5"/>
  <c r="F372" i="5"/>
  <c r="F373" i="5"/>
  <c r="F374" i="5"/>
  <c r="F375" i="5"/>
  <c r="F376" i="5"/>
  <c r="F377" i="5"/>
  <c r="F378" i="5"/>
  <c r="F379" i="5"/>
  <c r="F380" i="5"/>
  <c r="F381" i="5"/>
  <c r="F382" i="5"/>
  <c r="F383" i="5"/>
  <c r="F384" i="5"/>
  <c r="F385" i="5"/>
  <c r="F386" i="5"/>
  <c r="F387" i="5"/>
  <c r="F388" i="5"/>
  <c r="F389" i="5"/>
  <c r="F390" i="5"/>
  <c r="F391" i="5"/>
  <c r="F392" i="5"/>
  <c r="F393" i="5"/>
  <c r="F394" i="5"/>
  <c r="F395" i="5"/>
  <c r="F396" i="5"/>
  <c r="F397" i="5"/>
  <c r="F398" i="5"/>
  <c r="F399" i="5"/>
  <c r="F400" i="5"/>
  <c r="F401" i="5"/>
  <c r="F402" i="5"/>
  <c r="F403" i="5"/>
  <c r="F404" i="5"/>
  <c r="F405" i="5"/>
  <c r="F406" i="5"/>
  <c r="F407" i="5"/>
  <c r="F408" i="5"/>
  <c r="F409" i="5"/>
  <c r="F410" i="5"/>
  <c r="F411" i="5"/>
  <c r="F412" i="5"/>
  <c r="F413" i="5"/>
  <c r="F414" i="5"/>
  <c r="F415" i="5"/>
  <c r="F416" i="5"/>
  <c r="F417" i="5"/>
  <c r="F418" i="5"/>
  <c r="F419" i="5"/>
  <c r="F420" i="5"/>
  <c r="F421" i="5"/>
  <c r="F422" i="5"/>
  <c r="F423" i="5"/>
  <c r="F424" i="5"/>
  <c r="F425" i="5"/>
  <c r="F426" i="5"/>
  <c r="F427" i="5"/>
  <c r="F428" i="5"/>
  <c r="F429" i="5"/>
  <c r="F430" i="5"/>
  <c r="F431" i="5"/>
  <c r="F432" i="5"/>
  <c r="F433" i="5"/>
  <c r="F434" i="5"/>
  <c r="F435" i="5"/>
  <c r="F436" i="5"/>
  <c r="F437" i="5"/>
  <c r="F438" i="5"/>
  <c r="F439" i="5"/>
  <c r="F440" i="5"/>
  <c r="F441" i="5"/>
  <c r="F442" i="5"/>
  <c r="F443" i="5"/>
  <c r="F444" i="5"/>
  <c r="F445" i="5"/>
  <c r="F446" i="5"/>
  <c r="F447" i="5"/>
  <c r="F448" i="5"/>
  <c r="F449" i="5"/>
  <c r="F450" i="5"/>
  <c r="F451" i="5"/>
  <c r="F452" i="5"/>
  <c r="F453" i="5"/>
  <c r="F454" i="5"/>
  <c r="F455" i="5"/>
  <c r="F456" i="5"/>
  <c r="F457" i="5"/>
  <c r="F458" i="5"/>
  <c r="F459" i="5"/>
  <c r="F460" i="5"/>
  <c r="F461" i="5"/>
  <c r="F462" i="5"/>
  <c r="F463" i="5"/>
  <c r="F464" i="5"/>
  <c r="F465" i="5"/>
  <c r="F466" i="5"/>
  <c r="F467" i="5"/>
  <c r="F468" i="5"/>
  <c r="F469" i="5"/>
  <c r="F470" i="5"/>
  <c r="F471" i="5"/>
  <c r="F472" i="5"/>
  <c r="F473" i="5"/>
  <c r="F474" i="5"/>
  <c r="F475" i="5"/>
  <c r="F476" i="5"/>
  <c r="F477" i="5"/>
  <c r="F478" i="5"/>
  <c r="F479" i="5"/>
  <c r="F480" i="5"/>
  <c r="F481" i="5"/>
  <c r="F482" i="5"/>
  <c r="F483" i="5"/>
  <c r="F484" i="5"/>
  <c r="F485" i="5"/>
  <c r="F486" i="5"/>
  <c r="F487" i="5"/>
  <c r="F488" i="5"/>
  <c r="F489" i="5"/>
  <c r="F490" i="5"/>
  <c r="F491" i="5"/>
  <c r="F492" i="5"/>
  <c r="F493" i="5"/>
  <c r="F494" i="5"/>
  <c r="F495" i="5"/>
  <c r="F496" i="5"/>
  <c r="F497" i="5"/>
  <c r="F498" i="5"/>
  <c r="F499" i="5"/>
  <c r="F500" i="5"/>
  <c r="F501" i="5"/>
  <c r="F502" i="5"/>
  <c r="F503" i="5"/>
  <c r="F504" i="5"/>
  <c r="F505" i="5"/>
  <c r="F506" i="5"/>
  <c r="F507" i="5"/>
  <c r="F508" i="5"/>
  <c r="F509" i="5"/>
  <c r="F510" i="5"/>
  <c r="F511" i="5"/>
  <c r="F512" i="5"/>
  <c r="F513" i="5"/>
  <c r="F514" i="5"/>
  <c r="F515" i="5"/>
  <c r="F516" i="5"/>
  <c r="F517" i="5"/>
  <c r="F518" i="5"/>
  <c r="F519" i="5"/>
  <c r="F520" i="5"/>
  <c r="F521" i="5"/>
  <c r="F522" i="5"/>
  <c r="F523" i="5"/>
  <c r="F524" i="5"/>
  <c r="F525" i="5"/>
  <c r="F526" i="5"/>
  <c r="F527" i="5"/>
  <c r="F528" i="5"/>
  <c r="F529" i="5"/>
  <c r="F530" i="5"/>
  <c r="F531" i="5"/>
  <c r="F532" i="5"/>
  <c r="F533" i="5"/>
  <c r="F534" i="5"/>
  <c r="F535" i="5"/>
  <c r="F536" i="5"/>
  <c r="F537" i="5"/>
  <c r="F538" i="5"/>
  <c r="F539" i="5"/>
  <c r="F540" i="5"/>
  <c r="F541" i="5"/>
  <c r="F542" i="5"/>
  <c r="F543" i="5"/>
  <c r="F544" i="5"/>
  <c r="F545" i="5"/>
  <c r="F546" i="5"/>
  <c r="F547" i="5"/>
  <c r="F548" i="5"/>
  <c r="F549" i="5"/>
  <c r="F550" i="5"/>
  <c r="F551" i="5"/>
  <c r="F552" i="5"/>
  <c r="F553" i="5"/>
  <c r="F554" i="5"/>
  <c r="F555" i="5"/>
  <c r="F556" i="5"/>
  <c r="F557" i="5"/>
  <c r="F558" i="5"/>
  <c r="F559" i="5"/>
  <c r="F560" i="5"/>
  <c r="F561" i="5"/>
  <c r="F562" i="5"/>
  <c r="F563" i="5"/>
  <c r="F564" i="5"/>
  <c r="F565" i="5"/>
  <c r="F566" i="5"/>
  <c r="F567" i="5"/>
  <c r="F568" i="5"/>
  <c r="F569" i="5"/>
  <c r="F570" i="5"/>
  <c r="F571" i="5"/>
  <c r="F572" i="5"/>
  <c r="F573" i="5"/>
  <c r="F574" i="5"/>
  <c r="F575" i="5"/>
  <c r="F576" i="5"/>
  <c r="F577" i="5"/>
  <c r="F578" i="5"/>
  <c r="F579" i="5"/>
  <c r="F580" i="5"/>
  <c r="F581" i="5"/>
  <c r="F582" i="5"/>
  <c r="F583" i="5"/>
  <c r="F584" i="5"/>
  <c r="F585" i="5"/>
  <c r="F586" i="5"/>
  <c r="F587" i="5"/>
  <c r="F588" i="5"/>
  <c r="F589" i="5"/>
  <c r="F590" i="5"/>
  <c r="F591" i="5"/>
  <c r="F592" i="5"/>
  <c r="F593" i="5"/>
  <c r="F594" i="5"/>
  <c r="F595" i="5"/>
  <c r="F596" i="5"/>
  <c r="F597" i="5"/>
  <c r="F598" i="5"/>
  <c r="F599" i="5"/>
  <c r="F600" i="5"/>
  <c r="F601" i="5"/>
  <c r="F602" i="5"/>
  <c r="F603" i="5"/>
  <c r="F604" i="5"/>
  <c r="F605" i="5"/>
  <c r="F606" i="5"/>
  <c r="F607" i="5"/>
  <c r="F608" i="5"/>
  <c r="F609" i="5"/>
  <c r="F610" i="5"/>
  <c r="F611" i="5"/>
  <c r="F612" i="5"/>
  <c r="F613" i="5"/>
  <c r="F614" i="5"/>
  <c r="F615" i="5"/>
  <c r="F616" i="5"/>
  <c r="F617" i="5"/>
  <c r="F618" i="5"/>
  <c r="F619" i="5"/>
  <c r="F620" i="5"/>
  <c r="F621" i="5"/>
  <c r="F622" i="5"/>
  <c r="F623" i="5"/>
  <c r="F624" i="5"/>
  <c r="F625" i="5"/>
  <c r="F626" i="5"/>
  <c r="F627" i="5"/>
  <c r="F628" i="5"/>
  <c r="F629" i="5"/>
  <c r="F630" i="5"/>
  <c r="F631" i="5"/>
  <c r="F632" i="5"/>
  <c r="F633" i="5"/>
  <c r="F634" i="5"/>
  <c r="F635" i="5"/>
  <c r="F636" i="5"/>
  <c r="F637" i="5"/>
  <c r="F638" i="5"/>
  <c r="F639" i="5"/>
  <c r="F640" i="5"/>
  <c r="F641" i="5"/>
  <c r="F642" i="5"/>
  <c r="F643" i="5"/>
  <c r="F644" i="5"/>
  <c r="F645" i="5"/>
  <c r="F646" i="5"/>
  <c r="F647" i="5"/>
  <c r="F648" i="5"/>
  <c r="F649" i="5"/>
  <c r="F650" i="5"/>
  <c r="F651" i="5"/>
  <c r="F652" i="5"/>
  <c r="F653" i="5"/>
  <c r="F654" i="5"/>
  <c r="F655" i="5"/>
  <c r="F656" i="5"/>
  <c r="F657" i="5"/>
  <c r="F658" i="5"/>
  <c r="F659" i="5"/>
  <c r="F660" i="5"/>
  <c r="F661" i="5"/>
  <c r="F662" i="5"/>
  <c r="F663" i="5"/>
  <c r="F664" i="5"/>
  <c r="F665" i="5"/>
  <c r="F666" i="5"/>
  <c r="F667" i="5"/>
  <c r="F668" i="5"/>
  <c r="F669" i="5"/>
  <c r="F670" i="5"/>
  <c r="F671" i="5"/>
  <c r="F672" i="5"/>
  <c r="F673" i="5"/>
  <c r="F674" i="5"/>
  <c r="F675" i="5"/>
  <c r="F676" i="5"/>
  <c r="F677" i="5"/>
  <c r="F678" i="5"/>
  <c r="F679" i="5"/>
  <c r="F680" i="5"/>
  <c r="F681" i="5"/>
  <c r="F682" i="5"/>
  <c r="F683" i="5"/>
  <c r="F684" i="5"/>
  <c r="F685" i="5"/>
  <c r="F686" i="5"/>
  <c r="F687" i="5"/>
  <c r="F688" i="5"/>
  <c r="F689" i="5"/>
  <c r="F690" i="5"/>
  <c r="F691" i="5"/>
  <c r="F692" i="5"/>
  <c r="F693" i="5"/>
  <c r="F694" i="5"/>
  <c r="F695" i="5"/>
  <c r="F696" i="5"/>
  <c r="F697" i="5"/>
  <c r="F698" i="5"/>
  <c r="F699" i="5"/>
  <c r="F700" i="5"/>
  <c r="F701" i="5"/>
  <c r="F702" i="5"/>
  <c r="F703" i="5"/>
  <c r="F704" i="5"/>
  <c r="F705" i="5"/>
  <c r="F706" i="5"/>
  <c r="F707" i="5"/>
  <c r="F708" i="5"/>
  <c r="F709" i="5"/>
  <c r="F710" i="5"/>
  <c r="F711" i="5"/>
  <c r="F712" i="5"/>
  <c r="F713" i="5"/>
  <c r="F714" i="5"/>
  <c r="F715" i="5"/>
  <c r="F716" i="5"/>
  <c r="F717" i="5"/>
  <c r="F718" i="5"/>
  <c r="F719" i="5"/>
  <c r="F720" i="5"/>
  <c r="F721" i="5"/>
  <c r="F722" i="5"/>
  <c r="F723" i="5"/>
  <c r="F724" i="5"/>
  <c r="F725" i="5"/>
  <c r="F726" i="5"/>
  <c r="F727" i="5"/>
  <c r="F728" i="5"/>
  <c r="F729" i="5"/>
  <c r="F730" i="5"/>
  <c r="F731" i="5"/>
  <c r="F732" i="5"/>
  <c r="F733" i="5"/>
  <c r="F734" i="5"/>
  <c r="F735" i="5"/>
  <c r="F736" i="5"/>
  <c r="F737" i="5"/>
  <c r="F738" i="5"/>
  <c r="F739" i="5"/>
  <c r="F740" i="5"/>
  <c r="F741" i="5"/>
  <c r="F742" i="5"/>
  <c r="F743" i="5"/>
  <c r="F744" i="5"/>
  <c r="F745" i="5"/>
  <c r="F746" i="5"/>
  <c r="F747" i="5"/>
  <c r="F748" i="5"/>
  <c r="F749" i="5"/>
  <c r="F750" i="5"/>
  <c r="F751" i="5"/>
  <c r="F752" i="5"/>
  <c r="F753" i="5"/>
  <c r="F754" i="5"/>
  <c r="F755" i="5"/>
  <c r="F756" i="5"/>
  <c r="F757" i="5"/>
  <c r="F758" i="5"/>
  <c r="F759" i="5"/>
  <c r="F760" i="5"/>
  <c r="F761" i="5"/>
  <c r="F762" i="5"/>
  <c r="F763" i="5"/>
  <c r="F764" i="5"/>
  <c r="F765" i="5"/>
  <c r="F766" i="5"/>
  <c r="F767" i="5"/>
  <c r="F768" i="5"/>
  <c r="F769" i="5"/>
  <c r="F770" i="5"/>
  <c r="F771" i="5"/>
  <c r="F772" i="5"/>
  <c r="F773" i="5"/>
  <c r="F774" i="5"/>
  <c r="F775" i="5"/>
  <c r="F776" i="5"/>
  <c r="F777" i="5"/>
  <c r="F778" i="5"/>
  <c r="F779" i="5"/>
  <c r="F780" i="5"/>
  <c r="F781" i="5"/>
  <c r="F782" i="5"/>
  <c r="F783" i="5"/>
  <c r="F784" i="5"/>
  <c r="F785" i="5"/>
  <c r="F786" i="5"/>
  <c r="F787" i="5"/>
  <c r="F788" i="5"/>
  <c r="F789" i="5"/>
  <c r="F790" i="5"/>
  <c r="F791" i="5"/>
  <c r="F792" i="5"/>
  <c r="F793" i="5"/>
  <c r="F794" i="5"/>
  <c r="F795" i="5"/>
  <c r="F796" i="5"/>
  <c r="F797" i="5"/>
  <c r="F798" i="5"/>
  <c r="F799" i="5"/>
  <c r="F800" i="5"/>
  <c r="F801" i="5"/>
  <c r="F802" i="5"/>
  <c r="F803" i="5"/>
  <c r="F804" i="5"/>
  <c r="F805" i="5"/>
  <c r="F806" i="5"/>
  <c r="F807" i="5"/>
  <c r="F808" i="5"/>
  <c r="F809" i="5"/>
  <c r="F810" i="5"/>
  <c r="F811" i="5"/>
  <c r="F812" i="5"/>
  <c r="F813" i="5"/>
  <c r="F814" i="5"/>
  <c r="F815" i="5"/>
  <c r="F816" i="5"/>
  <c r="F817" i="5"/>
  <c r="F818" i="5"/>
  <c r="F819" i="5"/>
  <c r="F820" i="5"/>
  <c r="F821" i="5"/>
  <c r="F822" i="5"/>
  <c r="F823" i="5"/>
  <c r="F824" i="5"/>
  <c r="F825" i="5"/>
  <c r="F826" i="5"/>
  <c r="F827" i="5"/>
  <c r="F828" i="5"/>
  <c r="F829" i="5"/>
  <c r="F830" i="5"/>
  <c r="F831" i="5"/>
  <c r="F832" i="5"/>
  <c r="F833" i="5"/>
  <c r="F834" i="5"/>
  <c r="F835" i="5"/>
  <c r="F836" i="5"/>
  <c r="F837" i="5"/>
  <c r="F838" i="5"/>
  <c r="F839" i="5"/>
  <c r="F840" i="5"/>
  <c r="F841" i="5"/>
  <c r="F842" i="5"/>
  <c r="F843" i="5"/>
  <c r="F844" i="5"/>
  <c r="F845" i="5"/>
  <c r="F846" i="5"/>
  <c r="F847" i="5"/>
  <c r="F848" i="5"/>
  <c r="F849" i="5"/>
  <c r="F850" i="5"/>
  <c r="F851" i="5"/>
  <c r="F852" i="5"/>
  <c r="F853" i="5"/>
  <c r="F854" i="5"/>
  <c r="F855" i="5"/>
  <c r="F856" i="5"/>
  <c r="F857" i="5"/>
  <c r="F858" i="5"/>
  <c r="F859" i="5"/>
  <c r="F860" i="5"/>
  <c r="F861" i="5"/>
  <c r="F862" i="5"/>
  <c r="F863" i="5"/>
  <c r="F864" i="5"/>
  <c r="F865" i="5"/>
  <c r="F866" i="5"/>
  <c r="F867" i="5"/>
  <c r="F868" i="5"/>
  <c r="F869" i="5"/>
  <c r="F870" i="5"/>
  <c r="F871" i="5"/>
  <c r="F872" i="5"/>
  <c r="F873" i="5"/>
  <c r="F874" i="5"/>
  <c r="F875" i="5"/>
  <c r="F876" i="5"/>
  <c r="F877" i="5"/>
  <c r="F878" i="5"/>
  <c r="F879" i="5"/>
  <c r="F880" i="5"/>
  <c r="F881" i="5"/>
  <c r="F882" i="5"/>
  <c r="F883" i="5"/>
  <c r="F884" i="5"/>
  <c r="F885" i="5"/>
  <c r="F886" i="5"/>
  <c r="F887" i="5"/>
  <c r="F888" i="5"/>
  <c r="F889" i="5"/>
  <c r="F890" i="5"/>
  <c r="F891" i="5"/>
  <c r="F892" i="5"/>
  <c r="F893" i="5"/>
  <c r="F894" i="5"/>
  <c r="F895" i="5"/>
  <c r="F896" i="5"/>
  <c r="F897" i="5"/>
  <c r="F898" i="5"/>
  <c r="F899" i="5"/>
  <c r="F900" i="5"/>
  <c r="F901" i="5"/>
  <c r="F902" i="5"/>
  <c r="F903" i="5"/>
  <c r="F904" i="5"/>
  <c r="F905" i="5"/>
  <c r="F906" i="5"/>
  <c r="F907" i="5"/>
  <c r="F908" i="5"/>
  <c r="F909" i="5"/>
  <c r="F910" i="5"/>
  <c r="F911" i="5"/>
  <c r="F912" i="5"/>
  <c r="F913" i="5"/>
  <c r="F914" i="5"/>
  <c r="F915" i="5"/>
  <c r="F916" i="5"/>
  <c r="F917" i="5"/>
  <c r="F918" i="5"/>
  <c r="F919" i="5"/>
  <c r="F920" i="5"/>
  <c r="F921" i="5"/>
  <c r="F922" i="5"/>
  <c r="F923" i="5"/>
  <c r="F924" i="5"/>
  <c r="F925" i="5"/>
  <c r="F926" i="5"/>
  <c r="F927" i="5"/>
  <c r="F928" i="5"/>
  <c r="F929" i="5"/>
  <c r="F930" i="5"/>
  <c r="F931" i="5"/>
  <c r="F932" i="5"/>
  <c r="F933" i="5"/>
  <c r="F934" i="5"/>
  <c r="F935" i="5"/>
  <c r="F936" i="5"/>
  <c r="F937" i="5"/>
  <c r="F938" i="5"/>
  <c r="F939" i="5"/>
  <c r="F940" i="5"/>
  <c r="F941" i="5"/>
  <c r="F942" i="5"/>
  <c r="F943" i="5"/>
  <c r="F944" i="5"/>
  <c r="F945" i="5"/>
  <c r="F946" i="5"/>
  <c r="F947" i="5"/>
  <c r="F948" i="5"/>
  <c r="F949" i="5"/>
  <c r="F950" i="5"/>
  <c r="F951" i="5"/>
  <c r="F952" i="5"/>
  <c r="F953" i="5"/>
  <c r="F954" i="5"/>
  <c r="F955" i="5"/>
  <c r="F956" i="5"/>
  <c r="F957" i="5"/>
  <c r="F958" i="5"/>
  <c r="F959" i="5"/>
  <c r="F960" i="5"/>
  <c r="F961" i="5"/>
  <c r="F962" i="5"/>
  <c r="F963" i="5"/>
  <c r="F964" i="5"/>
  <c r="F965" i="5"/>
  <c r="F966" i="5"/>
  <c r="F967" i="5"/>
  <c r="F968" i="5"/>
  <c r="F969" i="5"/>
  <c r="F970" i="5"/>
  <c r="F971" i="5"/>
  <c r="F972" i="5"/>
  <c r="F973" i="5"/>
  <c r="F974" i="5"/>
  <c r="F975" i="5"/>
  <c r="F976" i="5"/>
  <c r="F977" i="5"/>
  <c r="F978" i="5"/>
  <c r="F979" i="5"/>
  <c r="F980" i="5"/>
  <c r="F981" i="5"/>
  <c r="F982" i="5"/>
  <c r="F983" i="5"/>
  <c r="F984" i="5"/>
  <c r="F985" i="5"/>
  <c r="F986" i="5"/>
  <c r="F987" i="5"/>
  <c r="F988" i="5"/>
  <c r="F989" i="5"/>
  <c r="F990" i="5"/>
  <c r="F991" i="5"/>
  <c r="F992" i="5"/>
  <c r="F993" i="5"/>
  <c r="F994" i="5"/>
  <c r="F995" i="5"/>
  <c r="F996" i="5"/>
  <c r="F997" i="5"/>
  <c r="F998" i="5"/>
  <c r="F999" i="5"/>
  <c r="F1000" i="5"/>
  <c r="F1001" i="5"/>
  <c r="F1002" i="5"/>
  <c r="F1003" i="5"/>
  <c r="F1004" i="5"/>
  <c r="F1005" i="5"/>
  <c r="F1006" i="5"/>
  <c r="F1007" i="5"/>
  <c r="F1008" i="5"/>
  <c r="F1009" i="5"/>
  <c r="F1010" i="5"/>
  <c r="F1011" i="5"/>
  <c r="F1012" i="5"/>
  <c r="F1013" i="5"/>
  <c r="F1014" i="5"/>
  <c r="F1015" i="5"/>
  <c r="F1016" i="5"/>
  <c r="F1017" i="5"/>
  <c r="F1018" i="5"/>
  <c r="F1019" i="5"/>
  <c r="F1020" i="5"/>
  <c r="F1021" i="5"/>
  <c r="F1022" i="5"/>
  <c r="F1023" i="5"/>
  <c r="F1024" i="5"/>
  <c r="F1025" i="5"/>
  <c r="F1026" i="5"/>
  <c r="F1027" i="5"/>
  <c r="F1028" i="5"/>
  <c r="F1029" i="5"/>
  <c r="F1030" i="5"/>
  <c r="F1031" i="5"/>
  <c r="F1032" i="5"/>
  <c r="F1033" i="5"/>
  <c r="F1034" i="5"/>
  <c r="F1035" i="5"/>
  <c r="F1036" i="5"/>
  <c r="F1037" i="5"/>
  <c r="F1038" i="5"/>
  <c r="F1039" i="5"/>
  <c r="F1040" i="5"/>
  <c r="F1041" i="5"/>
  <c r="F1042" i="5"/>
  <c r="F1043" i="5"/>
  <c r="F1044" i="5"/>
  <c r="F1045" i="5"/>
  <c r="F1046" i="5"/>
  <c r="F1047" i="5"/>
  <c r="F1048" i="5"/>
  <c r="F1049" i="5"/>
  <c r="F1050" i="5"/>
  <c r="F1051" i="5"/>
  <c r="F1052" i="5"/>
  <c r="F1053" i="5"/>
  <c r="F1054" i="5"/>
  <c r="F1055" i="5"/>
  <c r="F1056" i="5"/>
  <c r="F1057" i="5"/>
  <c r="F1058" i="5"/>
  <c r="F1059" i="5"/>
  <c r="F1060" i="5"/>
  <c r="F1061" i="5"/>
  <c r="F1062" i="5"/>
  <c r="F1063" i="5"/>
  <c r="F1064" i="5"/>
  <c r="F1065" i="5"/>
  <c r="F1066" i="5"/>
  <c r="F1067" i="5"/>
  <c r="F1068" i="5"/>
  <c r="F1069" i="5"/>
  <c r="F1070" i="5"/>
  <c r="F1071" i="5"/>
  <c r="F1072" i="5"/>
  <c r="F1073" i="5"/>
  <c r="F1074" i="5"/>
  <c r="F1075" i="5"/>
  <c r="F1076" i="5"/>
  <c r="F1077" i="5"/>
  <c r="F1078" i="5"/>
  <c r="F1079" i="5"/>
  <c r="F1080" i="5"/>
  <c r="F1081" i="5"/>
  <c r="F1082" i="5"/>
  <c r="F1083" i="5"/>
  <c r="F1084" i="5"/>
  <c r="F1085" i="5"/>
  <c r="F1086" i="5"/>
  <c r="F1087" i="5"/>
  <c r="F1088" i="5"/>
  <c r="F1089" i="5"/>
  <c r="F1090" i="5"/>
  <c r="F1091" i="5"/>
  <c r="F1092" i="5"/>
  <c r="F1093" i="5"/>
  <c r="F1094" i="5"/>
  <c r="F1095" i="5"/>
  <c r="F1096" i="5"/>
  <c r="F1097" i="5"/>
  <c r="F1098" i="5"/>
  <c r="F1099" i="5"/>
  <c r="F1100" i="5"/>
  <c r="F1101" i="5"/>
  <c r="F2" i="5"/>
  <c r="F90" i="5" s="1"/>
  <c r="G1" i="15"/>
  <c r="F83" i="5" l="1"/>
  <c r="F126" i="5"/>
  <c r="F125" i="5"/>
  <c r="F84" i="5"/>
  <c r="F80" i="5"/>
  <c r="F81" i="5"/>
  <c r="F82" i="5"/>
  <c r="R89" i="5"/>
  <c r="R80" i="5"/>
  <c r="R83" i="5"/>
  <c r="R79" i="5"/>
  <c r="R82" i="5"/>
  <c r="R81" i="5"/>
  <c r="G2" i="15"/>
  <c r="I1163" i="7"/>
  <c r="N1193" i="7"/>
  <c r="I1183" i="7"/>
  <c r="N1203" i="7"/>
  <c r="I1203" i="7"/>
  <c r="I1193" i="7"/>
  <c r="N1183" i="7"/>
  <c r="N1173" i="7"/>
  <c r="I1173" i="7"/>
  <c r="N1163" i="7"/>
  <c r="E29" i="4"/>
  <c r="C29" i="4"/>
  <c r="E28" i="4"/>
  <c r="C28" i="4"/>
  <c r="H536" i="7"/>
  <c r="H537" i="7"/>
  <c r="H538" i="7"/>
  <c r="H539" i="7"/>
  <c r="H540" i="7"/>
  <c r="H541" i="7"/>
  <c r="H542" i="7"/>
  <c r="H545" i="7"/>
  <c r="H546" i="7"/>
  <c r="H547" i="7"/>
  <c r="H548" i="7"/>
  <c r="H549" i="7"/>
  <c r="H550" i="7"/>
  <c r="H551" i="7"/>
  <c r="H552" i="7"/>
  <c r="F603" i="7"/>
  <c r="H603" i="7"/>
  <c r="F604" i="7"/>
  <c r="H604" i="7"/>
  <c r="F605" i="7"/>
  <c r="H605" i="7"/>
  <c r="F606" i="7"/>
  <c r="H606" i="7"/>
  <c r="F607" i="7"/>
  <c r="H607" i="7"/>
  <c r="F608" i="7"/>
  <c r="H608" i="7"/>
  <c r="F609" i="7"/>
  <c r="H609" i="7"/>
  <c r="F610" i="7"/>
  <c r="H610" i="7"/>
  <c r="F611" i="7"/>
  <c r="H611" i="7"/>
  <c r="F612" i="7"/>
  <c r="H612" i="7"/>
  <c r="F613" i="7"/>
  <c r="H613" i="7"/>
  <c r="F614" i="7"/>
  <c r="H614" i="7"/>
  <c r="F615" i="7"/>
  <c r="H615" i="7"/>
  <c r="F616" i="7"/>
  <c r="H616" i="7"/>
  <c r="F617" i="7"/>
  <c r="H617" i="7"/>
  <c r="F618" i="7"/>
  <c r="H618" i="7"/>
  <c r="F619" i="7"/>
  <c r="H619" i="7"/>
  <c r="F620" i="7"/>
  <c r="H620" i="7"/>
  <c r="F621" i="7"/>
  <c r="H621" i="7"/>
  <c r="F622" i="7"/>
  <c r="H622" i="7"/>
  <c r="F623" i="7"/>
  <c r="F624" i="7"/>
  <c r="F625" i="7"/>
  <c r="F626" i="7"/>
  <c r="H626" i="7"/>
  <c r="F627" i="7"/>
  <c r="H627" i="7"/>
  <c r="F628" i="7"/>
  <c r="H628" i="7"/>
  <c r="F629" i="7"/>
  <c r="H629" i="7"/>
  <c r="F630" i="7"/>
  <c r="H630" i="7"/>
  <c r="F631" i="7"/>
  <c r="H631" i="7"/>
  <c r="F632" i="7"/>
  <c r="H632" i="7"/>
  <c r="F633" i="7"/>
  <c r="F634" i="7"/>
  <c r="F635" i="7"/>
  <c r="F636" i="7"/>
  <c r="F637" i="7"/>
  <c r="H637" i="7"/>
  <c r="F638" i="7"/>
  <c r="H638" i="7"/>
  <c r="F639" i="7"/>
  <c r="H639" i="7"/>
  <c r="F640" i="7"/>
  <c r="H640" i="7"/>
  <c r="F641" i="7"/>
  <c r="H641" i="7"/>
  <c r="F642" i="7"/>
  <c r="H642" i="7"/>
  <c r="F643" i="7"/>
  <c r="F644" i="7"/>
  <c r="H644" i="7"/>
  <c r="F645" i="7"/>
  <c r="H645" i="7"/>
  <c r="F646" i="7"/>
  <c r="H646" i="7"/>
  <c r="F647" i="7"/>
  <c r="H647" i="7"/>
  <c r="F648" i="7"/>
  <c r="H648" i="7"/>
  <c r="F649" i="7"/>
  <c r="H649" i="7"/>
  <c r="F650" i="7"/>
  <c r="H650" i="7"/>
  <c r="F651" i="7"/>
  <c r="H651" i="7"/>
  <c r="F652" i="7"/>
  <c r="H652" i="7"/>
  <c r="F653" i="7"/>
  <c r="F654" i="7"/>
  <c r="F655" i="7"/>
  <c r="H655" i="7"/>
  <c r="F656" i="7"/>
  <c r="H656" i="7"/>
  <c r="F657" i="7"/>
  <c r="H657" i="7"/>
  <c r="F658" i="7"/>
  <c r="H658" i="7"/>
  <c r="F659" i="7"/>
  <c r="H659" i="7"/>
  <c r="F660" i="7"/>
  <c r="H660" i="7"/>
  <c r="F661" i="7"/>
  <c r="H661" i="7"/>
  <c r="F662" i="7"/>
  <c r="H662" i="7"/>
  <c r="F663" i="7"/>
  <c r="F664" i="7"/>
  <c r="F665" i="7"/>
  <c r="H665" i="7"/>
  <c r="F666" i="7"/>
  <c r="H666" i="7"/>
  <c r="F667" i="7"/>
  <c r="H667" i="7"/>
  <c r="F668" i="7"/>
  <c r="H668" i="7"/>
  <c r="F669" i="7"/>
  <c r="H669" i="7"/>
  <c r="F670" i="7"/>
  <c r="H670" i="7"/>
  <c r="F671" i="7"/>
  <c r="H671" i="7"/>
  <c r="F672" i="7"/>
  <c r="H672" i="7"/>
  <c r="F673" i="7"/>
  <c r="F674" i="7"/>
  <c r="F675" i="7"/>
  <c r="H675" i="7"/>
  <c r="F676" i="7"/>
  <c r="H676" i="7"/>
  <c r="F677" i="7"/>
  <c r="H677" i="7"/>
  <c r="F678" i="7"/>
  <c r="H678" i="7"/>
  <c r="F679" i="7"/>
  <c r="H679" i="7"/>
  <c r="F680" i="7"/>
  <c r="H680" i="7"/>
  <c r="F681" i="7"/>
  <c r="H681" i="7"/>
  <c r="F682" i="7"/>
  <c r="H682" i="7"/>
  <c r="F693" i="7"/>
  <c r="F694" i="7"/>
  <c r="F695" i="7"/>
  <c r="H695" i="7"/>
  <c r="F696" i="7"/>
  <c r="H696" i="7"/>
  <c r="F697" i="7"/>
  <c r="H697" i="7"/>
  <c r="F698" i="7"/>
  <c r="H698" i="7"/>
  <c r="F699" i="7"/>
  <c r="H699" i="7"/>
  <c r="F700" i="7"/>
  <c r="H700" i="7"/>
  <c r="F701" i="7"/>
  <c r="H701" i="7"/>
  <c r="F702" i="7"/>
  <c r="H702" i="7"/>
  <c r="F703" i="7"/>
  <c r="F704" i="7"/>
  <c r="F705" i="7"/>
  <c r="F706" i="7"/>
  <c r="H706" i="7"/>
  <c r="F707" i="7"/>
  <c r="H707" i="7"/>
  <c r="F708" i="7"/>
  <c r="H708" i="7"/>
  <c r="F709" i="7"/>
  <c r="H709" i="7"/>
  <c r="F710" i="7"/>
  <c r="H710" i="7"/>
  <c r="F711" i="7"/>
  <c r="H711" i="7"/>
  <c r="F712" i="7"/>
  <c r="H712" i="7"/>
  <c r="F763" i="7"/>
  <c r="F764" i="7"/>
  <c r="F765" i="7"/>
  <c r="H765" i="7"/>
  <c r="F766" i="7"/>
  <c r="H766" i="7"/>
  <c r="F767" i="7"/>
  <c r="H767" i="7"/>
  <c r="F768" i="7"/>
  <c r="H768" i="7"/>
  <c r="F769" i="7"/>
  <c r="H769" i="7"/>
  <c r="F770" i="7"/>
  <c r="H770" i="7"/>
  <c r="F771" i="7"/>
  <c r="H771" i="7"/>
  <c r="F772" i="7"/>
  <c r="H772" i="7"/>
  <c r="H775" i="7"/>
  <c r="H776" i="7"/>
  <c r="H777" i="7"/>
  <c r="H778" i="7"/>
  <c r="H779" i="7"/>
  <c r="H780" i="7"/>
  <c r="H781" i="7"/>
  <c r="H782" i="7"/>
  <c r="F783" i="7"/>
  <c r="F784" i="7"/>
  <c r="F785" i="7"/>
  <c r="F786" i="7"/>
  <c r="H786" i="7"/>
  <c r="F787" i="7"/>
  <c r="H787" i="7"/>
  <c r="F788" i="7"/>
  <c r="H788" i="7"/>
  <c r="F789" i="7"/>
  <c r="H789" i="7"/>
  <c r="F790" i="7"/>
  <c r="H790" i="7"/>
  <c r="F791" i="7"/>
  <c r="H791" i="7"/>
  <c r="F792" i="7"/>
  <c r="H792" i="7"/>
  <c r="F793" i="7"/>
  <c r="F794" i="7"/>
  <c r="F795" i="7"/>
  <c r="F796" i="7"/>
  <c r="H796" i="7"/>
  <c r="F797" i="7"/>
  <c r="H797" i="7"/>
  <c r="F798" i="7"/>
  <c r="H798" i="7"/>
  <c r="F799" i="7"/>
  <c r="H799" i="7"/>
  <c r="F800" i="7"/>
  <c r="H800" i="7"/>
  <c r="F801" i="7"/>
  <c r="H801" i="7"/>
  <c r="F802" i="7"/>
  <c r="H802" i="7"/>
  <c r="F803" i="7"/>
  <c r="F804" i="7"/>
  <c r="F806" i="7"/>
  <c r="H806" i="7"/>
  <c r="F807" i="7"/>
  <c r="H807" i="7"/>
  <c r="F808" i="7"/>
  <c r="H808" i="7"/>
  <c r="F809" i="7"/>
  <c r="H809" i="7"/>
  <c r="F810" i="7"/>
  <c r="H810" i="7"/>
  <c r="F811" i="7"/>
  <c r="H811" i="7"/>
  <c r="F812" i="7"/>
  <c r="H812" i="7"/>
  <c r="F813" i="7"/>
  <c r="F814" i="7"/>
  <c r="F815" i="7"/>
  <c r="F816" i="7"/>
  <c r="H816" i="7"/>
  <c r="F817" i="7"/>
  <c r="H817" i="7"/>
  <c r="F818" i="7"/>
  <c r="H818" i="7"/>
  <c r="F819" i="7"/>
  <c r="H819" i="7"/>
  <c r="F820" i="7"/>
  <c r="H820" i="7"/>
  <c r="F821" i="7"/>
  <c r="H821" i="7"/>
  <c r="F822" i="7"/>
  <c r="H822" i="7"/>
  <c r="F823" i="7"/>
  <c r="F824" i="7"/>
  <c r="F825" i="7"/>
  <c r="F826" i="7"/>
  <c r="H826" i="7"/>
  <c r="F827" i="7"/>
  <c r="H827" i="7"/>
  <c r="F828" i="7"/>
  <c r="H828" i="7"/>
  <c r="F829" i="7"/>
  <c r="H829" i="7"/>
  <c r="F830" i="7"/>
  <c r="H830" i="7"/>
  <c r="F831" i="7"/>
  <c r="H831" i="7"/>
  <c r="F832" i="7"/>
  <c r="H832" i="7"/>
  <c r="F833" i="7"/>
  <c r="F834" i="7"/>
  <c r="H834" i="7"/>
  <c r="F835" i="7"/>
  <c r="H835" i="7"/>
  <c r="F836" i="7"/>
  <c r="H836" i="7"/>
  <c r="F837" i="7"/>
  <c r="H837" i="7"/>
  <c r="F838" i="7"/>
  <c r="H838" i="7"/>
  <c r="F839" i="7"/>
  <c r="H839" i="7"/>
  <c r="F840" i="7"/>
  <c r="H840" i="7"/>
  <c r="F841" i="7"/>
  <c r="H841" i="7"/>
  <c r="F842" i="7"/>
  <c r="H842" i="7"/>
  <c r="F843" i="7"/>
  <c r="F844" i="7"/>
  <c r="F845" i="7"/>
  <c r="H845" i="7"/>
  <c r="F846" i="7"/>
  <c r="H846" i="7"/>
  <c r="F847" i="7"/>
  <c r="H847" i="7"/>
  <c r="F848" i="7"/>
  <c r="H848" i="7"/>
  <c r="F849" i="7"/>
  <c r="H849" i="7"/>
  <c r="F850" i="7"/>
  <c r="H850" i="7"/>
  <c r="F851" i="7"/>
  <c r="H851" i="7"/>
  <c r="F852" i="7"/>
  <c r="H852" i="7"/>
  <c r="F853" i="7"/>
  <c r="F854" i="7"/>
  <c r="F855" i="7"/>
  <c r="H855" i="7"/>
  <c r="F856" i="7"/>
  <c r="H856" i="7"/>
  <c r="F857" i="7"/>
  <c r="H857" i="7"/>
  <c r="F858" i="7"/>
  <c r="H858" i="7"/>
  <c r="F859" i="7"/>
  <c r="H859" i="7"/>
  <c r="F860" i="7"/>
  <c r="H860" i="7"/>
  <c r="F861" i="7"/>
  <c r="H861" i="7"/>
  <c r="F862" i="7"/>
  <c r="H862" i="7"/>
  <c r="F863" i="7"/>
  <c r="F864" i="7"/>
  <c r="F865" i="7"/>
  <c r="H865" i="7"/>
  <c r="F866" i="7"/>
  <c r="H866" i="7"/>
  <c r="F867" i="7"/>
  <c r="H867" i="7"/>
  <c r="F868" i="7"/>
  <c r="H868" i="7"/>
  <c r="F869" i="7"/>
  <c r="H869" i="7"/>
  <c r="F870" i="7"/>
  <c r="H870" i="7"/>
  <c r="F871" i="7"/>
  <c r="H871" i="7"/>
  <c r="F872" i="7"/>
  <c r="H872" i="7"/>
  <c r="F873" i="7"/>
  <c r="F874" i="7"/>
  <c r="F875" i="7"/>
  <c r="H875" i="7"/>
  <c r="F876" i="7"/>
  <c r="H876" i="7"/>
  <c r="F877" i="7"/>
  <c r="H877" i="7"/>
  <c r="F878" i="7"/>
  <c r="H878" i="7"/>
  <c r="F879" i="7"/>
  <c r="H879" i="7"/>
  <c r="F880" i="7"/>
  <c r="H880" i="7"/>
  <c r="F881" i="7"/>
  <c r="H881" i="7"/>
  <c r="F882" i="7"/>
  <c r="H882" i="7"/>
  <c r="F903" i="7"/>
  <c r="F904" i="7"/>
  <c r="F905" i="7"/>
  <c r="F906" i="7"/>
  <c r="F907" i="7"/>
  <c r="H907" i="7"/>
  <c r="F908" i="7"/>
  <c r="H908" i="7"/>
  <c r="F909" i="7"/>
  <c r="H909" i="7"/>
  <c r="F910" i="7"/>
  <c r="H910" i="7"/>
  <c r="F911" i="7"/>
  <c r="H911" i="7"/>
  <c r="F912" i="7"/>
  <c r="H912" i="7"/>
  <c r="F933" i="7"/>
  <c r="H933" i="7"/>
  <c r="F934" i="7"/>
  <c r="F935" i="7"/>
  <c r="F936" i="7"/>
  <c r="F937" i="7"/>
  <c r="H937" i="7"/>
  <c r="F938" i="7"/>
  <c r="H938" i="7"/>
  <c r="F939" i="7"/>
  <c r="H939" i="7"/>
  <c r="F940" i="7"/>
  <c r="H940" i="7"/>
  <c r="F941" i="7"/>
  <c r="H941" i="7"/>
  <c r="F942" i="7"/>
  <c r="H942" i="7"/>
  <c r="F943" i="7"/>
  <c r="F944" i="7"/>
  <c r="F945" i="7"/>
  <c r="F946" i="7"/>
  <c r="F947" i="7"/>
  <c r="F948" i="7"/>
  <c r="H948" i="7"/>
  <c r="F949" i="7"/>
  <c r="H949" i="7"/>
  <c r="F950" i="7"/>
  <c r="H950" i="7"/>
  <c r="F951" i="7"/>
  <c r="H951" i="7"/>
  <c r="F952" i="7"/>
  <c r="H952" i="7"/>
  <c r="F953" i="7"/>
  <c r="F954" i="7"/>
  <c r="F955" i="7"/>
  <c r="F956" i="7"/>
  <c r="F957" i="7"/>
  <c r="F958" i="7"/>
  <c r="H958" i="7"/>
  <c r="F959" i="7"/>
  <c r="H959" i="7"/>
  <c r="F960" i="7"/>
  <c r="H960" i="7"/>
  <c r="F961" i="7"/>
  <c r="H961" i="7"/>
  <c r="F962" i="7"/>
  <c r="H962" i="7"/>
  <c r="F963" i="7"/>
  <c r="F964" i="7"/>
  <c r="H964" i="7"/>
  <c r="F965" i="7"/>
  <c r="H965" i="7"/>
  <c r="F966" i="7"/>
  <c r="H966" i="7"/>
  <c r="F967" i="7"/>
  <c r="H967" i="7"/>
  <c r="F968" i="7"/>
  <c r="H968" i="7"/>
  <c r="F969" i="7"/>
  <c r="H969" i="7"/>
  <c r="F970" i="7"/>
  <c r="H970" i="7"/>
  <c r="F971" i="7"/>
  <c r="H971" i="7"/>
  <c r="F972" i="7"/>
  <c r="H972" i="7"/>
  <c r="F973" i="7"/>
  <c r="F974" i="7"/>
  <c r="F975" i="7"/>
  <c r="H975" i="7"/>
  <c r="F976" i="7"/>
  <c r="H976" i="7"/>
  <c r="F977" i="7"/>
  <c r="H977" i="7"/>
  <c r="F978" i="7"/>
  <c r="H978" i="7"/>
  <c r="F979" i="7"/>
  <c r="H979" i="7"/>
  <c r="F980" i="7"/>
  <c r="H980" i="7"/>
  <c r="F981" i="7"/>
  <c r="H981" i="7"/>
  <c r="F982" i="7"/>
  <c r="H982" i="7"/>
  <c r="F983" i="7"/>
  <c r="H983" i="7"/>
  <c r="F984" i="7"/>
  <c r="H984" i="7"/>
  <c r="F985" i="7"/>
  <c r="H985" i="7"/>
  <c r="F986" i="7"/>
  <c r="H986" i="7"/>
  <c r="F987" i="7"/>
  <c r="H987" i="7"/>
  <c r="F988" i="7"/>
  <c r="H988" i="7"/>
  <c r="F989" i="7"/>
  <c r="H989" i="7"/>
  <c r="F990" i="7"/>
  <c r="H990" i="7"/>
  <c r="F991" i="7"/>
  <c r="H991" i="7"/>
  <c r="F992" i="7"/>
  <c r="H992" i="7"/>
  <c r="F993" i="7"/>
  <c r="F994" i="7"/>
  <c r="F995" i="7"/>
  <c r="F996" i="7"/>
  <c r="F997" i="7"/>
  <c r="H997" i="7"/>
  <c r="F998" i="7"/>
  <c r="H998" i="7"/>
  <c r="F999" i="7"/>
  <c r="H999" i="7"/>
  <c r="F1000" i="7"/>
  <c r="H1000" i="7"/>
  <c r="F1001" i="7"/>
  <c r="H1001" i="7"/>
  <c r="F1002" i="7"/>
  <c r="H1002" i="7"/>
  <c r="F1003" i="7"/>
  <c r="F1004" i="7"/>
  <c r="F1005" i="7"/>
  <c r="H1005" i="7"/>
  <c r="F1006" i="7"/>
  <c r="H1006" i="7"/>
  <c r="F1007" i="7"/>
  <c r="H1007" i="7"/>
  <c r="F1008" i="7"/>
  <c r="H1008" i="7"/>
  <c r="F1009" i="7"/>
  <c r="H1009" i="7"/>
  <c r="F1010" i="7"/>
  <c r="H1010" i="7"/>
  <c r="F1011" i="7"/>
  <c r="H1011" i="7"/>
  <c r="F1012" i="7"/>
  <c r="H1012" i="7"/>
  <c r="F1013" i="7"/>
  <c r="F1014" i="7"/>
  <c r="H1014" i="7"/>
  <c r="F1015" i="7"/>
  <c r="H1015" i="7"/>
  <c r="F1016" i="7"/>
  <c r="H1016" i="7"/>
  <c r="F1017" i="7"/>
  <c r="H1017" i="7"/>
  <c r="F1018" i="7"/>
  <c r="H1018" i="7"/>
  <c r="F1019" i="7"/>
  <c r="H1019" i="7"/>
  <c r="F1020" i="7"/>
  <c r="H1020" i="7"/>
  <c r="F1021" i="7"/>
  <c r="H1021" i="7"/>
  <c r="F1022" i="7"/>
  <c r="H1022" i="7"/>
  <c r="F1023" i="7"/>
  <c r="F1024" i="7"/>
  <c r="F1025" i="7"/>
  <c r="F1026" i="7"/>
  <c r="H1026" i="7"/>
  <c r="F1027" i="7"/>
  <c r="H1027" i="7"/>
  <c r="F1028" i="7"/>
  <c r="H1028" i="7"/>
  <c r="F1029" i="7"/>
  <c r="H1029" i="7"/>
  <c r="F1030" i="7"/>
  <c r="H1030" i="7"/>
  <c r="F1031" i="7"/>
  <c r="H1031" i="7"/>
  <c r="F1032" i="7"/>
  <c r="H1032" i="7"/>
  <c r="F1033" i="7"/>
  <c r="F1034" i="7"/>
  <c r="F1035" i="7"/>
  <c r="H1035" i="7"/>
  <c r="F1036" i="7"/>
  <c r="H1036" i="7"/>
  <c r="F1037" i="7"/>
  <c r="H1037" i="7"/>
  <c r="F1038" i="7"/>
  <c r="H1038" i="7"/>
  <c r="F1039" i="7"/>
  <c r="H1039" i="7"/>
  <c r="F1040" i="7"/>
  <c r="H1040" i="7"/>
  <c r="F1041" i="7"/>
  <c r="H1041" i="7"/>
  <c r="F1042" i="7"/>
  <c r="H1042" i="7"/>
  <c r="F1043" i="7"/>
  <c r="H1043" i="7"/>
  <c r="F1044" i="7"/>
  <c r="H1044" i="7"/>
  <c r="F1045" i="7"/>
  <c r="H1045" i="7"/>
  <c r="F1046" i="7"/>
  <c r="H1046" i="7"/>
  <c r="F1047" i="7"/>
  <c r="H1047" i="7"/>
  <c r="F1048" i="7"/>
  <c r="H1048" i="7"/>
  <c r="F1049" i="7"/>
  <c r="H1049" i="7"/>
  <c r="F1050" i="7"/>
  <c r="H1050" i="7"/>
  <c r="F1051" i="7"/>
  <c r="H1051" i="7"/>
  <c r="F1052" i="7"/>
  <c r="H1052" i="7"/>
  <c r="F1053" i="7"/>
  <c r="H1053" i="7"/>
  <c r="F1054" i="7"/>
  <c r="H1054" i="7"/>
  <c r="F1055" i="7"/>
  <c r="H1055" i="7"/>
  <c r="F1056" i="7"/>
  <c r="H1056" i="7"/>
  <c r="F1057" i="7"/>
  <c r="H1057" i="7"/>
  <c r="F1058" i="7"/>
  <c r="H1058" i="7"/>
  <c r="F1059" i="7"/>
  <c r="H1059" i="7"/>
  <c r="F1060" i="7"/>
  <c r="H1060" i="7"/>
  <c r="F1061" i="7"/>
  <c r="H1061" i="7"/>
  <c r="F1062" i="7"/>
  <c r="H1062" i="7"/>
  <c r="F1063" i="7"/>
  <c r="H1063" i="7"/>
  <c r="F1064" i="7"/>
  <c r="H1064" i="7"/>
  <c r="F1065" i="7"/>
  <c r="H1065" i="7"/>
  <c r="F1066" i="7"/>
  <c r="H1066" i="7"/>
  <c r="F1067" i="7"/>
  <c r="H1067" i="7"/>
  <c r="F1068" i="7"/>
  <c r="H1068" i="7"/>
  <c r="F1069" i="7"/>
  <c r="H1069" i="7"/>
  <c r="F1070" i="7"/>
  <c r="H1070" i="7"/>
  <c r="F1071" i="7"/>
  <c r="H1071" i="7"/>
  <c r="F1072" i="7"/>
  <c r="H1072" i="7"/>
  <c r="F1073" i="7"/>
  <c r="H1073" i="7"/>
  <c r="F1074" i="7"/>
  <c r="H1074" i="7"/>
  <c r="F1075" i="7"/>
  <c r="H1075" i="7"/>
  <c r="F1076" i="7"/>
  <c r="H1076" i="7"/>
  <c r="F1077" i="7"/>
  <c r="H1077" i="7"/>
  <c r="F1078" i="7"/>
  <c r="H1078" i="7"/>
  <c r="F1079" i="7"/>
  <c r="H1079" i="7"/>
  <c r="F1080" i="7"/>
  <c r="H1080" i="7"/>
  <c r="F1081" i="7"/>
  <c r="H1081" i="7"/>
  <c r="F1082" i="7"/>
  <c r="H1082" i="7"/>
  <c r="F1083" i="7"/>
  <c r="H1083" i="7"/>
  <c r="F1084" i="7"/>
  <c r="H1084" i="7"/>
  <c r="F1085" i="7"/>
  <c r="H1085" i="7"/>
  <c r="F1086" i="7"/>
  <c r="H1086" i="7"/>
  <c r="F1087" i="7"/>
  <c r="H1087" i="7"/>
  <c r="F1088" i="7"/>
  <c r="H1088" i="7"/>
  <c r="F1089" i="7"/>
  <c r="H1089" i="7"/>
  <c r="F1090" i="7"/>
  <c r="H1090" i="7"/>
  <c r="F1091" i="7"/>
  <c r="H1091" i="7"/>
  <c r="F1092" i="7"/>
  <c r="H1092" i="7"/>
  <c r="F1093" i="7"/>
  <c r="H1093" i="7"/>
  <c r="F1094" i="7"/>
  <c r="H1094" i="7"/>
  <c r="F1095" i="7"/>
  <c r="H1095" i="7"/>
  <c r="F1096" i="7"/>
  <c r="H1096" i="7"/>
  <c r="F1097" i="7"/>
  <c r="H1097" i="7"/>
  <c r="F1098" i="7"/>
  <c r="H1098" i="7"/>
  <c r="F1099" i="7"/>
  <c r="H1099" i="7"/>
  <c r="F1100" i="7"/>
  <c r="H1100" i="7"/>
  <c r="F1101" i="7"/>
  <c r="H1101" i="7"/>
  <c r="F1102" i="7"/>
  <c r="H1102" i="7"/>
  <c r="F1103" i="7"/>
  <c r="H1103" i="7"/>
  <c r="F1104" i="7"/>
  <c r="H1104" i="7"/>
  <c r="F1105" i="7"/>
  <c r="H1105" i="7"/>
  <c r="F1106" i="7"/>
  <c r="H1106" i="7"/>
  <c r="F1107" i="7"/>
  <c r="H1107" i="7"/>
  <c r="F1108" i="7"/>
  <c r="H1108" i="7"/>
  <c r="F1109" i="7"/>
  <c r="H1109" i="7"/>
  <c r="F1110" i="7"/>
  <c r="H1110" i="7"/>
  <c r="F1111" i="7"/>
  <c r="H1111" i="7"/>
  <c r="F1112" i="7"/>
  <c r="H1112" i="7"/>
  <c r="F1113" i="7"/>
  <c r="H1113" i="7"/>
  <c r="F1114" i="7"/>
  <c r="H1114" i="7"/>
  <c r="F1115" i="7"/>
  <c r="H1115" i="7"/>
  <c r="F1116" i="7"/>
  <c r="H1116" i="7"/>
  <c r="F1117" i="7"/>
  <c r="H1117" i="7"/>
  <c r="F1118" i="7"/>
  <c r="H1118" i="7"/>
  <c r="F1119" i="7"/>
  <c r="H1119" i="7"/>
  <c r="F1120" i="7"/>
  <c r="H1120" i="7"/>
  <c r="F1121" i="7"/>
  <c r="H1121" i="7"/>
  <c r="F1122" i="7"/>
  <c r="H1122" i="7"/>
  <c r="F1123" i="7"/>
  <c r="H1123" i="7"/>
  <c r="F1124" i="7"/>
  <c r="H1124" i="7"/>
  <c r="F1125" i="7"/>
  <c r="H1125" i="7"/>
  <c r="F1126" i="7"/>
  <c r="H1126" i="7"/>
  <c r="F1127" i="7"/>
  <c r="H1127" i="7"/>
  <c r="F1128" i="7"/>
  <c r="H1128" i="7"/>
  <c r="F1129" i="7"/>
  <c r="H1129" i="7"/>
  <c r="F1130" i="7"/>
  <c r="H1130" i="7"/>
  <c r="F1131" i="7"/>
  <c r="H1131" i="7"/>
  <c r="F1132" i="7"/>
  <c r="H1132" i="7"/>
  <c r="F1133" i="7"/>
  <c r="H1133" i="7"/>
  <c r="F1134" i="7"/>
  <c r="H1134" i="7"/>
  <c r="F1135" i="7"/>
  <c r="H1135" i="7"/>
  <c r="F1136" i="7"/>
  <c r="H1136" i="7"/>
  <c r="F1137" i="7"/>
  <c r="H1137" i="7"/>
  <c r="F1138" i="7"/>
  <c r="H1138" i="7"/>
  <c r="F1139" i="7"/>
  <c r="H1139" i="7"/>
  <c r="F1140" i="7"/>
  <c r="H1140" i="7"/>
  <c r="F1141" i="7"/>
  <c r="H1141" i="7"/>
  <c r="F1142" i="7"/>
  <c r="H1142" i="7"/>
  <c r="F1143" i="7"/>
  <c r="H1143" i="7"/>
  <c r="F1144" i="7"/>
  <c r="H1144" i="7"/>
  <c r="F1145" i="7"/>
  <c r="H1145" i="7"/>
  <c r="F1146" i="7"/>
  <c r="H1146" i="7"/>
  <c r="F1147" i="7"/>
  <c r="H1147" i="7"/>
  <c r="F1148" i="7"/>
  <c r="H1148" i="7"/>
  <c r="F1149" i="7"/>
  <c r="H1149" i="7"/>
  <c r="F1150" i="7"/>
  <c r="H1150" i="7"/>
  <c r="F1151" i="7"/>
  <c r="H1151" i="7"/>
  <c r="F1152" i="7"/>
  <c r="H1152" i="7"/>
  <c r="F1153" i="7"/>
  <c r="H1153" i="7"/>
  <c r="F1154" i="7"/>
  <c r="H1154" i="7"/>
  <c r="F1155" i="7"/>
  <c r="H1155" i="7"/>
  <c r="F1156" i="7"/>
  <c r="H1156" i="7"/>
  <c r="F1157" i="7"/>
  <c r="H1157" i="7"/>
  <c r="F1158" i="7"/>
  <c r="H1158" i="7"/>
  <c r="F1159" i="7"/>
  <c r="H1159" i="7"/>
  <c r="F1160" i="7"/>
  <c r="H1160" i="7"/>
  <c r="F1161" i="7"/>
  <c r="H1161" i="7"/>
  <c r="F1162" i="7"/>
  <c r="H1162" i="7"/>
  <c r="H525" i="7"/>
  <c r="H526" i="7"/>
  <c r="H527" i="7"/>
  <c r="H528" i="7"/>
  <c r="H529" i="7"/>
  <c r="H530" i="7"/>
  <c r="H531" i="7"/>
  <c r="H532" i="7"/>
  <c r="H516" i="7"/>
  <c r="H517" i="7"/>
  <c r="H518" i="7"/>
  <c r="H519" i="7"/>
  <c r="H520" i="7"/>
  <c r="H521" i="7"/>
  <c r="H522" i="7"/>
  <c r="I13" i="5"/>
  <c r="E6" i="15" l="1"/>
  <c r="H2" i="15"/>
  <c r="E2" i="15"/>
  <c r="A2" i="3" a="1"/>
  <c r="A2" i="3" s="1"/>
  <c r="H27" i="7"/>
  <c r="H28" i="7"/>
  <c r="H29" i="7"/>
  <c r="H30" i="7"/>
  <c r="H31" i="7"/>
  <c r="H32" i="7"/>
  <c r="H36" i="7"/>
  <c r="H37" i="7"/>
  <c r="H38" i="7"/>
  <c r="H39" i="7"/>
  <c r="H40" i="7"/>
  <c r="H41" i="7"/>
  <c r="H42" i="7"/>
  <c r="H46" i="7"/>
  <c r="H47" i="7"/>
  <c r="H48" i="7"/>
  <c r="H49" i="7"/>
  <c r="H50" i="7"/>
  <c r="H51" i="7"/>
  <c r="H52" i="7"/>
  <c r="H56" i="7"/>
  <c r="H57" i="7"/>
  <c r="H58" i="7"/>
  <c r="H59" i="7"/>
  <c r="H60" i="7"/>
  <c r="H61" i="7"/>
  <c r="H62" i="7"/>
  <c r="H66" i="7"/>
  <c r="H67" i="7"/>
  <c r="H68" i="7"/>
  <c r="H69" i="7"/>
  <c r="H70" i="7"/>
  <c r="H71" i="7"/>
  <c r="H72" i="7"/>
  <c r="H76" i="7"/>
  <c r="H77" i="7"/>
  <c r="H78" i="7"/>
  <c r="H79" i="7"/>
  <c r="H80" i="7"/>
  <c r="H81" i="7"/>
  <c r="H82" i="7"/>
  <c r="H86" i="7"/>
  <c r="H87" i="7"/>
  <c r="H88" i="7"/>
  <c r="H89" i="7"/>
  <c r="H90" i="7"/>
  <c r="H91" i="7"/>
  <c r="H92" i="7"/>
  <c r="H96" i="7"/>
  <c r="H97" i="7"/>
  <c r="H98" i="7"/>
  <c r="H99" i="7"/>
  <c r="H100" i="7"/>
  <c r="H101" i="7"/>
  <c r="H102" i="7"/>
  <c r="H106" i="7"/>
  <c r="H107" i="7"/>
  <c r="H108" i="7"/>
  <c r="H109" i="7"/>
  <c r="H110" i="7"/>
  <c r="H111" i="7"/>
  <c r="H112" i="7"/>
  <c r="H116" i="7"/>
  <c r="H117" i="7"/>
  <c r="H118" i="7"/>
  <c r="H119" i="7"/>
  <c r="H120" i="7"/>
  <c r="H121" i="7"/>
  <c r="H122" i="7"/>
  <c r="H126" i="7"/>
  <c r="H127" i="7"/>
  <c r="H128" i="7"/>
  <c r="H129" i="7"/>
  <c r="H130" i="7"/>
  <c r="H131" i="7"/>
  <c r="H132" i="7"/>
  <c r="H136" i="7"/>
  <c r="H137" i="7"/>
  <c r="H138" i="7"/>
  <c r="H139" i="7"/>
  <c r="H140" i="7"/>
  <c r="H141" i="7"/>
  <c r="H142" i="7"/>
  <c r="H146" i="7"/>
  <c r="H147" i="7"/>
  <c r="H148" i="7"/>
  <c r="H149" i="7"/>
  <c r="H150" i="7"/>
  <c r="H151" i="7"/>
  <c r="H152" i="7"/>
  <c r="H156" i="7"/>
  <c r="H157" i="7"/>
  <c r="H158" i="7"/>
  <c r="H159" i="7"/>
  <c r="H160" i="7"/>
  <c r="H161" i="7"/>
  <c r="H162" i="7"/>
  <c r="H166" i="7"/>
  <c r="H167" i="7"/>
  <c r="H168" i="7"/>
  <c r="H169" i="7"/>
  <c r="H170" i="7"/>
  <c r="H171" i="7"/>
  <c r="H172" i="7"/>
  <c r="H176" i="7"/>
  <c r="H177" i="7"/>
  <c r="H178" i="7"/>
  <c r="H179" i="7"/>
  <c r="H180" i="7"/>
  <c r="H181" i="7"/>
  <c r="H182" i="7"/>
  <c r="H186" i="7"/>
  <c r="H187" i="7"/>
  <c r="H188" i="7"/>
  <c r="H189" i="7"/>
  <c r="H190" i="7"/>
  <c r="H191" i="7"/>
  <c r="H192" i="7"/>
  <c r="H207" i="7"/>
  <c r="H208" i="7"/>
  <c r="H209" i="7"/>
  <c r="H210" i="7"/>
  <c r="H211" i="7"/>
  <c r="H212" i="7"/>
  <c r="H216" i="7"/>
  <c r="H217" i="7"/>
  <c r="H218" i="7"/>
  <c r="H219" i="7"/>
  <c r="H220" i="7"/>
  <c r="H221" i="7"/>
  <c r="H222" i="7"/>
  <c r="H227" i="7"/>
  <c r="H228" i="7"/>
  <c r="H229" i="7"/>
  <c r="H230" i="7"/>
  <c r="H231" i="7"/>
  <c r="H232" i="7"/>
  <c r="H237" i="7"/>
  <c r="H238" i="7"/>
  <c r="H239" i="7"/>
  <c r="H240" i="7"/>
  <c r="H241" i="7"/>
  <c r="H242" i="7"/>
  <c r="H245" i="7"/>
  <c r="H246" i="7"/>
  <c r="H247" i="7"/>
  <c r="H248" i="7"/>
  <c r="H249" i="7"/>
  <c r="H250" i="7"/>
  <c r="H251" i="7"/>
  <c r="H252" i="7"/>
  <c r="H264" i="7"/>
  <c r="H265" i="7"/>
  <c r="H266" i="7"/>
  <c r="H267" i="7"/>
  <c r="H268" i="7"/>
  <c r="H269" i="7"/>
  <c r="H270" i="7"/>
  <c r="H271" i="7"/>
  <c r="H272" i="7"/>
  <c r="H284" i="7"/>
  <c r="H285" i="7"/>
  <c r="H286" i="7"/>
  <c r="H287" i="7"/>
  <c r="H288" i="7"/>
  <c r="H289" i="7"/>
  <c r="H290" i="7"/>
  <c r="H291" i="7"/>
  <c r="H292" i="7"/>
  <c r="H295" i="7"/>
  <c r="H296" i="7"/>
  <c r="H297" i="7"/>
  <c r="H298" i="7"/>
  <c r="H299" i="7"/>
  <c r="H300" i="7"/>
  <c r="H301" i="7"/>
  <c r="H302" i="7"/>
  <c r="H304" i="7"/>
  <c r="H305" i="7"/>
  <c r="H306" i="7"/>
  <c r="H307" i="7"/>
  <c r="H308" i="7"/>
  <c r="H309" i="7"/>
  <c r="H310" i="7"/>
  <c r="H311" i="7"/>
  <c r="H312" i="7"/>
  <c r="H314" i="7"/>
  <c r="H315" i="7"/>
  <c r="H316" i="7"/>
  <c r="H317" i="7"/>
  <c r="H318" i="7"/>
  <c r="H319" i="7"/>
  <c r="H320" i="7"/>
  <c r="H321" i="7"/>
  <c r="H322" i="7"/>
  <c r="H326" i="7"/>
  <c r="H327" i="7"/>
  <c r="H328" i="7"/>
  <c r="H329" i="7"/>
  <c r="H330" i="7"/>
  <c r="H331" i="7"/>
  <c r="H332" i="7"/>
  <c r="H336" i="7"/>
  <c r="H337" i="7"/>
  <c r="H338" i="7"/>
  <c r="H339" i="7"/>
  <c r="H340" i="7"/>
  <c r="H341" i="7"/>
  <c r="H342" i="7"/>
  <c r="H345" i="7"/>
  <c r="H346" i="7"/>
  <c r="H347" i="7"/>
  <c r="H348" i="7"/>
  <c r="H349" i="7"/>
  <c r="H350" i="7"/>
  <c r="H351" i="7"/>
  <c r="H352" i="7"/>
  <c r="H355" i="7"/>
  <c r="H356" i="7"/>
  <c r="H357" i="7"/>
  <c r="H358" i="7"/>
  <c r="H359" i="7"/>
  <c r="H360" i="7"/>
  <c r="H361" i="7"/>
  <c r="H362" i="7"/>
  <c r="H365" i="7"/>
  <c r="H366" i="7"/>
  <c r="H367" i="7"/>
  <c r="H368" i="7"/>
  <c r="H369" i="7"/>
  <c r="H370" i="7"/>
  <c r="H371" i="7"/>
  <c r="H372" i="7"/>
  <c r="H377" i="7"/>
  <c r="H378" i="7"/>
  <c r="H379" i="7"/>
  <c r="H380" i="7"/>
  <c r="H381" i="7"/>
  <c r="H382" i="7"/>
  <c r="H385" i="7"/>
  <c r="H386" i="7"/>
  <c r="H387" i="7"/>
  <c r="H388" i="7"/>
  <c r="H389" i="7"/>
  <c r="H390" i="7"/>
  <c r="H391" i="7"/>
  <c r="H392" i="7"/>
  <c r="H395" i="7"/>
  <c r="H396" i="7"/>
  <c r="H397" i="7"/>
  <c r="H398" i="7"/>
  <c r="H399" i="7"/>
  <c r="H400" i="7"/>
  <c r="H401" i="7"/>
  <c r="H402" i="7"/>
  <c r="H415" i="7"/>
  <c r="H416" i="7"/>
  <c r="H417" i="7"/>
  <c r="H418" i="7"/>
  <c r="H419" i="7"/>
  <c r="H420" i="7"/>
  <c r="H421" i="7"/>
  <c r="H422" i="7"/>
  <c r="H425" i="7"/>
  <c r="H426" i="7"/>
  <c r="H427" i="7"/>
  <c r="H428" i="7"/>
  <c r="H429" i="7"/>
  <c r="H430" i="7"/>
  <c r="H431" i="7"/>
  <c r="H432" i="7"/>
  <c r="H435" i="7"/>
  <c r="H436" i="7"/>
  <c r="H437" i="7"/>
  <c r="H438" i="7"/>
  <c r="H439" i="7"/>
  <c r="H440" i="7"/>
  <c r="H441" i="7"/>
  <c r="H442" i="7"/>
  <c r="H447" i="7"/>
  <c r="H448" i="7"/>
  <c r="H449" i="7"/>
  <c r="H450" i="7"/>
  <c r="H451" i="7"/>
  <c r="H452" i="7"/>
  <c r="H456" i="7"/>
  <c r="H457" i="7"/>
  <c r="H458" i="7"/>
  <c r="H459" i="7"/>
  <c r="H460" i="7"/>
  <c r="H461" i="7"/>
  <c r="H462" i="7"/>
  <c r="H466" i="7"/>
  <c r="H467" i="7"/>
  <c r="H468" i="7"/>
  <c r="H469" i="7"/>
  <c r="H470" i="7"/>
  <c r="H471" i="7"/>
  <c r="H472" i="7"/>
  <c r="H476" i="7"/>
  <c r="H477" i="7"/>
  <c r="H478" i="7"/>
  <c r="H479" i="7"/>
  <c r="H480" i="7"/>
  <c r="H481" i="7"/>
  <c r="H482" i="7"/>
  <c r="H485" i="7"/>
  <c r="H486" i="7"/>
  <c r="H487" i="7"/>
  <c r="H488" i="7"/>
  <c r="H489" i="7"/>
  <c r="H490" i="7"/>
  <c r="H491" i="7"/>
  <c r="H492" i="7"/>
  <c r="H497" i="7"/>
  <c r="H498" i="7"/>
  <c r="H499" i="7"/>
  <c r="H500" i="7"/>
  <c r="H501" i="7"/>
  <c r="H502" i="7"/>
  <c r="H17" i="7"/>
  <c r="H18" i="7"/>
  <c r="H19" i="7"/>
  <c r="H20" i="7"/>
  <c r="H21" i="7"/>
  <c r="H22" i="7"/>
  <c r="H1" i="15"/>
  <c r="E5" i="15" s="1"/>
  <c r="M530" i="7"/>
  <c r="M529" i="7"/>
  <c r="M528" i="7"/>
  <c r="M527" i="7"/>
  <c r="M526" i="7"/>
  <c r="M525" i="7"/>
  <c r="M524" i="7"/>
  <c r="M523" i="7"/>
  <c r="M520" i="7"/>
  <c r="M519" i="7"/>
  <c r="M518" i="7"/>
  <c r="M517" i="7"/>
  <c r="M516" i="7"/>
  <c r="M515" i="7"/>
  <c r="M514" i="7"/>
  <c r="M513" i="7"/>
  <c r="H1" i="2"/>
  <c r="G1" i="2"/>
  <c r="D483" i="7"/>
  <c r="P483" i="7" s="1"/>
  <c r="Q483" i="7" s="1"/>
  <c r="D473" i="7"/>
  <c r="P473" i="7" s="1"/>
  <c r="Q473" i="7" s="1"/>
  <c r="K183" i="7"/>
  <c r="K173" i="7"/>
  <c r="K163" i="7"/>
  <c r="K153" i="7"/>
  <c r="K143" i="7"/>
  <c r="K133" i="7"/>
  <c r="K123" i="7"/>
  <c r="K113" i="7"/>
  <c r="K103" i="7"/>
  <c r="K93" i="7"/>
  <c r="K83" i="7"/>
  <c r="K73" i="7"/>
  <c r="D153" i="7"/>
  <c r="P155" i="7" s="1"/>
  <c r="Q155" i="7" s="1"/>
  <c r="D143" i="7"/>
  <c r="P145" i="7" s="1"/>
  <c r="Q145" i="7" s="1"/>
  <c r="D133" i="7"/>
  <c r="P135" i="7" s="1"/>
  <c r="Q135" i="7" s="1"/>
  <c r="D123" i="7"/>
  <c r="P125" i="7" s="1"/>
  <c r="Q125" i="7" s="1"/>
  <c r="D113" i="7"/>
  <c r="P115" i="7" s="1"/>
  <c r="Q115" i="7" s="1"/>
  <c r="D43" i="7"/>
  <c r="P45" i="7" s="1"/>
  <c r="Q45" i="7" s="1"/>
  <c r="K33" i="7"/>
  <c r="K43" i="7"/>
  <c r="K53" i="7"/>
  <c r="K63" i="7"/>
  <c r="D53" i="7"/>
  <c r="P55" i="7" s="1"/>
  <c r="Q55" i="7" s="1"/>
  <c r="D33" i="7"/>
  <c r="D63" i="7"/>
  <c r="P65" i="7" s="1"/>
  <c r="Q65" i="7" s="1"/>
  <c r="D73" i="7"/>
  <c r="P75" i="7" s="1"/>
  <c r="Q75" i="7" s="1"/>
  <c r="D3" i="7"/>
  <c r="P35" i="7" l="1"/>
  <c r="Q35" i="7" s="1"/>
  <c r="P6" i="7"/>
  <c r="Q6" i="7" s="1"/>
  <c r="K154" i="7"/>
  <c r="P153" i="7"/>
  <c r="Q153" i="7" s="1"/>
  <c r="K44" i="7"/>
  <c r="P43" i="7"/>
  <c r="Q43" i="7" s="1"/>
  <c r="K64" i="7"/>
  <c r="P63" i="7"/>
  <c r="Q63" i="7" s="1"/>
  <c r="K114" i="7"/>
  <c r="P113" i="7"/>
  <c r="Q113" i="7" s="1"/>
  <c r="K74" i="7"/>
  <c r="P73" i="7"/>
  <c r="Q73" i="7" s="1"/>
  <c r="K124" i="7"/>
  <c r="P123" i="7"/>
  <c r="Q123" i="7" s="1"/>
  <c r="K54" i="7"/>
  <c r="P53" i="7"/>
  <c r="Q53" i="7" s="1"/>
  <c r="K134" i="7"/>
  <c r="P133" i="7"/>
  <c r="Q133" i="7" s="1"/>
  <c r="K34" i="7"/>
  <c r="P33" i="7"/>
  <c r="Q33" i="7" s="1"/>
  <c r="K144" i="7"/>
  <c r="P143" i="7"/>
  <c r="Q143" i="7" s="1"/>
  <c r="K4" i="7"/>
  <c r="P3" i="7"/>
  <c r="Q3" i="7" s="1"/>
  <c r="E4" i="15"/>
  <c r="H72" i="15"/>
  <c r="E72" i="15" s="1"/>
  <c r="H69" i="15"/>
  <c r="E69" i="15" s="1"/>
  <c r="H80" i="15"/>
  <c r="E80" i="15" s="1"/>
  <c r="H75" i="15"/>
  <c r="E75" i="15" s="1"/>
  <c r="H60" i="15"/>
  <c r="E60" i="15" s="1"/>
  <c r="E10" i="15"/>
  <c r="H25" i="15"/>
  <c r="E25" i="15" s="1"/>
  <c r="H86" i="15"/>
  <c r="E86" i="15" s="1"/>
  <c r="H22" i="15"/>
  <c r="E22" i="15" s="1"/>
  <c r="H48" i="15"/>
  <c r="E48" i="15" s="1"/>
  <c r="H16" i="15"/>
  <c r="E16" i="15" s="1"/>
  <c r="H78" i="15"/>
  <c r="E78" i="15" s="1"/>
  <c r="H71" i="15"/>
  <c r="E71" i="15" s="1"/>
  <c r="H53" i="15"/>
  <c r="E53" i="15" s="1"/>
  <c r="H88" i="15"/>
  <c r="E88" i="15" s="1"/>
  <c r="H63" i="15"/>
  <c r="E63" i="15" s="1"/>
  <c r="H45" i="15"/>
  <c r="E45" i="15" s="1"/>
  <c r="H52" i="15"/>
  <c r="E52" i="15" s="1"/>
  <c r="H51" i="15"/>
  <c r="E51" i="15" s="1"/>
  <c r="H82" i="15"/>
  <c r="E82" i="15" s="1"/>
  <c r="H36" i="15"/>
  <c r="E36" i="15" s="1"/>
  <c r="H56" i="15"/>
  <c r="E56" i="15" s="1"/>
  <c r="H62" i="15"/>
  <c r="E62" i="15" s="1"/>
  <c r="H41" i="15"/>
  <c r="E41" i="15" s="1"/>
  <c r="H39" i="15"/>
  <c r="E39" i="15" s="1"/>
  <c r="E11" i="15"/>
  <c r="H21" i="15"/>
  <c r="E21" i="15" s="1"/>
  <c r="H87" i="15"/>
  <c r="E87" i="15" s="1"/>
  <c r="H31" i="15"/>
  <c r="E31" i="15" s="1"/>
  <c r="H37" i="15"/>
  <c r="E37" i="15" s="1"/>
  <c r="H28" i="15"/>
  <c r="E28" i="15" s="1"/>
  <c r="H35" i="15"/>
  <c r="E35" i="15" s="1"/>
  <c r="H66" i="15"/>
  <c r="E66" i="15" s="1"/>
  <c r="H81" i="15"/>
  <c r="E81" i="15" s="1"/>
  <c r="H24" i="15"/>
  <c r="E24" i="15" s="1"/>
  <c r="H54" i="15"/>
  <c r="E54" i="15" s="1"/>
  <c r="H89" i="15"/>
  <c r="E89" i="15" s="1"/>
  <c r="H90" i="15"/>
  <c r="E90" i="15" s="1"/>
  <c r="H91" i="15"/>
  <c r="E91" i="15" s="1"/>
  <c r="H40" i="15"/>
  <c r="E40" i="15" s="1"/>
  <c r="H50" i="15"/>
  <c r="E50" i="15" s="1"/>
  <c r="H57" i="15"/>
  <c r="E57" i="15" s="1"/>
  <c r="H47" i="15"/>
  <c r="E47" i="15" s="1"/>
  <c r="H38" i="15"/>
  <c r="E38" i="15" s="1"/>
  <c r="H42" i="15"/>
  <c r="E42" i="15" s="1"/>
  <c r="H59" i="15"/>
  <c r="E59" i="15" s="1"/>
  <c r="H55" i="15"/>
  <c r="E55" i="15" s="1"/>
  <c r="H23" i="15"/>
  <c r="E23" i="15" s="1"/>
  <c r="H29" i="15"/>
  <c r="E29" i="15" s="1"/>
  <c r="E12" i="15"/>
  <c r="H19" i="15"/>
  <c r="E19" i="15" s="1"/>
  <c r="H58" i="15"/>
  <c r="E58" i="15" s="1"/>
  <c r="H65" i="15"/>
  <c r="E65" i="15" s="1"/>
  <c r="H79" i="15"/>
  <c r="E79" i="15" s="1"/>
  <c r="H46" i="15"/>
  <c r="E46" i="15" s="1"/>
  <c r="H34" i="15"/>
  <c r="E34" i="15" s="1"/>
  <c r="H74" i="15"/>
  <c r="E74" i="15" s="1"/>
  <c r="H85" i="15"/>
  <c r="E85" i="15" s="1"/>
  <c r="H20" i="15"/>
  <c r="E20" i="15" s="1"/>
  <c r="H68" i="15"/>
  <c r="E68" i="15" s="1"/>
  <c r="H70" i="15"/>
  <c r="E70" i="15" s="1"/>
  <c r="H27" i="15"/>
  <c r="E27" i="15" s="1"/>
  <c r="H77" i="15"/>
  <c r="E77" i="15" s="1"/>
  <c r="E13" i="15"/>
  <c r="H83" i="15"/>
  <c r="E83" i="15" s="1"/>
  <c r="H84" i="15"/>
  <c r="E84" i="15" s="1"/>
  <c r="H18" i="15"/>
  <c r="E18" i="15" s="1"/>
  <c r="H49" i="15"/>
  <c r="E49" i="15" s="1"/>
  <c r="H15" i="15"/>
  <c r="E15" i="15" s="1"/>
  <c r="H30" i="15"/>
  <c r="E30" i="15" s="1"/>
  <c r="H33" i="15"/>
  <c r="E33" i="15" s="1"/>
  <c r="H26" i="15"/>
  <c r="E26" i="15" s="1"/>
  <c r="H61" i="15"/>
  <c r="E61" i="15" s="1"/>
  <c r="H32" i="15"/>
  <c r="E32" i="15" s="1"/>
  <c r="H67" i="15"/>
  <c r="E67" i="15" s="1"/>
  <c r="H44" i="15"/>
  <c r="E44" i="15" s="1"/>
  <c r="H64" i="15"/>
  <c r="E64" i="15" s="1"/>
  <c r="H17" i="15"/>
  <c r="E17" i="15" s="1"/>
  <c r="E14" i="15"/>
  <c r="H43" i="15"/>
  <c r="E43" i="15" s="1"/>
  <c r="H76" i="15"/>
  <c r="E76" i="15" s="1"/>
  <c r="H73" i="15"/>
  <c r="E73" i="15" s="1"/>
  <c r="E9" i="15"/>
  <c r="E7" i="15"/>
  <c r="E3" i="15"/>
  <c r="N523" i="7"/>
  <c r="N513" i="7"/>
  <c r="F39" i="16"/>
  <c r="F38" i="26"/>
  <c r="F101" i="31"/>
  <c r="F40" i="16"/>
  <c r="F102" i="31"/>
  <c r="G40" i="16" l="1"/>
  <c r="G102" i="31"/>
  <c r="G101" i="31"/>
  <c r="G39" i="16"/>
  <c r="G38" i="26"/>
  <c r="U66" i="21"/>
  <c r="K483" i="7"/>
  <c r="K473" i="7"/>
  <c r="G41" i="16" l="1"/>
  <c r="G103" i="31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  <c r="B90" i="3"/>
  <c r="B91" i="3"/>
  <c r="B92" i="3"/>
  <c r="B93" i="3"/>
  <c r="B94" i="3"/>
  <c r="B95" i="3"/>
  <c r="B96" i="3"/>
  <c r="B97" i="3"/>
  <c r="B98" i="3"/>
  <c r="B99" i="3"/>
  <c r="B100" i="3"/>
  <c r="B101" i="3"/>
  <c r="B102" i="3"/>
  <c r="B103" i="3"/>
  <c r="B104" i="3"/>
  <c r="B105" i="3"/>
  <c r="B106" i="3"/>
  <c r="B107" i="3"/>
  <c r="B108" i="3"/>
  <c r="B109" i="3"/>
  <c r="B110" i="3"/>
  <c r="B111" i="3"/>
  <c r="B112" i="3"/>
  <c r="B113" i="3"/>
  <c r="B114" i="3"/>
  <c r="B115" i="3"/>
  <c r="B116" i="3"/>
  <c r="B117" i="3"/>
  <c r="B118" i="3"/>
  <c r="B119" i="3"/>
  <c r="B120" i="3"/>
  <c r="B121" i="3"/>
  <c r="B122" i="3"/>
  <c r="B123" i="3"/>
  <c r="B124" i="3"/>
  <c r="B125" i="3"/>
  <c r="B126" i="3"/>
  <c r="B127" i="3"/>
  <c r="B128" i="3"/>
  <c r="B129" i="3"/>
  <c r="B130" i="3"/>
  <c r="B131" i="3"/>
  <c r="B132" i="3"/>
  <c r="B133" i="3"/>
  <c r="B134" i="3"/>
  <c r="B135" i="3"/>
  <c r="B136" i="3"/>
  <c r="B137" i="3"/>
  <c r="B138" i="3"/>
  <c r="B139" i="3"/>
  <c r="B140" i="3"/>
  <c r="B141" i="3"/>
  <c r="B142" i="3"/>
  <c r="B143" i="3"/>
  <c r="B144" i="3"/>
  <c r="B145" i="3"/>
  <c r="B146" i="3"/>
  <c r="B147" i="3"/>
  <c r="B148" i="3"/>
  <c r="B149" i="3"/>
  <c r="B150" i="3"/>
  <c r="B151" i="3"/>
  <c r="B152" i="3"/>
  <c r="B153" i="3"/>
  <c r="B154" i="3"/>
  <c r="B155" i="3"/>
  <c r="B156" i="3"/>
  <c r="B157" i="3"/>
  <c r="B158" i="3"/>
  <c r="B159" i="3"/>
  <c r="B160" i="3"/>
  <c r="B161" i="3"/>
  <c r="B162" i="3"/>
  <c r="B163" i="3"/>
  <c r="B164" i="3"/>
  <c r="B165" i="3"/>
  <c r="B166" i="3"/>
  <c r="B167" i="3"/>
  <c r="B168" i="3"/>
  <c r="B169" i="3"/>
  <c r="B170" i="3"/>
  <c r="B171" i="3"/>
  <c r="B172" i="3"/>
  <c r="B173" i="3"/>
  <c r="B174" i="3"/>
  <c r="B175" i="3"/>
  <c r="B176" i="3"/>
  <c r="B177" i="3"/>
  <c r="B178" i="3"/>
  <c r="B179" i="3"/>
  <c r="B180" i="3"/>
  <c r="B181" i="3"/>
  <c r="B182" i="3"/>
  <c r="B183" i="3"/>
  <c r="B184" i="3"/>
  <c r="B185" i="3"/>
  <c r="B186" i="3"/>
  <c r="B187" i="3"/>
  <c r="B188" i="3"/>
  <c r="B189" i="3"/>
  <c r="B190" i="3"/>
  <c r="B191" i="3"/>
  <c r="B192" i="3"/>
  <c r="B193" i="3"/>
  <c r="B194" i="3"/>
  <c r="B195" i="3"/>
  <c r="B196" i="3"/>
  <c r="B197" i="3"/>
  <c r="B198" i="3"/>
  <c r="B199" i="3"/>
  <c r="B200" i="3"/>
  <c r="B201" i="3"/>
  <c r="B202" i="3"/>
  <c r="B203" i="3"/>
  <c r="B204" i="3"/>
  <c r="B205" i="3"/>
  <c r="B206" i="3"/>
  <c r="B207" i="3"/>
  <c r="B208" i="3"/>
  <c r="B209" i="3"/>
  <c r="B210" i="3"/>
  <c r="B211" i="3"/>
  <c r="B212" i="3"/>
  <c r="B213" i="3"/>
  <c r="B214" i="3"/>
  <c r="B215" i="3"/>
  <c r="B216" i="3"/>
  <c r="B217" i="3"/>
  <c r="B218" i="3"/>
  <c r="B219" i="3"/>
  <c r="B220" i="3"/>
  <c r="B221" i="3"/>
  <c r="B222" i="3"/>
  <c r="B223" i="3"/>
  <c r="B224" i="3"/>
  <c r="B225" i="3"/>
  <c r="B226" i="3"/>
  <c r="B227" i="3"/>
  <c r="B228" i="3"/>
  <c r="B229" i="3"/>
  <c r="B230" i="3"/>
  <c r="B231" i="3"/>
  <c r="B232" i="3"/>
  <c r="B233" i="3"/>
  <c r="B234" i="3"/>
  <c r="B235" i="3"/>
  <c r="B236" i="3"/>
  <c r="B237" i="3"/>
  <c r="B238" i="3"/>
  <c r="B239" i="3"/>
  <c r="B240" i="3"/>
  <c r="B241" i="3"/>
  <c r="B242" i="3"/>
  <c r="B243" i="3"/>
  <c r="B244" i="3"/>
  <c r="B245" i="3"/>
  <c r="B246" i="3"/>
  <c r="B247" i="3"/>
  <c r="B248" i="3"/>
  <c r="B249" i="3"/>
  <c r="B250" i="3"/>
  <c r="B251" i="3"/>
  <c r="B252" i="3"/>
  <c r="B253" i="3"/>
  <c r="B254" i="3"/>
  <c r="B255" i="3"/>
  <c r="B256" i="3"/>
  <c r="B257" i="3"/>
  <c r="B258" i="3"/>
  <c r="B259" i="3"/>
  <c r="B260" i="3"/>
  <c r="B261" i="3"/>
  <c r="B262" i="3"/>
  <c r="B263" i="3"/>
  <c r="B264" i="3"/>
  <c r="B265" i="3"/>
  <c r="B266" i="3"/>
  <c r="B267" i="3"/>
  <c r="B268" i="3"/>
  <c r="B269" i="3"/>
  <c r="B270" i="3"/>
  <c r="B271" i="3"/>
  <c r="B272" i="3"/>
  <c r="B273" i="3"/>
  <c r="B274" i="3"/>
  <c r="B275" i="3"/>
  <c r="B276" i="3"/>
  <c r="B277" i="3"/>
  <c r="B278" i="3"/>
  <c r="B279" i="3"/>
  <c r="B280" i="3"/>
  <c r="B281" i="3"/>
  <c r="B282" i="3"/>
  <c r="B283" i="3"/>
  <c r="B284" i="3"/>
  <c r="B285" i="3"/>
  <c r="B286" i="3"/>
  <c r="B287" i="3"/>
  <c r="B288" i="3"/>
  <c r="B289" i="3"/>
  <c r="B290" i="3"/>
  <c r="B291" i="3"/>
  <c r="B292" i="3"/>
  <c r="B293" i="3"/>
  <c r="B294" i="3"/>
  <c r="B295" i="3"/>
  <c r="B296" i="3"/>
  <c r="B297" i="3"/>
  <c r="B298" i="3"/>
  <c r="B299" i="3"/>
  <c r="B300" i="3"/>
  <c r="B301" i="3"/>
  <c r="B302" i="3"/>
  <c r="B303" i="3"/>
  <c r="B304" i="3"/>
  <c r="B305" i="3"/>
  <c r="B306" i="3"/>
  <c r="B307" i="3"/>
  <c r="B308" i="3"/>
  <c r="B309" i="3"/>
  <c r="B310" i="3"/>
  <c r="B311" i="3"/>
  <c r="B312" i="3"/>
  <c r="B313" i="3"/>
  <c r="B314" i="3"/>
  <c r="B315" i="3"/>
  <c r="B316" i="3"/>
  <c r="B317" i="3"/>
  <c r="B318" i="3"/>
  <c r="B319" i="3"/>
  <c r="B320" i="3"/>
  <c r="B321" i="3"/>
  <c r="B322" i="3"/>
  <c r="B323" i="3"/>
  <c r="B324" i="3"/>
  <c r="B325" i="3"/>
  <c r="B326" i="3"/>
  <c r="B327" i="3"/>
  <c r="B328" i="3"/>
  <c r="B329" i="3"/>
  <c r="B330" i="3"/>
  <c r="B331" i="3"/>
  <c r="B332" i="3"/>
  <c r="B333" i="3"/>
  <c r="B334" i="3"/>
  <c r="B335" i="3"/>
  <c r="B336" i="3"/>
  <c r="B337" i="3"/>
  <c r="B338" i="3"/>
  <c r="B339" i="3"/>
  <c r="B340" i="3"/>
  <c r="B341" i="3"/>
  <c r="B342" i="3"/>
  <c r="B343" i="3"/>
  <c r="B344" i="3"/>
  <c r="B345" i="3"/>
  <c r="B346" i="3"/>
  <c r="B347" i="3"/>
  <c r="B348" i="3"/>
  <c r="B349" i="3"/>
  <c r="B350" i="3"/>
  <c r="B351" i="3"/>
  <c r="B352" i="3"/>
  <c r="B353" i="3"/>
  <c r="B354" i="3"/>
  <c r="B355" i="3"/>
  <c r="B356" i="3"/>
  <c r="B357" i="3"/>
  <c r="B358" i="3"/>
  <c r="B359" i="3"/>
  <c r="B360" i="3"/>
  <c r="B361" i="3"/>
  <c r="B362" i="3"/>
  <c r="B363" i="3"/>
  <c r="B364" i="3"/>
  <c r="B365" i="3"/>
  <c r="B366" i="3"/>
  <c r="B367" i="3"/>
  <c r="B368" i="3"/>
  <c r="B369" i="3"/>
  <c r="B370" i="3"/>
  <c r="B371" i="3"/>
  <c r="B372" i="3"/>
  <c r="B373" i="3"/>
  <c r="B374" i="3"/>
  <c r="B375" i="3"/>
  <c r="B376" i="3"/>
  <c r="B377" i="3"/>
  <c r="B378" i="3"/>
  <c r="B379" i="3"/>
  <c r="B380" i="3"/>
  <c r="B381" i="3"/>
  <c r="B382" i="3"/>
  <c r="B383" i="3"/>
  <c r="B384" i="3"/>
  <c r="B385" i="3"/>
  <c r="B386" i="3"/>
  <c r="B387" i="3"/>
  <c r="B388" i="3"/>
  <c r="B389" i="3"/>
  <c r="B390" i="3"/>
  <c r="B391" i="3"/>
  <c r="B392" i="3"/>
  <c r="B393" i="3"/>
  <c r="B394" i="3"/>
  <c r="B395" i="3"/>
  <c r="B396" i="3"/>
  <c r="B397" i="3"/>
  <c r="B398" i="3"/>
  <c r="B399" i="3"/>
  <c r="B400" i="3"/>
  <c r="B401" i="3"/>
  <c r="B402" i="3"/>
  <c r="B403" i="3"/>
  <c r="B404" i="3"/>
  <c r="B405" i="3"/>
  <c r="B406" i="3"/>
  <c r="B407" i="3"/>
  <c r="B408" i="3"/>
  <c r="B409" i="3"/>
  <c r="B410" i="3"/>
  <c r="B411" i="3"/>
  <c r="B412" i="3"/>
  <c r="B413" i="3"/>
  <c r="B414" i="3"/>
  <c r="B415" i="3"/>
  <c r="B416" i="3"/>
  <c r="B417" i="3"/>
  <c r="B418" i="3"/>
  <c r="B419" i="3"/>
  <c r="B420" i="3"/>
  <c r="B421" i="3"/>
  <c r="B422" i="3"/>
  <c r="B423" i="3"/>
  <c r="B424" i="3"/>
  <c r="B425" i="3"/>
  <c r="B426" i="3"/>
  <c r="B427" i="3"/>
  <c r="B428" i="3"/>
  <c r="B429" i="3"/>
  <c r="B430" i="3"/>
  <c r="B431" i="3"/>
  <c r="B432" i="3"/>
  <c r="B433" i="3"/>
  <c r="B434" i="3"/>
  <c r="B435" i="3"/>
  <c r="B436" i="3"/>
  <c r="B437" i="3"/>
  <c r="B438" i="3"/>
  <c r="B439" i="3"/>
  <c r="B440" i="3"/>
  <c r="B441" i="3"/>
  <c r="B442" i="3"/>
  <c r="B443" i="3"/>
  <c r="B444" i="3"/>
  <c r="B445" i="3"/>
  <c r="B446" i="3"/>
  <c r="B447" i="3"/>
  <c r="B448" i="3"/>
  <c r="B449" i="3"/>
  <c r="B450" i="3"/>
  <c r="B451" i="3"/>
  <c r="B452" i="3"/>
  <c r="B453" i="3"/>
  <c r="B454" i="3"/>
  <c r="B455" i="3"/>
  <c r="B456" i="3"/>
  <c r="B457" i="3"/>
  <c r="B458" i="3"/>
  <c r="B459" i="3"/>
  <c r="B460" i="3"/>
  <c r="B461" i="3"/>
  <c r="B462" i="3"/>
  <c r="B463" i="3"/>
  <c r="B464" i="3"/>
  <c r="B465" i="3"/>
  <c r="B466" i="3"/>
  <c r="B467" i="3"/>
  <c r="B468" i="3"/>
  <c r="B469" i="3"/>
  <c r="B470" i="3"/>
  <c r="B471" i="3"/>
  <c r="B472" i="3"/>
  <c r="B473" i="3"/>
  <c r="B474" i="3"/>
  <c r="B475" i="3"/>
  <c r="B476" i="3"/>
  <c r="B477" i="3"/>
  <c r="B478" i="3"/>
  <c r="B479" i="3"/>
  <c r="B480" i="3"/>
  <c r="B481" i="3"/>
  <c r="B482" i="3"/>
  <c r="B483" i="3"/>
  <c r="B484" i="3"/>
  <c r="B485" i="3"/>
  <c r="B486" i="3"/>
  <c r="B487" i="3"/>
  <c r="B488" i="3"/>
  <c r="B489" i="3"/>
  <c r="B490" i="3"/>
  <c r="B491" i="3"/>
  <c r="B492" i="3"/>
  <c r="B493" i="3"/>
  <c r="B494" i="3"/>
  <c r="B495" i="3"/>
  <c r="B496" i="3"/>
  <c r="B497" i="3"/>
  <c r="B498" i="3"/>
  <c r="B499" i="3"/>
  <c r="B500" i="3"/>
  <c r="B501" i="3"/>
  <c r="B502" i="3"/>
  <c r="B503" i="3"/>
  <c r="B504" i="3"/>
  <c r="B505" i="3"/>
  <c r="B506" i="3"/>
  <c r="B507" i="3"/>
  <c r="B508" i="3"/>
  <c r="B509" i="3"/>
  <c r="B510" i="3"/>
  <c r="B511" i="3"/>
  <c r="B512" i="3"/>
  <c r="B513" i="3"/>
  <c r="B514" i="3"/>
  <c r="B515" i="3"/>
  <c r="B516" i="3"/>
  <c r="B517" i="3"/>
  <c r="B518" i="3"/>
  <c r="B519" i="3"/>
  <c r="B520" i="3"/>
  <c r="B521" i="3"/>
  <c r="B522" i="3"/>
  <c r="B523" i="3"/>
  <c r="B524" i="3"/>
  <c r="B525" i="3"/>
  <c r="B526" i="3"/>
  <c r="B527" i="3"/>
  <c r="B528" i="3"/>
  <c r="B529" i="3"/>
  <c r="B530" i="3"/>
  <c r="B531" i="3"/>
  <c r="B532" i="3"/>
  <c r="B533" i="3"/>
  <c r="B534" i="3"/>
  <c r="B535" i="3"/>
  <c r="B536" i="3"/>
  <c r="B537" i="3"/>
  <c r="B538" i="3"/>
  <c r="B539" i="3"/>
  <c r="B540" i="3"/>
  <c r="B541" i="3"/>
  <c r="B542" i="3"/>
  <c r="B543" i="3"/>
  <c r="B544" i="3"/>
  <c r="B545" i="3"/>
  <c r="B546" i="3"/>
  <c r="B547" i="3"/>
  <c r="B548" i="3"/>
  <c r="B549" i="3"/>
  <c r="B550" i="3"/>
  <c r="B551" i="3"/>
  <c r="B552" i="3"/>
  <c r="B553" i="3"/>
  <c r="B554" i="3"/>
  <c r="B555" i="3"/>
  <c r="B556" i="3"/>
  <c r="B557" i="3"/>
  <c r="B558" i="3"/>
  <c r="B559" i="3"/>
  <c r="B560" i="3"/>
  <c r="B561" i="3"/>
  <c r="B562" i="3"/>
  <c r="B563" i="3"/>
  <c r="B564" i="3"/>
  <c r="B565" i="3"/>
  <c r="B566" i="3"/>
  <c r="B567" i="3"/>
  <c r="B568" i="3"/>
  <c r="B569" i="3"/>
  <c r="B570" i="3"/>
  <c r="B571" i="3"/>
  <c r="B572" i="3"/>
  <c r="B573" i="3"/>
  <c r="B574" i="3"/>
  <c r="B575" i="3"/>
  <c r="B576" i="3"/>
  <c r="B577" i="3"/>
  <c r="B578" i="3"/>
  <c r="B579" i="3"/>
  <c r="B580" i="3"/>
  <c r="B581" i="3"/>
  <c r="B582" i="3"/>
  <c r="B583" i="3"/>
  <c r="B584" i="3"/>
  <c r="B585" i="3"/>
  <c r="B586" i="3"/>
  <c r="B587" i="3"/>
  <c r="B588" i="3"/>
  <c r="B589" i="3"/>
  <c r="B590" i="3"/>
  <c r="B591" i="3"/>
  <c r="B592" i="3"/>
  <c r="B593" i="3"/>
  <c r="B594" i="3"/>
  <c r="B595" i="3"/>
  <c r="B596" i="3"/>
  <c r="B597" i="3"/>
  <c r="B598" i="3"/>
  <c r="B599" i="3"/>
  <c r="B600" i="3"/>
  <c r="B601" i="3"/>
  <c r="B602" i="3"/>
  <c r="B603" i="3"/>
  <c r="B604" i="3"/>
  <c r="B605" i="3"/>
  <c r="B606" i="3"/>
  <c r="B607" i="3"/>
  <c r="B608" i="3"/>
  <c r="B609" i="3"/>
  <c r="B610" i="3"/>
  <c r="B611" i="3"/>
  <c r="B612" i="3"/>
  <c r="B613" i="3"/>
  <c r="B614" i="3"/>
  <c r="B615" i="3"/>
  <c r="B616" i="3"/>
  <c r="B617" i="3"/>
  <c r="B618" i="3"/>
  <c r="B619" i="3"/>
  <c r="B620" i="3"/>
  <c r="B621" i="3"/>
  <c r="B622" i="3"/>
  <c r="B623" i="3"/>
  <c r="B624" i="3"/>
  <c r="B625" i="3"/>
  <c r="B626" i="3"/>
  <c r="B627" i="3"/>
  <c r="B628" i="3"/>
  <c r="B629" i="3"/>
  <c r="B630" i="3"/>
  <c r="B631" i="3"/>
  <c r="B632" i="3"/>
  <c r="B633" i="3"/>
  <c r="B634" i="3"/>
  <c r="B635" i="3"/>
  <c r="B636" i="3"/>
  <c r="B637" i="3"/>
  <c r="B638" i="3"/>
  <c r="B639" i="3"/>
  <c r="B640" i="3"/>
  <c r="B641" i="3"/>
  <c r="B642" i="3"/>
  <c r="B643" i="3"/>
  <c r="B644" i="3"/>
  <c r="B645" i="3"/>
  <c r="B646" i="3"/>
  <c r="B647" i="3"/>
  <c r="B648" i="3"/>
  <c r="B649" i="3"/>
  <c r="B650" i="3"/>
  <c r="B651" i="3"/>
  <c r="B652" i="3"/>
  <c r="B653" i="3"/>
  <c r="B654" i="3"/>
  <c r="B655" i="3"/>
  <c r="B656" i="3"/>
  <c r="B657" i="3"/>
  <c r="B658" i="3"/>
  <c r="B659" i="3"/>
  <c r="B660" i="3"/>
  <c r="B661" i="3"/>
  <c r="B662" i="3"/>
  <c r="B663" i="3"/>
  <c r="B664" i="3"/>
  <c r="B665" i="3"/>
  <c r="B666" i="3"/>
  <c r="B667" i="3"/>
  <c r="B668" i="3"/>
  <c r="B669" i="3"/>
  <c r="B670" i="3"/>
  <c r="B671" i="3"/>
  <c r="B672" i="3"/>
  <c r="B673" i="3"/>
  <c r="B674" i="3"/>
  <c r="B675" i="3"/>
  <c r="B676" i="3"/>
  <c r="B677" i="3"/>
  <c r="B678" i="3"/>
  <c r="B679" i="3"/>
  <c r="B680" i="3"/>
  <c r="B681" i="3"/>
  <c r="B682" i="3"/>
  <c r="B683" i="3"/>
  <c r="B684" i="3"/>
  <c r="B685" i="3"/>
  <c r="B686" i="3"/>
  <c r="B687" i="3"/>
  <c r="B688" i="3"/>
  <c r="B689" i="3"/>
  <c r="B690" i="3"/>
  <c r="B691" i="3"/>
  <c r="B692" i="3"/>
  <c r="B693" i="3"/>
  <c r="B694" i="3"/>
  <c r="B695" i="3"/>
  <c r="B696" i="3"/>
  <c r="B697" i="3"/>
  <c r="B698" i="3"/>
  <c r="B699" i="3"/>
  <c r="B700" i="3"/>
  <c r="B701" i="3"/>
  <c r="B702" i="3"/>
  <c r="B703" i="3"/>
  <c r="B704" i="3"/>
  <c r="B705" i="3"/>
  <c r="B706" i="3"/>
  <c r="B707" i="3"/>
  <c r="B708" i="3"/>
  <c r="B709" i="3"/>
  <c r="B710" i="3"/>
  <c r="B711" i="3"/>
  <c r="B712" i="3"/>
  <c r="B713" i="3"/>
  <c r="B714" i="3"/>
  <c r="B715" i="3"/>
  <c r="B716" i="3"/>
  <c r="B717" i="3"/>
  <c r="B718" i="3"/>
  <c r="B719" i="3"/>
  <c r="B720" i="3"/>
  <c r="B721" i="3"/>
  <c r="B722" i="3"/>
  <c r="B723" i="3"/>
  <c r="B724" i="3"/>
  <c r="B725" i="3"/>
  <c r="B726" i="3"/>
  <c r="B727" i="3"/>
  <c r="B728" i="3"/>
  <c r="B729" i="3"/>
  <c r="B730" i="3"/>
  <c r="B731" i="3"/>
  <c r="B732" i="3"/>
  <c r="B733" i="3"/>
  <c r="B734" i="3"/>
  <c r="B735" i="3"/>
  <c r="B736" i="3"/>
  <c r="B737" i="3"/>
  <c r="B738" i="3"/>
  <c r="B739" i="3"/>
  <c r="B740" i="3"/>
  <c r="B741" i="3"/>
  <c r="B742" i="3"/>
  <c r="B743" i="3"/>
  <c r="B744" i="3"/>
  <c r="B745" i="3"/>
  <c r="B746" i="3"/>
  <c r="B747" i="3"/>
  <c r="B748" i="3"/>
  <c r="B749" i="3"/>
  <c r="B750" i="3"/>
  <c r="B751" i="3"/>
  <c r="B752" i="3"/>
  <c r="B753" i="3"/>
  <c r="B754" i="3"/>
  <c r="B755" i="3"/>
  <c r="B756" i="3"/>
  <c r="B757" i="3"/>
  <c r="B758" i="3"/>
  <c r="B759" i="3"/>
  <c r="B760" i="3"/>
  <c r="B761" i="3"/>
  <c r="B762" i="3"/>
  <c r="B763" i="3"/>
  <c r="B764" i="3"/>
  <c r="B765" i="3"/>
  <c r="B766" i="3"/>
  <c r="B767" i="3"/>
  <c r="B768" i="3"/>
  <c r="B769" i="3"/>
  <c r="B770" i="3"/>
  <c r="B771" i="3"/>
  <c r="B772" i="3"/>
  <c r="B773" i="3"/>
  <c r="B774" i="3"/>
  <c r="B775" i="3"/>
  <c r="B776" i="3"/>
  <c r="B777" i="3"/>
  <c r="B778" i="3"/>
  <c r="B779" i="3"/>
  <c r="B780" i="3"/>
  <c r="B781" i="3"/>
  <c r="B782" i="3"/>
  <c r="B783" i="3"/>
  <c r="B784" i="3"/>
  <c r="B785" i="3"/>
  <c r="B786" i="3"/>
  <c r="B787" i="3"/>
  <c r="B788" i="3"/>
  <c r="B789" i="3"/>
  <c r="B790" i="3"/>
  <c r="B791" i="3"/>
  <c r="B792" i="3"/>
  <c r="B793" i="3"/>
  <c r="B794" i="3"/>
  <c r="B795" i="3"/>
  <c r="B796" i="3"/>
  <c r="B797" i="3"/>
  <c r="B798" i="3"/>
  <c r="B799" i="3"/>
  <c r="B800" i="3"/>
  <c r="B801" i="3"/>
  <c r="B802" i="3"/>
  <c r="B803" i="3"/>
  <c r="B804" i="3"/>
  <c r="B805" i="3"/>
  <c r="B806" i="3"/>
  <c r="B807" i="3"/>
  <c r="B808" i="3"/>
  <c r="B809" i="3"/>
  <c r="B810" i="3"/>
  <c r="B811" i="3"/>
  <c r="B812" i="3"/>
  <c r="B813" i="3"/>
  <c r="B814" i="3"/>
  <c r="B815" i="3"/>
  <c r="B816" i="3"/>
  <c r="B817" i="3"/>
  <c r="B818" i="3"/>
  <c r="B819" i="3"/>
  <c r="B820" i="3"/>
  <c r="B821" i="3"/>
  <c r="B822" i="3"/>
  <c r="B823" i="3"/>
  <c r="B824" i="3"/>
  <c r="B825" i="3"/>
  <c r="B826" i="3"/>
  <c r="B827" i="3"/>
  <c r="B828" i="3"/>
  <c r="B829" i="3"/>
  <c r="B830" i="3"/>
  <c r="B831" i="3"/>
  <c r="B832" i="3"/>
  <c r="B833" i="3"/>
  <c r="B834" i="3"/>
  <c r="B835" i="3"/>
  <c r="B836" i="3"/>
  <c r="B837" i="3"/>
  <c r="B838" i="3"/>
  <c r="B839" i="3"/>
  <c r="B840" i="3"/>
  <c r="B841" i="3"/>
  <c r="B842" i="3"/>
  <c r="B843" i="3"/>
  <c r="B844" i="3"/>
  <c r="B845" i="3"/>
  <c r="B846" i="3"/>
  <c r="B847" i="3"/>
  <c r="B848" i="3"/>
  <c r="B849" i="3"/>
  <c r="B850" i="3"/>
  <c r="B851" i="3"/>
  <c r="B852" i="3"/>
  <c r="B853" i="3"/>
  <c r="B854" i="3"/>
  <c r="B855" i="3"/>
  <c r="B856" i="3"/>
  <c r="B857" i="3"/>
  <c r="B858" i="3"/>
  <c r="B859" i="3"/>
  <c r="B860" i="3"/>
  <c r="B861" i="3"/>
  <c r="B862" i="3"/>
  <c r="B863" i="3"/>
  <c r="B864" i="3"/>
  <c r="B865" i="3"/>
  <c r="B866" i="3"/>
  <c r="B867" i="3"/>
  <c r="B868" i="3"/>
  <c r="B869" i="3"/>
  <c r="B870" i="3"/>
  <c r="B871" i="3"/>
  <c r="B872" i="3"/>
  <c r="B873" i="3"/>
  <c r="B874" i="3"/>
  <c r="B875" i="3"/>
  <c r="B876" i="3"/>
  <c r="B877" i="3"/>
  <c r="B878" i="3"/>
  <c r="B879" i="3"/>
  <c r="B880" i="3"/>
  <c r="B881" i="3"/>
  <c r="B882" i="3"/>
  <c r="B883" i="3"/>
  <c r="B884" i="3"/>
  <c r="B885" i="3"/>
  <c r="B886" i="3"/>
  <c r="B887" i="3"/>
  <c r="B888" i="3"/>
  <c r="B889" i="3"/>
  <c r="B890" i="3"/>
  <c r="B891" i="3"/>
  <c r="B892" i="3"/>
  <c r="B893" i="3"/>
  <c r="B894" i="3"/>
  <c r="B895" i="3"/>
  <c r="B896" i="3"/>
  <c r="B897" i="3"/>
  <c r="B898" i="3"/>
  <c r="B899" i="3"/>
  <c r="B900" i="3"/>
  <c r="B901" i="3"/>
  <c r="B902" i="3"/>
  <c r="B903" i="3"/>
  <c r="B904" i="3"/>
  <c r="B905" i="3"/>
  <c r="B906" i="3"/>
  <c r="B907" i="3"/>
  <c r="B908" i="3"/>
  <c r="B909" i="3"/>
  <c r="B910" i="3"/>
  <c r="B911" i="3"/>
  <c r="B912" i="3"/>
  <c r="B913" i="3"/>
  <c r="B914" i="3"/>
  <c r="B915" i="3"/>
  <c r="B916" i="3"/>
  <c r="B917" i="3"/>
  <c r="B918" i="3"/>
  <c r="B919" i="3"/>
  <c r="B920" i="3"/>
  <c r="B921" i="3"/>
  <c r="B922" i="3"/>
  <c r="B923" i="3"/>
  <c r="B924" i="3"/>
  <c r="B925" i="3"/>
  <c r="B926" i="3"/>
  <c r="B927" i="3"/>
  <c r="B928" i="3"/>
  <c r="B929" i="3"/>
  <c r="B930" i="3"/>
  <c r="B931" i="3"/>
  <c r="B932" i="3"/>
  <c r="B933" i="3"/>
  <c r="B934" i="3"/>
  <c r="B935" i="3"/>
  <c r="B936" i="3"/>
  <c r="B937" i="3"/>
  <c r="B938" i="3"/>
  <c r="B939" i="3"/>
  <c r="B940" i="3"/>
  <c r="B941" i="3"/>
  <c r="B942" i="3"/>
  <c r="B943" i="3"/>
  <c r="B944" i="3"/>
  <c r="B945" i="3"/>
  <c r="B946" i="3"/>
  <c r="B947" i="3"/>
  <c r="B948" i="3"/>
  <c r="B949" i="3"/>
  <c r="B950" i="3"/>
  <c r="B951" i="3"/>
  <c r="B952" i="3"/>
  <c r="B953" i="3"/>
  <c r="B954" i="3"/>
  <c r="B955" i="3"/>
  <c r="B956" i="3"/>
  <c r="B957" i="3"/>
  <c r="B958" i="3"/>
  <c r="B959" i="3"/>
  <c r="B960" i="3"/>
  <c r="B961" i="3"/>
  <c r="B962" i="3"/>
  <c r="B963" i="3"/>
  <c r="B964" i="3"/>
  <c r="B965" i="3"/>
  <c r="B966" i="3"/>
  <c r="B967" i="3"/>
  <c r="B968" i="3"/>
  <c r="B969" i="3"/>
  <c r="B970" i="3"/>
  <c r="B971" i="3"/>
  <c r="B972" i="3"/>
  <c r="B973" i="3"/>
  <c r="B974" i="3"/>
  <c r="B975" i="3"/>
  <c r="B976" i="3"/>
  <c r="B977" i="3"/>
  <c r="B978" i="3"/>
  <c r="B979" i="3"/>
  <c r="B980" i="3"/>
  <c r="B981" i="3"/>
  <c r="B982" i="3"/>
  <c r="B983" i="3"/>
  <c r="B984" i="3"/>
  <c r="B985" i="3"/>
  <c r="B986" i="3"/>
  <c r="B987" i="3"/>
  <c r="B988" i="3"/>
  <c r="B989" i="3"/>
  <c r="B990" i="3"/>
  <c r="B991" i="3"/>
  <c r="B992" i="3"/>
  <c r="B993" i="3"/>
  <c r="B994" i="3"/>
  <c r="B995" i="3"/>
  <c r="B996" i="3"/>
  <c r="B997" i="3"/>
  <c r="B998" i="3"/>
  <c r="B999" i="3"/>
  <c r="B1000" i="3"/>
  <c r="B1001" i="3"/>
  <c r="B1002" i="3"/>
  <c r="B1003" i="3"/>
  <c r="B1004" i="3"/>
  <c r="B1005" i="3"/>
  <c r="B1006" i="3"/>
  <c r="B1007" i="3"/>
  <c r="B1008" i="3"/>
  <c r="B1009" i="3"/>
  <c r="B1010" i="3"/>
  <c r="B1011" i="3"/>
  <c r="B1012" i="3"/>
  <c r="B1013" i="3"/>
  <c r="B1014" i="3"/>
  <c r="B1015" i="3"/>
  <c r="B1016" i="3"/>
  <c r="B1017" i="3"/>
  <c r="B1018" i="3"/>
  <c r="B1019" i="3"/>
  <c r="B1020" i="3"/>
  <c r="B1021" i="3"/>
  <c r="B1022" i="3"/>
  <c r="B1023" i="3"/>
  <c r="B1024" i="3"/>
  <c r="B1025" i="3"/>
  <c r="B1026" i="3"/>
  <c r="B1027" i="3"/>
  <c r="B1028" i="3"/>
  <c r="B1029" i="3"/>
  <c r="B1030" i="3"/>
  <c r="B1031" i="3"/>
  <c r="B1032" i="3"/>
  <c r="B1033" i="3"/>
  <c r="B1034" i="3"/>
  <c r="B1035" i="3"/>
  <c r="B1036" i="3"/>
  <c r="B1037" i="3"/>
  <c r="B1038" i="3"/>
  <c r="B1039" i="3"/>
  <c r="B1040" i="3"/>
  <c r="B1041" i="3"/>
  <c r="B1042" i="3"/>
  <c r="B1043" i="3"/>
  <c r="B1044" i="3"/>
  <c r="B1045" i="3"/>
  <c r="B1046" i="3"/>
  <c r="B1047" i="3"/>
  <c r="B1048" i="3"/>
  <c r="B1049" i="3"/>
  <c r="B1050" i="3"/>
  <c r="B1051" i="3"/>
  <c r="B1052" i="3"/>
  <c r="B1053" i="3"/>
  <c r="B1054" i="3"/>
  <c r="B1055" i="3"/>
  <c r="B1056" i="3"/>
  <c r="B1057" i="3"/>
  <c r="B1058" i="3"/>
  <c r="B1059" i="3"/>
  <c r="B1060" i="3"/>
  <c r="B1061" i="3"/>
  <c r="B1062" i="3"/>
  <c r="B1063" i="3"/>
  <c r="B1064" i="3"/>
  <c r="B1065" i="3"/>
  <c r="B1066" i="3"/>
  <c r="B1067" i="3"/>
  <c r="B1068" i="3"/>
  <c r="B1069" i="3"/>
  <c r="B1070" i="3"/>
  <c r="B1071" i="3"/>
  <c r="B1072" i="3"/>
  <c r="B1073" i="3"/>
  <c r="B1074" i="3"/>
  <c r="B1075" i="3"/>
  <c r="B1076" i="3"/>
  <c r="B1077" i="3"/>
  <c r="B1078" i="3"/>
  <c r="B1079" i="3"/>
  <c r="B1080" i="3"/>
  <c r="B1081" i="3"/>
  <c r="B1082" i="3"/>
  <c r="B1083" i="3"/>
  <c r="B1084" i="3"/>
  <c r="B1085" i="3"/>
  <c r="B1086" i="3"/>
  <c r="B1087" i="3"/>
  <c r="B1088" i="3"/>
  <c r="B1089" i="3"/>
  <c r="B1090" i="3"/>
  <c r="B1091" i="3"/>
  <c r="B1092" i="3"/>
  <c r="B1093" i="3"/>
  <c r="B1094" i="3"/>
  <c r="B1095" i="3"/>
  <c r="B1096" i="3"/>
  <c r="B1097" i="3"/>
  <c r="B1098" i="3"/>
  <c r="B1099" i="3"/>
  <c r="I56" i="5"/>
  <c r="I47" i="5"/>
  <c r="L3" i="5"/>
  <c r="I3" i="5"/>
  <c r="B54" i="3" l="1"/>
  <c r="B46" i="3"/>
  <c r="B30" i="3"/>
  <c r="B14" i="3"/>
  <c r="B45" i="3"/>
  <c r="B29" i="3"/>
  <c r="B13" i="3"/>
  <c r="B44" i="3"/>
  <c r="B28" i="3"/>
  <c r="B12" i="3"/>
  <c r="B15" i="3"/>
  <c r="B43" i="3"/>
  <c r="B27" i="3"/>
  <c r="B11" i="3"/>
  <c r="B48" i="3"/>
  <c r="B42" i="3"/>
  <c r="B26" i="3"/>
  <c r="B10" i="3"/>
  <c r="B41" i="3"/>
  <c r="B25" i="3"/>
  <c r="B9" i="3"/>
  <c r="B40" i="3"/>
  <c r="B24" i="3"/>
  <c r="B8" i="3"/>
  <c r="B16" i="3"/>
  <c r="B47" i="3"/>
  <c r="B39" i="3"/>
  <c r="B23" i="3"/>
  <c r="B7" i="3"/>
  <c r="B38" i="3"/>
  <c r="B22" i="3"/>
  <c r="B6" i="3"/>
  <c r="B53" i="3"/>
  <c r="B37" i="3"/>
  <c r="B21" i="3"/>
  <c r="B5" i="3"/>
  <c r="B52" i="3"/>
  <c r="B36" i="3"/>
  <c r="B20" i="3"/>
  <c r="B4" i="3"/>
  <c r="B51" i="3"/>
  <c r="B35" i="3"/>
  <c r="B19" i="3"/>
  <c r="B3" i="3"/>
  <c r="B32" i="3"/>
  <c r="B31" i="3"/>
  <c r="B50" i="3"/>
  <c r="B34" i="3"/>
  <c r="B18" i="3"/>
  <c r="B49" i="3"/>
  <c r="B33" i="3"/>
  <c r="B17" i="3"/>
  <c r="I30" i="5"/>
  <c r="L30" i="5" s="1"/>
  <c r="I29" i="5"/>
  <c r="L29" i="5" s="1"/>
  <c r="I28" i="5"/>
  <c r="L28" i="5" s="1"/>
  <c r="I27" i="5"/>
  <c r="L27" i="5" s="1"/>
  <c r="I26" i="5"/>
  <c r="L26" i="5" s="1"/>
  <c r="I25" i="5"/>
  <c r="L25" i="5" s="1"/>
  <c r="I24" i="5"/>
  <c r="L24" i="5" s="1"/>
  <c r="I23" i="5"/>
  <c r="L23" i="5" s="1"/>
  <c r="I22" i="5"/>
  <c r="L22" i="5" s="1"/>
  <c r="I21" i="5"/>
  <c r="L21" i="5" s="1"/>
  <c r="M340" i="7"/>
  <c r="M339" i="7"/>
  <c r="M338" i="7"/>
  <c r="M337" i="7"/>
  <c r="M336" i="7"/>
  <c r="M335" i="7"/>
  <c r="M334" i="7"/>
  <c r="E334" i="7"/>
  <c r="P334" i="7" s="1"/>
  <c r="Q334" i="7" s="1"/>
  <c r="M333" i="7"/>
  <c r="D15" i="4"/>
  <c r="D16" i="4"/>
  <c r="B16" i="4"/>
  <c r="B24" i="4"/>
  <c r="B25" i="4" s="1"/>
  <c r="B23" i="4"/>
  <c r="B22" i="4"/>
  <c r="B21" i="4"/>
  <c r="B20" i="4"/>
  <c r="M190" i="7"/>
  <c r="M189" i="7"/>
  <c r="M188" i="7"/>
  <c r="M187" i="7"/>
  <c r="M186" i="7"/>
  <c r="M185" i="7"/>
  <c r="M184" i="7"/>
  <c r="M180" i="7"/>
  <c r="M179" i="7"/>
  <c r="M178" i="7"/>
  <c r="M177" i="7"/>
  <c r="M176" i="7"/>
  <c r="M175" i="7"/>
  <c r="M174" i="7"/>
  <c r="M170" i="7"/>
  <c r="M169" i="7"/>
  <c r="M168" i="7"/>
  <c r="M167" i="7"/>
  <c r="M166" i="7"/>
  <c r="M165" i="7"/>
  <c r="M164" i="7"/>
  <c r="M160" i="7"/>
  <c r="M159" i="7"/>
  <c r="M158" i="7"/>
  <c r="M157" i="7"/>
  <c r="M156" i="7"/>
  <c r="M155" i="7"/>
  <c r="M154" i="7"/>
  <c r="M150" i="7"/>
  <c r="M149" i="7"/>
  <c r="M148" i="7"/>
  <c r="M147" i="7"/>
  <c r="M146" i="7"/>
  <c r="M145" i="7"/>
  <c r="M144" i="7"/>
  <c r="M140" i="7"/>
  <c r="M139" i="7"/>
  <c r="M138" i="7"/>
  <c r="M137" i="7"/>
  <c r="M136" i="7"/>
  <c r="M135" i="7"/>
  <c r="M134" i="7"/>
  <c r="M130" i="7"/>
  <c r="M129" i="7"/>
  <c r="M128" i="7"/>
  <c r="M127" i="7"/>
  <c r="M126" i="7"/>
  <c r="M125" i="7"/>
  <c r="M124" i="7"/>
  <c r="M120" i="7"/>
  <c r="M119" i="7"/>
  <c r="M118" i="7"/>
  <c r="M117" i="7"/>
  <c r="M116" i="7"/>
  <c r="M115" i="7"/>
  <c r="M114" i="7"/>
  <c r="N333" i="7" l="1"/>
  <c r="G72" i="3" l="1"/>
  <c r="G73" i="3"/>
  <c r="G104" i="3"/>
  <c r="G105" i="3"/>
  <c r="G106" i="3"/>
  <c r="G107" i="3"/>
  <c r="G108" i="3"/>
  <c r="G109" i="3"/>
  <c r="G110" i="3"/>
  <c r="G111" i="3"/>
  <c r="G112" i="3"/>
  <c r="G113" i="3"/>
  <c r="G114" i="3"/>
  <c r="G115" i="3"/>
  <c r="G116" i="3"/>
  <c r="G117" i="3"/>
  <c r="G118" i="3"/>
  <c r="G119" i="3"/>
  <c r="G120" i="3"/>
  <c r="G121" i="3"/>
  <c r="G122" i="3"/>
  <c r="G123" i="3"/>
  <c r="G124" i="3"/>
  <c r="G125" i="3"/>
  <c r="G126" i="3"/>
  <c r="G127" i="3"/>
  <c r="G128" i="3"/>
  <c r="G129" i="3"/>
  <c r="G130" i="3"/>
  <c r="G131" i="3"/>
  <c r="G132" i="3"/>
  <c r="G133" i="3"/>
  <c r="G134" i="3"/>
  <c r="G135" i="3"/>
  <c r="G136" i="3"/>
  <c r="G137" i="3"/>
  <c r="G138" i="3"/>
  <c r="G139" i="3"/>
  <c r="G140" i="3"/>
  <c r="G141" i="3"/>
  <c r="G142" i="3"/>
  <c r="G143" i="3"/>
  <c r="G144" i="3"/>
  <c r="G145" i="3"/>
  <c r="G146" i="3"/>
  <c r="G147" i="3"/>
  <c r="G148" i="3"/>
  <c r="G149" i="3"/>
  <c r="G150" i="3"/>
  <c r="G151" i="3"/>
  <c r="G152" i="3"/>
  <c r="G153" i="3"/>
  <c r="G154" i="3"/>
  <c r="G155" i="3"/>
  <c r="G156" i="3"/>
  <c r="G157" i="3"/>
  <c r="G158" i="3"/>
  <c r="G159" i="3"/>
  <c r="G160" i="3"/>
  <c r="G161" i="3"/>
  <c r="G162" i="3"/>
  <c r="G163" i="3"/>
  <c r="G164" i="3"/>
  <c r="G165" i="3"/>
  <c r="G166" i="3"/>
  <c r="G167" i="3"/>
  <c r="G168" i="3"/>
  <c r="G169" i="3"/>
  <c r="G170" i="3"/>
  <c r="G171" i="3"/>
  <c r="G172" i="3"/>
  <c r="G173" i="3"/>
  <c r="G174" i="3"/>
  <c r="G175" i="3"/>
  <c r="G176" i="3"/>
  <c r="G177" i="3"/>
  <c r="G178" i="3"/>
  <c r="G179" i="3"/>
  <c r="G180" i="3"/>
  <c r="G181" i="3"/>
  <c r="G182" i="3"/>
  <c r="G183" i="3"/>
  <c r="G184" i="3"/>
  <c r="G185" i="3"/>
  <c r="G186" i="3"/>
  <c r="G187" i="3"/>
  <c r="G188" i="3"/>
  <c r="G189" i="3"/>
  <c r="G190" i="3"/>
  <c r="G191" i="3"/>
  <c r="G192" i="3"/>
  <c r="G193" i="3"/>
  <c r="G194" i="3"/>
  <c r="G195" i="3"/>
  <c r="G196" i="3"/>
  <c r="G197" i="3"/>
  <c r="G198" i="3"/>
  <c r="G199" i="3"/>
  <c r="G200" i="3"/>
  <c r="G201" i="3"/>
  <c r="G202" i="3"/>
  <c r="G203" i="3"/>
  <c r="G204" i="3"/>
  <c r="G205" i="3"/>
  <c r="G206" i="3"/>
  <c r="G207" i="3"/>
  <c r="G208" i="3"/>
  <c r="G209" i="3"/>
  <c r="G210" i="3"/>
  <c r="G211" i="3"/>
  <c r="G212" i="3"/>
  <c r="G213" i="3"/>
  <c r="G214" i="3"/>
  <c r="G215" i="3"/>
  <c r="G216" i="3"/>
  <c r="G217" i="3"/>
  <c r="G218" i="3"/>
  <c r="G219" i="3"/>
  <c r="G220" i="3"/>
  <c r="G221" i="3"/>
  <c r="G222" i="3"/>
  <c r="G223" i="3"/>
  <c r="G224" i="3"/>
  <c r="G225" i="3"/>
  <c r="G226" i="3"/>
  <c r="G227" i="3"/>
  <c r="G228" i="3"/>
  <c r="G229" i="3"/>
  <c r="G230" i="3"/>
  <c r="G231" i="3"/>
  <c r="G232" i="3"/>
  <c r="G233" i="3"/>
  <c r="G234" i="3"/>
  <c r="G235" i="3"/>
  <c r="G236" i="3"/>
  <c r="G237" i="3"/>
  <c r="G238" i="3"/>
  <c r="G239" i="3"/>
  <c r="G240" i="3"/>
  <c r="G241" i="3"/>
  <c r="G242" i="3"/>
  <c r="G243" i="3"/>
  <c r="G244" i="3"/>
  <c r="G245" i="3"/>
  <c r="G246" i="3"/>
  <c r="G247" i="3"/>
  <c r="G248" i="3"/>
  <c r="G249" i="3"/>
  <c r="G250" i="3"/>
  <c r="G251" i="3"/>
  <c r="G252" i="3"/>
  <c r="G253" i="3"/>
  <c r="G254" i="3"/>
  <c r="G255" i="3"/>
  <c r="G256" i="3"/>
  <c r="G257" i="3"/>
  <c r="G258" i="3"/>
  <c r="G259" i="3"/>
  <c r="G260" i="3"/>
  <c r="G261" i="3"/>
  <c r="G262" i="3"/>
  <c r="G263" i="3"/>
  <c r="G264" i="3"/>
  <c r="G265" i="3"/>
  <c r="G266" i="3"/>
  <c r="G267" i="3"/>
  <c r="G268" i="3"/>
  <c r="G269" i="3"/>
  <c r="G270" i="3"/>
  <c r="G271" i="3"/>
  <c r="G272" i="3"/>
  <c r="G273" i="3"/>
  <c r="G274" i="3"/>
  <c r="G275" i="3"/>
  <c r="G276" i="3"/>
  <c r="G277" i="3"/>
  <c r="G278" i="3"/>
  <c r="G279" i="3"/>
  <c r="G280" i="3"/>
  <c r="G281" i="3"/>
  <c r="G282" i="3"/>
  <c r="G283" i="3"/>
  <c r="G284" i="3"/>
  <c r="G285" i="3"/>
  <c r="G286" i="3"/>
  <c r="G287" i="3"/>
  <c r="G288" i="3"/>
  <c r="G289" i="3"/>
  <c r="G290" i="3"/>
  <c r="G291" i="3"/>
  <c r="G292" i="3"/>
  <c r="G293" i="3"/>
  <c r="G294" i="3"/>
  <c r="G295" i="3"/>
  <c r="G296" i="3"/>
  <c r="G297" i="3"/>
  <c r="G298" i="3"/>
  <c r="G299" i="3"/>
  <c r="G300" i="3"/>
  <c r="G301" i="3"/>
  <c r="G302" i="3"/>
  <c r="G303" i="3"/>
  <c r="G304" i="3"/>
  <c r="G305" i="3"/>
  <c r="G306" i="3"/>
  <c r="G307" i="3"/>
  <c r="G308" i="3"/>
  <c r="G309" i="3"/>
  <c r="G310" i="3"/>
  <c r="G311" i="3"/>
  <c r="G312" i="3"/>
  <c r="G313" i="3"/>
  <c r="G314" i="3"/>
  <c r="G315" i="3"/>
  <c r="G316" i="3"/>
  <c r="G317" i="3"/>
  <c r="G318" i="3"/>
  <c r="G319" i="3"/>
  <c r="G320" i="3"/>
  <c r="G321" i="3"/>
  <c r="G322" i="3"/>
  <c r="G323" i="3"/>
  <c r="G324" i="3"/>
  <c r="G325" i="3"/>
  <c r="G326" i="3"/>
  <c r="G327" i="3"/>
  <c r="G328" i="3"/>
  <c r="G329" i="3"/>
  <c r="G330" i="3"/>
  <c r="G331" i="3"/>
  <c r="G332" i="3"/>
  <c r="G333" i="3"/>
  <c r="G334" i="3"/>
  <c r="G335" i="3"/>
  <c r="G336" i="3"/>
  <c r="G337" i="3"/>
  <c r="G338" i="3"/>
  <c r="G339" i="3"/>
  <c r="G340" i="3"/>
  <c r="G341" i="3"/>
  <c r="G342" i="3"/>
  <c r="G343" i="3"/>
  <c r="G344" i="3"/>
  <c r="G345" i="3"/>
  <c r="G346" i="3"/>
  <c r="G347" i="3"/>
  <c r="G348" i="3"/>
  <c r="G349" i="3"/>
  <c r="G350" i="3"/>
  <c r="G351" i="3"/>
  <c r="G352" i="3"/>
  <c r="G353" i="3"/>
  <c r="G354" i="3"/>
  <c r="G355" i="3"/>
  <c r="G356" i="3"/>
  <c r="G357" i="3"/>
  <c r="G358" i="3"/>
  <c r="G359" i="3"/>
  <c r="G360" i="3"/>
  <c r="G361" i="3"/>
  <c r="G362" i="3"/>
  <c r="G363" i="3"/>
  <c r="G364" i="3"/>
  <c r="G365" i="3"/>
  <c r="G366" i="3"/>
  <c r="G367" i="3"/>
  <c r="G368" i="3"/>
  <c r="G369" i="3"/>
  <c r="G370" i="3"/>
  <c r="G371" i="3"/>
  <c r="G372" i="3"/>
  <c r="G373" i="3"/>
  <c r="G374" i="3"/>
  <c r="G375" i="3"/>
  <c r="G376" i="3"/>
  <c r="G377" i="3"/>
  <c r="G378" i="3"/>
  <c r="G379" i="3"/>
  <c r="G380" i="3"/>
  <c r="G381" i="3"/>
  <c r="G382" i="3"/>
  <c r="G383" i="3"/>
  <c r="G384" i="3"/>
  <c r="G385" i="3"/>
  <c r="G386" i="3"/>
  <c r="G387" i="3"/>
  <c r="G388" i="3"/>
  <c r="G389" i="3"/>
  <c r="G390" i="3"/>
  <c r="G391" i="3"/>
  <c r="G392" i="3"/>
  <c r="G393" i="3"/>
  <c r="G394" i="3"/>
  <c r="G395" i="3"/>
  <c r="G396" i="3"/>
  <c r="G397" i="3"/>
  <c r="G398" i="3"/>
  <c r="G399" i="3"/>
  <c r="G400" i="3"/>
  <c r="G401" i="3"/>
  <c r="G402" i="3"/>
  <c r="G403" i="3"/>
  <c r="G404" i="3"/>
  <c r="G405" i="3"/>
  <c r="G406" i="3"/>
  <c r="G407" i="3"/>
  <c r="G408" i="3"/>
  <c r="G409" i="3"/>
  <c r="G410" i="3"/>
  <c r="G411" i="3"/>
  <c r="G412" i="3"/>
  <c r="G413" i="3"/>
  <c r="G414" i="3"/>
  <c r="G415" i="3"/>
  <c r="G416" i="3"/>
  <c r="G417" i="3"/>
  <c r="G418" i="3"/>
  <c r="G419" i="3"/>
  <c r="G420" i="3"/>
  <c r="G421" i="3"/>
  <c r="G422" i="3"/>
  <c r="G423" i="3"/>
  <c r="G424" i="3"/>
  <c r="G425" i="3"/>
  <c r="G426" i="3"/>
  <c r="G427" i="3"/>
  <c r="G428" i="3"/>
  <c r="G429" i="3"/>
  <c r="G430" i="3"/>
  <c r="G431" i="3"/>
  <c r="G432" i="3"/>
  <c r="G433" i="3"/>
  <c r="G434" i="3"/>
  <c r="G435" i="3"/>
  <c r="G436" i="3"/>
  <c r="G437" i="3"/>
  <c r="G438" i="3"/>
  <c r="G439" i="3"/>
  <c r="G440" i="3"/>
  <c r="G441" i="3"/>
  <c r="G442" i="3"/>
  <c r="G443" i="3"/>
  <c r="G444" i="3"/>
  <c r="G445" i="3"/>
  <c r="G446" i="3"/>
  <c r="G447" i="3"/>
  <c r="G448" i="3"/>
  <c r="G449" i="3"/>
  <c r="G450" i="3"/>
  <c r="G451" i="3"/>
  <c r="G452" i="3"/>
  <c r="G453" i="3"/>
  <c r="G454" i="3"/>
  <c r="G455" i="3"/>
  <c r="G456" i="3"/>
  <c r="G457" i="3"/>
  <c r="G458" i="3"/>
  <c r="G459" i="3"/>
  <c r="G460" i="3"/>
  <c r="G461" i="3"/>
  <c r="G462" i="3"/>
  <c r="G463" i="3"/>
  <c r="G464" i="3"/>
  <c r="G465" i="3"/>
  <c r="G466" i="3"/>
  <c r="G467" i="3"/>
  <c r="G468" i="3"/>
  <c r="G469" i="3"/>
  <c r="G470" i="3"/>
  <c r="G471" i="3"/>
  <c r="G472" i="3"/>
  <c r="G473" i="3"/>
  <c r="G474" i="3"/>
  <c r="G475" i="3"/>
  <c r="G476" i="3"/>
  <c r="G477" i="3"/>
  <c r="G478" i="3"/>
  <c r="G479" i="3"/>
  <c r="G480" i="3"/>
  <c r="G481" i="3"/>
  <c r="G482" i="3"/>
  <c r="G483" i="3"/>
  <c r="G484" i="3"/>
  <c r="G485" i="3"/>
  <c r="G486" i="3"/>
  <c r="G487" i="3"/>
  <c r="G488" i="3"/>
  <c r="G489" i="3"/>
  <c r="G490" i="3"/>
  <c r="G491" i="3"/>
  <c r="G492" i="3"/>
  <c r="G493" i="3"/>
  <c r="G494" i="3"/>
  <c r="G495" i="3"/>
  <c r="G496" i="3"/>
  <c r="G497" i="3"/>
  <c r="G498" i="3"/>
  <c r="G499" i="3"/>
  <c r="G500" i="3"/>
  <c r="G501" i="3"/>
  <c r="G502" i="3"/>
  <c r="G503" i="3"/>
  <c r="G504" i="3"/>
  <c r="G505" i="3"/>
  <c r="G506" i="3"/>
  <c r="G507" i="3"/>
  <c r="G508" i="3"/>
  <c r="G509" i="3"/>
  <c r="G510" i="3"/>
  <c r="G511" i="3"/>
  <c r="G512" i="3"/>
  <c r="G513" i="3"/>
  <c r="G514" i="3"/>
  <c r="G515" i="3"/>
  <c r="G516" i="3"/>
  <c r="G517" i="3"/>
  <c r="G518" i="3"/>
  <c r="G519" i="3"/>
  <c r="G520" i="3"/>
  <c r="G521" i="3"/>
  <c r="G522" i="3"/>
  <c r="G523" i="3"/>
  <c r="G524" i="3"/>
  <c r="G525" i="3"/>
  <c r="G526" i="3"/>
  <c r="G527" i="3"/>
  <c r="G528" i="3"/>
  <c r="G529" i="3"/>
  <c r="G530" i="3"/>
  <c r="G531" i="3"/>
  <c r="G532" i="3"/>
  <c r="G533" i="3"/>
  <c r="G534" i="3"/>
  <c r="G535" i="3"/>
  <c r="G536" i="3"/>
  <c r="G537" i="3"/>
  <c r="G538" i="3"/>
  <c r="G539" i="3"/>
  <c r="G540" i="3"/>
  <c r="G541" i="3"/>
  <c r="G542" i="3"/>
  <c r="G543" i="3"/>
  <c r="G544" i="3"/>
  <c r="G545" i="3"/>
  <c r="G546" i="3"/>
  <c r="G547" i="3"/>
  <c r="G548" i="3"/>
  <c r="G549" i="3"/>
  <c r="G550" i="3"/>
  <c r="G551" i="3"/>
  <c r="G552" i="3"/>
  <c r="G553" i="3"/>
  <c r="G554" i="3"/>
  <c r="G555" i="3"/>
  <c r="G556" i="3"/>
  <c r="G557" i="3"/>
  <c r="G558" i="3"/>
  <c r="G559" i="3"/>
  <c r="G560" i="3"/>
  <c r="G561" i="3"/>
  <c r="G562" i="3"/>
  <c r="G563" i="3"/>
  <c r="G564" i="3"/>
  <c r="G565" i="3"/>
  <c r="G566" i="3"/>
  <c r="G567" i="3"/>
  <c r="G568" i="3"/>
  <c r="G569" i="3"/>
  <c r="G570" i="3"/>
  <c r="G571" i="3"/>
  <c r="G572" i="3"/>
  <c r="G573" i="3"/>
  <c r="G574" i="3"/>
  <c r="G575" i="3"/>
  <c r="G576" i="3"/>
  <c r="G577" i="3"/>
  <c r="G578" i="3"/>
  <c r="G579" i="3"/>
  <c r="G580" i="3"/>
  <c r="G581" i="3"/>
  <c r="G582" i="3"/>
  <c r="G583" i="3"/>
  <c r="G584" i="3"/>
  <c r="G585" i="3"/>
  <c r="G586" i="3"/>
  <c r="G587" i="3"/>
  <c r="G588" i="3"/>
  <c r="G589" i="3"/>
  <c r="G590" i="3"/>
  <c r="G591" i="3"/>
  <c r="G592" i="3"/>
  <c r="G593" i="3"/>
  <c r="G594" i="3"/>
  <c r="G595" i="3"/>
  <c r="G596" i="3"/>
  <c r="G597" i="3"/>
  <c r="G598" i="3"/>
  <c r="G599" i="3"/>
  <c r="G600" i="3"/>
  <c r="G601" i="3"/>
  <c r="G602" i="3"/>
  <c r="G603" i="3"/>
  <c r="G604" i="3"/>
  <c r="G605" i="3"/>
  <c r="G606" i="3"/>
  <c r="G607" i="3"/>
  <c r="G608" i="3"/>
  <c r="G609" i="3"/>
  <c r="G610" i="3"/>
  <c r="G611" i="3"/>
  <c r="G612" i="3"/>
  <c r="G613" i="3"/>
  <c r="G614" i="3"/>
  <c r="G615" i="3"/>
  <c r="G616" i="3"/>
  <c r="G617" i="3"/>
  <c r="G618" i="3"/>
  <c r="G619" i="3"/>
  <c r="G620" i="3"/>
  <c r="G621" i="3"/>
  <c r="G622" i="3"/>
  <c r="G623" i="3"/>
  <c r="G624" i="3"/>
  <c r="G625" i="3"/>
  <c r="G626" i="3"/>
  <c r="G627" i="3"/>
  <c r="G628" i="3"/>
  <c r="G629" i="3"/>
  <c r="G630" i="3"/>
  <c r="G631" i="3"/>
  <c r="G632" i="3"/>
  <c r="G633" i="3"/>
  <c r="G634" i="3"/>
  <c r="G635" i="3"/>
  <c r="G636" i="3"/>
  <c r="G637" i="3"/>
  <c r="G638" i="3"/>
  <c r="G639" i="3"/>
  <c r="G640" i="3"/>
  <c r="G641" i="3"/>
  <c r="G642" i="3"/>
  <c r="G643" i="3"/>
  <c r="G644" i="3"/>
  <c r="G645" i="3"/>
  <c r="G646" i="3"/>
  <c r="G647" i="3"/>
  <c r="G648" i="3"/>
  <c r="G649" i="3"/>
  <c r="G650" i="3"/>
  <c r="G651" i="3"/>
  <c r="G652" i="3"/>
  <c r="G653" i="3"/>
  <c r="G654" i="3"/>
  <c r="G655" i="3"/>
  <c r="G656" i="3"/>
  <c r="G657" i="3"/>
  <c r="G658" i="3"/>
  <c r="G659" i="3"/>
  <c r="G660" i="3"/>
  <c r="G661" i="3"/>
  <c r="G662" i="3"/>
  <c r="G663" i="3"/>
  <c r="G664" i="3"/>
  <c r="G665" i="3"/>
  <c r="G666" i="3"/>
  <c r="G667" i="3"/>
  <c r="G668" i="3"/>
  <c r="G669" i="3"/>
  <c r="G670" i="3"/>
  <c r="G671" i="3"/>
  <c r="G672" i="3"/>
  <c r="G673" i="3"/>
  <c r="G674" i="3"/>
  <c r="G675" i="3"/>
  <c r="G676" i="3"/>
  <c r="G677" i="3"/>
  <c r="G678" i="3"/>
  <c r="G679" i="3"/>
  <c r="G680" i="3"/>
  <c r="G681" i="3"/>
  <c r="G682" i="3"/>
  <c r="G683" i="3"/>
  <c r="G684" i="3"/>
  <c r="G685" i="3"/>
  <c r="G686" i="3"/>
  <c r="G687" i="3"/>
  <c r="G688" i="3"/>
  <c r="G689" i="3"/>
  <c r="G690" i="3"/>
  <c r="G691" i="3"/>
  <c r="G692" i="3"/>
  <c r="G693" i="3"/>
  <c r="G694" i="3"/>
  <c r="G695" i="3"/>
  <c r="G696" i="3"/>
  <c r="G697" i="3"/>
  <c r="G698" i="3"/>
  <c r="G699" i="3"/>
  <c r="G700" i="3"/>
  <c r="G701" i="3"/>
  <c r="G702" i="3"/>
  <c r="G703" i="3"/>
  <c r="G704" i="3"/>
  <c r="G705" i="3"/>
  <c r="G706" i="3"/>
  <c r="G707" i="3"/>
  <c r="G708" i="3"/>
  <c r="G709" i="3"/>
  <c r="G710" i="3"/>
  <c r="G711" i="3"/>
  <c r="G712" i="3"/>
  <c r="G713" i="3"/>
  <c r="G714" i="3"/>
  <c r="G715" i="3"/>
  <c r="G716" i="3"/>
  <c r="G717" i="3"/>
  <c r="G718" i="3"/>
  <c r="G719" i="3"/>
  <c r="G720" i="3"/>
  <c r="G721" i="3"/>
  <c r="G722" i="3"/>
  <c r="G723" i="3"/>
  <c r="G724" i="3"/>
  <c r="G725" i="3"/>
  <c r="G726" i="3"/>
  <c r="G727" i="3"/>
  <c r="G728" i="3"/>
  <c r="G729" i="3"/>
  <c r="G730" i="3"/>
  <c r="G731" i="3"/>
  <c r="G732" i="3"/>
  <c r="G733" i="3"/>
  <c r="G734" i="3"/>
  <c r="G735" i="3"/>
  <c r="G736" i="3"/>
  <c r="G737" i="3"/>
  <c r="G738" i="3"/>
  <c r="G739" i="3"/>
  <c r="G740" i="3"/>
  <c r="G741" i="3"/>
  <c r="G742" i="3"/>
  <c r="G743" i="3"/>
  <c r="G744" i="3"/>
  <c r="G745" i="3"/>
  <c r="G746" i="3"/>
  <c r="G747" i="3"/>
  <c r="G748" i="3"/>
  <c r="G749" i="3"/>
  <c r="G750" i="3"/>
  <c r="G751" i="3"/>
  <c r="G752" i="3"/>
  <c r="G753" i="3"/>
  <c r="G754" i="3"/>
  <c r="G755" i="3"/>
  <c r="G756" i="3"/>
  <c r="G757" i="3"/>
  <c r="G758" i="3"/>
  <c r="G759" i="3"/>
  <c r="G760" i="3"/>
  <c r="G761" i="3"/>
  <c r="G762" i="3"/>
  <c r="G763" i="3"/>
  <c r="G764" i="3"/>
  <c r="G765" i="3"/>
  <c r="G766" i="3"/>
  <c r="G767" i="3"/>
  <c r="G768" i="3"/>
  <c r="G769" i="3"/>
  <c r="G770" i="3"/>
  <c r="G771" i="3"/>
  <c r="G772" i="3"/>
  <c r="G773" i="3"/>
  <c r="G774" i="3"/>
  <c r="G775" i="3"/>
  <c r="G776" i="3"/>
  <c r="G777" i="3"/>
  <c r="G778" i="3"/>
  <c r="G779" i="3"/>
  <c r="G780" i="3"/>
  <c r="G781" i="3"/>
  <c r="G782" i="3"/>
  <c r="G783" i="3"/>
  <c r="G784" i="3"/>
  <c r="G785" i="3"/>
  <c r="G786" i="3"/>
  <c r="G787" i="3"/>
  <c r="G788" i="3"/>
  <c r="G789" i="3"/>
  <c r="G790" i="3"/>
  <c r="G791" i="3"/>
  <c r="G792" i="3"/>
  <c r="G793" i="3"/>
  <c r="G794" i="3"/>
  <c r="G795" i="3"/>
  <c r="G796" i="3"/>
  <c r="G797" i="3"/>
  <c r="G798" i="3"/>
  <c r="G799" i="3"/>
  <c r="G800" i="3"/>
  <c r="G801" i="3"/>
  <c r="G802" i="3"/>
  <c r="G803" i="3"/>
  <c r="G804" i="3"/>
  <c r="G805" i="3"/>
  <c r="G806" i="3"/>
  <c r="G807" i="3"/>
  <c r="G808" i="3"/>
  <c r="G809" i="3"/>
  <c r="G810" i="3"/>
  <c r="G811" i="3"/>
  <c r="G812" i="3"/>
  <c r="G813" i="3"/>
  <c r="G814" i="3"/>
  <c r="G815" i="3"/>
  <c r="G816" i="3"/>
  <c r="G817" i="3"/>
  <c r="G818" i="3"/>
  <c r="G819" i="3"/>
  <c r="G820" i="3"/>
  <c r="G821" i="3"/>
  <c r="G822" i="3"/>
  <c r="G823" i="3"/>
  <c r="G824" i="3"/>
  <c r="G825" i="3"/>
  <c r="G826" i="3"/>
  <c r="G827" i="3"/>
  <c r="G828" i="3"/>
  <c r="G829" i="3"/>
  <c r="G830" i="3"/>
  <c r="G831" i="3"/>
  <c r="G832" i="3"/>
  <c r="G833" i="3"/>
  <c r="G834" i="3"/>
  <c r="G835" i="3"/>
  <c r="G836" i="3"/>
  <c r="G837" i="3"/>
  <c r="G838" i="3"/>
  <c r="G839" i="3"/>
  <c r="G840" i="3"/>
  <c r="G841" i="3"/>
  <c r="G842" i="3"/>
  <c r="G843" i="3"/>
  <c r="G844" i="3"/>
  <c r="G845" i="3"/>
  <c r="G846" i="3"/>
  <c r="G847" i="3"/>
  <c r="G848" i="3"/>
  <c r="G849" i="3"/>
  <c r="G850" i="3"/>
  <c r="G851" i="3"/>
  <c r="G852" i="3"/>
  <c r="G853" i="3"/>
  <c r="G854" i="3"/>
  <c r="G855" i="3"/>
  <c r="G856" i="3"/>
  <c r="G857" i="3"/>
  <c r="G858" i="3"/>
  <c r="G859" i="3"/>
  <c r="G860" i="3"/>
  <c r="G861" i="3"/>
  <c r="G862" i="3"/>
  <c r="G863" i="3"/>
  <c r="G864" i="3"/>
  <c r="G865" i="3"/>
  <c r="G866" i="3"/>
  <c r="G867" i="3"/>
  <c r="G868" i="3"/>
  <c r="G869" i="3"/>
  <c r="G870" i="3"/>
  <c r="G871" i="3"/>
  <c r="G872" i="3"/>
  <c r="G873" i="3"/>
  <c r="G874" i="3"/>
  <c r="G875" i="3"/>
  <c r="G876" i="3"/>
  <c r="G877" i="3"/>
  <c r="G878" i="3"/>
  <c r="G879" i="3"/>
  <c r="G880" i="3"/>
  <c r="G881" i="3"/>
  <c r="G882" i="3"/>
  <c r="G883" i="3"/>
  <c r="G884" i="3"/>
  <c r="G885" i="3"/>
  <c r="G886" i="3"/>
  <c r="G887" i="3"/>
  <c r="G888" i="3"/>
  <c r="G889" i="3"/>
  <c r="G890" i="3"/>
  <c r="G891" i="3"/>
  <c r="G892" i="3"/>
  <c r="G893" i="3"/>
  <c r="G894" i="3"/>
  <c r="G895" i="3"/>
  <c r="G896" i="3"/>
  <c r="G897" i="3"/>
  <c r="G898" i="3"/>
  <c r="G899" i="3"/>
  <c r="G900" i="3"/>
  <c r="G901" i="3"/>
  <c r="G902" i="3"/>
  <c r="G903" i="3"/>
  <c r="G904" i="3"/>
  <c r="G905" i="3"/>
  <c r="G906" i="3"/>
  <c r="G907" i="3"/>
  <c r="G908" i="3"/>
  <c r="G909" i="3"/>
  <c r="G910" i="3"/>
  <c r="G911" i="3"/>
  <c r="G912" i="3"/>
  <c r="G913" i="3"/>
  <c r="G914" i="3"/>
  <c r="G915" i="3"/>
  <c r="G916" i="3"/>
  <c r="G917" i="3"/>
  <c r="G918" i="3"/>
  <c r="G919" i="3"/>
  <c r="G920" i="3"/>
  <c r="G921" i="3"/>
  <c r="G922" i="3"/>
  <c r="G923" i="3"/>
  <c r="G924" i="3"/>
  <c r="G925" i="3"/>
  <c r="G926" i="3"/>
  <c r="G927" i="3"/>
  <c r="G928" i="3"/>
  <c r="G929" i="3"/>
  <c r="G930" i="3"/>
  <c r="G931" i="3"/>
  <c r="G932" i="3"/>
  <c r="G933" i="3"/>
  <c r="G934" i="3"/>
  <c r="G935" i="3"/>
  <c r="G936" i="3"/>
  <c r="G937" i="3"/>
  <c r="G938" i="3"/>
  <c r="G939" i="3"/>
  <c r="G940" i="3"/>
  <c r="G941" i="3"/>
  <c r="G942" i="3"/>
  <c r="G943" i="3"/>
  <c r="G944" i="3"/>
  <c r="G945" i="3"/>
  <c r="G946" i="3"/>
  <c r="G947" i="3"/>
  <c r="G948" i="3"/>
  <c r="G949" i="3"/>
  <c r="G950" i="3"/>
  <c r="G951" i="3"/>
  <c r="G952" i="3"/>
  <c r="G953" i="3"/>
  <c r="G954" i="3"/>
  <c r="G955" i="3"/>
  <c r="G956" i="3"/>
  <c r="G957" i="3"/>
  <c r="G958" i="3"/>
  <c r="G959" i="3"/>
  <c r="G960" i="3"/>
  <c r="G961" i="3"/>
  <c r="G962" i="3"/>
  <c r="G963" i="3"/>
  <c r="G964" i="3"/>
  <c r="G965" i="3"/>
  <c r="G966" i="3"/>
  <c r="G967" i="3"/>
  <c r="G968" i="3"/>
  <c r="G969" i="3"/>
  <c r="G970" i="3"/>
  <c r="G971" i="3"/>
  <c r="G972" i="3"/>
  <c r="G973" i="3"/>
  <c r="G974" i="3"/>
  <c r="G975" i="3"/>
  <c r="G976" i="3"/>
  <c r="G977" i="3"/>
  <c r="G978" i="3"/>
  <c r="G979" i="3"/>
  <c r="G980" i="3"/>
  <c r="G981" i="3"/>
  <c r="G982" i="3"/>
  <c r="G983" i="3"/>
  <c r="G984" i="3"/>
  <c r="G985" i="3"/>
  <c r="G986" i="3"/>
  <c r="G987" i="3"/>
  <c r="G988" i="3"/>
  <c r="G989" i="3"/>
  <c r="G990" i="3"/>
  <c r="G991" i="3"/>
  <c r="G992" i="3"/>
  <c r="G993" i="3"/>
  <c r="G994" i="3"/>
  <c r="G995" i="3"/>
  <c r="G996" i="3"/>
  <c r="G997" i="3"/>
  <c r="G998" i="3"/>
  <c r="G999" i="3"/>
  <c r="G1000" i="3"/>
  <c r="G1001" i="3"/>
  <c r="G1002" i="3"/>
  <c r="G1003" i="3"/>
  <c r="G1004" i="3"/>
  <c r="G1005" i="3"/>
  <c r="G1006" i="3"/>
  <c r="G1007" i="3"/>
  <c r="G1008" i="3"/>
  <c r="G1009" i="3"/>
  <c r="G1010" i="3"/>
  <c r="G1011" i="3"/>
  <c r="G1012" i="3"/>
  <c r="G1013" i="3"/>
  <c r="G1014" i="3"/>
  <c r="G1015" i="3"/>
  <c r="G1016" i="3"/>
  <c r="G1017" i="3"/>
  <c r="G1018" i="3"/>
  <c r="G1019" i="3"/>
  <c r="G1020" i="3"/>
  <c r="G1021" i="3"/>
  <c r="G1022" i="3"/>
  <c r="G1023" i="3"/>
  <c r="G1024" i="3"/>
  <c r="G1025" i="3"/>
  <c r="G1026" i="3"/>
  <c r="G1027" i="3"/>
  <c r="G1028" i="3"/>
  <c r="G1029" i="3"/>
  <c r="G1030" i="3"/>
  <c r="G1031" i="3"/>
  <c r="G1032" i="3"/>
  <c r="G1033" i="3"/>
  <c r="G1034" i="3"/>
  <c r="G1035" i="3"/>
  <c r="G1036" i="3"/>
  <c r="G1037" i="3"/>
  <c r="G1038" i="3"/>
  <c r="G1039" i="3"/>
  <c r="G1040" i="3"/>
  <c r="G1041" i="3"/>
  <c r="G1042" i="3"/>
  <c r="G1043" i="3"/>
  <c r="G1044" i="3"/>
  <c r="G1045" i="3"/>
  <c r="G1046" i="3"/>
  <c r="G1047" i="3"/>
  <c r="G1048" i="3"/>
  <c r="G1049" i="3"/>
  <c r="G1050" i="3"/>
  <c r="G1051" i="3"/>
  <c r="G1052" i="3"/>
  <c r="G1053" i="3"/>
  <c r="G1054" i="3"/>
  <c r="G1055" i="3"/>
  <c r="G1056" i="3"/>
  <c r="G1057" i="3"/>
  <c r="G1058" i="3"/>
  <c r="G1059" i="3"/>
  <c r="G1060" i="3"/>
  <c r="G1061" i="3"/>
  <c r="G1062" i="3"/>
  <c r="G1063" i="3"/>
  <c r="G1064" i="3"/>
  <c r="G1065" i="3"/>
  <c r="G1066" i="3"/>
  <c r="G1067" i="3"/>
  <c r="G1068" i="3"/>
  <c r="G1069" i="3"/>
  <c r="G1070" i="3"/>
  <c r="G1071" i="3"/>
  <c r="G1072" i="3"/>
  <c r="G1073" i="3"/>
  <c r="G1074" i="3"/>
  <c r="G1075" i="3"/>
  <c r="G1076" i="3"/>
  <c r="G1077" i="3"/>
  <c r="G1078" i="3"/>
  <c r="G1079" i="3"/>
  <c r="G1080" i="3"/>
  <c r="G1081" i="3"/>
  <c r="G1082" i="3"/>
  <c r="G1083" i="3"/>
  <c r="G1084" i="3"/>
  <c r="G1085" i="3"/>
  <c r="G1086" i="3"/>
  <c r="G1087" i="3"/>
  <c r="G1088" i="3"/>
  <c r="G1089" i="3"/>
  <c r="G1090" i="3"/>
  <c r="G1091" i="3"/>
  <c r="G1092" i="3"/>
  <c r="G1093" i="3"/>
  <c r="G1094" i="3"/>
  <c r="G1095" i="3"/>
  <c r="G1096" i="3"/>
  <c r="G1097" i="3"/>
  <c r="G1098" i="3"/>
  <c r="G1099" i="3"/>
  <c r="AN1" i="5" l="1"/>
  <c r="G2" i="5"/>
  <c r="C1" i="5"/>
  <c r="D2" i="4"/>
  <c r="B2" i="4"/>
  <c r="B8" i="9"/>
  <c r="K2" i="5" s="1"/>
  <c r="E505" i="7"/>
  <c r="P505" i="7" s="1"/>
  <c r="Q505" i="7" s="1"/>
  <c r="G139" i="5" l="1"/>
  <c r="G155" i="5"/>
  <c r="G39" i="5"/>
  <c r="F39" i="5" s="1"/>
  <c r="G34" i="5"/>
  <c r="F34" i="5" s="1"/>
  <c r="G37" i="5"/>
  <c r="F37" i="5" s="1"/>
  <c r="G38" i="5"/>
  <c r="G41" i="5"/>
  <c r="G32" i="5"/>
  <c r="F32" i="5" s="1"/>
  <c r="G33" i="5"/>
  <c r="F33" i="5" s="1"/>
  <c r="G153" i="5"/>
  <c r="F153" i="5" s="1"/>
  <c r="G40" i="5"/>
  <c r="G35" i="5"/>
  <c r="F35" i="5" s="1"/>
  <c r="G154" i="5"/>
  <c r="F154" i="5" s="1"/>
  <c r="G152" i="5"/>
  <c r="F152" i="5" s="1"/>
  <c r="G151" i="5"/>
  <c r="F151" i="5" s="1"/>
  <c r="G53" i="5"/>
  <c r="G54" i="5"/>
  <c r="G140" i="5"/>
  <c r="G914" i="7" s="1"/>
  <c r="H914" i="7" s="1"/>
  <c r="G121" i="5"/>
  <c r="F121" i="5" s="1"/>
  <c r="G117" i="5"/>
  <c r="F117" i="5" s="1"/>
  <c r="G108" i="5"/>
  <c r="G100" i="5"/>
  <c r="F100" i="5" s="1"/>
  <c r="G94" i="5"/>
  <c r="G635" i="7" s="1"/>
  <c r="H635" i="7" s="1"/>
  <c r="G88" i="5"/>
  <c r="F88" i="5" s="1"/>
  <c r="G79" i="5"/>
  <c r="F79" i="5" s="1"/>
  <c r="G73" i="5"/>
  <c r="F73" i="5" s="1"/>
  <c r="G66" i="5"/>
  <c r="F66" i="5" s="1"/>
  <c r="G60" i="5"/>
  <c r="F60" i="5" s="1"/>
  <c r="G48" i="5"/>
  <c r="F48" i="5" s="1"/>
  <c r="G43" i="5"/>
  <c r="F43" i="5" s="1"/>
  <c r="G19" i="5"/>
  <c r="F19" i="5" s="1"/>
  <c r="G13" i="5"/>
  <c r="G7" i="5"/>
  <c r="F7" i="5" s="1"/>
  <c r="G150" i="5"/>
  <c r="F150" i="5" s="1"/>
  <c r="G107" i="5"/>
  <c r="G93" i="5"/>
  <c r="G6" i="5"/>
  <c r="F6" i="5" s="1"/>
  <c r="G116" i="5"/>
  <c r="F116" i="5" s="1"/>
  <c r="G106" i="5"/>
  <c r="G92" i="5"/>
  <c r="G71" i="5"/>
  <c r="G884" i="7" s="1"/>
  <c r="G58" i="5"/>
  <c r="F58" i="5" s="1"/>
  <c r="G11" i="5"/>
  <c r="F11" i="5" s="1"/>
  <c r="G144" i="5"/>
  <c r="F144" i="5" s="1"/>
  <c r="G135" i="5"/>
  <c r="G131" i="5"/>
  <c r="F131" i="5" s="1"/>
  <c r="G112" i="5"/>
  <c r="F112" i="5" s="1"/>
  <c r="G99" i="5"/>
  <c r="F99" i="5" s="1"/>
  <c r="G87" i="5"/>
  <c r="F87" i="5" s="1"/>
  <c r="G78" i="5"/>
  <c r="F78" i="5" s="1"/>
  <c r="G72" i="5"/>
  <c r="F72" i="5" s="1"/>
  <c r="G59" i="5"/>
  <c r="F59" i="5" s="1"/>
  <c r="G52" i="5"/>
  <c r="F52" i="5" s="1"/>
  <c r="G47" i="5"/>
  <c r="G18" i="5"/>
  <c r="F18" i="5" s="1"/>
  <c r="G12" i="5"/>
  <c r="F12" i="5" s="1"/>
  <c r="G111" i="5"/>
  <c r="F111" i="5" s="1"/>
  <c r="G65" i="5"/>
  <c r="F65" i="5" s="1"/>
  <c r="G51" i="5"/>
  <c r="F51" i="5" s="1"/>
  <c r="G42" i="5"/>
  <c r="F42" i="5" s="1"/>
  <c r="G36" i="5"/>
  <c r="F36" i="5" s="1"/>
  <c r="G24" i="5"/>
  <c r="G31" i="5"/>
  <c r="F31" i="5" s="1"/>
  <c r="G149" i="5"/>
  <c r="F149" i="5" s="1"/>
  <c r="G148" i="5"/>
  <c r="F148" i="5" s="1"/>
  <c r="G143" i="5"/>
  <c r="F143" i="5" s="1"/>
  <c r="G134" i="5"/>
  <c r="F134" i="5" s="1"/>
  <c r="G124" i="5"/>
  <c r="F124" i="5" s="1"/>
  <c r="G115" i="5"/>
  <c r="F115" i="5" s="1"/>
  <c r="G105" i="5"/>
  <c r="G98" i="5"/>
  <c r="G91" i="5"/>
  <c r="F91" i="5" s="1"/>
  <c r="G86" i="5"/>
  <c r="F86" i="5" s="1"/>
  <c r="G77" i="5"/>
  <c r="F77" i="5" s="1"/>
  <c r="G70" i="5"/>
  <c r="F70" i="5" s="1"/>
  <c r="G64" i="5"/>
  <c r="F64" i="5" s="1"/>
  <c r="G46" i="5"/>
  <c r="F46" i="5" s="1"/>
  <c r="G17" i="5"/>
  <c r="F17" i="5" s="1"/>
  <c r="G10" i="5"/>
  <c r="G5" i="5"/>
  <c r="F5" i="5" s="1"/>
  <c r="G146" i="5"/>
  <c r="F146" i="5" s="1"/>
  <c r="G141" i="5"/>
  <c r="G916" i="7" s="1"/>
  <c r="H916" i="7" s="1"/>
  <c r="G132" i="5"/>
  <c r="F132" i="5" s="1"/>
  <c r="G128" i="5"/>
  <c r="F128" i="5" s="1"/>
  <c r="G122" i="5"/>
  <c r="F122" i="5" s="1"/>
  <c r="G118" i="5"/>
  <c r="F118" i="5" s="1"/>
  <c r="G109" i="5"/>
  <c r="F109" i="5" s="1"/>
  <c r="G102" i="5"/>
  <c r="G96" i="5"/>
  <c r="H80" i="5"/>
  <c r="H75" i="5"/>
  <c r="N75" i="5" s="1"/>
  <c r="G68" i="5"/>
  <c r="F68" i="5" s="1"/>
  <c r="G49" i="5"/>
  <c r="F49" i="5" s="1"/>
  <c r="F40" i="5"/>
  <c r="G14" i="5"/>
  <c r="F14" i="5" s="1"/>
  <c r="G8" i="5"/>
  <c r="F8" i="5" s="1"/>
  <c r="G3" i="5"/>
  <c r="F3" i="5" s="1"/>
  <c r="G89" i="5"/>
  <c r="F89" i="5" s="1"/>
  <c r="G67" i="5"/>
  <c r="F67" i="5" s="1"/>
  <c r="G44" i="5"/>
  <c r="F44" i="5" s="1"/>
  <c r="G20" i="5"/>
  <c r="F20" i="5" s="1"/>
  <c r="G133" i="5"/>
  <c r="F133" i="5" s="1"/>
  <c r="G110" i="5"/>
  <c r="F110" i="5" s="1"/>
  <c r="G104" i="5"/>
  <c r="G994" i="7" s="1"/>
  <c r="H994" i="7" s="1"/>
  <c r="G85" i="5"/>
  <c r="F85" i="5" s="1"/>
  <c r="H81" i="5"/>
  <c r="G63" i="5"/>
  <c r="F63" i="5" s="1"/>
  <c r="G50" i="5"/>
  <c r="F50" i="5" s="1"/>
  <c r="F41" i="5"/>
  <c r="G16" i="5"/>
  <c r="F16" i="5" s="1"/>
  <c r="G4" i="5"/>
  <c r="F4" i="5" s="1"/>
  <c r="G61" i="5"/>
  <c r="F61" i="5" s="1"/>
  <c r="G147" i="5"/>
  <c r="F147" i="5" s="1"/>
  <c r="G142" i="5"/>
  <c r="F142" i="5" s="1"/>
  <c r="G137" i="5"/>
  <c r="F137" i="5" s="1"/>
  <c r="G123" i="5"/>
  <c r="F123" i="5" s="1"/>
  <c r="G114" i="5"/>
  <c r="F114" i="5" s="1"/>
  <c r="G103" i="5"/>
  <c r="H90" i="5"/>
  <c r="N90" i="5" s="1"/>
  <c r="H84" i="5"/>
  <c r="N84" i="5" s="1"/>
  <c r="G76" i="5"/>
  <c r="G69" i="5"/>
  <c r="F69" i="5" s="1"/>
  <c r="G62" i="5"/>
  <c r="F62" i="5" s="1"/>
  <c r="G56" i="5"/>
  <c r="F56" i="5" s="1"/>
  <c r="G45" i="5"/>
  <c r="G15" i="5"/>
  <c r="F15" i="5" s="1"/>
  <c r="G9" i="5"/>
  <c r="F9" i="5" s="1"/>
  <c r="G145" i="5"/>
  <c r="F145" i="5" s="1"/>
  <c r="G136" i="5"/>
  <c r="F136" i="5" s="1"/>
  <c r="G113" i="5"/>
  <c r="F113" i="5" s="1"/>
  <c r="G101" i="5"/>
  <c r="H83" i="5"/>
  <c r="G74" i="5"/>
  <c r="G623" i="7" s="1"/>
  <c r="H623" i="7" s="1"/>
  <c r="G55" i="5"/>
  <c r="F55" i="5" s="1"/>
  <c r="G25" i="5"/>
  <c r="F25" i="5" s="1"/>
  <c r="G119" i="5"/>
  <c r="F119" i="5" s="1"/>
  <c r="G28" i="5"/>
  <c r="F28" i="5" s="1"/>
  <c r="G30" i="5"/>
  <c r="F30" i="5" s="1"/>
  <c r="H82" i="5"/>
  <c r="G57" i="5"/>
  <c r="F57" i="5" s="1"/>
  <c r="G120" i="5"/>
  <c r="F120" i="5" s="1"/>
  <c r="G23" i="5"/>
  <c r="G883" i="7" s="1"/>
  <c r="G138" i="5"/>
  <c r="F138" i="5" s="1"/>
  <c r="G21" i="5"/>
  <c r="G127" i="5"/>
  <c r="F127" i="5" s="1"/>
  <c r="G129" i="5"/>
  <c r="F129" i="5" s="1"/>
  <c r="G27" i="5"/>
  <c r="G26" i="5"/>
  <c r="F26" i="5" s="1"/>
  <c r="G95" i="5"/>
  <c r="G663" i="7" s="1"/>
  <c r="H663" i="7" s="1"/>
  <c r="G22" i="5"/>
  <c r="G913" i="7" s="1"/>
  <c r="H913" i="7" s="1"/>
  <c r="G29" i="5"/>
  <c r="F29" i="5" s="1"/>
  <c r="G130" i="5"/>
  <c r="G733" i="7" s="1"/>
  <c r="H733" i="7" s="1"/>
  <c r="S3" i="5"/>
  <c r="R3" i="5" s="1"/>
  <c r="S77" i="5"/>
  <c r="R77" i="5" s="1"/>
  <c r="S106" i="5"/>
  <c r="S92" i="5"/>
  <c r="R92" i="5" s="1"/>
  <c r="S88" i="5"/>
  <c r="R88" i="5" s="1"/>
  <c r="S84" i="5"/>
  <c r="R84" i="5" s="1"/>
  <c r="S71" i="5"/>
  <c r="R71" i="5" s="1"/>
  <c r="S67" i="5"/>
  <c r="R67" i="5" s="1"/>
  <c r="S63" i="5"/>
  <c r="R63" i="5" s="1"/>
  <c r="S59" i="5"/>
  <c r="R59" i="5" s="1"/>
  <c r="S26" i="5"/>
  <c r="R26" i="5" s="1"/>
  <c r="S22" i="5"/>
  <c r="R22" i="5" s="1"/>
  <c r="S18" i="5"/>
  <c r="R18" i="5" s="1"/>
  <c r="S14" i="5"/>
  <c r="R14" i="5" s="1"/>
  <c r="S10" i="5"/>
  <c r="R10" i="5" s="1"/>
  <c r="S6" i="5"/>
  <c r="R6" i="5" s="1"/>
  <c r="S110" i="5"/>
  <c r="R110" i="5" s="1"/>
  <c r="T80" i="5"/>
  <c r="S55" i="5"/>
  <c r="R55" i="5" s="1"/>
  <c r="S49" i="5"/>
  <c r="R49" i="5" s="1"/>
  <c r="S45" i="5"/>
  <c r="R45" i="5" s="1"/>
  <c r="S37" i="5"/>
  <c r="R37" i="5" s="1"/>
  <c r="S35" i="5"/>
  <c r="R35" i="5" s="1"/>
  <c r="S85" i="5"/>
  <c r="R85" i="5" s="1"/>
  <c r="S60" i="5"/>
  <c r="R60" i="5" s="1"/>
  <c r="S15" i="5"/>
  <c r="R15" i="5" s="1"/>
  <c r="S115" i="5"/>
  <c r="R115" i="5" s="1"/>
  <c r="S56" i="5"/>
  <c r="R56" i="5" s="1"/>
  <c r="S34" i="5"/>
  <c r="R34" i="5" s="1"/>
  <c r="S118" i="5"/>
  <c r="R118" i="5" s="1"/>
  <c r="S114" i="5"/>
  <c r="R114" i="5" s="1"/>
  <c r="S105" i="5"/>
  <c r="S98" i="5"/>
  <c r="R98" i="5" s="1"/>
  <c r="S76" i="5"/>
  <c r="R76" i="5" s="1"/>
  <c r="S41" i="5"/>
  <c r="R41" i="5" s="1"/>
  <c r="S33" i="5"/>
  <c r="R33" i="5" s="1"/>
  <c r="S119" i="5"/>
  <c r="R119" i="5" s="1"/>
  <c r="S100" i="5"/>
  <c r="S19" i="5"/>
  <c r="R19" i="5" s="1"/>
  <c r="S111" i="5"/>
  <c r="R111" i="5" s="1"/>
  <c r="S46" i="5"/>
  <c r="R46" i="5" s="1"/>
  <c r="S104" i="5"/>
  <c r="S91" i="5"/>
  <c r="R91" i="5" s="1"/>
  <c r="S87" i="5"/>
  <c r="R87" i="5" s="1"/>
  <c r="T83" i="5"/>
  <c r="S70" i="5"/>
  <c r="R70" i="5" s="1"/>
  <c r="S66" i="5"/>
  <c r="R66" i="5" s="1"/>
  <c r="S62" i="5"/>
  <c r="R62" i="5" s="1"/>
  <c r="S58" i="5"/>
  <c r="R58" i="5" s="1"/>
  <c r="S29" i="5"/>
  <c r="R29" i="5" s="1"/>
  <c r="S25" i="5"/>
  <c r="R25" i="5" s="1"/>
  <c r="S21" i="5"/>
  <c r="R21" i="5" s="1"/>
  <c r="S17" i="5"/>
  <c r="R17" i="5" s="1"/>
  <c r="S13" i="5"/>
  <c r="R13" i="5" s="1"/>
  <c r="S9" i="5"/>
  <c r="R9" i="5" s="1"/>
  <c r="S5" i="5"/>
  <c r="R5" i="5" s="1"/>
  <c r="S68" i="5"/>
  <c r="R68" i="5" s="1"/>
  <c r="S23" i="5"/>
  <c r="R23" i="5" s="1"/>
  <c r="S93" i="5"/>
  <c r="S50" i="5"/>
  <c r="R50" i="5" s="1"/>
  <c r="S117" i="5"/>
  <c r="R117" i="5" s="1"/>
  <c r="S113" i="5"/>
  <c r="R113" i="5" s="1"/>
  <c r="S109" i="5"/>
  <c r="R109" i="5" s="1"/>
  <c r="S103" i="5"/>
  <c r="S96" i="5"/>
  <c r="R96" i="5" s="1"/>
  <c r="T79" i="5"/>
  <c r="S75" i="5"/>
  <c r="S52" i="5"/>
  <c r="R52" i="5" s="1"/>
  <c r="S48" i="5"/>
  <c r="R48" i="5" s="1"/>
  <c r="S44" i="5"/>
  <c r="R44" i="5" s="1"/>
  <c r="S40" i="5"/>
  <c r="R40" i="5" s="1"/>
  <c r="S36" i="5"/>
  <c r="R36" i="5" s="1"/>
  <c r="S32" i="5"/>
  <c r="R32" i="5" s="1"/>
  <c r="S65" i="5"/>
  <c r="R65" i="5" s="1"/>
  <c r="S57" i="5"/>
  <c r="R57" i="5" s="1"/>
  <c r="S28" i="5"/>
  <c r="R28" i="5" s="1"/>
  <c r="S24" i="5"/>
  <c r="R24" i="5" s="1"/>
  <c r="S16" i="5"/>
  <c r="R16" i="5" s="1"/>
  <c r="S12" i="5"/>
  <c r="R12" i="5" s="1"/>
  <c r="S4" i="5"/>
  <c r="R4" i="5" s="1"/>
  <c r="S47" i="5"/>
  <c r="R47" i="5" s="1"/>
  <c r="S39" i="5"/>
  <c r="R39" i="5" s="1"/>
  <c r="T89" i="5"/>
  <c r="S38" i="5"/>
  <c r="R38" i="5" s="1"/>
  <c r="S102" i="5"/>
  <c r="S90" i="5"/>
  <c r="R90" i="5" s="1"/>
  <c r="S86" i="5"/>
  <c r="R86" i="5" s="1"/>
  <c r="T82" i="5"/>
  <c r="T74" i="5"/>
  <c r="N74" i="5" s="1"/>
  <c r="S69" i="5"/>
  <c r="R69" i="5" s="1"/>
  <c r="S61" i="5"/>
  <c r="R61" i="5" s="1"/>
  <c r="S20" i="5"/>
  <c r="R20" i="5" s="1"/>
  <c r="S8" i="5"/>
  <c r="R8" i="5" s="1"/>
  <c r="S31" i="5"/>
  <c r="R31" i="5" s="1"/>
  <c r="S72" i="5"/>
  <c r="R72" i="5" s="1"/>
  <c r="S11" i="5"/>
  <c r="R11" i="5" s="1"/>
  <c r="S99" i="5"/>
  <c r="R99" i="5" s="1"/>
  <c r="S116" i="5"/>
  <c r="R116" i="5" s="1"/>
  <c r="S112" i="5"/>
  <c r="R112" i="5" s="1"/>
  <c r="S108" i="5"/>
  <c r="R108" i="5" s="1"/>
  <c r="S101" i="5"/>
  <c r="S95" i="5"/>
  <c r="S78" i="5"/>
  <c r="R78" i="5" s="1"/>
  <c r="S51" i="5"/>
  <c r="R51" i="5" s="1"/>
  <c r="S43" i="5"/>
  <c r="R43" i="5" s="1"/>
  <c r="S94" i="5"/>
  <c r="S64" i="5"/>
  <c r="R64" i="5" s="1"/>
  <c r="S27" i="5"/>
  <c r="R27" i="5" s="1"/>
  <c r="S7" i="5"/>
  <c r="R7" i="5" s="1"/>
  <c r="S107" i="5"/>
  <c r="S42" i="5"/>
  <c r="R42" i="5" s="1"/>
  <c r="S30" i="5"/>
  <c r="R30" i="5" s="1"/>
  <c r="T81" i="5"/>
  <c r="G464" i="7"/>
  <c r="H464" i="7" s="1"/>
  <c r="G383" i="7"/>
  <c r="G393" i="7"/>
  <c r="K47" i="5"/>
  <c r="K3" i="5"/>
  <c r="K4" i="5"/>
  <c r="K56" i="5"/>
  <c r="C15" i="4"/>
  <c r="C17" i="4"/>
  <c r="C20" i="4"/>
  <c r="B27" i="4"/>
  <c r="C19" i="4"/>
  <c r="B26" i="4"/>
  <c r="C18" i="4"/>
  <c r="C21" i="4"/>
  <c r="C23" i="4"/>
  <c r="C25" i="4"/>
  <c r="C22" i="4"/>
  <c r="C24" i="4"/>
  <c r="E24" i="4"/>
  <c r="E23" i="4"/>
  <c r="E15" i="4"/>
  <c r="E22" i="4"/>
  <c r="E25" i="4"/>
  <c r="E21" i="4"/>
  <c r="E17" i="4"/>
  <c r="E20" i="4"/>
  <c r="D27" i="4"/>
  <c r="E19" i="4"/>
  <c r="D26" i="4"/>
  <c r="E18" i="4"/>
  <c r="K22" i="5"/>
  <c r="K23" i="5"/>
  <c r="K24" i="5"/>
  <c r="K25" i="5"/>
  <c r="K26" i="5"/>
  <c r="K27" i="5"/>
  <c r="K28" i="5"/>
  <c r="K29" i="5"/>
  <c r="K30" i="5"/>
  <c r="K21" i="5"/>
  <c r="E16" i="4"/>
  <c r="C16" i="4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F105" i="3"/>
  <c r="D106" i="3"/>
  <c r="F106" i="3"/>
  <c r="D107" i="3"/>
  <c r="F107" i="3"/>
  <c r="D108" i="3"/>
  <c r="F108" i="3"/>
  <c r="D109" i="3"/>
  <c r="F109" i="3"/>
  <c r="D110" i="3"/>
  <c r="F110" i="3"/>
  <c r="D111" i="3"/>
  <c r="F111" i="3"/>
  <c r="D112" i="3"/>
  <c r="F112" i="3"/>
  <c r="D113" i="3"/>
  <c r="F113" i="3"/>
  <c r="D114" i="3"/>
  <c r="F114" i="3"/>
  <c r="D115" i="3"/>
  <c r="F115" i="3"/>
  <c r="D116" i="3"/>
  <c r="F116" i="3"/>
  <c r="D117" i="3"/>
  <c r="F117" i="3"/>
  <c r="D118" i="3"/>
  <c r="F118" i="3"/>
  <c r="D119" i="3"/>
  <c r="F119" i="3"/>
  <c r="D120" i="3"/>
  <c r="F120" i="3"/>
  <c r="D121" i="3"/>
  <c r="F121" i="3"/>
  <c r="D122" i="3"/>
  <c r="F122" i="3"/>
  <c r="D123" i="3"/>
  <c r="F123" i="3"/>
  <c r="D124" i="3"/>
  <c r="F124" i="3"/>
  <c r="D125" i="3"/>
  <c r="F125" i="3"/>
  <c r="D126" i="3"/>
  <c r="F126" i="3"/>
  <c r="D127" i="3"/>
  <c r="F127" i="3"/>
  <c r="D128" i="3"/>
  <c r="F128" i="3"/>
  <c r="D129" i="3"/>
  <c r="F129" i="3"/>
  <c r="D130" i="3"/>
  <c r="F130" i="3"/>
  <c r="D131" i="3"/>
  <c r="F131" i="3"/>
  <c r="D132" i="3"/>
  <c r="F132" i="3"/>
  <c r="D133" i="3"/>
  <c r="F133" i="3"/>
  <c r="D134" i="3"/>
  <c r="F134" i="3"/>
  <c r="D135" i="3"/>
  <c r="F135" i="3"/>
  <c r="D136" i="3"/>
  <c r="F136" i="3"/>
  <c r="D137" i="3"/>
  <c r="F137" i="3"/>
  <c r="D138" i="3"/>
  <c r="F138" i="3"/>
  <c r="D139" i="3"/>
  <c r="F139" i="3"/>
  <c r="D140" i="3"/>
  <c r="F140" i="3"/>
  <c r="D141" i="3"/>
  <c r="F141" i="3"/>
  <c r="D142" i="3"/>
  <c r="F142" i="3"/>
  <c r="D143" i="3"/>
  <c r="F143" i="3"/>
  <c r="D144" i="3"/>
  <c r="F144" i="3"/>
  <c r="D145" i="3"/>
  <c r="F145" i="3"/>
  <c r="D146" i="3"/>
  <c r="F146" i="3"/>
  <c r="D147" i="3"/>
  <c r="F147" i="3"/>
  <c r="D148" i="3"/>
  <c r="F148" i="3"/>
  <c r="D149" i="3"/>
  <c r="F149" i="3"/>
  <c r="D150" i="3"/>
  <c r="F150" i="3"/>
  <c r="D151" i="3"/>
  <c r="F151" i="3"/>
  <c r="D152" i="3"/>
  <c r="F152" i="3"/>
  <c r="D153" i="3"/>
  <c r="F153" i="3"/>
  <c r="D154" i="3"/>
  <c r="F154" i="3"/>
  <c r="D155" i="3"/>
  <c r="F155" i="3"/>
  <c r="D156" i="3"/>
  <c r="F156" i="3"/>
  <c r="D157" i="3"/>
  <c r="F157" i="3"/>
  <c r="D158" i="3"/>
  <c r="F158" i="3"/>
  <c r="D159" i="3"/>
  <c r="F159" i="3"/>
  <c r="D160" i="3"/>
  <c r="F160" i="3"/>
  <c r="D161" i="3"/>
  <c r="F161" i="3"/>
  <c r="D162" i="3"/>
  <c r="F162" i="3"/>
  <c r="D163" i="3"/>
  <c r="F163" i="3"/>
  <c r="D164" i="3"/>
  <c r="F164" i="3"/>
  <c r="D165" i="3"/>
  <c r="F165" i="3"/>
  <c r="D166" i="3"/>
  <c r="F166" i="3"/>
  <c r="D167" i="3"/>
  <c r="F167" i="3"/>
  <c r="D168" i="3"/>
  <c r="F168" i="3"/>
  <c r="D169" i="3"/>
  <c r="F169" i="3"/>
  <c r="D170" i="3"/>
  <c r="F170" i="3"/>
  <c r="D171" i="3"/>
  <c r="F171" i="3"/>
  <c r="D172" i="3"/>
  <c r="F172" i="3"/>
  <c r="D173" i="3"/>
  <c r="F173" i="3"/>
  <c r="D174" i="3"/>
  <c r="F174" i="3"/>
  <c r="D175" i="3"/>
  <c r="F175" i="3"/>
  <c r="D176" i="3"/>
  <c r="F176" i="3"/>
  <c r="D177" i="3"/>
  <c r="F177" i="3"/>
  <c r="D178" i="3"/>
  <c r="F178" i="3"/>
  <c r="D179" i="3"/>
  <c r="F179" i="3"/>
  <c r="D180" i="3"/>
  <c r="F180" i="3"/>
  <c r="D181" i="3"/>
  <c r="F181" i="3"/>
  <c r="D182" i="3"/>
  <c r="F182" i="3"/>
  <c r="D183" i="3"/>
  <c r="F183" i="3"/>
  <c r="D184" i="3"/>
  <c r="F184" i="3"/>
  <c r="D185" i="3"/>
  <c r="F185" i="3"/>
  <c r="D186" i="3"/>
  <c r="F186" i="3"/>
  <c r="D187" i="3"/>
  <c r="F187" i="3"/>
  <c r="D188" i="3"/>
  <c r="F188" i="3"/>
  <c r="D189" i="3"/>
  <c r="F189" i="3"/>
  <c r="D190" i="3"/>
  <c r="F190" i="3"/>
  <c r="D191" i="3"/>
  <c r="F191" i="3"/>
  <c r="D192" i="3"/>
  <c r="F192" i="3"/>
  <c r="D193" i="3"/>
  <c r="F193" i="3"/>
  <c r="D194" i="3"/>
  <c r="F194" i="3"/>
  <c r="D195" i="3"/>
  <c r="F195" i="3"/>
  <c r="D196" i="3"/>
  <c r="F196" i="3"/>
  <c r="D197" i="3"/>
  <c r="F197" i="3"/>
  <c r="D198" i="3"/>
  <c r="F198" i="3"/>
  <c r="D199" i="3"/>
  <c r="F199" i="3"/>
  <c r="D200" i="3"/>
  <c r="F200" i="3"/>
  <c r="D201" i="3"/>
  <c r="F201" i="3"/>
  <c r="D202" i="3"/>
  <c r="F202" i="3"/>
  <c r="D203" i="3"/>
  <c r="F203" i="3"/>
  <c r="D204" i="3"/>
  <c r="F204" i="3"/>
  <c r="D205" i="3"/>
  <c r="F205" i="3"/>
  <c r="D206" i="3"/>
  <c r="F206" i="3"/>
  <c r="D207" i="3"/>
  <c r="F207" i="3"/>
  <c r="D208" i="3"/>
  <c r="F208" i="3"/>
  <c r="D209" i="3"/>
  <c r="F209" i="3"/>
  <c r="D210" i="3"/>
  <c r="F210" i="3"/>
  <c r="D211" i="3"/>
  <c r="F211" i="3"/>
  <c r="D212" i="3"/>
  <c r="F212" i="3"/>
  <c r="D213" i="3"/>
  <c r="F213" i="3"/>
  <c r="D214" i="3"/>
  <c r="F214" i="3"/>
  <c r="D215" i="3"/>
  <c r="F215" i="3"/>
  <c r="D216" i="3"/>
  <c r="F216" i="3"/>
  <c r="D217" i="3"/>
  <c r="F217" i="3"/>
  <c r="D218" i="3"/>
  <c r="F218" i="3"/>
  <c r="D219" i="3"/>
  <c r="F219" i="3"/>
  <c r="D220" i="3"/>
  <c r="F220" i="3"/>
  <c r="D221" i="3"/>
  <c r="F221" i="3"/>
  <c r="D222" i="3"/>
  <c r="F222" i="3"/>
  <c r="D223" i="3"/>
  <c r="F223" i="3"/>
  <c r="D224" i="3"/>
  <c r="F224" i="3"/>
  <c r="D225" i="3"/>
  <c r="F225" i="3"/>
  <c r="D226" i="3"/>
  <c r="F226" i="3"/>
  <c r="D227" i="3"/>
  <c r="F227" i="3"/>
  <c r="D228" i="3"/>
  <c r="F228" i="3"/>
  <c r="D229" i="3"/>
  <c r="F229" i="3"/>
  <c r="D230" i="3"/>
  <c r="F230" i="3"/>
  <c r="D231" i="3"/>
  <c r="F231" i="3"/>
  <c r="D232" i="3"/>
  <c r="F232" i="3"/>
  <c r="D233" i="3"/>
  <c r="F233" i="3"/>
  <c r="D234" i="3"/>
  <c r="F234" i="3"/>
  <c r="D235" i="3"/>
  <c r="F235" i="3"/>
  <c r="D236" i="3"/>
  <c r="F236" i="3"/>
  <c r="D237" i="3"/>
  <c r="F237" i="3"/>
  <c r="D238" i="3"/>
  <c r="F238" i="3"/>
  <c r="D239" i="3"/>
  <c r="F239" i="3"/>
  <c r="D240" i="3"/>
  <c r="F240" i="3"/>
  <c r="D241" i="3"/>
  <c r="F241" i="3"/>
  <c r="D242" i="3"/>
  <c r="F242" i="3"/>
  <c r="D243" i="3"/>
  <c r="F243" i="3"/>
  <c r="D244" i="3"/>
  <c r="F244" i="3"/>
  <c r="D245" i="3"/>
  <c r="F245" i="3"/>
  <c r="D246" i="3"/>
  <c r="F246" i="3"/>
  <c r="D247" i="3"/>
  <c r="F247" i="3"/>
  <c r="D248" i="3"/>
  <c r="F248" i="3"/>
  <c r="D249" i="3"/>
  <c r="F249" i="3"/>
  <c r="D250" i="3"/>
  <c r="F250" i="3"/>
  <c r="D251" i="3"/>
  <c r="F251" i="3"/>
  <c r="D252" i="3"/>
  <c r="F252" i="3"/>
  <c r="D253" i="3"/>
  <c r="F253" i="3"/>
  <c r="D254" i="3"/>
  <c r="F254" i="3"/>
  <c r="D255" i="3"/>
  <c r="F255" i="3"/>
  <c r="D256" i="3"/>
  <c r="F256" i="3"/>
  <c r="D257" i="3"/>
  <c r="F257" i="3"/>
  <c r="D258" i="3"/>
  <c r="F258" i="3"/>
  <c r="D259" i="3"/>
  <c r="F259" i="3"/>
  <c r="D260" i="3"/>
  <c r="F260" i="3"/>
  <c r="D261" i="3"/>
  <c r="F261" i="3"/>
  <c r="D262" i="3"/>
  <c r="F262" i="3"/>
  <c r="D263" i="3"/>
  <c r="F263" i="3"/>
  <c r="D264" i="3"/>
  <c r="F264" i="3"/>
  <c r="D265" i="3"/>
  <c r="F265" i="3"/>
  <c r="D266" i="3"/>
  <c r="F266" i="3"/>
  <c r="D267" i="3"/>
  <c r="F267" i="3"/>
  <c r="D268" i="3"/>
  <c r="F268" i="3"/>
  <c r="D269" i="3"/>
  <c r="F269" i="3"/>
  <c r="D270" i="3"/>
  <c r="F270" i="3"/>
  <c r="D271" i="3"/>
  <c r="F271" i="3"/>
  <c r="D272" i="3"/>
  <c r="F272" i="3"/>
  <c r="D273" i="3"/>
  <c r="F273" i="3"/>
  <c r="D274" i="3"/>
  <c r="F274" i="3"/>
  <c r="D275" i="3"/>
  <c r="F275" i="3"/>
  <c r="D276" i="3"/>
  <c r="F276" i="3"/>
  <c r="D277" i="3"/>
  <c r="F277" i="3"/>
  <c r="D278" i="3"/>
  <c r="F278" i="3"/>
  <c r="D279" i="3"/>
  <c r="F279" i="3"/>
  <c r="D280" i="3"/>
  <c r="F280" i="3"/>
  <c r="D281" i="3"/>
  <c r="F281" i="3"/>
  <c r="D282" i="3"/>
  <c r="F282" i="3"/>
  <c r="D283" i="3"/>
  <c r="F283" i="3"/>
  <c r="D284" i="3"/>
  <c r="F284" i="3"/>
  <c r="D285" i="3"/>
  <c r="F285" i="3"/>
  <c r="D286" i="3"/>
  <c r="F286" i="3"/>
  <c r="D287" i="3"/>
  <c r="F287" i="3"/>
  <c r="D288" i="3"/>
  <c r="F288" i="3"/>
  <c r="D289" i="3"/>
  <c r="F289" i="3"/>
  <c r="D290" i="3"/>
  <c r="F290" i="3"/>
  <c r="D291" i="3"/>
  <c r="F291" i="3"/>
  <c r="D292" i="3"/>
  <c r="F292" i="3"/>
  <c r="D293" i="3"/>
  <c r="F293" i="3"/>
  <c r="D294" i="3"/>
  <c r="F294" i="3"/>
  <c r="D295" i="3"/>
  <c r="F295" i="3"/>
  <c r="D296" i="3"/>
  <c r="F296" i="3"/>
  <c r="D297" i="3"/>
  <c r="F297" i="3"/>
  <c r="D298" i="3"/>
  <c r="F298" i="3"/>
  <c r="D299" i="3"/>
  <c r="F299" i="3"/>
  <c r="D300" i="3"/>
  <c r="F300" i="3"/>
  <c r="D301" i="3"/>
  <c r="F301" i="3"/>
  <c r="D302" i="3"/>
  <c r="F302" i="3"/>
  <c r="D303" i="3"/>
  <c r="F303" i="3"/>
  <c r="D304" i="3"/>
  <c r="F304" i="3"/>
  <c r="D305" i="3"/>
  <c r="F305" i="3"/>
  <c r="D306" i="3"/>
  <c r="F306" i="3"/>
  <c r="D307" i="3"/>
  <c r="F307" i="3"/>
  <c r="D308" i="3"/>
  <c r="F308" i="3"/>
  <c r="D309" i="3"/>
  <c r="F309" i="3"/>
  <c r="D310" i="3"/>
  <c r="F310" i="3"/>
  <c r="D311" i="3"/>
  <c r="F311" i="3"/>
  <c r="D312" i="3"/>
  <c r="F312" i="3"/>
  <c r="D313" i="3"/>
  <c r="F313" i="3"/>
  <c r="D314" i="3"/>
  <c r="F314" i="3"/>
  <c r="D315" i="3"/>
  <c r="F315" i="3"/>
  <c r="D316" i="3"/>
  <c r="F316" i="3"/>
  <c r="D317" i="3"/>
  <c r="F317" i="3"/>
  <c r="D318" i="3"/>
  <c r="F318" i="3"/>
  <c r="D319" i="3"/>
  <c r="F319" i="3"/>
  <c r="D320" i="3"/>
  <c r="F320" i="3"/>
  <c r="D321" i="3"/>
  <c r="F321" i="3"/>
  <c r="D322" i="3"/>
  <c r="F322" i="3"/>
  <c r="D323" i="3"/>
  <c r="F323" i="3"/>
  <c r="D324" i="3"/>
  <c r="F324" i="3"/>
  <c r="D325" i="3"/>
  <c r="F325" i="3"/>
  <c r="D326" i="3"/>
  <c r="F326" i="3"/>
  <c r="D327" i="3"/>
  <c r="F327" i="3"/>
  <c r="D328" i="3"/>
  <c r="F328" i="3"/>
  <c r="D329" i="3"/>
  <c r="F329" i="3"/>
  <c r="D330" i="3"/>
  <c r="F330" i="3"/>
  <c r="D331" i="3"/>
  <c r="F331" i="3"/>
  <c r="D332" i="3"/>
  <c r="F332" i="3"/>
  <c r="D333" i="3"/>
  <c r="F333" i="3"/>
  <c r="D334" i="3"/>
  <c r="F334" i="3"/>
  <c r="D335" i="3"/>
  <c r="F335" i="3"/>
  <c r="D336" i="3"/>
  <c r="F336" i="3"/>
  <c r="D337" i="3"/>
  <c r="F337" i="3"/>
  <c r="D338" i="3"/>
  <c r="F338" i="3"/>
  <c r="D339" i="3"/>
  <c r="F339" i="3"/>
  <c r="D340" i="3"/>
  <c r="F340" i="3"/>
  <c r="D341" i="3"/>
  <c r="F341" i="3"/>
  <c r="D342" i="3"/>
  <c r="F342" i="3"/>
  <c r="D343" i="3"/>
  <c r="F343" i="3"/>
  <c r="D344" i="3"/>
  <c r="F344" i="3"/>
  <c r="D345" i="3"/>
  <c r="F345" i="3"/>
  <c r="D346" i="3"/>
  <c r="F346" i="3"/>
  <c r="D347" i="3"/>
  <c r="F347" i="3"/>
  <c r="D348" i="3"/>
  <c r="F348" i="3"/>
  <c r="D349" i="3"/>
  <c r="F349" i="3"/>
  <c r="D350" i="3"/>
  <c r="F350" i="3"/>
  <c r="D351" i="3"/>
  <c r="F351" i="3"/>
  <c r="D352" i="3"/>
  <c r="F352" i="3"/>
  <c r="D353" i="3"/>
  <c r="F353" i="3"/>
  <c r="D354" i="3"/>
  <c r="F354" i="3"/>
  <c r="D355" i="3"/>
  <c r="F355" i="3"/>
  <c r="D356" i="3"/>
  <c r="F356" i="3"/>
  <c r="D357" i="3"/>
  <c r="F357" i="3"/>
  <c r="D358" i="3"/>
  <c r="F358" i="3"/>
  <c r="D359" i="3"/>
  <c r="F359" i="3"/>
  <c r="D360" i="3"/>
  <c r="F360" i="3"/>
  <c r="D361" i="3"/>
  <c r="F361" i="3"/>
  <c r="D362" i="3"/>
  <c r="F362" i="3"/>
  <c r="D363" i="3"/>
  <c r="F363" i="3"/>
  <c r="D364" i="3"/>
  <c r="F364" i="3"/>
  <c r="D365" i="3"/>
  <c r="F365" i="3"/>
  <c r="D366" i="3"/>
  <c r="F366" i="3"/>
  <c r="D367" i="3"/>
  <c r="F367" i="3"/>
  <c r="D368" i="3"/>
  <c r="F368" i="3"/>
  <c r="D369" i="3"/>
  <c r="F369" i="3"/>
  <c r="D370" i="3"/>
  <c r="F370" i="3"/>
  <c r="D371" i="3"/>
  <c r="F371" i="3"/>
  <c r="D372" i="3"/>
  <c r="F372" i="3"/>
  <c r="D373" i="3"/>
  <c r="F373" i="3"/>
  <c r="D374" i="3"/>
  <c r="F374" i="3"/>
  <c r="D375" i="3"/>
  <c r="F375" i="3"/>
  <c r="D376" i="3"/>
  <c r="F376" i="3"/>
  <c r="D377" i="3"/>
  <c r="F377" i="3"/>
  <c r="D378" i="3"/>
  <c r="F378" i="3"/>
  <c r="D379" i="3"/>
  <c r="F379" i="3"/>
  <c r="D380" i="3"/>
  <c r="F380" i="3"/>
  <c r="D381" i="3"/>
  <c r="F381" i="3"/>
  <c r="D382" i="3"/>
  <c r="F382" i="3"/>
  <c r="D383" i="3"/>
  <c r="F383" i="3"/>
  <c r="D384" i="3"/>
  <c r="F384" i="3"/>
  <c r="D385" i="3"/>
  <c r="F385" i="3"/>
  <c r="D386" i="3"/>
  <c r="F386" i="3"/>
  <c r="D387" i="3"/>
  <c r="F387" i="3"/>
  <c r="D388" i="3"/>
  <c r="F388" i="3"/>
  <c r="D389" i="3"/>
  <c r="F389" i="3"/>
  <c r="D390" i="3"/>
  <c r="F390" i="3"/>
  <c r="D391" i="3"/>
  <c r="F391" i="3"/>
  <c r="D392" i="3"/>
  <c r="F392" i="3"/>
  <c r="D393" i="3"/>
  <c r="F393" i="3"/>
  <c r="D394" i="3"/>
  <c r="F394" i="3"/>
  <c r="D395" i="3"/>
  <c r="F395" i="3"/>
  <c r="D396" i="3"/>
  <c r="F396" i="3"/>
  <c r="D397" i="3"/>
  <c r="F397" i="3"/>
  <c r="D398" i="3"/>
  <c r="F398" i="3"/>
  <c r="D399" i="3"/>
  <c r="F399" i="3"/>
  <c r="D400" i="3"/>
  <c r="F400" i="3"/>
  <c r="D401" i="3"/>
  <c r="F401" i="3"/>
  <c r="D402" i="3"/>
  <c r="F402" i="3"/>
  <c r="D403" i="3"/>
  <c r="F403" i="3"/>
  <c r="D404" i="3"/>
  <c r="F404" i="3"/>
  <c r="D405" i="3"/>
  <c r="F405" i="3"/>
  <c r="D406" i="3"/>
  <c r="F406" i="3"/>
  <c r="D407" i="3"/>
  <c r="F407" i="3"/>
  <c r="D408" i="3"/>
  <c r="F408" i="3"/>
  <c r="D409" i="3"/>
  <c r="F409" i="3"/>
  <c r="D410" i="3"/>
  <c r="F410" i="3"/>
  <c r="D411" i="3"/>
  <c r="F411" i="3"/>
  <c r="D412" i="3"/>
  <c r="F412" i="3"/>
  <c r="D413" i="3"/>
  <c r="F413" i="3"/>
  <c r="D414" i="3"/>
  <c r="F414" i="3"/>
  <c r="D415" i="3"/>
  <c r="F415" i="3"/>
  <c r="D416" i="3"/>
  <c r="F416" i="3"/>
  <c r="D417" i="3"/>
  <c r="F417" i="3"/>
  <c r="D418" i="3"/>
  <c r="F418" i="3"/>
  <c r="D419" i="3"/>
  <c r="F419" i="3"/>
  <c r="D420" i="3"/>
  <c r="F420" i="3"/>
  <c r="D421" i="3"/>
  <c r="F421" i="3"/>
  <c r="D422" i="3"/>
  <c r="F422" i="3"/>
  <c r="D423" i="3"/>
  <c r="F423" i="3"/>
  <c r="D424" i="3"/>
  <c r="F424" i="3"/>
  <c r="D425" i="3"/>
  <c r="F425" i="3"/>
  <c r="D426" i="3"/>
  <c r="F426" i="3"/>
  <c r="D427" i="3"/>
  <c r="F427" i="3"/>
  <c r="D428" i="3"/>
  <c r="F428" i="3"/>
  <c r="D429" i="3"/>
  <c r="F429" i="3"/>
  <c r="D430" i="3"/>
  <c r="F430" i="3"/>
  <c r="D431" i="3"/>
  <c r="F431" i="3"/>
  <c r="D432" i="3"/>
  <c r="F432" i="3"/>
  <c r="D433" i="3"/>
  <c r="F433" i="3"/>
  <c r="D434" i="3"/>
  <c r="F434" i="3"/>
  <c r="D435" i="3"/>
  <c r="F435" i="3"/>
  <c r="D436" i="3"/>
  <c r="F436" i="3"/>
  <c r="D437" i="3"/>
  <c r="F437" i="3"/>
  <c r="D438" i="3"/>
  <c r="F438" i="3"/>
  <c r="D439" i="3"/>
  <c r="F439" i="3"/>
  <c r="D440" i="3"/>
  <c r="F440" i="3"/>
  <c r="D441" i="3"/>
  <c r="F441" i="3"/>
  <c r="D442" i="3"/>
  <c r="F442" i="3"/>
  <c r="D443" i="3"/>
  <c r="F443" i="3"/>
  <c r="D444" i="3"/>
  <c r="F444" i="3"/>
  <c r="D445" i="3"/>
  <c r="F445" i="3"/>
  <c r="D446" i="3"/>
  <c r="F446" i="3"/>
  <c r="D447" i="3"/>
  <c r="F447" i="3"/>
  <c r="D448" i="3"/>
  <c r="F448" i="3"/>
  <c r="D449" i="3"/>
  <c r="F449" i="3"/>
  <c r="D450" i="3"/>
  <c r="F450" i="3"/>
  <c r="D451" i="3"/>
  <c r="F451" i="3"/>
  <c r="D452" i="3"/>
  <c r="F452" i="3"/>
  <c r="D453" i="3"/>
  <c r="F453" i="3"/>
  <c r="D454" i="3"/>
  <c r="F454" i="3"/>
  <c r="D455" i="3"/>
  <c r="F455" i="3"/>
  <c r="D456" i="3"/>
  <c r="F456" i="3"/>
  <c r="D457" i="3"/>
  <c r="F457" i="3"/>
  <c r="D458" i="3"/>
  <c r="F458" i="3"/>
  <c r="D459" i="3"/>
  <c r="F459" i="3"/>
  <c r="D460" i="3"/>
  <c r="F460" i="3"/>
  <c r="D461" i="3"/>
  <c r="F461" i="3"/>
  <c r="D462" i="3"/>
  <c r="F462" i="3"/>
  <c r="D463" i="3"/>
  <c r="F463" i="3"/>
  <c r="D464" i="3"/>
  <c r="F464" i="3"/>
  <c r="D465" i="3"/>
  <c r="F465" i="3"/>
  <c r="D466" i="3"/>
  <c r="F466" i="3"/>
  <c r="D467" i="3"/>
  <c r="F467" i="3"/>
  <c r="D468" i="3"/>
  <c r="F468" i="3"/>
  <c r="D469" i="3"/>
  <c r="F469" i="3"/>
  <c r="D470" i="3"/>
  <c r="F470" i="3"/>
  <c r="D471" i="3"/>
  <c r="F471" i="3"/>
  <c r="D472" i="3"/>
  <c r="F472" i="3"/>
  <c r="D473" i="3"/>
  <c r="F473" i="3"/>
  <c r="D474" i="3"/>
  <c r="F474" i="3"/>
  <c r="D475" i="3"/>
  <c r="F475" i="3"/>
  <c r="D476" i="3"/>
  <c r="F476" i="3"/>
  <c r="D477" i="3"/>
  <c r="F477" i="3"/>
  <c r="D478" i="3"/>
  <c r="F478" i="3"/>
  <c r="D479" i="3"/>
  <c r="F479" i="3"/>
  <c r="D480" i="3"/>
  <c r="F480" i="3"/>
  <c r="D481" i="3"/>
  <c r="F481" i="3"/>
  <c r="D482" i="3"/>
  <c r="F482" i="3"/>
  <c r="D483" i="3"/>
  <c r="F483" i="3"/>
  <c r="D484" i="3"/>
  <c r="F484" i="3"/>
  <c r="D485" i="3"/>
  <c r="F485" i="3"/>
  <c r="D486" i="3"/>
  <c r="F486" i="3"/>
  <c r="D487" i="3"/>
  <c r="F487" i="3"/>
  <c r="D488" i="3"/>
  <c r="F488" i="3"/>
  <c r="D489" i="3"/>
  <c r="F489" i="3"/>
  <c r="D490" i="3"/>
  <c r="F490" i="3"/>
  <c r="D491" i="3"/>
  <c r="F491" i="3"/>
  <c r="D492" i="3"/>
  <c r="F492" i="3"/>
  <c r="D493" i="3"/>
  <c r="F493" i="3"/>
  <c r="D494" i="3"/>
  <c r="F494" i="3"/>
  <c r="D495" i="3"/>
  <c r="F495" i="3"/>
  <c r="D496" i="3"/>
  <c r="F496" i="3"/>
  <c r="D497" i="3"/>
  <c r="F497" i="3"/>
  <c r="D498" i="3"/>
  <c r="F498" i="3"/>
  <c r="D499" i="3"/>
  <c r="F499" i="3"/>
  <c r="D500" i="3"/>
  <c r="F500" i="3"/>
  <c r="D501" i="3"/>
  <c r="F501" i="3"/>
  <c r="D502" i="3"/>
  <c r="F502" i="3"/>
  <c r="D503" i="3"/>
  <c r="F503" i="3"/>
  <c r="D504" i="3"/>
  <c r="F504" i="3"/>
  <c r="D505" i="3"/>
  <c r="F505" i="3"/>
  <c r="D506" i="3"/>
  <c r="F506" i="3"/>
  <c r="D507" i="3"/>
  <c r="F507" i="3"/>
  <c r="D508" i="3"/>
  <c r="F508" i="3"/>
  <c r="D509" i="3"/>
  <c r="F509" i="3"/>
  <c r="D510" i="3"/>
  <c r="F510" i="3"/>
  <c r="D511" i="3"/>
  <c r="F511" i="3"/>
  <c r="D512" i="3"/>
  <c r="F512" i="3"/>
  <c r="D513" i="3"/>
  <c r="F513" i="3"/>
  <c r="D514" i="3"/>
  <c r="F514" i="3"/>
  <c r="D515" i="3"/>
  <c r="F515" i="3"/>
  <c r="D516" i="3"/>
  <c r="F516" i="3"/>
  <c r="D517" i="3"/>
  <c r="F517" i="3"/>
  <c r="D518" i="3"/>
  <c r="F518" i="3"/>
  <c r="D519" i="3"/>
  <c r="F519" i="3"/>
  <c r="D520" i="3"/>
  <c r="F520" i="3"/>
  <c r="D521" i="3"/>
  <c r="F521" i="3"/>
  <c r="D522" i="3"/>
  <c r="F522" i="3"/>
  <c r="D523" i="3"/>
  <c r="F523" i="3"/>
  <c r="D524" i="3"/>
  <c r="F524" i="3"/>
  <c r="D525" i="3"/>
  <c r="F525" i="3"/>
  <c r="D526" i="3"/>
  <c r="F526" i="3"/>
  <c r="D527" i="3"/>
  <c r="F527" i="3"/>
  <c r="D528" i="3"/>
  <c r="F528" i="3"/>
  <c r="D529" i="3"/>
  <c r="F529" i="3"/>
  <c r="D530" i="3"/>
  <c r="F530" i="3"/>
  <c r="D531" i="3"/>
  <c r="F531" i="3"/>
  <c r="D532" i="3"/>
  <c r="F532" i="3"/>
  <c r="D533" i="3"/>
  <c r="F533" i="3"/>
  <c r="D534" i="3"/>
  <c r="F534" i="3"/>
  <c r="D535" i="3"/>
  <c r="F535" i="3"/>
  <c r="D536" i="3"/>
  <c r="F536" i="3"/>
  <c r="D537" i="3"/>
  <c r="F537" i="3"/>
  <c r="D538" i="3"/>
  <c r="F538" i="3"/>
  <c r="D539" i="3"/>
  <c r="F539" i="3"/>
  <c r="D540" i="3"/>
  <c r="F540" i="3"/>
  <c r="D541" i="3"/>
  <c r="F541" i="3"/>
  <c r="D542" i="3"/>
  <c r="F542" i="3"/>
  <c r="D543" i="3"/>
  <c r="F543" i="3"/>
  <c r="D544" i="3"/>
  <c r="F544" i="3"/>
  <c r="D545" i="3"/>
  <c r="F545" i="3"/>
  <c r="D546" i="3"/>
  <c r="F546" i="3"/>
  <c r="D547" i="3"/>
  <c r="F547" i="3"/>
  <c r="D548" i="3"/>
  <c r="F548" i="3"/>
  <c r="D549" i="3"/>
  <c r="F549" i="3"/>
  <c r="D550" i="3"/>
  <c r="F550" i="3"/>
  <c r="D551" i="3"/>
  <c r="F551" i="3"/>
  <c r="D552" i="3"/>
  <c r="F552" i="3"/>
  <c r="D553" i="3"/>
  <c r="F553" i="3"/>
  <c r="D554" i="3"/>
  <c r="F554" i="3"/>
  <c r="D555" i="3"/>
  <c r="F555" i="3"/>
  <c r="D556" i="3"/>
  <c r="F556" i="3"/>
  <c r="D557" i="3"/>
  <c r="F557" i="3"/>
  <c r="D558" i="3"/>
  <c r="F558" i="3"/>
  <c r="D559" i="3"/>
  <c r="F559" i="3"/>
  <c r="D560" i="3"/>
  <c r="F560" i="3"/>
  <c r="D561" i="3"/>
  <c r="F561" i="3"/>
  <c r="D562" i="3"/>
  <c r="F562" i="3"/>
  <c r="D563" i="3"/>
  <c r="F563" i="3"/>
  <c r="D564" i="3"/>
  <c r="F564" i="3"/>
  <c r="D565" i="3"/>
  <c r="F565" i="3"/>
  <c r="D566" i="3"/>
  <c r="F566" i="3"/>
  <c r="D567" i="3"/>
  <c r="F567" i="3"/>
  <c r="D568" i="3"/>
  <c r="F568" i="3"/>
  <c r="D569" i="3"/>
  <c r="F569" i="3"/>
  <c r="D570" i="3"/>
  <c r="F570" i="3"/>
  <c r="D571" i="3"/>
  <c r="F571" i="3"/>
  <c r="D572" i="3"/>
  <c r="F572" i="3"/>
  <c r="D573" i="3"/>
  <c r="F573" i="3"/>
  <c r="D574" i="3"/>
  <c r="F574" i="3"/>
  <c r="D575" i="3"/>
  <c r="F575" i="3"/>
  <c r="D576" i="3"/>
  <c r="F576" i="3"/>
  <c r="D577" i="3"/>
  <c r="F577" i="3"/>
  <c r="D578" i="3"/>
  <c r="F578" i="3"/>
  <c r="D579" i="3"/>
  <c r="F579" i="3"/>
  <c r="D580" i="3"/>
  <c r="F580" i="3"/>
  <c r="D581" i="3"/>
  <c r="F581" i="3"/>
  <c r="D582" i="3"/>
  <c r="F582" i="3"/>
  <c r="D583" i="3"/>
  <c r="F583" i="3"/>
  <c r="D584" i="3"/>
  <c r="F584" i="3"/>
  <c r="D585" i="3"/>
  <c r="F585" i="3"/>
  <c r="D586" i="3"/>
  <c r="F586" i="3"/>
  <c r="D587" i="3"/>
  <c r="F587" i="3"/>
  <c r="D588" i="3"/>
  <c r="F588" i="3"/>
  <c r="D589" i="3"/>
  <c r="F589" i="3"/>
  <c r="D590" i="3"/>
  <c r="F590" i="3"/>
  <c r="D591" i="3"/>
  <c r="F591" i="3"/>
  <c r="D592" i="3"/>
  <c r="F592" i="3"/>
  <c r="D593" i="3"/>
  <c r="F593" i="3"/>
  <c r="D594" i="3"/>
  <c r="F594" i="3"/>
  <c r="D595" i="3"/>
  <c r="F595" i="3"/>
  <c r="D596" i="3"/>
  <c r="F596" i="3"/>
  <c r="D597" i="3"/>
  <c r="F597" i="3"/>
  <c r="D598" i="3"/>
  <c r="F598" i="3"/>
  <c r="D599" i="3"/>
  <c r="F599" i="3"/>
  <c r="D600" i="3"/>
  <c r="F600" i="3"/>
  <c r="D601" i="3"/>
  <c r="F601" i="3"/>
  <c r="D602" i="3"/>
  <c r="F602" i="3"/>
  <c r="D603" i="3"/>
  <c r="F603" i="3"/>
  <c r="D604" i="3"/>
  <c r="F604" i="3"/>
  <c r="D605" i="3"/>
  <c r="F605" i="3"/>
  <c r="D606" i="3"/>
  <c r="F606" i="3"/>
  <c r="D607" i="3"/>
  <c r="F607" i="3"/>
  <c r="D608" i="3"/>
  <c r="F608" i="3"/>
  <c r="D609" i="3"/>
  <c r="F609" i="3"/>
  <c r="D610" i="3"/>
  <c r="F610" i="3"/>
  <c r="D611" i="3"/>
  <c r="F611" i="3"/>
  <c r="D612" i="3"/>
  <c r="F612" i="3"/>
  <c r="D613" i="3"/>
  <c r="F613" i="3"/>
  <c r="D614" i="3"/>
  <c r="F614" i="3"/>
  <c r="D615" i="3"/>
  <c r="F615" i="3"/>
  <c r="D616" i="3"/>
  <c r="F616" i="3"/>
  <c r="D617" i="3"/>
  <c r="F617" i="3"/>
  <c r="D618" i="3"/>
  <c r="F618" i="3"/>
  <c r="D619" i="3"/>
  <c r="F619" i="3"/>
  <c r="D620" i="3"/>
  <c r="F620" i="3"/>
  <c r="D621" i="3"/>
  <c r="F621" i="3"/>
  <c r="D622" i="3"/>
  <c r="F622" i="3"/>
  <c r="D623" i="3"/>
  <c r="F623" i="3"/>
  <c r="D624" i="3"/>
  <c r="F624" i="3"/>
  <c r="D625" i="3"/>
  <c r="F625" i="3"/>
  <c r="D626" i="3"/>
  <c r="F626" i="3"/>
  <c r="D627" i="3"/>
  <c r="F627" i="3"/>
  <c r="D628" i="3"/>
  <c r="F628" i="3"/>
  <c r="D629" i="3"/>
  <c r="F629" i="3"/>
  <c r="D630" i="3"/>
  <c r="F630" i="3"/>
  <c r="D631" i="3"/>
  <c r="F631" i="3"/>
  <c r="D632" i="3"/>
  <c r="F632" i="3"/>
  <c r="D633" i="3"/>
  <c r="F633" i="3"/>
  <c r="D634" i="3"/>
  <c r="F634" i="3"/>
  <c r="D635" i="3"/>
  <c r="F635" i="3"/>
  <c r="D636" i="3"/>
  <c r="F636" i="3"/>
  <c r="D637" i="3"/>
  <c r="F637" i="3"/>
  <c r="D638" i="3"/>
  <c r="F638" i="3"/>
  <c r="D639" i="3"/>
  <c r="F639" i="3"/>
  <c r="D640" i="3"/>
  <c r="F640" i="3"/>
  <c r="D641" i="3"/>
  <c r="F641" i="3"/>
  <c r="D642" i="3"/>
  <c r="F642" i="3"/>
  <c r="D643" i="3"/>
  <c r="F643" i="3"/>
  <c r="D644" i="3"/>
  <c r="F644" i="3"/>
  <c r="D645" i="3"/>
  <c r="F645" i="3"/>
  <c r="D646" i="3"/>
  <c r="F646" i="3"/>
  <c r="D647" i="3"/>
  <c r="F647" i="3"/>
  <c r="D648" i="3"/>
  <c r="F648" i="3"/>
  <c r="D649" i="3"/>
  <c r="F649" i="3"/>
  <c r="D650" i="3"/>
  <c r="F650" i="3"/>
  <c r="D651" i="3"/>
  <c r="F651" i="3"/>
  <c r="D652" i="3"/>
  <c r="F652" i="3"/>
  <c r="D653" i="3"/>
  <c r="F653" i="3"/>
  <c r="D654" i="3"/>
  <c r="F654" i="3"/>
  <c r="D655" i="3"/>
  <c r="F655" i="3"/>
  <c r="D656" i="3"/>
  <c r="F656" i="3"/>
  <c r="D657" i="3"/>
  <c r="F657" i="3"/>
  <c r="D658" i="3"/>
  <c r="F658" i="3"/>
  <c r="D659" i="3"/>
  <c r="F659" i="3"/>
  <c r="D660" i="3"/>
  <c r="F660" i="3"/>
  <c r="D661" i="3"/>
  <c r="F661" i="3"/>
  <c r="D662" i="3"/>
  <c r="F662" i="3"/>
  <c r="D663" i="3"/>
  <c r="F663" i="3"/>
  <c r="D664" i="3"/>
  <c r="F664" i="3"/>
  <c r="D665" i="3"/>
  <c r="F665" i="3"/>
  <c r="D666" i="3"/>
  <c r="F666" i="3"/>
  <c r="D667" i="3"/>
  <c r="F667" i="3"/>
  <c r="D668" i="3"/>
  <c r="F668" i="3"/>
  <c r="D669" i="3"/>
  <c r="F669" i="3"/>
  <c r="D670" i="3"/>
  <c r="F670" i="3"/>
  <c r="D671" i="3"/>
  <c r="F671" i="3"/>
  <c r="D672" i="3"/>
  <c r="F672" i="3"/>
  <c r="D673" i="3"/>
  <c r="F673" i="3"/>
  <c r="D674" i="3"/>
  <c r="F674" i="3"/>
  <c r="D675" i="3"/>
  <c r="F675" i="3"/>
  <c r="D676" i="3"/>
  <c r="F676" i="3"/>
  <c r="D677" i="3"/>
  <c r="F677" i="3"/>
  <c r="D678" i="3"/>
  <c r="F678" i="3"/>
  <c r="D679" i="3"/>
  <c r="F679" i="3"/>
  <c r="D680" i="3"/>
  <c r="F680" i="3"/>
  <c r="D681" i="3"/>
  <c r="F681" i="3"/>
  <c r="D682" i="3"/>
  <c r="F682" i="3"/>
  <c r="D683" i="3"/>
  <c r="F683" i="3"/>
  <c r="D684" i="3"/>
  <c r="F684" i="3"/>
  <c r="D685" i="3"/>
  <c r="F685" i="3"/>
  <c r="D686" i="3"/>
  <c r="F686" i="3"/>
  <c r="D687" i="3"/>
  <c r="F687" i="3"/>
  <c r="D688" i="3"/>
  <c r="F688" i="3"/>
  <c r="D689" i="3"/>
  <c r="F689" i="3"/>
  <c r="D690" i="3"/>
  <c r="F690" i="3"/>
  <c r="D691" i="3"/>
  <c r="F691" i="3"/>
  <c r="D692" i="3"/>
  <c r="F692" i="3"/>
  <c r="D693" i="3"/>
  <c r="F693" i="3"/>
  <c r="D694" i="3"/>
  <c r="F694" i="3"/>
  <c r="D695" i="3"/>
  <c r="F695" i="3"/>
  <c r="D696" i="3"/>
  <c r="F696" i="3"/>
  <c r="D697" i="3"/>
  <c r="F697" i="3"/>
  <c r="D698" i="3"/>
  <c r="F698" i="3"/>
  <c r="D699" i="3"/>
  <c r="F699" i="3"/>
  <c r="D700" i="3"/>
  <c r="F700" i="3"/>
  <c r="D701" i="3"/>
  <c r="F701" i="3"/>
  <c r="D702" i="3"/>
  <c r="F702" i="3"/>
  <c r="D703" i="3"/>
  <c r="F703" i="3"/>
  <c r="D704" i="3"/>
  <c r="F704" i="3"/>
  <c r="D705" i="3"/>
  <c r="F705" i="3"/>
  <c r="D706" i="3"/>
  <c r="F706" i="3"/>
  <c r="D707" i="3"/>
  <c r="F707" i="3"/>
  <c r="D708" i="3"/>
  <c r="F708" i="3"/>
  <c r="D709" i="3"/>
  <c r="F709" i="3"/>
  <c r="D710" i="3"/>
  <c r="F710" i="3"/>
  <c r="D711" i="3"/>
  <c r="F711" i="3"/>
  <c r="D712" i="3"/>
  <c r="F712" i="3"/>
  <c r="D713" i="3"/>
  <c r="F713" i="3"/>
  <c r="D714" i="3"/>
  <c r="F714" i="3"/>
  <c r="D715" i="3"/>
  <c r="F715" i="3"/>
  <c r="D716" i="3"/>
  <c r="F716" i="3"/>
  <c r="D717" i="3"/>
  <c r="F717" i="3"/>
  <c r="D718" i="3"/>
  <c r="F718" i="3"/>
  <c r="D719" i="3"/>
  <c r="F719" i="3"/>
  <c r="D720" i="3"/>
  <c r="F720" i="3"/>
  <c r="D721" i="3"/>
  <c r="F721" i="3"/>
  <c r="D722" i="3"/>
  <c r="F722" i="3"/>
  <c r="D723" i="3"/>
  <c r="F723" i="3"/>
  <c r="D724" i="3"/>
  <c r="F724" i="3"/>
  <c r="D725" i="3"/>
  <c r="F725" i="3"/>
  <c r="D726" i="3"/>
  <c r="F726" i="3"/>
  <c r="D727" i="3"/>
  <c r="F727" i="3"/>
  <c r="D728" i="3"/>
  <c r="F728" i="3"/>
  <c r="D729" i="3"/>
  <c r="F729" i="3"/>
  <c r="D730" i="3"/>
  <c r="F730" i="3"/>
  <c r="D731" i="3"/>
  <c r="F731" i="3"/>
  <c r="D732" i="3"/>
  <c r="F732" i="3"/>
  <c r="D733" i="3"/>
  <c r="F733" i="3"/>
  <c r="D734" i="3"/>
  <c r="F734" i="3"/>
  <c r="D735" i="3"/>
  <c r="F735" i="3"/>
  <c r="D736" i="3"/>
  <c r="F736" i="3"/>
  <c r="D737" i="3"/>
  <c r="F737" i="3"/>
  <c r="D738" i="3"/>
  <c r="F738" i="3"/>
  <c r="D739" i="3"/>
  <c r="F739" i="3"/>
  <c r="D740" i="3"/>
  <c r="F740" i="3"/>
  <c r="D741" i="3"/>
  <c r="F741" i="3"/>
  <c r="D742" i="3"/>
  <c r="F742" i="3"/>
  <c r="D743" i="3"/>
  <c r="F743" i="3"/>
  <c r="D744" i="3"/>
  <c r="F744" i="3"/>
  <c r="D745" i="3"/>
  <c r="F745" i="3"/>
  <c r="D746" i="3"/>
  <c r="F746" i="3"/>
  <c r="D747" i="3"/>
  <c r="F747" i="3"/>
  <c r="D748" i="3"/>
  <c r="F748" i="3"/>
  <c r="D749" i="3"/>
  <c r="F749" i="3"/>
  <c r="D750" i="3"/>
  <c r="F750" i="3"/>
  <c r="D751" i="3"/>
  <c r="F751" i="3"/>
  <c r="D752" i="3"/>
  <c r="F752" i="3"/>
  <c r="D753" i="3"/>
  <c r="F753" i="3"/>
  <c r="D754" i="3"/>
  <c r="F754" i="3"/>
  <c r="D755" i="3"/>
  <c r="F755" i="3"/>
  <c r="D756" i="3"/>
  <c r="F756" i="3"/>
  <c r="D757" i="3"/>
  <c r="F757" i="3"/>
  <c r="D758" i="3"/>
  <c r="F758" i="3"/>
  <c r="D759" i="3"/>
  <c r="F759" i="3"/>
  <c r="D760" i="3"/>
  <c r="F760" i="3"/>
  <c r="D761" i="3"/>
  <c r="F761" i="3"/>
  <c r="D762" i="3"/>
  <c r="F762" i="3"/>
  <c r="D763" i="3"/>
  <c r="F763" i="3"/>
  <c r="D764" i="3"/>
  <c r="F764" i="3"/>
  <c r="D765" i="3"/>
  <c r="F765" i="3"/>
  <c r="D766" i="3"/>
  <c r="F766" i="3"/>
  <c r="D767" i="3"/>
  <c r="F767" i="3"/>
  <c r="D768" i="3"/>
  <c r="F768" i="3"/>
  <c r="D769" i="3"/>
  <c r="F769" i="3"/>
  <c r="D770" i="3"/>
  <c r="F770" i="3"/>
  <c r="D771" i="3"/>
  <c r="F771" i="3"/>
  <c r="D772" i="3"/>
  <c r="F772" i="3"/>
  <c r="D773" i="3"/>
  <c r="F773" i="3"/>
  <c r="D774" i="3"/>
  <c r="F774" i="3"/>
  <c r="D775" i="3"/>
  <c r="F775" i="3"/>
  <c r="D776" i="3"/>
  <c r="F776" i="3"/>
  <c r="D777" i="3"/>
  <c r="F777" i="3"/>
  <c r="D778" i="3"/>
  <c r="F778" i="3"/>
  <c r="D779" i="3"/>
  <c r="F779" i="3"/>
  <c r="D780" i="3"/>
  <c r="F780" i="3"/>
  <c r="D781" i="3"/>
  <c r="F781" i="3"/>
  <c r="D782" i="3"/>
  <c r="F782" i="3"/>
  <c r="D783" i="3"/>
  <c r="F783" i="3"/>
  <c r="D784" i="3"/>
  <c r="F784" i="3"/>
  <c r="D785" i="3"/>
  <c r="F785" i="3"/>
  <c r="D786" i="3"/>
  <c r="F786" i="3"/>
  <c r="D787" i="3"/>
  <c r="F787" i="3"/>
  <c r="D788" i="3"/>
  <c r="F788" i="3"/>
  <c r="D789" i="3"/>
  <c r="F789" i="3"/>
  <c r="D790" i="3"/>
  <c r="F790" i="3"/>
  <c r="D791" i="3"/>
  <c r="F791" i="3"/>
  <c r="D792" i="3"/>
  <c r="F792" i="3"/>
  <c r="D793" i="3"/>
  <c r="F793" i="3"/>
  <c r="D794" i="3"/>
  <c r="F794" i="3"/>
  <c r="D795" i="3"/>
  <c r="F795" i="3"/>
  <c r="D796" i="3"/>
  <c r="F796" i="3"/>
  <c r="D797" i="3"/>
  <c r="F797" i="3"/>
  <c r="D798" i="3"/>
  <c r="F798" i="3"/>
  <c r="D799" i="3"/>
  <c r="F799" i="3"/>
  <c r="D800" i="3"/>
  <c r="F800" i="3"/>
  <c r="D801" i="3"/>
  <c r="F801" i="3"/>
  <c r="D802" i="3"/>
  <c r="F802" i="3"/>
  <c r="D803" i="3"/>
  <c r="F803" i="3"/>
  <c r="D804" i="3"/>
  <c r="F804" i="3"/>
  <c r="D805" i="3"/>
  <c r="F805" i="3"/>
  <c r="D806" i="3"/>
  <c r="F806" i="3"/>
  <c r="D807" i="3"/>
  <c r="F807" i="3"/>
  <c r="D808" i="3"/>
  <c r="F808" i="3"/>
  <c r="D809" i="3"/>
  <c r="F809" i="3"/>
  <c r="D810" i="3"/>
  <c r="F810" i="3"/>
  <c r="D811" i="3"/>
  <c r="F811" i="3"/>
  <c r="D812" i="3"/>
  <c r="F812" i="3"/>
  <c r="D813" i="3"/>
  <c r="F813" i="3"/>
  <c r="D814" i="3"/>
  <c r="F814" i="3"/>
  <c r="D815" i="3"/>
  <c r="F815" i="3"/>
  <c r="D816" i="3"/>
  <c r="F816" i="3"/>
  <c r="D817" i="3"/>
  <c r="F817" i="3"/>
  <c r="D818" i="3"/>
  <c r="F818" i="3"/>
  <c r="D819" i="3"/>
  <c r="F819" i="3"/>
  <c r="D820" i="3"/>
  <c r="F820" i="3"/>
  <c r="D821" i="3"/>
  <c r="F821" i="3"/>
  <c r="D822" i="3"/>
  <c r="F822" i="3"/>
  <c r="D823" i="3"/>
  <c r="F823" i="3"/>
  <c r="D824" i="3"/>
  <c r="F824" i="3"/>
  <c r="D825" i="3"/>
  <c r="F825" i="3"/>
  <c r="D826" i="3"/>
  <c r="F826" i="3"/>
  <c r="D827" i="3"/>
  <c r="F827" i="3"/>
  <c r="D828" i="3"/>
  <c r="F828" i="3"/>
  <c r="D829" i="3"/>
  <c r="F829" i="3"/>
  <c r="D830" i="3"/>
  <c r="F830" i="3"/>
  <c r="D831" i="3"/>
  <c r="F831" i="3"/>
  <c r="D832" i="3"/>
  <c r="F832" i="3"/>
  <c r="D833" i="3"/>
  <c r="F833" i="3"/>
  <c r="D834" i="3"/>
  <c r="F834" i="3"/>
  <c r="D835" i="3"/>
  <c r="F835" i="3"/>
  <c r="D836" i="3"/>
  <c r="F836" i="3"/>
  <c r="D837" i="3"/>
  <c r="F837" i="3"/>
  <c r="D838" i="3"/>
  <c r="F838" i="3"/>
  <c r="D839" i="3"/>
  <c r="F839" i="3"/>
  <c r="D840" i="3"/>
  <c r="F840" i="3"/>
  <c r="D841" i="3"/>
  <c r="F841" i="3"/>
  <c r="D842" i="3"/>
  <c r="F842" i="3"/>
  <c r="D843" i="3"/>
  <c r="F843" i="3"/>
  <c r="D844" i="3"/>
  <c r="F844" i="3"/>
  <c r="D845" i="3"/>
  <c r="F845" i="3"/>
  <c r="D846" i="3"/>
  <c r="F846" i="3"/>
  <c r="D847" i="3"/>
  <c r="F847" i="3"/>
  <c r="D848" i="3"/>
  <c r="F848" i="3"/>
  <c r="D849" i="3"/>
  <c r="F849" i="3"/>
  <c r="D850" i="3"/>
  <c r="F850" i="3"/>
  <c r="D851" i="3"/>
  <c r="F851" i="3"/>
  <c r="D852" i="3"/>
  <c r="F852" i="3"/>
  <c r="D853" i="3"/>
  <c r="F853" i="3"/>
  <c r="D854" i="3"/>
  <c r="F854" i="3"/>
  <c r="D855" i="3"/>
  <c r="F855" i="3"/>
  <c r="D856" i="3"/>
  <c r="F856" i="3"/>
  <c r="D857" i="3"/>
  <c r="F857" i="3"/>
  <c r="D858" i="3"/>
  <c r="F858" i="3"/>
  <c r="D859" i="3"/>
  <c r="F859" i="3"/>
  <c r="D860" i="3"/>
  <c r="F860" i="3"/>
  <c r="D861" i="3"/>
  <c r="F861" i="3"/>
  <c r="D862" i="3"/>
  <c r="F862" i="3"/>
  <c r="D863" i="3"/>
  <c r="F863" i="3"/>
  <c r="D864" i="3"/>
  <c r="F864" i="3"/>
  <c r="D865" i="3"/>
  <c r="F865" i="3"/>
  <c r="D866" i="3"/>
  <c r="F866" i="3"/>
  <c r="D867" i="3"/>
  <c r="F867" i="3"/>
  <c r="D868" i="3"/>
  <c r="F868" i="3"/>
  <c r="D869" i="3"/>
  <c r="F869" i="3"/>
  <c r="D870" i="3"/>
  <c r="F870" i="3"/>
  <c r="D871" i="3"/>
  <c r="F871" i="3"/>
  <c r="D872" i="3"/>
  <c r="F872" i="3"/>
  <c r="D873" i="3"/>
  <c r="F873" i="3"/>
  <c r="D874" i="3"/>
  <c r="F874" i="3"/>
  <c r="D875" i="3"/>
  <c r="F875" i="3"/>
  <c r="D876" i="3"/>
  <c r="F876" i="3"/>
  <c r="D877" i="3"/>
  <c r="F877" i="3"/>
  <c r="D878" i="3"/>
  <c r="F878" i="3"/>
  <c r="D879" i="3"/>
  <c r="F879" i="3"/>
  <c r="D880" i="3"/>
  <c r="F880" i="3"/>
  <c r="D881" i="3"/>
  <c r="F881" i="3"/>
  <c r="D882" i="3"/>
  <c r="F882" i="3"/>
  <c r="D883" i="3"/>
  <c r="F883" i="3"/>
  <c r="D884" i="3"/>
  <c r="F884" i="3"/>
  <c r="D885" i="3"/>
  <c r="F885" i="3"/>
  <c r="D886" i="3"/>
  <c r="F886" i="3"/>
  <c r="D887" i="3"/>
  <c r="F887" i="3"/>
  <c r="D888" i="3"/>
  <c r="F888" i="3"/>
  <c r="D889" i="3"/>
  <c r="F889" i="3"/>
  <c r="D890" i="3"/>
  <c r="F890" i="3"/>
  <c r="D891" i="3"/>
  <c r="F891" i="3"/>
  <c r="D892" i="3"/>
  <c r="F892" i="3"/>
  <c r="D893" i="3"/>
  <c r="F893" i="3"/>
  <c r="D894" i="3"/>
  <c r="F894" i="3"/>
  <c r="D895" i="3"/>
  <c r="F895" i="3"/>
  <c r="D896" i="3"/>
  <c r="F896" i="3"/>
  <c r="D897" i="3"/>
  <c r="F897" i="3"/>
  <c r="D898" i="3"/>
  <c r="F898" i="3"/>
  <c r="D899" i="3"/>
  <c r="F899" i="3"/>
  <c r="D900" i="3"/>
  <c r="F900" i="3"/>
  <c r="D901" i="3"/>
  <c r="F901" i="3"/>
  <c r="D902" i="3"/>
  <c r="F902" i="3"/>
  <c r="D903" i="3"/>
  <c r="F903" i="3"/>
  <c r="D904" i="3"/>
  <c r="F904" i="3"/>
  <c r="D905" i="3"/>
  <c r="F905" i="3"/>
  <c r="D906" i="3"/>
  <c r="F906" i="3"/>
  <c r="D907" i="3"/>
  <c r="F907" i="3"/>
  <c r="D908" i="3"/>
  <c r="F908" i="3"/>
  <c r="D909" i="3"/>
  <c r="F909" i="3"/>
  <c r="D910" i="3"/>
  <c r="F910" i="3"/>
  <c r="D911" i="3"/>
  <c r="F911" i="3"/>
  <c r="D912" i="3"/>
  <c r="F912" i="3"/>
  <c r="D913" i="3"/>
  <c r="F913" i="3"/>
  <c r="D914" i="3"/>
  <c r="F914" i="3"/>
  <c r="D915" i="3"/>
  <c r="F915" i="3"/>
  <c r="D916" i="3"/>
  <c r="F916" i="3"/>
  <c r="D917" i="3"/>
  <c r="F917" i="3"/>
  <c r="D918" i="3"/>
  <c r="F918" i="3"/>
  <c r="D919" i="3"/>
  <c r="F919" i="3"/>
  <c r="D920" i="3"/>
  <c r="F920" i="3"/>
  <c r="D921" i="3"/>
  <c r="F921" i="3"/>
  <c r="D922" i="3"/>
  <c r="F922" i="3"/>
  <c r="D923" i="3"/>
  <c r="F923" i="3"/>
  <c r="D924" i="3"/>
  <c r="F924" i="3"/>
  <c r="D925" i="3"/>
  <c r="F925" i="3"/>
  <c r="D926" i="3"/>
  <c r="F926" i="3"/>
  <c r="D927" i="3"/>
  <c r="F927" i="3"/>
  <c r="D928" i="3"/>
  <c r="F928" i="3"/>
  <c r="D929" i="3"/>
  <c r="F929" i="3"/>
  <c r="D930" i="3"/>
  <c r="F930" i="3"/>
  <c r="D931" i="3"/>
  <c r="F931" i="3"/>
  <c r="D932" i="3"/>
  <c r="F932" i="3"/>
  <c r="D933" i="3"/>
  <c r="F933" i="3"/>
  <c r="D934" i="3"/>
  <c r="F934" i="3"/>
  <c r="D935" i="3"/>
  <c r="F935" i="3"/>
  <c r="D936" i="3"/>
  <c r="F936" i="3"/>
  <c r="D937" i="3"/>
  <c r="F937" i="3"/>
  <c r="D938" i="3"/>
  <c r="F938" i="3"/>
  <c r="D939" i="3"/>
  <c r="F939" i="3"/>
  <c r="D940" i="3"/>
  <c r="F940" i="3"/>
  <c r="D941" i="3"/>
  <c r="F941" i="3"/>
  <c r="D942" i="3"/>
  <c r="F942" i="3"/>
  <c r="D943" i="3"/>
  <c r="F943" i="3"/>
  <c r="D944" i="3"/>
  <c r="F944" i="3"/>
  <c r="D945" i="3"/>
  <c r="F945" i="3"/>
  <c r="D946" i="3"/>
  <c r="F946" i="3"/>
  <c r="D947" i="3"/>
  <c r="F947" i="3"/>
  <c r="D948" i="3"/>
  <c r="F948" i="3"/>
  <c r="D949" i="3"/>
  <c r="F949" i="3"/>
  <c r="D950" i="3"/>
  <c r="F950" i="3"/>
  <c r="D951" i="3"/>
  <c r="F951" i="3"/>
  <c r="D952" i="3"/>
  <c r="F952" i="3"/>
  <c r="D953" i="3"/>
  <c r="F953" i="3"/>
  <c r="D954" i="3"/>
  <c r="F954" i="3"/>
  <c r="D955" i="3"/>
  <c r="F955" i="3"/>
  <c r="D956" i="3"/>
  <c r="F956" i="3"/>
  <c r="D957" i="3"/>
  <c r="F957" i="3"/>
  <c r="D958" i="3"/>
  <c r="F958" i="3"/>
  <c r="D959" i="3"/>
  <c r="F959" i="3"/>
  <c r="D960" i="3"/>
  <c r="F960" i="3"/>
  <c r="D961" i="3"/>
  <c r="F961" i="3"/>
  <c r="D962" i="3"/>
  <c r="F962" i="3"/>
  <c r="D963" i="3"/>
  <c r="F963" i="3"/>
  <c r="D964" i="3"/>
  <c r="F964" i="3"/>
  <c r="D965" i="3"/>
  <c r="F965" i="3"/>
  <c r="D966" i="3"/>
  <c r="F966" i="3"/>
  <c r="D967" i="3"/>
  <c r="F967" i="3"/>
  <c r="D968" i="3"/>
  <c r="F968" i="3"/>
  <c r="D969" i="3"/>
  <c r="F969" i="3"/>
  <c r="D970" i="3"/>
  <c r="F970" i="3"/>
  <c r="D971" i="3"/>
  <c r="F971" i="3"/>
  <c r="D972" i="3"/>
  <c r="F972" i="3"/>
  <c r="D973" i="3"/>
  <c r="F973" i="3"/>
  <c r="D974" i="3"/>
  <c r="F974" i="3"/>
  <c r="D975" i="3"/>
  <c r="F975" i="3"/>
  <c r="D976" i="3"/>
  <c r="F976" i="3"/>
  <c r="D977" i="3"/>
  <c r="F977" i="3"/>
  <c r="D978" i="3"/>
  <c r="F978" i="3"/>
  <c r="D979" i="3"/>
  <c r="F979" i="3"/>
  <c r="D980" i="3"/>
  <c r="F980" i="3"/>
  <c r="D981" i="3"/>
  <c r="F981" i="3"/>
  <c r="D982" i="3"/>
  <c r="F982" i="3"/>
  <c r="D983" i="3"/>
  <c r="F983" i="3"/>
  <c r="D984" i="3"/>
  <c r="F984" i="3"/>
  <c r="D985" i="3"/>
  <c r="F985" i="3"/>
  <c r="D986" i="3"/>
  <c r="F986" i="3"/>
  <c r="D987" i="3"/>
  <c r="F987" i="3"/>
  <c r="D988" i="3"/>
  <c r="F988" i="3"/>
  <c r="D989" i="3"/>
  <c r="F989" i="3"/>
  <c r="D990" i="3"/>
  <c r="F990" i="3"/>
  <c r="D991" i="3"/>
  <c r="F991" i="3"/>
  <c r="D992" i="3"/>
  <c r="F992" i="3"/>
  <c r="D993" i="3"/>
  <c r="F993" i="3"/>
  <c r="D994" i="3"/>
  <c r="F994" i="3"/>
  <c r="D995" i="3"/>
  <c r="F995" i="3"/>
  <c r="D996" i="3"/>
  <c r="F996" i="3"/>
  <c r="D997" i="3"/>
  <c r="F997" i="3"/>
  <c r="D998" i="3"/>
  <c r="F998" i="3"/>
  <c r="D999" i="3"/>
  <c r="F999" i="3"/>
  <c r="D1000" i="3"/>
  <c r="F1000" i="3"/>
  <c r="D1001" i="3"/>
  <c r="F1001" i="3"/>
  <c r="D1002" i="3"/>
  <c r="F1002" i="3"/>
  <c r="D1003" i="3"/>
  <c r="F1003" i="3"/>
  <c r="D1004" i="3"/>
  <c r="F1004" i="3"/>
  <c r="D1005" i="3"/>
  <c r="F1005" i="3"/>
  <c r="D1006" i="3"/>
  <c r="F1006" i="3"/>
  <c r="D1007" i="3"/>
  <c r="F1007" i="3"/>
  <c r="D1008" i="3"/>
  <c r="F1008" i="3"/>
  <c r="D1009" i="3"/>
  <c r="F1009" i="3"/>
  <c r="D1010" i="3"/>
  <c r="F1010" i="3"/>
  <c r="D1011" i="3"/>
  <c r="F1011" i="3"/>
  <c r="D1012" i="3"/>
  <c r="F1012" i="3"/>
  <c r="D1013" i="3"/>
  <c r="F1013" i="3"/>
  <c r="D1014" i="3"/>
  <c r="F1014" i="3"/>
  <c r="D1015" i="3"/>
  <c r="F1015" i="3"/>
  <c r="D1016" i="3"/>
  <c r="F1016" i="3"/>
  <c r="D1017" i="3"/>
  <c r="F1017" i="3"/>
  <c r="D1018" i="3"/>
  <c r="F1018" i="3"/>
  <c r="D1019" i="3"/>
  <c r="F1019" i="3"/>
  <c r="D1020" i="3"/>
  <c r="F1020" i="3"/>
  <c r="D1021" i="3"/>
  <c r="F1021" i="3"/>
  <c r="D1022" i="3"/>
  <c r="F1022" i="3"/>
  <c r="D1023" i="3"/>
  <c r="F1023" i="3"/>
  <c r="D1024" i="3"/>
  <c r="F1024" i="3"/>
  <c r="D1025" i="3"/>
  <c r="F1025" i="3"/>
  <c r="D1026" i="3"/>
  <c r="F1026" i="3"/>
  <c r="D1027" i="3"/>
  <c r="F1027" i="3"/>
  <c r="D1028" i="3"/>
  <c r="F1028" i="3"/>
  <c r="D1029" i="3"/>
  <c r="F1029" i="3"/>
  <c r="D1030" i="3"/>
  <c r="F1030" i="3"/>
  <c r="D1031" i="3"/>
  <c r="F1031" i="3"/>
  <c r="D1032" i="3"/>
  <c r="F1032" i="3"/>
  <c r="D1033" i="3"/>
  <c r="F1033" i="3"/>
  <c r="D1034" i="3"/>
  <c r="F1034" i="3"/>
  <c r="D1035" i="3"/>
  <c r="F1035" i="3"/>
  <c r="D1036" i="3"/>
  <c r="F1036" i="3"/>
  <c r="D1037" i="3"/>
  <c r="F1037" i="3"/>
  <c r="D1038" i="3"/>
  <c r="F1038" i="3"/>
  <c r="D1039" i="3"/>
  <c r="F1039" i="3"/>
  <c r="D1040" i="3"/>
  <c r="F1040" i="3"/>
  <c r="D1041" i="3"/>
  <c r="F1041" i="3"/>
  <c r="D1042" i="3"/>
  <c r="F1042" i="3"/>
  <c r="D1043" i="3"/>
  <c r="F1043" i="3"/>
  <c r="D1044" i="3"/>
  <c r="F1044" i="3"/>
  <c r="D1045" i="3"/>
  <c r="F1045" i="3"/>
  <c r="D1046" i="3"/>
  <c r="F1046" i="3"/>
  <c r="D1047" i="3"/>
  <c r="F1047" i="3"/>
  <c r="D1048" i="3"/>
  <c r="F1048" i="3"/>
  <c r="D1049" i="3"/>
  <c r="F1049" i="3"/>
  <c r="D1050" i="3"/>
  <c r="F1050" i="3"/>
  <c r="D1051" i="3"/>
  <c r="F1051" i="3"/>
  <c r="D1052" i="3"/>
  <c r="F1052" i="3"/>
  <c r="D1053" i="3"/>
  <c r="F1053" i="3"/>
  <c r="D1054" i="3"/>
  <c r="F1054" i="3"/>
  <c r="D1055" i="3"/>
  <c r="F1055" i="3"/>
  <c r="D1056" i="3"/>
  <c r="F1056" i="3"/>
  <c r="D1057" i="3"/>
  <c r="F1057" i="3"/>
  <c r="D1058" i="3"/>
  <c r="F1058" i="3"/>
  <c r="D1059" i="3"/>
  <c r="F1059" i="3"/>
  <c r="D1060" i="3"/>
  <c r="F1060" i="3"/>
  <c r="D1061" i="3"/>
  <c r="F1061" i="3"/>
  <c r="D1062" i="3"/>
  <c r="F1062" i="3"/>
  <c r="D1063" i="3"/>
  <c r="F1063" i="3"/>
  <c r="D1064" i="3"/>
  <c r="F1064" i="3"/>
  <c r="D1065" i="3"/>
  <c r="F1065" i="3"/>
  <c r="D1066" i="3"/>
  <c r="F1066" i="3"/>
  <c r="D1067" i="3"/>
  <c r="F1067" i="3"/>
  <c r="D1068" i="3"/>
  <c r="F1068" i="3"/>
  <c r="D1069" i="3"/>
  <c r="F1069" i="3"/>
  <c r="D1070" i="3"/>
  <c r="F1070" i="3"/>
  <c r="D1071" i="3"/>
  <c r="F1071" i="3"/>
  <c r="D1072" i="3"/>
  <c r="F1072" i="3"/>
  <c r="D1073" i="3"/>
  <c r="F1073" i="3"/>
  <c r="D1074" i="3"/>
  <c r="F1074" i="3"/>
  <c r="D1075" i="3"/>
  <c r="F1075" i="3"/>
  <c r="D1076" i="3"/>
  <c r="F1076" i="3"/>
  <c r="D1077" i="3"/>
  <c r="F1077" i="3"/>
  <c r="D1078" i="3"/>
  <c r="F1078" i="3"/>
  <c r="D1079" i="3"/>
  <c r="F1079" i="3"/>
  <c r="D1080" i="3"/>
  <c r="F1080" i="3"/>
  <c r="D1081" i="3"/>
  <c r="F1081" i="3"/>
  <c r="D1082" i="3"/>
  <c r="F1082" i="3"/>
  <c r="D1083" i="3"/>
  <c r="F1083" i="3"/>
  <c r="D1084" i="3"/>
  <c r="F1084" i="3"/>
  <c r="D1085" i="3"/>
  <c r="F1085" i="3"/>
  <c r="D1086" i="3"/>
  <c r="F1086" i="3"/>
  <c r="D1087" i="3"/>
  <c r="F1087" i="3"/>
  <c r="D1088" i="3"/>
  <c r="F1088" i="3"/>
  <c r="D1089" i="3"/>
  <c r="F1089" i="3"/>
  <c r="D1090" i="3"/>
  <c r="F1090" i="3"/>
  <c r="D1091" i="3"/>
  <c r="F1091" i="3"/>
  <c r="D1092" i="3"/>
  <c r="F1092" i="3"/>
  <c r="D1093" i="3"/>
  <c r="F1093" i="3"/>
  <c r="D1094" i="3"/>
  <c r="F1094" i="3"/>
  <c r="D1095" i="3"/>
  <c r="F1095" i="3"/>
  <c r="D1096" i="3"/>
  <c r="F1096" i="3"/>
  <c r="D1097" i="3"/>
  <c r="F1097" i="3"/>
  <c r="D1098" i="3"/>
  <c r="F1098" i="3"/>
  <c r="D1099" i="3"/>
  <c r="F1099" i="3"/>
  <c r="F47" i="5" l="1"/>
  <c r="G684" i="7"/>
  <c r="H684" i="7" s="1"/>
  <c r="G993" i="7"/>
  <c r="H993" i="7" s="1"/>
  <c r="G1013" i="7"/>
  <c r="H1013" i="7" s="1"/>
  <c r="F38" i="5"/>
  <c r="F155" i="5"/>
  <c r="G1033" i="7"/>
  <c r="G673" i="7"/>
  <c r="H673" i="7" s="1"/>
  <c r="G683" i="7"/>
  <c r="H683" i="7" s="1"/>
  <c r="G915" i="7"/>
  <c r="H915" i="7" s="1"/>
  <c r="I913" i="7" s="1"/>
  <c r="G925" i="7"/>
  <c r="H925" i="7" s="1"/>
  <c r="F139" i="5"/>
  <c r="G905" i="7"/>
  <c r="H905" i="7" s="1"/>
  <c r="G935" i="7"/>
  <c r="H935" i="7" s="1"/>
  <c r="Q883" i="7"/>
  <c r="H883" i="7"/>
  <c r="Q884" i="7"/>
  <c r="H884" i="7"/>
  <c r="G824" i="7"/>
  <c r="H824" i="7" s="1"/>
  <c r="G1025" i="7"/>
  <c r="H1025" i="7" s="1"/>
  <c r="F98" i="5"/>
  <c r="G1024" i="7"/>
  <c r="H1024" i="7" s="1"/>
  <c r="F23" i="5"/>
  <c r="G1023" i="7"/>
  <c r="H1023" i="7" s="1"/>
  <c r="G946" i="7"/>
  <c r="H946" i="7" s="1"/>
  <c r="G1034" i="7"/>
  <c r="F24" i="5"/>
  <c r="G893" i="7"/>
  <c r="F21" i="5"/>
  <c r="G1003" i="7"/>
  <c r="H1003" i="7" s="1"/>
  <c r="F13" i="5"/>
  <c r="G725" i="7"/>
  <c r="G374" i="7"/>
  <c r="H374" i="7" s="1"/>
  <c r="G633" i="7"/>
  <c r="H633" i="7" s="1"/>
  <c r="F45" i="5"/>
  <c r="G947" i="7"/>
  <c r="H947" i="7" s="1"/>
  <c r="F135" i="5"/>
  <c r="G996" i="7"/>
  <c r="H996" i="7" s="1"/>
  <c r="F141" i="5"/>
  <c r="G926" i="7"/>
  <c r="H926" i="7" s="1"/>
  <c r="F140" i="5"/>
  <c r="G924" i="7"/>
  <c r="H924" i="7" s="1"/>
  <c r="G874" i="7"/>
  <c r="H874" i="7" s="1"/>
  <c r="G995" i="7"/>
  <c r="H995" i="7" s="1"/>
  <c r="F22" i="5"/>
  <c r="G923" i="7"/>
  <c r="H923" i="7" s="1"/>
  <c r="F54" i="5"/>
  <c r="G253" i="7"/>
  <c r="H253" i="7" s="1"/>
  <c r="I253" i="7" s="1"/>
  <c r="F53" i="5"/>
  <c r="G273" i="7"/>
  <c r="H273" i="7" s="1"/>
  <c r="I273" i="7" s="1"/>
  <c r="G625" i="7"/>
  <c r="H625" i="7" s="1"/>
  <c r="G833" i="7"/>
  <c r="H833" i="7" s="1"/>
  <c r="G223" i="7"/>
  <c r="H223" i="7" s="1"/>
  <c r="G795" i="7"/>
  <c r="H795" i="7" s="1"/>
  <c r="F71" i="5"/>
  <c r="G195" i="7"/>
  <c r="H195" i="7" s="1"/>
  <c r="N82" i="5"/>
  <c r="G194" i="7"/>
  <c r="H194" i="7" s="1"/>
  <c r="F10" i="5"/>
  <c r="G234" i="7"/>
  <c r="H234" i="7" s="1"/>
  <c r="G193" i="7"/>
  <c r="H193" i="7" s="1"/>
  <c r="F27" i="5"/>
  <c r="G873" i="7"/>
  <c r="H873" i="7" s="1"/>
  <c r="G343" i="7"/>
  <c r="H343" i="7" s="1"/>
  <c r="G323" i="7"/>
  <c r="H323" i="7" s="1"/>
  <c r="G353" i="7"/>
  <c r="G213" i="7"/>
  <c r="H213" i="7" s="1"/>
  <c r="G794" i="7"/>
  <c r="H794" i="7" s="1"/>
  <c r="G433" i="7"/>
  <c r="H433" i="7" s="1"/>
  <c r="G423" i="7"/>
  <c r="H423" i="7" s="1"/>
  <c r="G375" i="7"/>
  <c r="H375" i="7" s="1"/>
  <c r="G723" i="7"/>
  <c r="G944" i="7"/>
  <c r="H944" i="7" s="1"/>
  <c r="G955" i="7"/>
  <c r="H955" i="7" s="1"/>
  <c r="G954" i="7"/>
  <c r="H954" i="7" s="1"/>
  <c r="G945" i="7"/>
  <c r="H945" i="7" s="1"/>
  <c r="G957" i="7"/>
  <c r="H957" i="7" s="1"/>
  <c r="G953" i="7"/>
  <c r="H953" i="7" s="1"/>
  <c r="G956" i="7"/>
  <c r="H956" i="7" s="1"/>
  <c r="G974" i="7"/>
  <c r="H974" i="7" s="1"/>
  <c r="G724" i="7"/>
  <c r="G863" i="7"/>
  <c r="H863" i="7" s="1"/>
  <c r="G844" i="7"/>
  <c r="H844" i="7" s="1"/>
  <c r="G854" i="7"/>
  <c r="H854" i="7" s="1"/>
  <c r="G864" i="7"/>
  <c r="H864" i="7" s="1"/>
  <c r="G906" i="7"/>
  <c r="H906" i="7" s="1"/>
  <c r="G936" i="7"/>
  <c r="H936" i="7" s="1"/>
  <c r="G934" i="7"/>
  <c r="H934" i="7" s="1"/>
  <c r="G904" i="7"/>
  <c r="H904" i="7" s="1"/>
  <c r="G963" i="7"/>
  <c r="H963" i="7" s="1"/>
  <c r="G943" i="7"/>
  <c r="H943" i="7" s="1"/>
  <c r="G973" i="7"/>
  <c r="H973" i="7" s="1"/>
  <c r="G643" i="7"/>
  <c r="H643" i="7" s="1"/>
  <c r="G903" i="7"/>
  <c r="H903" i="7" s="1"/>
  <c r="G843" i="7"/>
  <c r="H843" i="7" s="1"/>
  <c r="G853" i="7"/>
  <c r="H853" i="7" s="1"/>
  <c r="G773" i="7"/>
  <c r="H773" i="7" s="1"/>
  <c r="G763" i="7"/>
  <c r="H763" i="7" s="1"/>
  <c r="G783" i="7"/>
  <c r="H783" i="7" s="1"/>
  <c r="G793" i="7"/>
  <c r="H793" i="7" s="1"/>
  <c r="G803" i="7"/>
  <c r="H803" i="7" s="1"/>
  <c r="G403" i="7"/>
  <c r="H403" i="7" s="1"/>
  <c r="G823" i="7"/>
  <c r="H823" i="7" s="1"/>
  <c r="N83" i="5"/>
  <c r="N79" i="5"/>
  <c r="G694" i="7"/>
  <c r="H694" i="7" s="1"/>
  <c r="G814" i="7"/>
  <c r="H814" i="7" s="1"/>
  <c r="G653" i="7"/>
  <c r="H653" i="7" s="1"/>
  <c r="G813" i="7"/>
  <c r="H813" i="7" s="1"/>
  <c r="G404" i="7"/>
  <c r="H404" i="7" s="1"/>
  <c r="G784" i="7"/>
  <c r="H784" i="7" s="1"/>
  <c r="G774" i="7"/>
  <c r="H774" i="7" s="1"/>
  <c r="G764" i="7"/>
  <c r="H764" i="7" s="1"/>
  <c r="G804" i="7"/>
  <c r="H804" i="7" s="1"/>
  <c r="G805" i="7"/>
  <c r="H805" i="7" s="1"/>
  <c r="G785" i="7"/>
  <c r="H785" i="7" s="1"/>
  <c r="G815" i="7"/>
  <c r="H815" i="7" s="1"/>
  <c r="G576" i="7"/>
  <c r="H576" i="7" s="1"/>
  <c r="G484" i="7"/>
  <c r="H484" i="7" s="1"/>
  <c r="G85" i="7"/>
  <c r="H85" i="7" s="1"/>
  <c r="G45" i="7"/>
  <c r="H45" i="7" s="1"/>
  <c r="G496" i="7"/>
  <c r="H496" i="7" s="1"/>
  <c r="G465" i="7"/>
  <c r="H465" i="7" s="1"/>
  <c r="G155" i="7"/>
  <c r="H155" i="7" s="1"/>
  <c r="G115" i="7"/>
  <c r="H115" i="7" s="1"/>
  <c r="G145" i="7"/>
  <c r="H145" i="7" s="1"/>
  <c r="G35" i="7"/>
  <c r="H35" i="7" s="1"/>
  <c r="G55" i="7"/>
  <c r="H55" i="7" s="1"/>
  <c r="G125" i="7"/>
  <c r="H125" i="7" s="1"/>
  <c r="G524" i="7"/>
  <c r="H524" i="7" s="1"/>
  <c r="G75" i="7"/>
  <c r="H75" i="7" s="1"/>
  <c r="G135" i="7"/>
  <c r="H135" i="7" s="1"/>
  <c r="G95" i="7"/>
  <c r="H95" i="7" s="1"/>
  <c r="G474" i="7"/>
  <c r="H474" i="7" s="1"/>
  <c r="G185" i="7"/>
  <c r="H185" i="7" s="1"/>
  <c r="G105" i="7"/>
  <c r="H105" i="7" s="1"/>
  <c r="G65" i="7"/>
  <c r="H65" i="7" s="1"/>
  <c r="G165" i="7"/>
  <c r="H165" i="7" s="1"/>
  <c r="G175" i="7"/>
  <c r="H175" i="7" s="1"/>
  <c r="G26" i="7"/>
  <c r="G16" i="7"/>
  <c r="G6" i="7"/>
  <c r="H6" i="7" s="1"/>
  <c r="N81" i="5"/>
  <c r="N80" i="5"/>
  <c r="G703" i="7"/>
  <c r="H703" i="7" s="1"/>
  <c r="N89" i="5"/>
  <c r="G713" i="7"/>
  <c r="G754" i="7"/>
  <c r="H754" i="7" s="1"/>
  <c r="G714" i="7"/>
  <c r="G634" i="7"/>
  <c r="H634" i="7" s="1"/>
  <c r="G734" i="7"/>
  <c r="H734" i="7" s="1"/>
  <c r="I733" i="7" s="1"/>
  <c r="G753" i="7"/>
  <c r="H753" i="7" s="1"/>
  <c r="G636" i="7"/>
  <c r="H636" i="7" s="1"/>
  <c r="G744" i="7"/>
  <c r="H744" i="7" s="1"/>
  <c r="G755" i="7"/>
  <c r="H755" i="7" s="1"/>
  <c r="G715" i="7"/>
  <c r="G704" i="7"/>
  <c r="H704" i="7" s="1"/>
  <c r="G743" i="7"/>
  <c r="H743" i="7" s="1"/>
  <c r="G624" i="7"/>
  <c r="H624" i="7" s="1"/>
  <c r="G705" i="7"/>
  <c r="H705" i="7" s="1"/>
  <c r="G693" i="7"/>
  <c r="H693" i="7" s="1"/>
  <c r="G583" i="7"/>
  <c r="H583" i="7" s="1"/>
  <c r="G575" i="7"/>
  <c r="H575" i="7" s="1"/>
  <c r="G664" i="7"/>
  <c r="H664" i="7" s="1"/>
  <c r="G654" i="7"/>
  <c r="H654" i="7" s="1"/>
  <c r="G674" i="7"/>
  <c r="H674" i="7" s="1"/>
  <c r="G494" i="7"/>
  <c r="G574" i="7"/>
  <c r="H574" i="7" s="1"/>
  <c r="G13" i="7"/>
  <c r="G33" i="7"/>
  <c r="H33" i="7" s="1"/>
  <c r="G123" i="7"/>
  <c r="H123" i="7" s="1"/>
  <c r="G53" i="7"/>
  <c r="H53" i="7" s="1"/>
  <c r="G143" i="7"/>
  <c r="H143" i="7" s="1"/>
  <c r="G113" i="7"/>
  <c r="H113" i="7" s="1"/>
  <c r="G43" i="7"/>
  <c r="H43" i="7" s="1"/>
  <c r="G133" i="7"/>
  <c r="H133" i="7" s="1"/>
  <c r="G63" i="7"/>
  <c r="H63" i="7" s="1"/>
  <c r="G473" i="7"/>
  <c r="H473" i="7" s="1"/>
  <c r="G543" i="7"/>
  <c r="H543" i="7" s="1"/>
  <c r="G4" i="7"/>
  <c r="G24" i="7"/>
  <c r="H24" i="7" s="1"/>
  <c r="G493" i="7"/>
  <c r="G23" i="7"/>
  <c r="G83" i="7"/>
  <c r="H83" i="7" s="1"/>
  <c r="G173" i="7"/>
  <c r="H173" i="7" s="1"/>
  <c r="G103" i="7"/>
  <c r="H103" i="7" s="1"/>
  <c r="G73" i="7"/>
  <c r="H73" i="7" s="1"/>
  <c r="G163" i="7"/>
  <c r="H163" i="7" s="1"/>
  <c r="G93" i="7"/>
  <c r="H93" i="7" s="1"/>
  <c r="G183" i="7"/>
  <c r="H183" i="7" s="1"/>
  <c r="G153" i="7"/>
  <c r="H153" i="7" s="1"/>
  <c r="G544" i="7"/>
  <c r="H544" i="7" s="1"/>
  <c r="G235" i="7"/>
  <c r="H235" i="7" s="1"/>
  <c r="G483" i="7"/>
  <c r="H483" i="7" s="1"/>
  <c r="G533" i="7"/>
  <c r="H533" i="7" s="1"/>
  <c r="G3" i="7"/>
  <c r="G563" i="7"/>
  <c r="H563" i="7" s="1"/>
  <c r="I563" i="7" s="1"/>
  <c r="G324" i="7"/>
  <c r="H324" i="7" s="1"/>
  <c r="G334" i="7"/>
  <c r="H334" i="7" s="1"/>
  <c r="G236" i="7"/>
  <c r="H236" i="7" s="1"/>
  <c r="G205" i="7"/>
  <c r="H205" i="7" s="1"/>
  <c r="G596" i="7"/>
  <c r="H596" i="7" s="1"/>
  <c r="G586" i="7"/>
  <c r="H586" i="7" s="1"/>
  <c r="G226" i="7"/>
  <c r="H226" i="7" s="1"/>
  <c r="G215" i="7"/>
  <c r="H215" i="7" s="1"/>
  <c r="G333" i="7"/>
  <c r="H333" i="7" s="1"/>
  <c r="G535" i="7"/>
  <c r="H535" i="7" s="1"/>
  <c r="G413" i="7"/>
  <c r="H413" i="7" s="1"/>
  <c r="G233" i="7"/>
  <c r="H233" i="7" s="1"/>
  <c r="G373" i="7"/>
  <c r="H373" i="7" s="1"/>
  <c r="G363" i="7"/>
  <c r="H363" i="7" s="1"/>
  <c r="G203" i="7"/>
  <c r="H203" i="7" s="1"/>
  <c r="G443" i="7"/>
  <c r="H443" i="7" s="1"/>
  <c r="G523" i="7"/>
  <c r="G573" i="7"/>
  <c r="H573" i="7" s="1"/>
  <c r="G463" i="7"/>
  <c r="H463" i="7" s="1"/>
  <c r="G34" i="7"/>
  <c r="H34" i="7" s="1"/>
  <c r="G114" i="7"/>
  <c r="H114" i="7" s="1"/>
  <c r="G84" i="7"/>
  <c r="H84" i="7" s="1"/>
  <c r="G164" i="7"/>
  <c r="H164" i="7" s="1"/>
  <c r="G5" i="7"/>
  <c r="G54" i="7"/>
  <c r="H54" i="7" s="1"/>
  <c r="G134" i="7"/>
  <c r="H134" i="7" s="1"/>
  <c r="G495" i="7"/>
  <c r="H495" i="7" s="1"/>
  <c r="G104" i="7"/>
  <c r="H104" i="7" s="1"/>
  <c r="G184" i="7"/>
  <c r="H184" i="7" s="1"/>
  <c r="G25" i="7"/>
  <c r="G74" i="7"/>
  <c r="H74" i="7" s="1"/>
  <c r="G154" i="7"/>
  <c r="H154" i="7" s="1"/>
  <c r="G44" i="7"/>
  <c r="H44" i="7" s="1"/>
  <c r="G124" i="7"/>
  <c r="H124" i="7" s="1"/>
  <c r="G94" i="7"/>
  <c r="H94" i="7" s="1"/>
  <c r="G174" i="7"/>
  <c r="H174" i="7" s="1"/>
  <c r="G15" i="7"/>
  <c r="G64" i="7"/>
  <c r="H64" i="7" s="1"/>
  <c r="G144" i="7"/>
  <c r="H144" i="7" s="1"/>
  <c r="G445" i="7"/>
  <c r="H445" i="7" s="1"/>
  <c r="G454" i="7"/>
  <c r="H454" i="7" s="1"/>
  <c r="G504" i="7"/>
  <c r="H504" i="7" s="1"/>
  <c r="G294" i="7"/>
  <c r="H294" i="7" s="1"/>
  <c r="G313" i="7"/>
  <c r="H313" i="7" s="1"/>
  <c r="G335" i="7"/>
  <c r="H335" i="7" s="1"/>
  <c r="G325" i="7"/>
  <c r="H325" i="7" s="1"/>
  <c r="G303" i="7"/>
  <c r="H303" i="7" s="1"/>
  <c r="G293" i="7"/>
  <c r="H293" i="7" s="1"/>
  <c r="G244" i="7"/>
  <c r="G283" i="7"/>
  <c r="H283" i="7" s="1"/>
  <c r="G263" i="7"/>
  <c r="H263" i="7" s="1"/>
  <c r="G243" i="7"/>
  <c r="G204" i="7"/>
  <c r="H204" i="7" s="1"/>
  <c r="G225" i="7"/>
  <c r="H225" i="7" s="1"/>
  <c r="G595" i="7"/>
  <c r="H595" i="7" s="1"/>
  <c r="G585" i="7"/>
  <c r="H585" i="7" s="1"/>
  <c r="G214" i="7"/>
  <c r="H214" i="7" s="1"/>
  <c r="G444" i="7"/>
  <c r="H444" i="7" s="1"/>
  <c r="G453" i="7"/>
  <c r="H453" i="7" s="1"/>
  <c r="G503" i="7"/>
  <c r="H503" i="7" s="1"/>
  <c r="G553" i="7"/>
  <c r="H553" i="7" s="1"/>
  <c r="G555" i="7"/>
  <c r="H555" i="7" s="1"/>
  <c r="G513" i="7"/>
  <c r="H513" i="7" s="1"/>
  <c r="G534" i="7"/>
  <c r="H534" i="7" s="1"/>
  <c r="G384" i="7"/>
  <c r="H384" i="7" s="1"/>
  <c r="G554" i="7"/>
  <c r="H554" i="7" s="1"/>
  <c r="G354" i="7"/>
  <c r="G556" i="7"/>
  <c r="H556" i="7" s="1"/>
  <c r="G414" i="7"/>
  <c r="H414" i="7" s="1"/>
  <c r="G344" i="7"/>
  <c r="H344" i="7" s="1"/>
  <c r="G376" i="7"/>
  <c r="H376" i="7" s="1"/>
  <c r="G434" i="7"/>
  <c r="H434" i="7" s="1"/>
  <c r="G514" i="7"/>
  <c r="G394" i="7"/>
  <c r="H394" i="7" s="1"/>
  <c r="G364" i="7"/>
  <c r="H364" i="7" s="1"/>
  <c r="G424" i="7"/>
  <c r="H424" i="7" s="1"/>
  <c r="G224" i="7"/>
  <c r="H224" i="7" s="1"/>
  <c r="G594" i="7"/>
  <c r="H594" i="7" s="1"/>
  <c r="G584" i="7"/>
  <c r="H584" i="7" s="1"/>
  <c r="G505" i="7"/>
  <c r="H505" i="7" s="1"/>
  <c r="G446" i="7"/>
  <c r="G455" i="7"/>
  <c r="H393" i="7"/>
  <c r="H383" i="7"/>
  <c r="H164" i="3"/>
  <c r="H962" i="3"/>
  <c r="H834" i="3"/>
  <c r="H818" i="3"/>
  <c r="H690" i="3"/>
  <c r="H472" i="3"/>
  <c r="H408" i="3"/>
  <c r="I408" i="3" s="1"/>
  <c r="H296" i="3"/>
  <c r="I296" i="3" s="1"/>
  <c r="H264" i="3"/>
  <c r="H913" i="3"/>
  <c r="H881" i="3"/>
  <c r="H849" i="3"/>
  <c r="H833" i="3"/>
  <c r="H817" i="3"/>
  <c r="H801" i="3"/>
  <c r="H689" i="3"/>
  <c r="H198" i="3"/>
  <c r="H451" i="3"/>
  <c r="H435" i="3"/>
  <c r="H1004" i="3"/>
  <c r="H760" i="3"/>
  <c r="H1031" i="3"/>
  <c r="H889" i="3"/>
  <c r="H873" i="3"/>
  <c r="H841" i="3"/>
  <c r="H830" i="3"/>
  <c r="H766" i="3"/>
  <c r="H419" i="3"/>
  <c r="H387" i="3"/>
  <c r="H847" i="3"/>
  <c r="H740" i="3"/>
  <c r="H323" i="3"/>
  <c r="H307" i="3"/>
  <c r="H466" i="3"/>
  <c r="H258" i="3"/>
  <c r="H141" i="3"/>
  <c r="I141" i="3" s="1"/>
  <c r="H999" i="3"/>
  <c r="H668" i="3"/>
  <c r="H971" i="3"/>
  <c r="H880" i="3"/>
  <c r="H859" i="3"/>
  <c r="H795" i="3"/>
  <c r="H683" i="3"/>
  <c r="H176" i="3"/>
  <c r="H250" i="3"/>
  <c r="H170" i="3"/>
  <c r="H452" i="3"/>
  <c r="H702" i="3"/>
  <c r="H1085" i="3"/>
  <c r="H1053" i="3"/>
  <c r="H675" i="3"/>
  <c r="H584" i="3"/>
  <c r="H227" i="3"/>
  <c r="H158" i="3"/>
  <c r="H525" i="3"/>
  <c r="H397" i="3"/>
  <c r="H349" i="3"/>
  <c r="H317" i="3"/>
  <c r="H961" i="3"/>
  <c r="H945" i="3"/>
  <c r="H780" i="3"/>
  <c r="H764" i="3"/>
  <c r="H716" i="3"/>
  <c r="H700" i="3"/>
  <c r="H663" i="3"/>
  <c r="H647" i="3"/>
  <c r="H615" i="3"/>
  <c r="H583" i="3"/>
  <c r="H551" i="3"/>
  <c r="H487" i="3"/>
  <c r="H391" i="3"/>
  <c r="H183" i="3"/>
  <c r="H774" i="3"/>
  <c r="H710" i="3"/>
  <c r="H417" i="3"/>
  <c r="H257" i="3"/>
  <c r="H225" i="3"/>
  <c r="H209" i="3"/>
  <c r="H688" i="3"/>
  <c r="H454" i="3"/>
  <c r="H390" i="3"/>
  <c r="H310" i="3"/>
  <c r="H928" i="3"/>
  <c r="H693" i="3"/>
  <c r="H645" i="3"/>
  <c r="H629" i="3"/>
  <c r="H613" i="3"/>
  <c r="H597" i="3"/>
  <c r="H560" i="3"/>
  <c r="H549" i="3"/>
  <c r="H544" i="3"/>
  <c r="H480" i="3"/>
  <c r="H464" i="3"/>
  <c r="H400" i="3"/>
  <c r="H373" i="3"/>
  <c r="H341" i="3"/>
  <c r="H288" i="3"/>
  <c r="H133" i="3"/>
  <c r="H564" i="3"/>
  <c r="H383" i="3"/>
  <c r="H372" i="3"/>
  <c r="H367" i="3"/>
  <c r="H340" i="3"/>
  <c r="H335" i="3"/>
  <c r="H324" i="3"/>
  <c r="H319" i="3"/>
  <c r="H271" i="3"/>
  <c r="H143" i="3"/>
  <c r="H127" i="3"/>
  <c r="H739" i="3"/>
  <c r="H723" i="3"/>
  <c r="H622" i="3"/>
  <c r="H398" i="3"/>
  <c r="H270" i="3"/>
  <c r="H248" i="3"/>
  <c r="H126" i="3"/>
  <c r="H1050" i="3"/>
  <c r="H832" i="3"/>
  <c r="H816" i="3"/>
  <c r="H768" i="3"/>
  <c r="H614" i="3"/>
  <c r="H598" i="3"/>
  <c r="H582" i="3"/>
  <c r="H237" i="3"/>
  <c r="H858" i="3"/>
  <c r="H752" i="3"/>
  <c r="H534" i="3"/>
  <c r="H486" i="3"/>
  <c r="H199" i="3"/>
  <c r="H896" i="3"/>
  <c r="H1086" i="3"/>
  <c r="H1081" i="3"/>
  <c r="H1065" i="3"/>
  <c r="H1054" i="3"/>
  <c r="H1049" i="3"/>
  <c r="H1033" i="3"/>
  <c r="H1006" i="3"/>
  <c r="H985" i="3"/>
  <c r="H868" i="3"/>
  <c r="H852" i="3"/>
  <c r="H836" i="3"/>
  <c r="H820" i="3"/>
  <c r="H804" i="3"/>
  <c r="H730" i="3"/>
  <c r="H528" i="3"/>
  <c r="H517" i="3"/>
  <c r="H496" i="3"/>
  <c r="H342" i="3"/>
  <c r="H119" i="3"/>
  <c r="H1045" i="3"/>
  <c r="H825" i="3"/>
  <c r="H809" i="3"/>
  <c r="H777" i="3"/>
  <c r="H575" i="3"/>
  <c r="H437" i="3"/>
  <c r="H379" i="3"/>
  <c r="H262" i="3"/>
  <c r="H235" i="3"/>
  <c r="H851" i="3"/>
  <c r="H745" i="3"/>
  <c r="H713" i="3"/>
  <c r="H511" i="3"/>
  <c r="H495" i="3"/>
  <c r="H976" i="3"/>
  <c r="H192" i="3"/>
  <c r="H134" i="3"/>
  <c r="H866" i="3"/>
  <c r="H574" i="3"/>
  <c r="H563" i="3"/>
  <c r="H447" i="3"/>
  <c r="H160" i="3"/>
  <c r="H1052" i="3"/>
  <c r="H972" i="3"/>
  <c r="H600" i="3"/>
  <c r="H531" i="3"/>
  <c r="H308" i="3"/>
  <c r="H292" i="3"/>
  <c r="H276" i="3"/>
  <c r="H223" i="3"/>
  <c r="H207" i="3"/>
  <c r="H1084" i="3"/>
  <c r="H1073" i="3"/>
  <c r="H1041" i="3"/>
  <c r="H977" i="3"/>
  <c r="H908" i="3"/>
  <c r="H775" i="3"/>
  <c r="H669" i="3"/>
  <c r="H520" i="3"/>
  <c r="H244" i="3"/>
  <c r="H196" i="3"/>
  <c r="H567" i="3"/>
  <c r="H254" i="3"/>
  <c r="H174" i="3"/>
  <c r="H132" i="3"/>
  <c r="H111" i="3"/>
  <c r="H1046" i="3"/>
  <c r="H998" i="3"/>
  <c r="H956" i="3"/>
  <c r="H940" i="3"/>
  <c r="H919" i="3"/>
  <c r="H898" i="3"/>
  <c r="H861" i="3"/>
  <c r="H552" i="3"/>
  <c r="H463" i="3"/>
  <c r="H206" i="3"/>
  <c r="H128" i="3"/>
  <c r="H1077" i="3"/>
  <c r="H1019" i="3"/>
  <c r="H1003" i="3"/>
  <c r="H992" i="3"/>
  <c r="H987" i="3"/>
  <c r="H751" i="3"/>
  <c r="H337" i="3"/>
  <c r="H211" i="3"/>
  <c r="H190" i="3"/>
  <c r="H159" i="3"/>
  <c r="H112" i="3"/>
  <c r="H1082" i="3"/>
  <c r="H824" i="3"/>
  <c r="H787" i="3"/>
  <c r="H692" i="3"/>
  <c r="H687" i="3"/>
  <c r="H682" i="3"/>
  <c r="H603" i="3"/>
  <c r="H546" i="3"/>
  <c r="H541" i="3"/>
  <c r="H504" i="3"/>
  <c r="H483" i="3"/>
  <c r="H410" i="3"/>
  <c r="H374" i="3"/>
  <c r="H358" i="3"/>
  <c r="H232" i="3"/>
  <c r="H200" i="3"/>
  <c r="H179" i="3"/>
  <c r="H148" i="3"/>
  <c r="H1097" i="3"/>
  <c r="H876" i="3"/>
  <c r="H844" i="3"/>
  <c r="H786" i="3"/>
  <c r="H676" i="3"/>
  <c r="H655" i="3"/>
  <c r="H639" i="3"/>
  <c r="H623" i="3"/>
  <c r="H561" i="3"/>
  <c r="H436" i="3"/>
  <c r="H399" i="3"/>
  <c r="H384" i="3"/>
  <c r="H368" i="3"/>
  <c r="H336" i="3"/>
  <c r="H320" i="3"/>
  <c r="H168" i="3"/>
  <c r="H681" i="3"/>
  <c r="H644" i="3"/>
  <c r="H566" i="3"/>
  <c r="H503" i="3"/>
  <c r="H278" i="3"/>
  <c r="H231" i="3"/>
  <c r="H147" i="3"/>
  <c r="H1070" i="3"/>
  <c r="H917" i="3"/>
  <c r="H854" i="3"/>
  <c r="H791" i="3"/>
  <c r="H749" i="3"/>
  <c r="H733" i="3"/>
  <c r="H717" i="3"/>
  <c r="H607" i="3"/>
  <c r="H591" i="3"/>
  <c r="H576" i="3"/>
  <c r="H430" i="3"/>
  <c r="H351" i="3"/>
  <c r="H309" i="3"/>
  <c r="H167" i="3"/>
  <c r="H1096" i="3"/>
  <c r="H1064" i="3"/>
  <c r="H1038" i="3"/>
  <c r="H864" i="3"/>
  <c r="H785" i="3"/>
  <c r="H455" i="3"/>
  <c r="H424" i="3"/>
  <c r="H298" i="3"/>
  <c r="H246" i="3"/>
  <c r="H136" i="3"/>
  <c r="H115" i="3"/>
  <c r="H110" i="3"/>
  <c r="H1090" i="3"/>
  <c r="H1058" i="3"/>
  <c r="H811" i="3"/>
  <c r="H648" i="3"/>
  <c r="H632" i="3"/>
  <c r="H616" i="3"/>
  <c r="H611" i="3"/>
  <c r="H507" i="3"/>
  <c r="H445" i="3"/>
  <c r="H475" i="3"/>
  <c r="H470" i="3"/>
  <c r="H382" i="3"/>
  <c r="H287" i="3"/>
  <c r="H213" i="3"/>
  <c r="H197" i="3"/>
  <c r="H166" i="3"/>
  <c r="H151" i="3"/>
  <c r="H1063" i="3"/>
  <c r="H1042" i="3"/>
  <c r="H1026" i="3"/>
  <c r="H963" i="3"/>
  <c r="H947" i="3"/>
  <c r="H931" i="3"/>
  <c r="H910" i="3"/>
  <c r="H895" i="3"/>
  <c r="H863" i="3"/>
  <c r="H842" i="3"/>
  <c r="H837" i="3"/>
  <c r="H737" i="3"/>
  <c r="H721" i="3"/>
  <c r="H559" i="3"/>
  <c r="H957" i="3"/>
  <c r="H941" i="3"/>
  <c r="H857" i="3"/>
  <c r="H469" i="3"/>
  <c r="H344" i="3"/>
  <c r="H165" i="3"/>
  <c r="H228" i="3"/>
  <c r="H1020" i="3"/>
  <c r="H899" i="3"/>
  <c r="H673" i="3"/>
  <c r="H599" i="3"/>
  <c r="H516" i="3"/>
  <c r="H500" i="3"/>
  <c r="H422" i="3"/>
  <c r="H798" i="3"/>
  <c r="H772" i="3"/>
  <c r="H725" i="3"/>
  <c r="H646" i="3"/>
  <c r="H375" i="3"/>
  <c r="H327" i="3"/>
  <c r="H275" i="3"/>
  <c r="H180" i="3"/>
  <c r="H175" i="3"/>
  <c r="H144" i="3"/>
  <c r="H118" i="3"/>
  <c r="H667" i="3"/>
  <c r="H403" i="3"/>
  <c r="H214" i="3"/>
  <c r="H204" i="3"/>
  <c r="H184" i="3"/>
  <c r="H116" i="3"/>
  <c r="H662" i="3"/>
  <c r="H499" i="3"/>
  <c r="H429" i="3"/>
  <c r="H1095" i="3"/>
  <c r="H1074" i="3"/>
  <c r="H1069" i="3"/>
  <c r="H934" i="3"/>
  <c r="H903" i="3"/>
  <c r="H846" i="3"/>
  <c r="H815" i="3"/>
  <c r="H810" i="3"/>
  <c r="H805" i="3"/>
  <c r="H800" i="3"/>
  <c r="H769" i="3"/>
  <c r="H722" i="3"/>
  <c r="H631" i="3"/>
  <c r="H590" i="3"/>
  <c r="H580" i="3"/>
  <c r="H555" i="3"/>
  <c r="H550" i="3"/>
  <c r="H519" i="3"/>
  <c r="H484" i="3"/>
  <c r="H474" i="3"/>
  <c r="H439" i="3"/>
  <c r="H286" i="3"/>
  <c r="H245" i="3"/>
  <c r="H240" i="3"/>
  <c r="H224" i="3"/>
  <c r="H208" i="3"/>
  <c r="H135" i="3"/>
  <c r="H1017" i="3"/>
  <c r="H991" i="3"/>
  <c r="H965" i="3"/>
  <c r="H960" i="3"/>
  <c r="H944" i="3"/>
  <c r="H897" i="3"/>
  <c r="H892" i="3"/>
  <c r="H887" i="3"/>
  <c r="H789" i="3"/>
  <c r="H784" i="3"/>
  <c r="H753" i="3"/>
  <c r="H748" i="3"/>
  <c r="H712" i="3"/>
  <c r="H691" i="3"/>
  <c r="H666" i="3"/>
  <c r="H498" i="3"/>
  <c r="H488" i="3"/>
  <c r="H449" i="3"/>
  <c r="H290" i="3"/>
  <c r="H280" i="3"/>
  <c r="H255" i="3"/>
  <c r="H150" i="3"/>
  <c r="H130" i="3"/>
  <c r="H120" i="3"/>
  <c r="H1080" i="3"/>
  <c r="H1089" i="3"/>
  <c r="H1079" i="3"/>
  <c r="H1094" i="3"/>
  <c r="H1068" i="3"/>
  <c r="H1048" i="3"/>
  <c r="H1001" i="3"/>
  <c r="H975" i="3"/>
  <c r="H970" i="3"/>
  <c r="H850" i="3"/>
  <c r="H845" i="3"/>
  <c r="H835" i="3"/>
  <c r="H819" i="3"/>
  <c r="H799" i="3"/>
  <c r="H794" i="3"/>
  <c r="H732" i="3"/>
  <c r="H706" i="3"/>
  <c r="H696" i="3"/>
  <c r="H671" i="3"/>
  <c r="H630" i="3"/>
  <c r="H610" i="3"/>
  <c r="H589" i="3"/>
  <c r="H533" i="3"/>
  <c r="H523" i="3"/>
  <c r="H518" i="3"/>
  <c r="H493" i="3"/>
  <c r="H468" i="3"/>
  <c r="H438" i="3"/>
  <c r="H412" i="3"/>
  <c r="H407" i="3"/>
  <c r="H392" i="3"/>
  <c r="H330" i="3"/>
  <c r="H295" i="3"/>
  <c r="H260" i="3"/>
  <c r="H239" i="3"/>
  <c r="H218" i="3"/>
  <c r="H139" i="3"/>
  <c r="H125" i="3"/>
  <c r="H924" i="3"/>
  <c r="H1032" i="3"/>
  <c r="H1016" i="3"/>
  <c r="H964" i="3"/>
  <c r="H922" i="3"/>
  <c r="H865" i="3"/>
  <c r="H783" i="3"/>
  <c r="H726" i="3"/>
  <c r="H711" i="3"/>
  <c r="H660" i="3"/>
  <c r="H640" i="3"/>
  <c r="H619" i="3"/>
  <c r="H538" i="3"/>
  <c r="H512" i="3"/>
  <c r="H502" i="3"/>
  <c r="H448" i="3"/>
  <c r="H427" i="3"/>
  <c r="H371" i="3"/>
  <c r="H366" i="3"/>
  <c r="H289" i="3"/>
  <c r="H279" i="3"/>
  <c r="H212" i="3"/>
  <c r="H202" i="3"/>
  <c r="H888" i="3"/>
  <c r="H1057" i="3"/>
  <c r="H1000" i="3"/>
  <c r="H979" i="3"/>
  <c r="H969" i="3"/>
  <c r="H948" i="3"/>
  <c r="H927" i="3"/>
  <c r="H803" i="3"/>
  <c r="H731" i="3"/>
  <c r="H695" i="3"/>
  <c r="H624" i="3"/>
  <c r="H609" i="3"/>
  <c r="H548" i="3"/>
  <c r="H543" i="3"/>
  <c r="H522" i="3"/>
  <c r="H432" i="3"/>
  <c r="H376" i="3"/>
  <c r="H350" i="3"/>
  <c r="H163" i="3"/>
  <c r="H124" i="3"/>
  <c r="H1047" i="3"/>
  <c r="H1067" i="3"/>
  <c r="H1062" i="3"/>
  <c r="H1036" i="3"/>
  <c r="H994" i="3"/>
  <c r="H984" i="3"/>
  <c r="H958" i="3"/>
  <c r="H953" i="3"/>
  <c r="H942" i="3"/>
  <c r="H937" i="3"/>
  <c r="H921" i="3"/>
  <c r="H916" i="3"/>
  <c r="H911" i="3"/>
  <c r="H839" i="3"/>
  <c r="H828" i="3"/>
  <c r="H823" i="3"/>
  <c r="H782" i="3"/>
  <c r="H767" i="3"/>
  <c r="H736" i="3"/>
  <c r="H720" i="3"/>
  <c r="H705" i="3"/>
  <c r="H593" i="3"/>
  <c r="H573" i="3"/>
  <c r="H532" i="3"/>
  <c r="H506" i="3"/>
  <c r="H501" i="3"/>
  <c r="H477" i="3"/>
  <c r="H462" i="3"/>
  <c r="H442" i="3"/>
  <c r="H416" i="3"/>
  <c r="H381" i="3"/>
  <c r="H355" i="3"/>
  <c r="H339" i="3"/>
  <c r="H304" i="3"/>
  <c r="H269" i="3"/>
  <c r="H177" i="3"/>
  <c r="H973" i="3"/>
  <c r="H756" i="3"/>
  <c r="H328" i="3"/>
  <c r="H293" i="3"/>
  <c r="H283" i="3"/>
  <c r="H216" i="3"/>
  <c r="H191" i="3"/>
  <c r="H172" i="3"/>
  <c r="H929" i="3"/>
  <c r="H1021" i="3"/>
  <c r="H1025" i="3"/>
  <c r="H1009" i="3"/>
  <c r="H936" i="3"/>
  <c r="H905" i="3"/>
  <c r="H879" i="3"/>
  <c r="H761" i="3"/>
  <c r="H704" i="3"/>
  <c r="H699" i="3"/>
  <c r="H592" i="3"/>
  <c r="H557" i="3"/>
  <c r="H471" i="3"/>
  <c r="H415" i="3"/>
  <c r="H359" i="3"/>
  <c r="H268" i="3"/>
  <c r="H152" i="3"/>
  <c r="H867" i="3"/>
  <c r="H1078" i="3"/>
  <c r="H1035" i="3"/>
  <c r="H1030" i="3"/>
  <c r="H993" i="3"/>
  <c r="H988" i="3"/>
  <c r="H925" i="3"/>
  <c r="H894" i="3"/>
  <c r="H853" i="3"/>
  <c r="H848" i="3"/>
  <c r="H714" i="3"/>
  <c r="H709" i="3"/>
  <c r="H643" i="3"/>
  <c r="H446" i="3"/>
  <c r="H420" i="3"/>
  <c r="H404" i="3"/>
  <c r="H343" i="3"/>
  <c r="H312" i="3"/>
  <c r="H273" i="3"/>
  <c r="H247" i="3"/>
  <c r="H226" i="3"/>
  <c r="H215" i="3"/>
  <c r="H210" i="3"/>
  <c r="H171" i="3"/>
  <c r="H157" i="3"/>
  <c r="H142" i="3"/>
  <c r="H117" i="3"/>
  <c r="H914" i="3"/>
  <c r="H909" i="3"/>
  <c r="H770" i="3"/>
  <c r="H734" i="3"/>
  <c r="H718" i="3"/>
  <c r="H627" i="3"/>
  <c r="H485" i="3"/>
  <c r="H267" i="3"/>
  <c r="H107" i="3"/>
  <c r="H708" i="3"/>
  <c r="H596" i="3"/>
  <c r="H581" i="3"/>
  <c r="H389" i="3"/>
  <c r="H311" i="3"/>
  <c r="H131" i="3"/>
  <c r="H912" i="3"/>
  <c r="H1091" i="3"/>
  <c r="H1059" i="3"/>
  <c r="H1027" i="3"/>
  <c r="H1022" i="3"/>
  <c r="H1018" i="3"/>
  <c r="H1013" i="3"/>
  <c r="H1008" i="3"/>
  <c r="H951" i="3"/>
  <c r="H902" i="3"/>
  <c r="H882" i="3"/>
  <c r="H877" i="3"/>
  <c r="H843" i="3"/>
  <c r="H838" i="3"/>
  <c r="H793" i="3"/>
  <c r="H661" i="3"/>
  <c r="H479" i="3"/>
  <c r="H352" i="3"/>
  <c r="H974" i="3"/>
  <c r="H926" i="3"/>
  <c r="H862" i="3"/>
  <c r="H797" i="3"/>
  <c r="H812" i="3"/>
  <c r="H1072" i="3"/>
  <c r="H1040" i="3"/>
  <c r="H1012" i="3"/>
  <c r="H1007" i="3"/>
  <c r="H978" i="3"/>
  <c r="H955" i="3"/>
  <c r="H950" i="3"/>
  <c r="H930" i="3"/>
  <c r="H906" i="3"/>
  <c r="H901" i="3"/>
  <c r="H872" i="3"/>
  <c r="H827" i="3"/>
  <c r="H807" i="3"/>
  <c r="H178" i="3"/>
  <c r="H1002" i="3"/>
  <c r="H997" i="3"/>
  <c r="H983" i="3"/>
  <c r="H959" i="3"/>
  <c r="H935" i="3"/>
  <c r="H915" i="3"/>
  <c r="H891" i="3"/>
  <c r="H886" i="3"/>
  <c r="H715" i="3"/>
  <c r="H684" i="3"/>
  <c r="H670" i="3"/>
  <c r="H568" i="3"/>
  <c r="H1099" i="3"/>
  <c r="H1076" i="3"/>
  <c r="H1044" i="3"/>
  <c r="H1071" i="3"/>
  <c r="H1039" i="3"/>
  <c r="H1011" i="3"/>
  <c r="H954" i="3"/>
  <c r="H949" i="3"/>
  <c r="H900" i="3"/>
  <c r="H871" i="3"/>
  <c r="H826" i="3"/>
  <c r="H821" i="3"/>
  <c r="H796" i="3"/>
  <c r="H679" i="3"/>
  <c r="H527" i="3"/>
  <c r="H294" i="3"/>
  <c r="H259" i="3"/>
  <c r="H238" i="3"/>
  <c r="H360" i="3"/>
  <c r="H334" i="3"/>
  <c r="H182" i="3"/>
  <c r="H1075" i="3"/>
  <c r="H1043" i="3"/>
  <c r="H1010" i="3"/>
  <c r="H1005" i="3"/>
  <c r="H996" i="3"/>
  <c r="H982" i="3"/>
  <c r="H968" i="3"/>
  <c r="H939" i="3"/>
  <c r="H890" i="3"/>
  <c r="H885" i="3"/>
  <c r="H860" i="3"/>
  <c r="H754" i="3"/>
  <c r="H729" i="3"/>
  <c r="H456" i="3"/>
  <c r="H431" i="3"/>
  <c r="H1093" i="3"/>
  <c r="H1029" i="3"/>
  <c r="H1015" i="3"/>
  <c r="H943" i="3"/>
  <c r="H840" i="3"/>
  <c r="H698" i="3"/>
  <c r="H303" i="3"/>
  <c r="H263" i="3"/>
  <c r="H1066" i="3"/>
  <c r="H1034" i="3"/>
  <c r="H1088" i="3"/>
  <c r="H1056" i="3"/>
  <c r="H1024" i="3"/>
  <c r="H995" i="3"/>
  <c r="H990" i="3"/>
  <c r="H986" i="3"/>
  <c r="H981" i="3"/>
  <c r="H967" i="3"/>
  <c r="H938" i="3"/>
  <c r="H933" i="3"/>
  <c r="H779" i="3"/>
  <c r="H1098" i="3"/>
  <c r="H195" i="3"/>
  <c r="H1092" i="3"/>
  <c r="H1083" i="3"/>
  <c r="H1060" i="3"/>
  <c r="H1051" i="3"/>
  <c r="H1028" i="3"/>
  <c r="H1014" i="3"/>
  <c r="H952" i="3"/>
  <c r="H697" i="3"/>
  <c r="H535" i="3"/>
  <c r="H414" i="3"/>
  <c r="H1061" i="3"/>
  <c r="H1087" i="3"/>
  <c r="H1055" i="3"/>
  <c r="H1037" i="3"/>
  <c r="H1023" i="3"/>
  <c r="H989" i="3"/>
  <c r="H980" i="3"/>
  <c r="H966" i="3"/>
  <c r="H946" i="3"/>
  <c r="H932" i="3"/>
  <c r="H907" i="3"/>
  <c r="H763" i="3"/>
  <c r="H707" i="3"/>
  <c r="H272" i="3"/>
  <c r="H579" i="3"/>
  <c r="H515" i="3"/>
  <c r="H467" i="3"/>
  <c r="H423" i="3"/>
  <c r="H406" i="3"/>
  <c r="H326" i="3"/>
  <c r="H291" i="3"/>
  <c r="H243" i="3"/>
  <c r="H230" i="3"/>
  <c r="H893" i="3"/>
  <c r="H884" i="3"/>
  <c r="H870" i="3"/>
  <c r="H856" i="3"/>
  <c r="H765" i="3"/>
  <c r="H742" i="3"/>
  <c r="H728" i="3"/>
  <c r="H658" i="3"/>
  <c r="H612" i="3"/>
  <c r="H402" i="3"/>
  <c r="H388" i="3"/>
  <c r="H357" i="3"/>
  <c r="H353" i="3"/>
  <c r="H322" i="3"/>
  <c r="H299" i="3"/>
  <c r="H251" i="3"/>
  <c r="H234" i="3"/>
  <c r="H187" i="3"/>
  <c r="H162" i="3"/>
  <c r="H140" i="3"/>
  <c r="H453" i="3"/>
  <c r="H277" i="3"/>
  <c r="H822" i="3"/>
  <c r="H808" i="3"/>
  <c r="H694" i="3"/>
  <c r="H680" i="3"/>
  <c r="H635" i="3"/>
  <c r="H626" i="3"/>
  <c r="H554" i="3"/>
  <c r="H545" i="3"/>
  <c r="H122" i="3"/>
  <c r="H883" i="3"/>
  <c r="H878" i="3"/>
  <c r="H874" i="3"/>
  <c r="H869" i="3"/>
  <c r="H855" i="3"/>
  <c r="H831" i="3"/>
  <c r="H802" i="3"/>
  <c r="H788" i="3"/>
  <c r="H755" i="3"/>
  <c r="H750" i="3"/>
  <c r="H746" i="3"/>
  <c r="H741" i="3"/>
  <c r="H727" i="3"/>
  <c r="H703" i="3"/>
  <c r="H657" i="3"/>
  <c r="H621" i="3"/>
  <c r="H602" i="3"/>
  <c r="H578" i="3"/>
  <c r="H510" i="3"/>
  <c r="H497" i="3"/>
  <c r="H405" i="3"/>
  <c r="H401" i="3"/>
  <c r="H370" i="3"/>
  <c r="H356" i="3"/>
  <c r="H325" i="3"/>
  <c r="H321" i="3"/>
  <c r="H229" i="3"/>
  <c r="H221" i="3"/>
  <c r="H203" i="3"/>
  <c r="H186" i="3"/>
  <c r="H161" i="3"/>
  <c r="H114" i="3"/>
  <c r="H634" i="3"/>
  <c r="H625" i="3"/>
  <c r="H587" i="3"/>
  <c r="H514" i="3"/>
  <c r="H461" i="3"/>
  <c r="H426" i="3"/>
  <c r="H396" i="3"/>
  <c r="H378" i="3"/>
  <c r="H365" i="3"/>
  <c r="H347" i="3"/>
  <c r="H285" i="3"/>
  <c r="H242" i="3"/>
  <c r="H156" i="3"/>
  <c r="H109" i="3"/>
  <c r="H656" i="3"/>
  <c r="H651" i="3"/>
  <c r="H577" i="3"/>
  <c r="H558" i="3"/>
  <c r="H539" i="3"/>
  <c r="H509" i="3"/>
  <c r="H443" i="3"/>
  <c r="H418" i="3"/>
  <c r="H369" i="3"/>
  <c r="H338" i="3"/>
  <c r="H315" i="3"/>
  <c r="H220" i="3"/>
  <c r="H181" i="3"/>
  <c r="H173" i="3"/>
  <c r="H138" i="3"/>
  <c r="H113" i="3"/>
  <c r="H778" i="3"/>
  <c r="H773" i="3"/>
  <c r="H759" i="3"/>
  <c r="H735" i="3"/>
  <c r="H674" i="3"/>
  <c r="H665" i="3"/>
  <c r="H606" i="3"/>
  <c r="H491" i="3"/>
  <c r="H465" i="3"/>
  <c r="H920" i="3"/>
  <c r="H829" i="3"/>
  <c r="H806" i="3"/>
  <c r="H792" i="3"/>
  <c r="H701" i="3"/>
  <c r="H678" i="3"/>
  <c r="H586" i="3"/>
  <c r="H562" i="3"/>
  <c r="H526" i="3"/>
  <c r="H513" i="3"/>
  <c r="H508" i="3"/>
  <c r="H478" i="3"/>
  <c r="H421" i="3"/>
  <c r="H413" i="3"/>
  <c r="H395" i="3"/>
  <c r="H346" i="3"/>
  <c r="H333" i="3"/>
  <c r="H302" i="3"/>
  <c r="H266" i="3"/>
  <c r="H241" i="3"/>
  <c r="H219" i="3"/>
  <c r="H194" i="3"/>
  <c r="H155" i="3"/>
  <c r="H108" i="3"/>
  <c r="H781" i="3"/>
  <c r="H758" i="3"/>
  <c r="H744" i="3"/>
  <c r="H677" i="3"/>
  <c r="H650" i="3"/>
  <c r="H642" i="3"/>
  <c r="H605" i="3"/>
  <c r="H595" i="3"/>
  <c r="H571" i="3"/>
  <c r="H530" i="3"/>
  <c r="H490" i="3"/>
  <c r="H482" i="3"/>
  <c r="H434" i="3"/>
  <c r="H386" i="3"/>
  <c r="H314" i="3"/>
  <c r="H306" i="3"/>
  <c r="H236" i="3"/>
  <c r="H189" i="3"/>
  <c r="H129" i="3"/>
  <c r="H814" i="3"/>
  <c r="H738" i="3"/>
  <c r="H724" i="3"/>
  <c r="H686" i="3"/>
  <c r="H659" i="3"/>
  <c r="H547" i="3"/>
  <c r="H459" i="3"/>
  <c r="H394" i="3"/>
  <c r="H363" i="3"/>
  <c r="H301" i="3"/>
  <c r="H261" i="3"/>
  <c r="H253" i="3"/>
  <c r="H193" i="3"/>
  <c r="H154" i="3"/>
  <c r="H146" i="3"/>
  <c r="H771" i="3"/>
  <c r="H762" i="3"/>
  <c r="H757" i="3"/>
  <c r="H743" i="3"/>
  <c r="H719" i="3"/>
  <c r="H654" i="3"/>
  <c r="H570" i="3"/>
  <c r="H542" i="3"/>
  <c r="H529" i="3"/>
  <c r="H481" i="3"/>
  <c r="H433" i="3"/>
  <c r="H385" i="3"/>
  <c r="H354" i="3"/>
  <c r="H305" i="3"/>
  <c r="H188" i="3"/>
  <c r="H923" i="3"/>
  <c r="H918" i="3"/>
  <c r="H904" i="3"/>
  <c r="H875" i="3"/>
  <c r="H813" i="3"/>
  <c r="H790" i="3"/>
  <c r="H776" i="3"/>
  <c r="H747" i="3"/>
  <c r="H685" i="3"/>
  <c r="H672" i="3"/>
  <c r="H649" i="3"/>
  <c r="H608" i="3"/>
  <c r="H594" i="3"/>
  <c r="H565" i="3"/>
  <c r="H536" i="3"/>
  <c r="H494" i="3"/>
  <c r="H476" i="3"/>
  <c r="H458" i="3"/>
  <c r="H450" i="3"/>
  <c r="H440" i="3"/>
  <c r="H411" i="3"/>
  <c r="H362" i="3"/>
  <c r="H331" i="3"/>
  <c r="H318" i="3"/>
  <c r="H300" i="3"/>
  <c r="H282" i="3"/>
  <c r="H274" i="3"/>
  <c r="H256" i="3"/>
  <c r="H252" i="3"/>
  <c r="H222" i="3"/>
  <c r="H205" i="3"/>
  <c r="H149" i="3"/>
  <c r="H145" i="3"/>
  <c r="H123" i="3"/>
  <c r="H106" i="3"/>
  <c r="H617" i="3"/>
  <c r="H652" i="3"/>
  <c r="H537" i="3"/>
  <c r="H364" i="3"/>
  <c r="H233" i="3"/>
  <c r="H169" i="3"/>
  <c r="H105" i="3"/>
  <c r="H524" i="3"/>
  <c r="H489" i="3"/>
  <c r="H588" i="3"/>
  <c r="H569" i="3"/>
  <c r="H297" i="3"/>
  <c r="H425" i="3"/>
  <c r="H441" i="3"/>
  <c r="H345" i="3"/>
  <c r="H377" i="3"/>
  <c r="H332" i="3"/>
  <c r="H284" i="3"/>
  <c r="H249" i="3"/>
  <c r="H185" i="3"/>
  <c r="H121" i="3"/>
  <c r="H620" i="3"/>
  <c r="H393" i="3"/>
  <c r="H601" i="3"/>
  <c r="H540" i="3"/>
  <c r="H505" i="3"/>
  <c r="H428" i="3"/>
  <c r="H380" i="3"/>
  <c r="H638" i="3"/>
  <c r="H457" i="3"/>
  <c r="H313" i="3"/>
  <c r="H633" i="3"/>
  <c r="H572" i="3"/>
  <c r="H553" i="3"/>
  <c r="H492" i="3"/>
  <c r="H265" i="3"/>
  <c r="H201" i="3"/>
  <c r="H137" i="3"/>
  <c r="H628" i="3"/>
  <c r="H361" i="3"/>
  <c r="H637" i="3"/>
  <c r="H444" i="3"/>
  <c r="H348" i="3"/>
  <c r="H521" i="3"/>
  <c r="H409" i="3"/>
  <c r="H641" i="3"/>
  <c r="H636" i="3"/>
  <c r="H618" i="3"/>
  <c r="H604" i="3"/>
  <c r="H585" i="3"/>
  <c r="H473" i="3"/>
  <c r="H217" i="3"/>
  <c r="H153" i="3"/>
  <c r="H664" i="3"/>
  <c r="H329" i="3"/>
  <c r="H281" i="3"/>
  <c r="H653" i="3"/>
  <c r="H556" i="3"/>
  <c r="H460" i="3"/>
  <c r="H316" i="3"/>
  <c r="I683" i="7" l="1"/>
  <c r="Q1033" i="7"/>
  <c r="H1033" i="7"/>
  <c r="I883" i="7"/>
  <c r="H243" i="7"/>
  <c r="Q243" i="7"/>
  <c r="H724" i="7"/>
  <c r="Q724" i="7"/>
  <c r="H354" i="7"/>
  <c r="Q354" i="7"/>
  <c r="H723" i="7"/>
  <c r="Q723" i="7"/>
  <c r="H725" i="7"/>
  <c r="Q725" i="7"/>
  <c r="H244" i="7"/>
  <c r="Q244" i="7"/>
  <c r="H714" i="7"/>
  <c r="Q714" i="7"/>
  <c r="H715" i="7"/>
  <c r="Q715" i="7"/>
  <c r="H713" i="7"/>
  <c r="Q713" i="7"/>
  <c r="H353" i="7"/>
  <c r="Q353" i="7"/>
  <c r="H13" i="7"/>
  <c r="Q13" i="7"/>
  <c r="H23" i="7"/>
  <c r="Q23" i="7"/>
  <c r="H16" i="7"/>
  <c r="Q16" i="7"/>
  <c r="H26" i="7"/>
  <c r="Q26" i="7"/>
  <c r="H893" i="7"/>
  <c r="I893" i="7" s="1"/>
  <c r="Q893" i="7"/>
  <c r="H25" i="7"/>
  <c r="Q25" i="7"/>
  <c r="H15" i="7"/>
  <c r="Q15" i="7"/>
  <c r="H1034" i="7"/>
  <c r="Q1034" i="7"/>
  <c r="I823" i="7"/>
  <c r="I923" i="7"/>
  <c r="I193" i="7"/>
  <c r="I403" i="7"/>
  <c r="I813" i="7"/>
  <c r="I743" i="7"/>
  <c r="I753" i="7"/>
  <c r="I573" i="7"/>
  <c r="H523" i="7"/>
  <c r="I523" i="7" s="1"/>
  <c r="H514" i="7"/>
  <c r="I513" i="7" s="1"/>
  <c r="I583" i="7"/>
  <c r="I593" i="7"/>
  <c r="I553" i="7"/>
  <c r="I333" i="7"/>
  <c r="I530" i="3"/>
  <c r="E530" i="3" s="1"/>
  <c r="I885" i="3"/>
  <c r="E885" i="3" s="1"/>
  <c r="I359" i="3"/>
  <c r="E359" i="3" s="1"/>
  <c r="I392" i="3"/>
  <c r="E392" i="3" s="1"/>
  <c r="I424" i="3"/>
  <c r="E424" i="3" s="1"/>
  <c r="I368" i="3"/>
  <c r="E368" i="3" s="1"/>
  <c r="I112" i="3"/>
  <c r="E112" i="3" s="1"/>
  <c r="I775" i="3"/>
  <c r="E775" i="3" s="1"/>
  <c r="I437" i="3"/>
  <c r="E437" i="3" s="1"/>
  <c r="I237" i="3"/>
  <c r="E237" i="3" s="1"/>
  <c r="I400" i="3"/>
  <c r="E400" i="3" s="1"/>
  <c r="I764" i="3"/>
  <c r="E764" i="3" s="1"/>
  <c r="I170" i="3"/>
  <c r="E170" i="3" s="1"/>
  <c r="I801" i="3"/>
  <c r="E801" i="3" s="1"/>
  <c r="I377" i="3"/>
  <c r="E377" i="3" s="1"/>
  <c r="I617" i="3"/>
  <c r="E617" i="3" s="1"/>
  <c r="I411" i="3"/>
  <c r="E411" i="3" s="1"/>
  <c r="I813" i="3"/>
  <c r="E813" i="3" s="1"/>
  <c r="I743" i="3"/>
  <c r="E743" i="3" s="1"/>
  <c r="I659" i="3"/>
  <c r="E659" i="3" s="1"/>
  <c r="I571" i="3"/>
  <c r="E571" i="3" s="1"/>
  <c r="I333" i="3"/>
  <c r="E333" i="3" s="1"/>
  <c r="I829" i="3"/>
  <c r="E829" i="3" s="1"/>
  <c r="I181" i="3"/>
  <c r="E181" i="3" s="1"/>
  <c r="I285" i="3"/>
  <c r="E285" i="3" s="1"/>
  <c r="I221" i="3"/>
  <c r="E221" i="3" s="1"/>
  <c r="I741" i="3"/>
  <c r="E741" i="3" s="1"/>
  <c r="I626" i="3"/>
  <c r="E626" i="3" s="1"/>
  <c r="I322" i="3"/>
  <c r="E322" i="3" s="1"/>
  <c r="I230" i="3"/>
  <c r="E230" i="3" s="1"/>
  <c r="I966" i="3"/>
  <c r="E966" i="3" s="1"/>
  <c r="I1083" i="3"/>
  <c r="E1083" i="3" s="1"/>
  <c r="I1066" i="3"/>
  <c r="E1066" i="3" s="1"/>
  <c r="I890" i="3"/>
  <c r="E890" i="3" s="1"/>
  <c r="I527" i="3"/>
  <c r="E527" i="3" s="1"/>
  <c r="I670" i="3"/>
  <c r="E670" i="3" s="1"/>
  <c r="I906" i="3"/>
  <c r="E906" i="3" s="1"/>
  <c r="I661" i="3"/>
  <c r="E661" i="3" s="1"/>
  <c r="I131" i="3"/>
  <c r="E131" i="3" s="1"/>
  <c r="I709" i="3"/>
  <c r="E709" i="3" s="1"/>
  <c r="I415" i="3"/>
  <c r="E415" i="3" s="1"/>
  <c r="I191" i="3"/>
  <c r="E191" i="3" s="1"/>
  <c r="I477" i="3"/>
  <c r="E477" i="3" s="1"/>
  <c r="I921" i="3"/>
  <c r="E921" i="3" s="1"/>
  <c r="I432" i="3"/>
  <c r="E432" i="3" s="1"/>
  <c r="I202" i="3"/>
  <c r="E202" i="3" s="1"/>
  <c r="I783" i="3"/>
  <c r="E783" i="3" s="1"/>
  <c r="I407" i="3"/>
  <c r="E407" i="3" s="1"/>
  <c r="I799" i="3"/>
  <c r="E799" i="3" s="1"/>
  <c r="I150" i="3"/>
  <c r="E150" i="3" s="1"/>
  <c r="I897" i="3"/>
  <c r="E897" i="3" s="1"/>
  <c r="I484" i="3"/>
  <c r="E484" i="3" s="1"/>
  <c r="I1069" i="3"/>
  <c r="E1069" i="3" s="1"/>
  <c r="I175" i="3"/>
  <c r="E175" i="3" s="1"/>
  <c r="I895" i="3"/>
  <c r="E895" i="3" s="1"/>
  <c r="I455" i="3"/>
  <c r="E455" i="3" s="1"/>
  <c r="I791" i="3"/>
  <c r="E791" i="3" s="1"/>
  <c r="I384" i="3"/>
  <c r="E384" i="3" s="1"/>
  <c r="I232" i="3"/>
  <c r="E232" i="3" s="1"/>
  <c r="I159" i="3"/>
  <c r="E159" i="3" s="1"/>
  <c r="I919" i="3"/>
  <c r="E919" i="3" s="1"/>
  <c r="I908" i="3"/>
  <c r="E908" i="3" s="1"/>
  <c r="I563" i="3"/>
  <c r="E563" i="3" s="1"/>
  <c r="I575" i="3"/>
  <c r="E575" i="3" s="1"/>
  <c r="I985" i="3"/>
  <c r="E985" i="3" s="1"/>
  <c r="I582" i="3"/>
  <c r="E582" i="3" s="1"/>
  <c r="I143" i="3"/>
  <c r="E143" i="3" s="1"/>
  <c r="I464" i="3"/>
  <c r="E464" i="3" s="1"/>
  <c r="I225" i="3"/>
  <c r="E225" i="3" s="1"/>
  <c r="I780" i="3"/>
  <c r="E780" i="3" s="1"/>
  <c r="I250" i="3"/>
  <c r="E250" i="3" s="1"/>
  <c r="I817" i="3"/>
  <c r="E817" i="3" s="1"/>
  <c r="I652" i="3"/>
  <c r="E652" i="3" s="1"/>
  <c r="I242" i="3"/>
  <c r="E242" i="3" s="1"/>
  <c r="I294" i="3"/>
  <c r="E294" i="3" s="1"/>
  <c r="I643" i="3"/>
  <c r="E643" i="3" s="1"/>
  <c r="I916" i="3"/>
  <c r="E916" i="3" s="1"/>
  <c r="I144" i="3"/>
  <c r="E144" i="3" s="1"/>
  <c r="I749" i="3"/>
  <c r="E749" i="3" s="1"/>
  <c r="I200" i="3"/>
  <c r="E200" i="3" s="1"/>
  <c r="I898" i="3"/>
  <c r="E898" i="3" s="1"/>
  <c r="I447" i="3"/>
  <c r="E447" i="3" s="1"/>
  <c r="I868" i="3"/>
  <c r="E868" i="3" s="1"/>
  <c r="I127" i="3"/>
  <c r="E127" i="3" s="1"/>
  <c r="I209" i="3"/>
  <c r="E209" i="3" s="1"/>
  <c r="I847" i="3"/>
  <c r="E847" i="3" s="1"/>
  <c r="I618" i="3"/>
  <c r="E618" i="3" s="1"/>
  <c r="I633" i="3"/>
  <c r="E633" i="3" s="1"/>
  <c r="I636" i="3"/>
  <c r="E636" i="3" s="1"/>
  <c r="I313" i="3"/>
  <c r="E313" i="3" s="1"/>
  <c r="I440" i="3"/>
  <c r="E440" i="3" s="1"/>
  <c r="I875" i="3"/>
  <c r="E875" i="3" s="1"/>
  <c r="I757" i="3"/>
  <c r="E757" i="3" s="1"/>
  <c r="I686" i="3"/>
  <c r="E686" i="3" s="1"/>
  <c r="I595" i="3"/>
  <c r="E595" i="3" s="1"/>
  <c r="I346" i="3"/>
  <c r="E346" i="3" s="1"/>
  <c r="I920" i="3"/>
  <c r="E920" i="3" s="1"/>
  <c r="I220" i="3"/>
  <c r="E220" i="3" s="1"/>
  <c r="I347" i="3"/>
  <c r="E347" i="3" s="1"/>
  <c r="I229" i="3"/>
  <c r="E229" i="3" s="1"/>
  <c r="I746" i="3"/>
  <c r="E746" i="3" s="1"/>
  <c r="I635" i="3"/>
  <c r="E635" i="3" s="1"/>
  <c r="I353" i="3"/>
  <c r="E353" i="3" s="1"/>
  <c r="I243" i="3"/>
  <c r="E243" i="3" s="1"/>
  <c r="I980" i="3"/>
  <c r="E980" i="3" s="1"/>
  <c r="I1092" i="3"/>
  <c r="E1092" i="3" s="1"/>
  <c r="I939" i="3"/>
  <c r="E939" i="3" s="1"/>
  <c r="I679" i="3"/>
  <c r="E679" i="3" s="1"/>
  <c r="I684" i="3"/>
  <c r="E684" i="3" s="1"/>
  <c r="I930" i="3"/>
  <c r="E930" i="3" s="1"/>
  <c r="I793" i="3"/>
  <c r="E793" i="3" s="1"/>
  <c r="I311" i="3"/>
  <c r="E311" i="3" s="1"/>
  <c r="I117" i="3"/>
  <c r="E117" i="3" s="1"/>
  <c r="I714" i="3"/>
  <c r="E714" i="3" s="1"/>
  <c r="I471" i="3"/>
  <c r="E471" i="3" s="1"/>
  <c r="I216" i="3"/>
  <c r="E216" i="3" s="1"/>
  <c r="I501" i="3"/>
  <c r="E501" i="3" s="1"/>
  <c r="I937" i="3"/>
  <c r="E937" i="3" s="1"/>
  <c r="I522" i="3"/>
  <c r="E522" i="3" s="1"/>
  <c r="I212" i="3"/>
  <c r="E212" i="3" s="1"/>
  <c r="I865" i="3"/>
  <c r="E865" i="3" s="1"/>
  <c r="I412" i="3"/>
  <c r="E412" i="3" s="1"/>
  <c r="I819" i="3"/>
  <c r="E819" i="3" s="1"/>
  <c r="I255" i="3"/>
  <c r="E255" i="3" s="1"/>
  <c r="I944" i="3"/>
  <c r="E944" i="3" s="1"/>
  <c r="I519" i="3"/>
  <c r="E519" i="3" s="1"/>
  <c r="I1074" i="3"/>
  <c r="E1074" i="3" s="1"/>
  <c r="I180" i="3"/>
  <c r="E180" i="3" s="1"/>
  <c r="I228" i="3"/>
  <c r="E228" i="3" s="1"/>
  <c r="I910" i="3"/>
  <c r="E910" i="3" s="1"/>
  <c r="I445" i="3"/>
  <c r="E445" i="3" s="1"/>
  <c r="I785" i="3"/>
  <c r="E785" i="3" s="1"/>
  <c r="I854" i="3"/>
  <c r="E854" i="3" s="1"/>
  <c r="I399" i="3"/>
  <c r="E399" i="3" s="1"/>
  <c r="I358" i="3"/>
  <c r="E358" i="3" s="1"/>
  <c r="I190" i="3"/>
  <c r="E190" i="3" s="1"/>
  <c r="I940" i="3"/>
  <c r="E940" i="3" s="1"/>
  <c r="I977" i="3"/>
  <c r="E977" i="3" s="1"/>
  <c r="I574" i="3"/>
  <c r="E574" i="3" s="1"/>
  <c r="I777" i="3"/>
  <c r="E777" i="3" s="1"/>
  <c r="I1006" i="3"/>
  <c r="E1006" i="3" s="1"/>
  <c r="I598" i="3"/>
  <c r="E598" i="3" s="1"/>
  <c r="I271" i="3"/>
  <c r="E271" i="3" s="1"/>
  <c r="I480" i="3"/>
  <c r="E480" i="3" s="1"/>
  <c r="I257" i="3"/>
  <c r="E257" i="3" s="1"/>
  <c r="I945" i="3"/>
  <c r="E945" i="3" s="1"/>
  <c r="I176" i="3"/>
  <c r="E176" i="3" s="1"/>
  <c r="I387" i="3"/>
  <c r="E387" i="3" s="1"/>
  <c r="I833" i="3"/>
  <c r="E833" i="3" s="1"/>
  <c r="I719" i="3"/>
  <c r="E719" i="3" s="1"/>
  <c r="I946" i="3"/>
  <c r="E946" i="3" s="1"/>
  <c r="I888" i="3"/>
  <c r="E888" i="3" s="1"/>
  <c r="I605" i="3"/>
  <c r="E605" i="3" s="1"/>
  <c r="I680" i="3"/>
  <c r="E680" i="3" s="1"/>
  <c r="I989" i="3"/>
  <c r="E989" i="3" s="1"/>
  <c r="I950" i="3"/>
  <c r="E950" i="3" s="1"/>
  <c r="I142" i="3"/>
  <c r="E142" i="3" s="1"/>
  <c r="I848" i="3"/>
  <c r="E848" i="3" s="1"/>
  <c r="I557" i="3"/>
  <c r="E557" i="3" s="1"/>
  <c r="I283" i="3"/>
  <c r="E283" i="3" s="1"/>
  <c r="I506" i="3"/>
  <c r="E506" i="3" s="1"/>
  <c r="I942" i="3"/>
  <c r="E942" i="3" s="1"/>
  <c r="I543" i="3"/>
  <c r="E543" i="3" s="1"/>
  <c r="I279" i="3"/>
  <c r="E279" i="3" s="1"/>
  <c r="I922" i="3"/>
  <c r="E922" i="3" s="1"/>
  <c r="I438" i="3"/>
  <c r="E438" i="3" s="1"/>
  <c r="I835" i="3"/>
  <c r="E835" i="3" s="1"/>
  <c r="I280" i="3"/>
  <c r="E280" i="3" s="1"/>
  <c r="I960" i="3"/>
  <c r="E960" i="3" s="1"/>
  <c r="I550" i="3"/>
  <c r="E550" i="3" s="1"/>
  <c r="I1095" i="3"/>
  <c r="E1095" i="3" s="1"/>
  <c r="I275" i="3"/>
  <c r="E275" i="3" s="1"/>
  <c r="I931" i="3"/>
  <c r="E931" i="3" s="1"/>
  <c r="I507" i="3"/>
  <c r="E507" i="3" s="1"/>
  <c r="I864" i="3"/>
  <c r="E864" i="3" s="1"/>
  <c r="I917" i="3"/>
  <c r="E917" i="3" s="1"/>
  <c r="I436" i="3"/>
  <c r="E436" i="3" s="1"/>
  <c r="I374" i="3"/>
  <c r="E374" i="3" s="1"/>
  <c r="I211" i="3"/>
  <c r="E211" i="3" s="1"/>
  <c r="I956" i="3"/>
  <c r="E956" i="3" s="1"/>
  <c r="I1041" i="3"/>
  <c r="E1041" i="3" s="1"/>
  <c r="I866" i="3"/>
  <c r="E866" i="3" s="1"/>
  <c r="I809" i="3"/>
  <c r="E809" i="3" s="1"/>
  <c r="I1033" i="3"/>
  <c r="E1033" i="3" s="1"/>
  <c r="I614" i="3"/>
  <c r="E614" i="3" s="1"/>
  <c r="I319" i="3"/>
  <c r="E319" i="3" s="1"/>
  <c r="I544" i="3"/>
  <c r="E544" i="3" s="1"/>
  <c r="I417" i="3"/>
  <c r="E417" i="3" s="1"/>
  <c r="I961" i="3"/>
  <c r="E961" i="3" s="1"/>
  <c r="I683" i="3"/>
  <c r="E683" i="3" s="1"/>
  <c r="I419" i="3"/>
  <c r="E419" i="3" s="1"/>
  <c r="I849" i="3"/>
  <c r="E849" i="3" s="1"/>
  <c r="I173" i="3"/>
  <c r="E173" i="3" s="1"/>
  <c r="I863" i="3"/>
  <c r="E863" i="3" s="1"/>
  <c r="I641" i="3"/>
  <c r="E641" i="3" s="1"/>
  <c r="I762" i="3"/>
  <c r="E762" i="3" s="1"/>
  <c r="I465" i="3"/>
  <c r="E465" i="3" s="1"/>
  <c r="I357" i="3"/>
  <c r="E357" i="3" s="1"/>
  <c r="I195" i="3"/>
  <c r="E195" i="3" s="1"/>
  <c r="I458" i="3"/>
  <c r="E458" i="3" s="1"/>
  <c r="I338" i="3"/>
  <c r="E338" i="3" s="1"/>
  <c r="I755" i="3"/>
  <c r="E755" i="3" s="1"/>
  <c r="I1023" i="3"/>
  <c r="E1023" i="3" s="1"/>
  <c r="I1098" i="3"/>
  <c r="E1098" i="3" s="1"/>
  <c r="I303" i="3"/>
  <c r="E303" i="3" s="1"/>
  <c r="I982" i="3"/>
  <c r="E982" i="3" s="1"/>
  <c r="I821" i="3"/>
  <c r="E821" i="3" s="1"/>
  <c r="I886" i="3"/>
  <c r="E886" i="3" s="1"/>
  <c r="I955" i="3"/>
  <c r="E955" i="3" s="1"/>
  <c r="I843" i="3"/>
  <c r="E843" i="3" s="1"/>
  <c r="I581" i="3"/>
  <c r="E581" i="3" s="1"/>
  <c r="I157" i="3"/>
  <c r="E157" i="3" s="1"/>
  <c r="I853" i="3"/>
  <c r="E853" i="3" s="1"/>
  <c r="I592" i="3"/>
  <c r="E592" i="3" s="1"/>
  <c r="I293" i="3"/>
  <c r="E293" i="3" s="1"/>
  <c r="I532" i="3"/>
  <c r="E532" i="3" s="1"/>
  <c r="I953" i="3"/>
  <c r="E953" i="3" s="1"/>
  <c r="I548" i="3"/>
  <c r="E548" i="3" s="1"/>
  <c r="I289" i="3"/>
  <c r="E289" i="3" s="1"/>
  <c r="I964" i="3"/>
  <c r="E964" i="3" s="1"/>
  <c r="I468" i="3"/>
  <c r="E468" i="3" s="1"/>
  <c r="I845" i="3"/>
  <c r="E845" i="3" s="1"/>
  <c r="I290" i="3"/>
  <c r="E290" i="3" s="1"/>
  <c r="I965" i="3"/>
  <c r="E965" i="3" s="1"/>
  <c r="I555" i="3"/>
  <c r="E555" i="3" s="1"/>
  <c r="I429" i="3"/>
  <c r="E429" i="3" s="1"/>
  <c r="I327" i="3"/>
  <c r="E327" i="3" s="1"/>
  <c r="I947" i="3"/>
  <c r="E947" i="3" s="1"/>
  <c r="I611" i="3"/>
  <c r="E611" i="3" s="1"/>
  <c r="I1038" i="3"/>
  <c r="E1038" i="3" s="1"/>
  <c r="I1070" i="3"/>
  <c r="E1070" i="3" s="1"/>
  <c r="I561" i="3"/>
  <c r="E561" i="3" s="1"/>
  <c r="I410" i="3"/>
  <c r="E410" i="3" s="1"/>
  <c r="I337" i="3"/>
  <c r="E337" i="3" s="1"/>
  <c r="I998" i="3"/>
  <c r="E998" i="3" s="1"/>
  <c r="I1073" i="3"/>
  <c r="E1073" i="3" s="1"/>
  <c r="I825" i="3"/>
  <c r="E825" i="3" s="1"/>
  <c r="I1049" i="3"/>
  <c r="E1049" i="3" s="1"/>
  <c r="I768" i="3"/>
  <c r="E768" i="3" s="1"/>
  <c r="I324" i="3"/>
  <c r="E324" i="3" s="1"/>
  <c r="I549" i="3"/>
  <c r="E549" i="3" s="1"/>
  <c r="I710" i="3"/>
  <c r="E710" i="3" s="1"/>
  <c r="I317" i="3"/>
  <c r="E317" i="3" s="1"/>
  <c r="I795" i="3"/>
  <c r="E795" i="3" s="1"/>
  <c r="I766" i="3"/>
  <c r="E766" i="3" s="1"/>
  <c r="I881" i="3"/>
  <c r="E881" i="3" s="1"/>
  <c r="I572" i="3"/>
  <c r="E572" i="3" s="1"/>
  <c r="I172" i="3"/>
  <c r="E172" i="3" s="1"/>
  <c r="I106" i="3"/>
  <c r="E106" i="3" s="1"/>
  <c r="I796" i="3"/>
  <c r="E796" i="3" s="1"/>
  <c r="I638" i="3"/>
  <c r="E638" i="3" s="1"/>
  <c r="I738" i="3"/>
  <c r="E738" i="3" s="1"/>
  <c r="I476" i="3"/>
  <c r="E476" i="3" s="1"/>
  <c r="I788" i="3"/>
  <c r="E788" i="3" s="1"/>
  <c r="I698" i="3"/>
  <c r="E698" i="3" s="1"/>
  <c r="I996" i="3"/>
  <c r="E996" i="3" s="1"/>
  <c r="I826" i="3"/>
  <c r="E826" i="3" s="1"/>
  <c r="I978" i="3"/>
  <c r="E978" i="3" s="1"/>
  <c r="I171" i="3"/>
  <c r="E171" i="3" s="1"/>
  <c r="I894" i="3"/>
  <c r="E894" i="3" s="1"/>
  <c r="I699" i="3"/>
  <c r="E699" i="3" s="1"/>
  <c r="I328" i="3"/>
  <c r="E328" i="3" s="1"/>
  <c r="I573" i="3"/>
  <c r="E573" i="3" s="1"/>
  <c r="I958" i="3"/>
  <c r="E958" i="3" s="1"/>
  <c r="I609" i="3"/>
  <c r="E609" i="3" s="1"/>
  <c r="I366" i="3"/>
  <c r="E366" i="3" s="1"/>
  <c r="I1016" i="3"/>
  <c r="E1016" i="3" s="1"/>
  <c r="I493" i="3"/>
  <c r="E493" i="3" s="1"/>
  <c r="I850" i="3"/>
  <c r="E850" i="3" s="1"/>
  <c r="I449" i="3"/>
  <c r="E449" i="3" s="1"/>
  <c r="I991" i="3"/>
  <c r="E991" i="3" s="1"/>
  <c r="I580" i="3"/>
  <c r="E580" i="3" s="1"/>
  <c r="I499" i="3"/>
  <c r="E499" i="3" s="1"/>
  <c r="I375" i="3"/>
  <c r="E375" i="3" s="1"/>
  <c r="I165" i="3"/>
  <c r="E165" i="3" s="1"/>
  <c r="I963" i="3"/>
  <c r="E963" i="3" s="1"/>
  <c r="I616" i="3"/>
  <c r="E616" i="3" s="1"/>
  <c r="I1064" i="3"/>
  <c r="E1064" i="3" s="1"/>
  <c r="I147" i="3"/>
  <c r="E147" i="3" s="1"/>
  <c r="I623" i="3"/>
  <c r="E623" i="3" s="1"/>
  <c r="I483" i="3"/>
  <c r="E483" i="3" s="1"/>
  <c r="I751" i="3"/>
  <c r="E751" i="3" s="1"/>
  <c r="I1046" i="3"/>
  <c r="E1046" i="3" s="1"/>
  <c r="I1084" i="3"/>
  <c r="E1084" i="3" s="1"/>
  <c r="I134" i="3"/>
  <c r="E134" i="3" s="1"/>
  <c r="I1045" i="3"/>
  <c r="E1045" i="3" s="1"/>
  <c r="I1054" i="3"/>
  <c r="E1054" i="3" s="1"/>
  <c r="I816" i="3"/>
  <c r="E816" i="3" s="1"/>
  <c r="I335" i="3"/>
  <c r="E335" i="3" s="1"/>
  <c r="I560" i="3"/>
  <c r="E560" i="3" s="1"/>
  <c r="I774" i="3"/>
  <c r="E774" i="3" s="1"/>
  <c r="I349" i="3"/>
  <c r="E349" i="3" s="1"/>
  <c r="I859" i="3"/>
  <c r="E859" i="3" s="1"/>
  <c r="I830" i="3"/>
  <c r="E830" i="3" s="1"/>
  <c r="I913" i="3"/>
  <c r="E913" i="3" s="1"/>
  <c r="I554" i="3"/>
  <c r="E554" i="3" s="1"/>
  <c r="I474" i="3"/>
  <c r="E474" i="3" s="1"/>
  <c r="I724" i="3"/>
  <c r="E724" i="3" s="1"/>
  <c r="I750" i="3"/>
  <c r="E750" i="3" s="1"/>
  <c r="I838" i="3"/>
  <c r="E838" i="3" s="1"/>
  <c r="I123" i="3"/>
  <c r="E123" i="3" s="1"/>
  <c r="I694" i="3"/>
  <c r="E694" i="3" s="1"/>
  <c r="I425" i="3"/>
  <c r="E425" i="3" s="1"/>
  <c r="I413" i="3"/>
  <c r="E413" i="3" s="1"/>
  <c r="I402" i="3"/>
  <c r="E402" i="3" s="1"/>
  <c r="I596" i="3"/>
  <c r="E596" i="3" s="1"/>
  <c r="I556" i="3"/>
  <c r="E556" i="3" s="1"/>
  <c r="I348" i="3"/>
  <c r="E348" i="3" s="1"/>
  <c r="I428" i="3"/>
  <c r="E428" i="3" s="1"/>
  <c r="I297" i="3"/>
  <c r="E297" i="3" s="1"/>
  <c r="I149" i="3"/>
  <c r="E149" i="3" s="1"/>
  <c r="I494" i="3"/>
  <c r="E494" i="3" s="1"/>
  <c r="I188" i="3"/>
  <c r="E188" i="3" s="1"/>
  <c r="I146" i="3"/>
  <c r="E146" i="3" s="1"/>
  <c r="I677" i="3"/>
  <c r="E677" i="3" s="1"/>
  <c r="I421" i="3"/>
  <c r="E421" i="3" s="1"/>
  <c r="I665" i="3"/>
  <c r="E665" i="3" s="1"/>
  <c r="I418" i="3"/>
  <c r="E418" i="3" s="1"/>
  <c r="I426" i="3"/>
  <c r="E426" i="3" s="1"/>
  <c r="I370" i="3"/>
  <c r="E370" i="3" s="1"/>
  <c r="I802" i="3"/>
  <c r="E802" i="3" s="1"/>
  <c r="I822" i="3"/>
  <c r="E822" i="3" s="1"/>
  <c r="I612" i="3"/>
  <c r="E612" i="3" s="1"/>
  <c r="I423" i="3"/>
  <c r="E423" i="3" s="1"/>
  <c r="I1055" i="3"/>
  <c r="E1055" i="3" s="1"/>
  <c r="I933" i="3"/>
  <c r="E933" i="3" s="1"/>
  <c r="I840" i="3"/>
  <c r="E840" i="3" s="1"/>
  <c r="I1005" i="3"/>
  <c r="E1005" i="3" s="1"/>
  <c r="I871" i="3"/>
  <c r="E871" i="3" s="1"/>
  <c r="I915" i="3"/>
  <c r="E915" i="3" s="1"/>
  <c r="I1007" i="3"/>
  <c r="E1007" i="3" s="1"/>
  <c r="I882" i="3"/>
  <c r="E882" i="3" s="1"/>
  <c r="I708" i="3"/>
  <c r="E708" i="3" s="1"/>
  <c r="I210" i="3"/>
  <c r="E210" i="3" s="1"/>
  <c r="I925" i="3"/>
  <c r="E925" i="3" s="1"/>
  <c r="I704" i="3"/>
  <c r="E704" i="3" s="1"/>
  <c r="I756" i="3"/>
  <c r="E756" i="3" s="1"/>
  <c r="I593" i="3"/>
  <c r="E593" i="3" s="1"/>
  <c r="I984" i="3"/>
  <c r="E984" i="3" s="1"/>
  <c r="I624" i="3"/>
  <c r="E624" i="3" s="1"/>
  <c r="I371" i="3"/>
  <c r="E371" i="3" s="1"/>
  <c r="I1032" i="3"/>
  <c r="E1032" i="3" s="1"/>
  <c r="I518" i="3"/>
  <c r="E518" i="3" s="1"/>
  <c r="I970" i="3"/>
  <c r="E970" i="3" s="1"/>
  <c r="I488" i="3"/>
  <c r="E488" i="3" s="1"/>
  <c r="I1017" i="3"/>
  <c r="E1017" i="3" s="1"/>
  <c r="I590" i="3"/>
  <c r="E590" i="3" s="1"/>
  <c r="I662" i="3"/>
  <c r="E662" i="3" s="1"/>
  <c r="I646" i="3"/>
  <c r="E646" i="3" s="1"/>
  <c r="I344" i="3"/>
  <c r="E344" i="3" s="1"/>
  <c r="I1026" i="3"/>
  <c r="E1026" i="3" s="1"/>
  <c r="I632" i="3"/>
  <c r="E632" i="3" s="1"/>
  <c r="I1096" i="3"/>
  <c r="E1096" i="3" s="1"/>
  <c r="I231" i="3"/>
  <c r="E231" i="3" s="1"/>
  <c r="I639" i="3"/>
  <c r="E639" i="3" s="1"/>
  <c r="I504" i="3"/>
  <c r="E504" i="3" s="1"/>
  <c r="I987" i="3"/>
  <c r="E987" i="3" s="1"/>
  <c r="I207" i="3"/>
  <c r="E207" i="3" s="1"/>
  <c r="I192" i="3"/>
  <c r="E192" i="3" s="1"/>
  <c r="I119" i="3"/>
  <c r="E119" i="3" s="1"/>
  <c r="I1065" i="3"/>
  <c r="E1065" i="3" s="1"/>
  <c r="I832" i="3"/>
  <c r="E832" i="3" s="1"/>
  <c r="I340" i="3"/>
  <c r="E340" i="3" s="1"/>
  <c r="I597" i="3"/>
  <c r="E597" i="3" s="1"/>
  <c r="I183" i="3"/>
  <c r="E183" i="3" s="1"/>
  <c r="I397" i="3"/>
  <c r="E397" i="3" s="1"/>
  <c r="I880" i="3"/>
  <c r="E880" i="3" s="1"/>
  <c r="I841" i="3"/>
  <c r="E841" i="3" s="1"/>
  <c r="I264" i="3"/>
  <c r="E264" i="3" s="1"/>
  <c r="I727" i="3"/>
  <c r="E727" i="3" s="1"/>
  <c r="I934" i="3"/>
  <c r="E934" i="3" s="1"/>
  <c r="I345" i="3"/>
  <c r="E345" i="3" s="1"/>
  <c r="I395" i="3"/>
  <c r="E395" i="3" s="1"/>
  <c r="I291" i="3"/>
  <c r="E291" i="3" s="1"/>
  <c r="I715" i="3"/>
  <c r="E715" i="3" s="1"/>
  <c r="I441" i="3"/>
  <c r="E441" i="3" s="1"/>
  <c r="I491" i="3"/>
  <c r="E491" i="3" s="1"/>
  <c r="I326" i="3"/>
  <c r="E326" i="3" s="1"/>
  <c r="I145" i="3"/>
  <c r="E145" i="3" s="1"/>
  <c r="I650" i="3"/>
  <c r="E650" i="3" s="1"/>
  <c r="I396" i="3"/>
  <c r="E396" i="3" s="1"/>
  <c r="I406" i="3"/>
  <c r="E406" i="3" s="1"/>
  <c r="I877" i="3"/>
  <c r="E877" i="3" s="1"/>
  <c r="I444" i="3"/>
  <c r="E444" i="3" s="1"/>
  <c r="I505" i="3"/>
  <c r="E505" i="3" s="1"/>
  <c r="I569" i="3"/>
  <c r="E569" i="3" s="1"/>
  <c r="I205" i="3"/>
  <c r="E205" i="3" s="1"/>
  <c r="I536" i="3"/>
  <c r="E536" i="3" s="1"/>
  <c r="I305" i="3"/>
  <c r="E305" i="3" s="1"/>
  <c r="I154" i="3"/>
  <c r="E154" i="3" s="1"/>
  <c r="I129" i="3"/>
  <c r="E129" i="3" s="1"/>
  <c r="I744" i="3"/>
  <c r="E744" i="3" s="1"/>
  <c r="I478" i="3"/>
  <c r="E478" i="3" s="1"/>
  <c r="I674" i="3"/>
  <c r="E674" i="3" s="1"/>
  <c r="I443" i="3"/>
  <c r="E443" i="3" s="1"/>
  <c r="I461" i="3"/>
  <c r="E461" i="3" s="1"/>
  <c r="I401" i="3"/>
  <c r="E401" i="3" s="1"/>
  <c r="I831" i="3"/>
  <c r="E831" i="3" s="1"/>
  <c r="I658" i="3"/>
  <c r="E658" i="3" s="1"/>
  <c r="I467" i="3"/>
  <c r="E467" i="3" s="1"/>
  <c r="I1087" i="3"/>
  <c r="E1087" i="3" s="1"/>
  <c r="I938" i="3"/>
  <c r="E938" i="3" s="1"/>
  <c r="I943" i="3"/>
  <c r="E943" i="3" s="1"/>
  <c r="I1010" i="3"/>
  <c r="E1010" i="3" s="1"/>
  <c r="I900" i="3"/>
  <c r="E900" i="3" s="1"/>
  <c r="I935" i="3"/>
  <c r="E935" i="3" s="1"/>
  <c r="I1012" i="3"/>
  <c r="E1012" i="3" s="1"/>
  <c r="I902" i="3"/>
  <c r="E902" i="3" s="1"/>
  <c r="I107" i="3"/>
  <c r="E107" i="3" s="1"/>
  <c r="I215" i="3"/>
  <c r="E215" i="3" s="1"/>
  <c r="I988" i="3"/>
  <c r="E988" i="3" s="1"/>
  <c r="I761" i="3"/>
  <c r="E761" i="3" s="1"/>
  <c r="I973" i="3"/>
  <c r="E973" i="3" s="1"/>
  <c r="I705" i="3"/>
  <c r="E705" i="3" s="1"/>
  <c r="I994" i="3"/>
  <c r="E994" i="3" s="1"/>
  <c r="I695" i="3"/>
  <c r="E695" i="3" s="1"/>
  <c r="I427" i="3"/>
  <c r="E427" i="3" s="1"/>
  <c r="I924" i="3"/>
  <c r="E924" i="3" s="1"/>
  <c r="I523" i="3"/>
  <c r="E523" i="3" s="1"/>
  <c r="I975" i="3"/>
  <c r="E975" i="3" s="1"/>
  <c r="I498" i="3"/>
  <c r="E498" i="3" s="1"/>
  <c r="I631" i="3"/>
  <c r="E631" i="3" s="1"/>
  <c r="I725" i="3"/>
  <c r="E725" i="3" s="1"/>
  <c r="I469" i="3"/>
  <c r="E469" i="3" s="1"/>
  <c r="I1042" i="3"/>
  <c r="E1042" i="3" s="1"/>
  <c r="I648" i="3"/>
  <c r="E648" i="3" s="1"/>
  <c r="I167" i="3"/>
  <c r="E167" i="3" s="1"/>
  <c r="I278" i="3"/>
  <c r="E278" i="3" s="1"/>
  <c r="I655" i="3"/>
  <c r="E655" i="3" s="1"/>
  <c r="I541" i="3"/>
  <c r="E541" i="3" s="1"/>
  <c r="I992" i="3"/>
  <c r="E992" i="3" s="1"/>
  <c r="I111" i="3"/>
  <c r="E111" i="3" s="1"/>
  <c r="I223" i="3"/>
  <c r="E223" i="3" s="1"/>
  <c r="I976" i="3"/>
  <c r="E976" i="3" s="1"/>
  <c r="I342" i="3"/>
  <c r="E342" i="3" s="1"/>
  <c r="I1081" i="3"/>
  <c r="E1081" i="3" s="1"/>
  <c r="I1050" i="3"/>
  <c r="E1050" i="3" s="1"/>
  <c r="I367" i="3"/>
  <c r="E367" i="3" s="1"/>
  <c r="I613" i="3"/>
  <c r="E613" i="3" s="1"/>
  <c r="I391" i="3"/>
  <c r="E391" i="3" s="1"/>
  <c r="I525" i="3"/>
  <c r="E525" i="3" s="1"/>
  <c r="I971" i="3"/>
  <c r="E971" i="3" s="1"/>
  <c r="I873" i="3"/>
  <c r="E873" i="3" s="1"/>
  <c r="E296" i="3"/>
  <c r="I302" i="3"/>
  <c r="E302" i="3" s="1"/>
  <c r="I479" i="3"/>
  <c r="E479" i="3" s="1"/>
  <c r="I130" i="3"/>
  <c r="E130" i="3" s="1"/>
  <c r="I457" i="3"/>
  <c r="E457" i="3" s="1"/>
  <c r="I365" i="3"/>
  <c r="E365" i="3" s="1"/>
  <c r="I389" i="3"/>
  <c r="E389" i="3" s="1"/>
  <c r="I918" i="3"/>
  <c r="E918" i="3" s="1"/>
  <c r="I325" i="3"/>
  <c r="E325" i="3" s="1"/>
  <c r="I380" i="3"/>
  <c r="E380" i="3" s="1"/>
  <c r="I814" i="3"/>
  <c r="E814" i="3" s="1"/>
  <c r="I369" i="3"/>
  <c r="E369" i="3" s="1"/>
  <c r="I356" i="3"/>
  <c r="E356" i="3" s="1"/>
  <c r="I779" i="3"/>
  <c r="E779" i="3" s="1"/>
  <c r="I891" i="3"/>
  <c r="E891" i="3" s="1"/>
  <c r="I653" i="3"/>
  <c r="E653" i="3" s="1"/>
  <c r="I281" i="3"/>
  <c r="E281" i="3" s="1"/>
  <c r="I637" i="3"/>
  <c r="E637" i="3" s="1"/>
  <c r="I540" i="3"/>
  <c r="E540" i="3" s="1"/>
  <c r="I588" i="3"/>
  <c r="E588" i="3" s="1"/>
  <c r="I222" i="3"/>
  <c r="E222" i="3" s="1"/>
  <c r="I565" i="3"/>
  <c r="E565" i="3" s="1"/>
  <c r="I354" i="3"/>
  <c r="E354" i="3" s="1"/>
  <c r="I193" i="3"/>
  <c r="E193" i="3" s="1"/>
  <c r="I189" i="3"/>
  <c r="E189" i="3" s="1"/>
  <c r="I758" i="3"/>
  <c r="E758" i="3" s="1"/>
  <c r="I508" i="3"/>
  <c r="E508" i="3" s="1"/>
  <c r="I735" i="3"/>
  <c r="E735" i="3" s="1"/>
  <c r="I509" i="3"/>
  <c r="E509" i="3" s="1"/>
  <c r="I514" i="3"/>
  <c r="E514" i="3" s="1"/>
  <c r="I405" i="3"/>
  <c r="E405" i="3" s="1"/>
  <c r="I855" i="3"/>
  <c r="E855" i="3" s="1"/>
  <c r="I728" i="3"/>
  <c r="E728" i="3" s="1"/>
  <c r="I515" i="3"/>
  <c r="E515" i="3" s="1"/>
  <c r="I1061" i="3"/>
  <c r="E1061" i="3" s="1"/>
  <c r="I967" i="3"/>
  <c r="E967" i="3" s="1"/>
  <c r="I1015" i="3"/>
  <c r="E1015" i="3" s="1"/>
  <c r="I1043" i="3"/>
  <c r="E1043" i="3" s="1"/>
  <c r="I949" i="3"/>
  <c r="E949" i="3" s="1"/>
  <c r="I959" i="3"/>
  <c r="E959" i="3" s="1"/>
  <c r="I1040" i="3"/>
  <c r="E1040" i="3" s="1"/>
  <c r="I951" i="3"/>
  <c r="E951" i="3" s="1"/>
  <c r="I267" i="3"/>
  <c r="E267" i="3" s="1"/>
  <c r="I226" i="3"/>
  <c r="E226" i="3" s="1"/>
  <c r="I993" i="3"/>
  <c r="E993" i="3" s="1"/>
  <c r="I879" i="3"/>
  <c r="E879" i="3" s="1"/>
  <c r="I177" i="3"/>
  <c r="E177" i="3" s="1"/>
  <c r="I720" i="3"/>
  <c r="E720" i="3" s="1"/>
  <c r="I1036" i="3"/>
  <c r="E1036" i="3" s="1"/>
  <c r="I731" i="3"/>
  <c r="E731" i="3" s="1"/>
  <c r="I448" i="3"/>
  <c r="E448" i="3" s="1"/>
  <c r="I533" i="3"/>
  <c r="E533" i="3" s="1"/>
  <c r="I1001" i="3"/>
  <c r="E1001" i="3" s="1"/>
  <c r="I666" i="3"/>
  <c r="E666" i="3" s="1"/>
  <c r="I722" i="3"/>
  <c r="E722" i="3" s="1"/>
  <c r="I116" i="3"/>
  <c r="E116" i="3" s="1"/>
  <c r="I772" i="3"/>
  <c r="E772" i="3" s="1"/>
  <c r="I857" i="3"/>
  <c r="E857" i="3" s="1"/>
  <c r="I1063" i="3"/>
  <c r="E1063" i="3" s="1"/>
  <c r="I811" i="3"/>
  <c r="E811" i="3" s="1"/>
  <c r="I309" i="3"/>
  <c r="E309" i="3" s="1"/>
  <c r="I503" i="3"/>
  <c r="E503" i="3" s="1"/>
  <c r="I676" i="3"/>
  <c r="E676" i="3" s="1"/>
  <c r="I546" i="3"/>
  <c r="E546" i="3" s="1"/>
  <c r="I1003" i="3"/>
  <c r="E1003" i="3" s="1"/>
  <c r="I132" i="3"/>
  <c r="E132" i="3" s="1"/>
  <c r="I276" i="3"/>
  <c r="E276" i="3" s="1"/>
  <c r="I495" i="3"/>
  <c r="E495" i="3" s="1"/>
  <c r="I496" i="3"/>
  <c r="E496" i="3" s="1"/>
  <c r="I1086" i="3"/>
  <c r="E1086" i="3" s="1"/>
  <c r="I126" i="3"/>
  <c r="E126" i="3" s="1"/>
  <c r="I372" i="3"/>
  <c r="E372" i="3" s="1"/>
  <c r="I629" i="3"/>
  <c r="E629" i="3" s="1"/>
  <c r="I487" i="3"/>
  <c r="E487" i="3" s="1"/>
  <c r="I158" i="3"/>
  <c r="E158" i="3" s="1"/>
  <c r="I668" i="3"/>
  <c r="E668" i="3" s="1"/>
  <c r="I889" i="3"/>
  <c r="E889" i="3" s="1"/>
  <c r="E408" i="3"/>
  <c r="I1034" i="3"/>
  <c r="E1034" i="3" s="1"/>
  <c r="I475" i="3"/>
  <c r="E475" i="3" s="1"/>
  <c r="I450" i="3"/>
  <c r="E450" i="3" s="1"/>
  <c r="I315" i="3"/>
  <c r="E315" i="3" s="1"/>
  <c r="I263" i="3"/>
  <c r="E263" i="3" s="1"/>
  <c r="I316" i="3"/>
  <c r="E316" i="3" s="1"/>
  <c r="I642" i="3"/>
  <c r="E642" i="3" s="1"/>
  <c r="I388" i="3"/>
  <c r="E388" i="3" s="1"/>
  <c r="I521" i="3"/>
  <c r="E521" i="3" s="1"/>
  <c r="I923" i="3"/>
  <c r="E923" i="3" s="1"/>
  <c r="I606" i="3"/>
  <c r="E606" i="3" s="1"/>
  <c r="I808" i="3"/>
  <c r="E808" i="3" s="1"/>
  <c r="I329" i="3"/>
  <c r="E329" i="3" s="1"/>
  <c r="I601" i="3"/>
  <c r="E601" i="3" s="1"/>
  <c r="I489" i="3"/>
  <c r="E489" i="3" s="1"/>
  <c r="I252" i="3"/>
  <c r="E252" i="3" s="1"/>
  <c r="I594" i="3"/>
  <c r="E594" i="3" s="1"/>
  <c r="I385" i="3"/>
  <c r="E385" i="3" s="1"/>
  <c r="I253" i="3"/>
  <c r="E253" i="3" s="1"/>
  <c r="I236" i="3"/>
  <c r="E236" i="3" s="1"/>
  <c r="I781" i="3"/>
  <c r="E781" i="3" s="1"/>
  <c r="I513" i="3"/>
  <c r="E513" i="3" s="1"/>
  <c r="I759" i="3"/>
  <c r="E759" i="3" s="1"/>
  <c r="I539" i="3"/>
  <c r="E539" i="3" s="1"/>
  <c r="I587" i="3"/>
  <c r="E587" i="3" s="1"/>
  <c r="I497" i="3"/>
  <c r="E497" i="3" s="1"/>
  <c r="I869" i="3"/>
  <c r="E869" i="3" s="1"/>
  <c r="I277" i="3"/>
  <c r="E277" i="3" s="1"/>
  <c r="I742" i="3"/>
  <c r="E742" i="3" s="1"/>
  <c r="I579" i="3"/>
  <c r="E579" i="3" s="1"/>
  <c r="I414" i="3"/>
  <c r="E414" i="3" s="1"/>
  <c r="I981" i="3"/>
  <c r="E981" i="3" s="1"/>
  <c r="I1029" i="3"/>
  <c r="E1029" i="3" s="1"/>
  <c r="I1075" i="3"/>
  <c r="E1075" i="3" s="1"/>
  <c r="I954" i="3"/>
  <c r="E954" i="3" s="1"/>
  <c r="I983" i="3"/>
  <c r="E983" i="3" s="1"/>
  <c r="I1072" i="3"/>
  <c r="E1072" i="3" s="1"/>
  <c r="I1008" i="3"/>
  <c r="E1008" i="3" s="1"/>
  <c r="I485" i="3"/>
  <c r="E485" i="3" s="1"/>
  <c r="I247" i="3"/>
  <c r="E247" i="3" s="1"/>
  <c r="I1030" i="3"/>
  <c r="E1030" i="3" s="1"/>
  <c r="I905" i="3"/>
  <c r="E905" i="3" s="1"/>
  <c r="I269" i="3"/>
  <c r="E269" i="3" s="1"/>
  <c r="I736" i="3"/>
  <c r="E736" i="3" s="1"/>
  <c r="I1062" i="3"/>
  <c r="E1062" i="3" s="1"/>
  <c r="I803" i="3"/>
  <c r="E803" i="3" s="1"/>
  <c r="I502" i="3"/>
  <c r="E502" i="3" s="1"/>
  <c r="I125" i="3"/>
  <c r="E125" i="3" s="1"/>
  <c r="I589" i="3"/>
  <c r="E589" i="3" s="1"/>
  <c r="I1048" i="3"/>
  <c r="E1048" i="3" s="1"/>
  <c r="I691" i="3"/>
  <c r="E691" i="3" s="1"/>
  <c r="I135" i="3"/>
  <c r="E135" i="3" s="1"/>
  <c r="I769" i="3"/>
  <c r="E769" i="3" s="1"/>
  <c r="I184" i="3"/>
  <c r="E184" i="3" s="1"/>
  <c r="I798" i="3"/>
  <c r="E798" i="3" s="1"/>
  <c r="I941" i="3"/>
  <c r="E941" i="3" s="1"/>
  <c r="I151" i="3"/>
  <c r="E151" i="3" s="1"/>
  <c r="I1058" i="3"/>
  <c r="E1058" i="3" s="1"/>
  <c r="I351" i="3"/>
  <c r="E351" i="3" s="1"/>
  <c r="I566" i="3"/>
  <c r="E566" i="3" s="1"/>
  <c r="I786" i="3"/>
  <c r="E786" i="3" s="1"/>
  <c r="I603" i="3"/>
  <c r="E603" i="3" s="1"/>
  <c r="I1019" i="3"/>
  <c r="E1019" i="3" s="1"/>
  <c r="I174" i="3"/>
  <c r="E174" i="3" s="1"/>
  <c r="I292" i="3"/>
  <c r="E292" i="3" s="1"/>
  <c r="I511" i="3"/>
  <c r="E511" i="3" s="1"/>
  <c r="I517" i="3"/>
  <c r="E517" i="3" s="1"/>
  <c r="I896" i="3"/>
  <c r="E896" i="3" s="1"/>
  <c r="I248" i="3"/>
  <c r="E248" i="3" s="1"/>
  <c r="I383" i="3"/>
  <c r="E383" i="3" s="1"/>
  <c r="I645" i="3"/>
  <c r="E645" i="3" s="1"/>
  <c r="I551" i="3"/>
  <c r="E551" i="3" s="1"/>
  <c r="I227" i="3"/>
  <c r="E227" i="3" s="1"/>
  <c r="I999" i="3"/>
  <c r="E999" i="3" s="1"/>
  <c r="I1031" i="3"/>
  <c r="E1031" i="3" s="1"/>
  <c r="I472" i="3"/>
  <c r="E472" i="3" s="1"/>
  <c r="I332" i="3"/>
  <c r="E332" i="3" s="1"/>
  <c r="I568" i="3"/>
  <c r="E568" i="3" s="1"/>
  <c r="I1020" i="3"/>
  <c r="E1020" i="3" s="1"/>
  <c r="I904" i="3"/>
  <c r="E904" i="3" s="1"/>
  <c r="I321" i="3"/>
  <c r="E321" i="3" s="1"/>
  <c r="I968" i="3"/>
  <c r="E968" i="3" s="1"/>
  <c r="I409" i="3"/>
  <c r="E409" i="3" s="1"/>
  <c r="I771" i="3"/>
  <c r="E771" i="3" s="1"/>
  <c r="I378" i="3"/>
  <c r="E378" i="3" s="1"/>
  <c r="I460" i="3"/>
  <c r="E460" i="3" s="1"/>
  <c r="I1037" i="3"/>
  <c r="E1037" i="3" s="1"/>
  <c r="I361" i="3"/>
  <c r="E361" i="3" s="1"/>
  <c r="I664" i="3"/>
  <c r="E664" i="3" s="1"/>
  <c r="I628" i="3"/>
  <c r="E628" i="3" s="1"/>
  <c r="I393" i="3"/>
  <c r="E393" i="3" s="1"/>
  <c r="I524" i="3"/>
  <c r="E524" i="3" s="1"/>
  <c r="I256" i="3"/>
  <c r="E256" i="3" s="1"/>
  <c r="I608" i="3"/>
  <c r="E608" i="3" s="1"/>
  <c r="I433" i="3"/>
  <c r="E433" i="3" s="1"/>
  <c r="I261" i="3"/>
  <c r="E261" i="3" s="1"/>
  <c r="I306" i="3"/>
  <c r="E306" i="3" s="1"/>
  <c r="I108" i="3"/>
  <c r="E108" i="3" s="1"/>
  <c r="I526" i="3"/>
  <c r="E526" i="3" s="1"/>
  <c r="I773" i="3"/>
  <c r="E773" i="3" s="1"/>
  <c r="I558" i="3"/>
  <c r="E558" i="3" s="1"/>
  <c r="I625" i="3"/>
  <c r="E625" i="3" s="1"/>
  <c r="I510" i="3"/>
  <c r="E510" i="3" s="1"/>
  <c r="I874" i="3"/>
  <c r="E874" i="3" s="1"/>
  <c r="I453" i="3"/>
  <c r="E453" i="3" s="1"/>
  <c r="I765" i="3"/>
  <c r="E765" i="3" s="1"/>
  <c r="I535" i="3"/>
  <c r="E535" i="3" s="1"/>
  <c r="I986" i="3"/>
  <c r="E986" i="3" s="1"/>
  <c r="I1093" i="3"/>
  <c r="E1093" i="3" s="1"/>
  <c r="I182" i="3"/>
  <c r="E182" i="3" s="1"/>
  <c r="I1011" i="3"/>
  <c r="E1011" i="3" s="1"/>
  <c r="I997" i="3"/>
  <c r="E997" i="3" s="1"/>
  <c r="I812" i="3"/>
  <c r="E812" i="3" s="1"/>
  <c r="I1013" i="3"/>
  <c r="E1013" i="3" s="1"/>
  <c r="I627" i="3"/>
  <c r="E627" i="3" s="1"/>
  <c r="I273" i="3"/>
  <c r="E273" i="3" s="1"/>
  <c r="I1035" i="3"/>
  <c r="E1035" i="3" s="1"/>
  <c r="I936" i="3"/>
  <c r="E936" i="3" s="1"/>
  <c r="I304" i="3"/>
  <c r="E304" i="3" s="1"/>
  <c r="I767" i="3"/>
  <c r="E767" i="3" s="1"/>
  <c r="I1067" i="3"/>
  <c r="E1067" i="3" s="1"/>
  <c r="I927" i="3"/>
  <c r="E927" i="3" s="1"/>
  <c r="I512" i="3"/>
  <c r="E512" i="3" s="1"/>
  <c r="I139" i="3"/>
  <c r="E139" i="3" s="1"/>
  <c r="I610" i="3"/>
  <c r="E610" i="3" s="1"/>
  <c r="I1068" i="3"/>
  <c r="E1068" i="3" s="1"/>
  <c r="I712" i="3"/>
  <c r="E712" i="3" s="1"/>
  <c r="I208" i="3"/>
  <c r="E208" i="3" s="1"/>
  <c r="I800" i="3"/>
  <c r="E800" i="3" s="1"/>
  <c r="I204" i="3"/>
  <c r="E204" i="3" s="1"/>
  <c r="I422" i="3"/>
  <c r="E422" i="3" s="1"/>
  <c r="I957" i="3"/>
  <c r="E957" i="3" s="1"/>
  <c r="I166" i="3"/>
  <c r="E166" i="3" s="1"/>
  <c r="I1090" i="3"/>
  <c r="E1090" i="3" s="1"/>
  <c r="I430" i="3"/>
  <c r="E430" i="3" s="1"/>
  <c r="I644" i="3"/>
  <c r="E644" i="3" s="1"/>
  <c r="I844" i="3"/>
  <c r="E844" i="3" s="1"/>
  <c r="I682" i="3"/>
  <c r="E682" i="3" s="1"/>
  <c r="I1077" i="3"/>
  <c r="E1077" i="3" s="1"/>
  <c r="I254" i="3"/>
  <c r="E254" i="3" s="1"/>
  <c r="I308" i="3"/>
  <c r="E308" i="3" s="1"/>
  <c r="I713" i="3"/>
  <c r="E713" i="3" s="1"/>
  <c r="I528" i="3"/>
  <c r="E528" i="3" s="1"/>
  <c r="I199" i="3"/>
  <c r="E199" i="3" s="1"/>
  <c r="I270" i="3"/>
  <c r="E270" i="3" s="1"/>
  <c r="I564" i="3"/>
  <c r="E564" i="3" s="1"/>
  <c r="I693" i="3"/>
  <c r="E693" i="3" s="1"/>
  <c r="I583" i="3"/>
  <c r="E583" i="3" s="1"/>
  <c r="I584" i="3"/>
  <c r="E584" i="3" s="1"/>
  <c r="E141" i="3"/>
  <c r="I760" i="3"/>
  <c r="E760" i="3" s="1"/>
  <c r="I690" i="3"/>
  <c r="E690" i="3" s="1"/>
  <c r="I362" i="3"/>
  <c r="E362" i="3" s="1"/>
  <c r="I203" i="3"/>
  <c r="E203" i="3" s="1"/>
  <c r="I901" i="3"/>
  <c r="E901" i="3" s="1"/>
  <c r="I462" i="3"/>
  <c r="E462" i="3" s="1"/>
  <c r="I137" i="3"/>
  <c r="E137" i="3" s="1"/>
  <c r="I634" i="3"/>
  <c r="E634" i="3" s="1"/>
  <c r="I856" i="3"/>
  <c r="E856" i="3" s="1"/>
  <c r="I697" i="3"/>
  <c r="E697" i="3" s="1"/>
  <c r="I334" i="3"/>
  <c r="E334" i="3" s="1"/>
  <c r="I1018" i="3"/>
  <c r="E1018" i="3" s="1"/>
  <c r="I312" i="3"/>
  <c r="E312" i="3" s="1"/>
  <c r="I1078" i="3"/>
  <c r="E1078" i="3" s="1"/>
  <c r="I339" i="3"/>
  <c r="E339" i="3" s="1"/>
  <c r="I782" i="3"/>
  <c r="E782" i="3" s="1"/>
  <c r="I1047" i="3"/>
  <c r="E1047" i="3" s="1"/>
  <c r="I538" i="3"/>
  <c r="E538" i="3" s="1"/>
  <c r="I218" i="3"/>
  <c r="E218" i="3" s="1"/>
  <c r="I630" i="3"/>
  <c r="E630" i="3" s="1"/>
  <c r="I1094" i="3"/>
  <c r="E1094" i="3" s="1"/>
  <c r="I748" i="3"/>
  <c r="E748" i="3" s="1"/>
  <c r="I224" i="3"/>
  <c r="E224" i="3" s="1"/>
  <c r="I805" i="3"/>
  <c r="E805" i="3" s="1"/>
  <c r="I214" i="3"/>
  <c r="E214" i="3" s="1"/>
  <c r="I500" i="3"/>
  <c r="E500" i="3" s="1"/>
  <c r="I559" i="3"/>
  <c r="E559" i="3" s="1"/>
  <c r="I197" i="3"/>
  <c r="E197" i="3" s="1"/>
  <c r="I110" i="3"/>
  <c r="E110" i="3" s="1"/>
  <c r="I576" i="3"/>
  <c r="E576" i="3" s="1"/>
  <c r="I681" i="3"/>
  <c r="E681" i="3" s="1"/>
  <c r="I876" i="3"/>
  <c r="E876" i="3" s="1"/>
  <c r="I687" i="3"/>
  <c r="E687" i="3" s="1"/>
  <c r="I567" i="3"/>
  <c r="E567" i="3" s="1"/>
  <c r="I531" i="3"/>
  <c r="E531" i="3" s="1"/>
  <c r="I745" i="3"/>
  <c r="E745" i="3" s="1"/>
  <c r="I730" i="3"/>
  <c r="E730" i="3" s="1"/>
  <c r="I486" i="3"/>
  <c r="E486" i="3" s="1"/>
  <c r="I398" i="3"/>
  <c r="E398" i="3" s="1"/>
  <c r="I928" i="3"/>
  <c r="E928" i="3" s="1"/>
  <c r="I615" i="3"/>
  <c r="E615" i="3" s="1"/>
  <c r="I675" i="3"/>
  <c r="E675" i="3" s="1"/>
  <c r="I258" i="3"/>
  <c r="E258" i="3" s="1"/>
  <c r="I1004" i="3"/>
  <c r="E1004" i="3" s="1"/>
  <c r="I818" i="3"/>
  <c r="E818" i="3" s="1"/>
  <c r="I604" i="3"/>
  <c r="E604" i="3" s="1"/>
  <c r="I806" i="3"/>
  <c r="E806" i="3" s="1"/>
  <c r="I912" i="3"/>
  <c r="E912" i="3" s="1"/>
  <c r="I794" i="3"/>
  <c r="E794" i="3" s="1"/>
  <c r="I274" i="3"/>
  <c r="E274" i="3" s="1"/>
  <c r="I155" i="3"/>
  <c r="E155" i="3" s="1"/>
  <c r="I578" i="3"/>
  <c r="E578" i="3" s="1"/>
  <c r="I990" i="3"/>
  <c r="E990" i="3" s="1"/>
  <c r="I1039" i="3"/>
  <c r="E1039" i="3" s="1"/>
  <c r="I718" i="3"/>
  <c r="E718" i="3" s="1"/>
  <c r="I1009" i="3"/>
  <c r="E1009" i="3" s="1"/>
  <c r="I948" i="3"/>
  <c r="E948" i="3" s="1"/>
  <c r="I128" i="3"/>
  <c r="E128" i="3" s="1"/>
  <c r="I153" i="3"/>
  <c r="E153" i="3" s="1"/>
  <c r="I201" i="3"/>
  <c r="E201" i="3" s="1"/>
  <c r="I121" i="3"/>
  <c r="E121" i="3" s="1"/>
  <c r="I169" i="3"/>
  <c r="E169" i="3" s="1"/>
  <c r="I282" i="3"/>
  <c r="E282" i="3" s="1"/>
  <c r="I672" i="3"/>
  <c r="E672" i="3" s="1"/>
  <c r="I529" i="3"/>
  <c r="E529" i="3" s="1"/>
  <c r="I301" i="3"/>
  <c r="E301" i="3" s="1"/>
  <c r="I386" i="3"/>
  <c r="E386" i="3" s="1"/>
  <c r="I194" i="3"/>
  <c r="E194" i="3" s="1"/>
  <c r="I586" i="3"/>
  <c r="E586" i="3" s="1"/>
  <c r="I651" i="3"/>
  <c r="E651" i="3" s="1"/>
  <c r="I602" i="3"/>
  <c r="E602" i="3" s="1"/>
  <c r="I883" i="3"/>
  <c r="E883" i="3" s="1"/>
  <c r="I162" i="3"/>
  <c r="E162" i="3" s="1"/>
  <c r="I870" i="3"/>
  <c r="E870" i="3" s="1"/>
  <c r="I707" i="3"/>
  <c r="E707" i="3" s="1"/>
  <c r="I952" i="3"/>
  <c r="E952" i="3" s="1"/>
  <c r="I995" i="3"/>
  <c r="E995" i="3" s="1"/>
  <c r="I456" i="3"/>
  <c r="E456" i="3" s="1"/>
  <c r="I360" i="3"/>
  <c r="E360" i="3" s="1"/>
  <c r="I1071" i="3"/>
  <c r="E1071" i="3" s="1"/>
  <c r="I178" i="3"/>
  <c r="E178" i="3" s="1"/>
  <c r="I862" i="3"/>
  <c r="E862" i="3" s="1"/>
  <c r="I1022" i="3"/>
  <c r="E1022" i="3" s="1"/>
  <c r="I734" i="3"/>
  <c r="E734" i="3" s="1"/>
  <c r="I343" i="3"/>
  <c r="E343" i="3" s="1"/>
  <c r="I867" i="3"/>
  <c r="E867" i="3" s="1"/>
  <c r="I1025" i="3"/>
  <c r="E1025" i="3" s="1"/>
  <c r="I355" i="3"/>
  <c r="E355" i="3" s="1"/>
  <c r="I823" i="3"/>
  <c r="E823" i="3" s="1"/>
  <c r="I969" i="3"/>
  <c r="E969" i="3" s="1"/>
  <c r="I619" i="3"/>
  <c r="E619" i="3" s="1"/>
  <c r="I239" i="3"/>
  <c r="E239" i="3" s="1"/>
  <c r="I671" i="3"/>
  <c r="E671" i="3" s="1"/>
  <c r="I1079" i="3"/>
  <c r="E1079" i="3" s="1"/>
  <c r="I753" i="3"/>
  <c r="E753" i="3" s="1"/>
  <c r="I240" i="3"/>
  <c r="E240" i="3" s="1"/>
  <c r="I810" i="3"/>
  <c r="E810" i="3" s="1"/>
  <c r="I403" i="3"/>
  <c r="E403" i="3" s="1"/>
  <c r="I516" i="3"/>
  <c r="E516" i="3" s="1"/>
  <c r="I721" i="3"/>
  <c r="E721" i="3" s="1"/>
  <c r="I213" i="3"/>
  <c r="E213" i="3" s="1"/>
  <c r="I115" i="3"/>
  <c r="E115" i="3" s="1"/>
  <c r="I591" i="3"/>
  <c r="E591" i="3" s="1"/>
  <c r="I1097" i="3"/>
  <c r="E1097" i="3" s="1"/>
  <c r="I692" i="3"/>
  <c r="E692" i="3" s="1"/>
  <c r="I206" i="3"/>
  <c r="E206" i="3" s="1"/>
  <c r="I196" i="3"/>
  <c r="E196" i="3" s="1"/>
  <c r="I600" i="3"/>
  <c r="E600" i="3" s="1"/>
  <c r="I851" i="3"/>
  <c r="E851" i="3" s="1"/>
  <c r="I804" i="3"/>
  <c r="E804" i="3" s="1"/>
  <c r="I534" i="3"/>
  <c r="E534" i="3" s="1"/>
  <c r="I622" i="3"/>
  <c r="E622" i="3" s="1"/>
  <c r="I133" i="3"/>
  <c r="E133" i="3" s="1"/>
  <c r="I310" i="3"/>
  <c r="E310" i="3" s="1"/>
  <c r="I647" i="3"/>
  <c r="E647" i="3" s="1"/>
  <c r="I1053" i="3"/>
  <c r="E1053" i="3" s="1"/>
  <c r="I466" i="3"/>
  <c r="E466" i="3" s="1"/>
  <c r="I435" i="3"/>
  <c r="E435" i="3" s="1"/>
  <c r="I834" i="3"/>
  <c r="E834" i="3" s="1"/>
  <c r="I547" i="3"/>
  <c r="E547" i="3" s="1"/>
  <c r="I376" i="3"/>
  <c r="E376" i="3" s="1"/>
  <c r="I649" i="3"/>
  <c r="E649" i="3" s="1"/>
  <c r="I562" i="3"/>
  <c r="E562" i="3" s="1"/>
  <c r="I878" i="3"/>
  <c r="E878" i="3" s="1"/>
  <c r="I431" i="3"/>
  <c r="E431" i="3" s="1"/>
  <c r="I217" i="3"/>
  <c r="E217" i="3" s="1"/>
  <c r="I685" i="3"/>
  <c r="E685" i="3" s="1"/>
  <c r="I678" i="3"/>
  <c r="E678" i="3" s="1"/>
  <c r="I1014" i="3"/>
  <c r="E1014" i="3" s="1"/>
  <c r="I926" i="3"/>
  <c r="E926" i="3" s="1"/>
  <c r="I1027" i="3"/>
  <c r="E1027" i="3" s="1"/>
  <c r="I770" i="3"/>
  <c r="E770" i="3" s="1"/>
  <c r="I404" i="3"/>
  <c r="E404" i="3" s="1"/>
  <c r="I1021" i="3"/>
  <c r="E1021" i="3" s="1"/>
  <c r="I381" i="3"/>
  <c r="E381" i="3" s="1"/>
  <c r="I979" i="3"/>
  <c r="E979" i="3" s="1"/>
  <c r="I640" i="3"/>
  <c r="E640" i="3" s="1"/>
  <c r="I260" i="3"/>
  <c r="E260" i="3" s="1"/>
  <c r="I696" i="3"/>
  <c r="E696" i="3" s="1"/>
  <c r="I1089" i="3"/>
  <c r="E1089" i="3" s="1"/>
  <c r="I784" i="3"/>
  <c r="E784" i="3" s="1"/>
  <c r="I245" i="3"/>
  <c r="E245" i="3" s="1"/>
  <c r="I815" i="3"/>
  <c r="E815" i="3" s="1"/>
  <c r="I667" i="3"/>
  <c r="E667" i="3" s="1"/>
  <c r="I599" i="3"/>
  <c r="E599" i="3" s="1"/>
  <c r="I737" i="3"/>
  <c r="E737" i="3" s="1"/>
  <c r="I287" i="3"/>
  <c r="E287" i="3" s="1"/>
  <c r="I136" i="3"/>
  <c r="E136" i="3" s="1"/>
  <c r="I607" i="3"/>
  <c r="E607" i="3" s="1"/>
  <c r="I168" i="3"/>
  <c r="E168" i="3" s="1"/>
  <c r="I787" i="3"/>
  <c r="E787" i="3" s="1"/>
  <c r="I463" i="3"/>
  <c r="E463" i="3" s="1"/>
  <c r="I244" i="3"/>
  <c r="E244" i="3" s="1"/>
  <c r="I972" i="3"/>
  <c r="E972" i="3" s="1"/>
  <c r="I235" i="3"/>
  <c r="E235" i="3" s="1"/>
  <c r="I820" i="3"/>
  <c r="E820" i="3" s="1"/>
  <c r="I752" i="3"/>
  <c r="E752" i="3" s="1"/>
  <c r="I723" i="3"/>
  <c r="E723" i="3" s="1"/>
  <c r="I288" i="3"/>
  <c r="E288" i="3" s="1"/>
  <c r="I390" i="3"/>
  <c r="E390" i="3" s="1"/>
  <c r="I663" i="3"/>
  <c r="E663" i="3" s="1"/>
  <c r="I1085" i="3"/>
  <c r="E1085" i="3" s="1"/>
  <c r="I307" i="3"/>
  <c r="E307" i="3" s="1"/>
  <c r="I451" i="3"/>
  <c r="E451" i="3" s="1"/>
  <c r="I962" i="3"/>
  <c r="E962" i="3" s="1"/>
  <c r="I790" i="3"/>
  <c r="E790" i="3" s="1"/>
  <c r="I1060" i="3"/>
  <c r="E1060" i="3" s="1"/>
  <c r="I726" i="3"/>
  <c r="E726" i="3" s="1"/>
  <c r="I620" i="3"/>
  <c r="E620" i="3" s="1"/>
  <c r="I481" i="3"/>
  <c r="E481" i="3" s="1"/>
  <c r="I778" i="3"/>
  <c r="E778" i="3" s="1"/>
  <c r="I140" i="3"/>
  <c r="E140" i="3" s="1"/>
  <c r="I797" i="3"/>
  <c r="E797" i="3" s="1"/>
  <c r="I185" i="3"/>
  <c r="E185" i="3" s="1"/>
  <c r="I300" i="3"/>
  <c r="E300" i="3" s="1"/>
  <c r="I542" i="3"/>
  <c r="E542" i="3" s="1"/>
  <c r="I434" i="3"/>
  <c r="E434" i="3" s="1"/>
  <c r="I114" i="3"/>
  <c r="E114" i="3" s="1"/>
  <c r="I187" i="3"/>
  <c r="E187" i="3" s="1"/>
  <c r="I763" i="3"/>
  <c r="E763" i="3" s="1"/>
  <c r="I1024" i="3"/>
  <c r="E1024" i="3" s="1"/>
  <c r="I1044" i="3"/>
  <c r="E1044" i="3" s="1"/>
  <c r="I124" i="3"/>
  <c r="E124" i="3" s="1"/>
  <c r="I473" i="3"/>
  <c r="E473" i="3" s="1"/>
  <c r="I492" i="3"/>
  <c r="E492" i="3" s="1"/>
  <c r="I249" i="3"/>
  <c r="E249" i="3" s="1"/>
  <c r="I364" i="3"/>
  <c r="E364" i="3" s="1"/>
  <c r="I318" i="3"/>
  <c r="E318" i="3" s="1"/>
  <c r="I747" i="3"/>
  <c r="E747" i="3" s="1"/>
  <c r="I570" i="3"/>
  <c r="E570" i="3" s="1"/>
  <c r="I394" i="3"/>
  <c r="E394" i="3" s="1"/>
  <c r="I482" i="3"/>
  <c r="E482" i="3" s="1"/>
  <c r="I241" i="3"/>
  <c r="E241" i="3" s="1"/>
  <c r="I701" i="3"/>
  <c r="E701" i="3" s="1"/>
  <c r="I113" i="3"/>
  <c r="E113" i="3" s="1"/>
  <c r="I109" i="3"/>
  <c r="E109" i="3" s="1"/>
  <c r="I161" i="3"/>
  <c r="E161" i="3" s="1"/>
  <c r="I657" i="3"/>
  <c r="E657" i="3" s="1"/>
  <c r="I122" i="3"/>
  <c r="E122" i="3" s="1"/>
  <c r="I234" i="3"/>
  <c r="E234" i="3" s="1"/>
  <c r="I893" i="3"/>
  <c r="E893" i="3" s="1"/>
  <c r="I907" i="3"/>
  <c r="E907" i="3" s="1"/>
  <c r="I1028" i="3"/>
  <c r="E1028" i="3" s="1"/>
  <c r="I1056" i="3"/>
  <c r="E1056" i="3" s="1"/>
  <c r="I754" i="3"/>
  <c r="E754" i="3" s="1"/>
  <c r="I238" i="3"/>
  <c r="E238" i="3" s="1"/>
  <c r="I1076" i="3"/>
  <c r="E1076" i="3" s="1"/>
  <c r="I827" i="3"/>
  <c r="E827" i="3" s="1"/>
  <c r="I974" i="3"/>
  <c r="E974" i="3" s="1"/>
  <c r="I1059" i="3"/>
  <c r="E1059" i="3" s="1"/>
  <c r="I909" i="3"/>
  <c r="E909" i="3" s="1"/>
  <c r="I420" i="3"/>
  <c r="E420" i="3" s="1"/>
  <c r="I152" i="3"/>
  <c r="E152" i="3" s="1"/>
  <c r="I929" i="3"/>
  <c r="E929" i="3" s="1"/>
  <c r="I416" i="3"/>
  <c r="E416" i="3" s="1"/>
  <c r="I839" i="3"/>
  <c r="E839" i="3" s="1"/>
  <c r="I163" i="3"/>
  <c r="E163" i="3" s="1"/>
  <c r="I1000" i="3"/>
  <c r="E1000" i="3" s="1"/>
  <c r="I660" i="3"/>
  <c r="E660" i="3" s="1"/>
  <c r="I295" i="3"/>
  <c r="E295" i="3" s="1"/>
  <c r="I706" i="3"/>
  <c r="E706" i="3" s="1"/>
  <c r="I1080" i="3"/>
  <c r="E1080" i="3" s="1"/>
  <c r="I789" i="3"/>
  <c r="E789" i="3" s="1"/>
  <c r="I286" i="3"/>
  <c r="E286" i="3" s="1"/>
  <c r="I846" i="3"/>
  <c r="E846" i="3" s="1"/>
  <c r="I673" i="3"/>
  <c r="E673" i="3" s="1"/>
  <c r="I837" i="3"/>
  <c r="E837" i="3" s="1"/>
  <c r="I382" i="3"/>
  <c r="E382" i="3" s="1"/>
  <c r="I246" i="3"/>
  <c r="E246" i="3" s="1"/>
  <c r="I717" i="3"/>
  <c r="E717" i="3" s="1"/>
  <c r="I320" i="3"/>
  <c r="E320" i="3" s="1"/>
  <c r="I148" i="3"/>
  <c r="E148" i="3" s="1"/>
  <c r="I824" i="3"/>
  <c r="E824" i="3" s="1"/>
  <c r="I552" i="3"/>
  <c r="E552" i="3" s="1"/>
  <c r="I520" i="3"/>
  <c r="E520" i="3" s="1"/>
  <c r="I1052" i="3"/>
  <c r="E1052" i="3" s="1"/>
  <c r="I262" i="3"/>
  <c r="E262" i="3" s="1"/>
  <c r="I836" i="3"/>
  <c r="E836" i="3" s="1"/>
  <c r="I858" i="3"/>
  <c r="E858" i="3" s="1"/>
  <c r="I739" i="3"/>
  <c r="E739" i="3" s="1"/>
  <c r="I341" i="3"/>
  <c r="E341" i="3" s="1"/>
  <c r="I454" i="3"/>
  <c r="E454" i="3" s="1"/>
  <c r="I700" i="3"/>
  <c r="E700" i="3" s="1"/>
  <c r="I702" i="3"/>
  <c r="E702" i="3" s="1"/>
  <c r="I323" i="3"/>
  <c r="E323" i="3" s="1"/>
  <c r="I198" i="3"/>
  <c r="E198" i="3" s="1"/>
  <c r="I164" i="3"/>
  <c r="E164" i="3" s="1"/>
  <c r="I299" i="3"/>
  <c r="E299" i="3" s="1"/>
  <c r="I892" i="3"/>
  <c r="E892" i="3" s="1"/>
  <c r="I105" i="3"/>
  <c r="E105" i="3" s="1"/>
  <c r="I314" i="3"/>
  <c r="E314" i="3" s="1"/>
  <c r="I577" i="3"/>
  <c r="E577" i="3" s="1"/>
  <c r="I272" i="3"/>
  <c r="E272" i="3" s="1"/>
  <c r="I1002" i="3"/>
  <c r="E1002" i="3" s="1"/>
  <c r="I265" i="3"/>
  <c r="E265" i="3" s="1"/>
  <c r="I233" i="3"/>
  <c r="E233" i="3" s="1"/>
  <c r="I363" i="3"/>
  <c r="E363" i="3" s="1"/>
  <c r="I219" i="3"/>
  <c r="E219" i="3" s="1"/>
  <c r="I656" i="3"/>
  <c r="E656" i="3" s="1"/>
  <c r="I621" i="3"/>
  <c r="E621" i="3" s="1"/>
  <c r="I884" i="3"/>
  <c r="E884" i="3" s="1"/>
  <c r="I729" i="3"/>
  <c r="E729" i="3" s="1"/>
  <c r="I807" i="3"/>
  <c r="E807" i="3" s="1"/>
  <c r="I828" i="3"/>
  <c r="E828" i="3" s="1"/>
  <c r="I585" i="3"/>
  <c r="E585" i="3" s="1"/>
  <c r="I553" i="3"/>
  <c r="E553" i="3" s="1"/>
  <c r="I284" i="3"/>
  <c r="E284" i="3" s="1"/>
  <c r="I537" i="3"/>
  <c r="E537" i="3" s="1"/>
  <c r="I331" i="3"/>
  <c r="E331" i="3" s="1"/>
  <c r="I776" i="3"/>
  <c r="E776" i="3" s="1"/>
  <c r="I654" i="3"/>
  <c r="E654" i="3" s="1"/>
  <c r="I459" i="3"/>
  <c r="E459" i="3" s="1"/>
  <c r="I490" i="3"/>
  <c r="E490" i="3" s="1"/>
  <c r="I266" i="3"/>
  <c r="E266" i="3" s="1"/>
  <c r="I792" i="3"/>
  <c r="E792" i="3" s="1"/>
  <c r="I138" i="3"/>
  <c r="E138" i="3" s="1"/>
  <c r="I156" i="3"/>
  <c r="E156" i="3" s="1"/>
  <c r="I186" i="3"/>
  <c r="E186" i="3" s="1"/>
  <c r="I703" i="3"/>
  <c r="E703" i="3" s="1"/>
  <c r="I545" i="3"/>
  <c r="E545" i="3" s="1"/>
  <c r="I251" i="3"/>
  <c r="E251" i="3" s="1"/>
  <c r="I932" i="3"/>
  <c r="E932" i="3" s="1"/>
  <c r="I1051" i="3"/>
  <c r="E1051" i="3" s="1"/>
  <c r="I1088" i="3"/>
  <c r="E1088" i="3" s="1"/>
  <c r="I860" i="3"/>
  <c r="E860" i="3" s="1"/>
  <c r="I259" i="3"/>
  <c r="E259" i="3" s="1"/>
  <c r="I1099" i="3"/>
  <c r="E1099" i="3" s="1"/>
  <c r="I872" i="3"/>
  <c r="E872" i="3" s="1"/>
  <c r="I352" i="3"/>
  <c r="E352" i="3" s="1"/>
  <c r="I1091" i="3"/>
  <c r="E1091" i="3" s="1"/>
  <c r="I914" i="3"/>
  <c r="E914" i="3" s="1"/>
  <c r="I446" i="3"/>
  <c r="E446" i="3" s="1"/>
  <c r="I268" i="3"/>
  <c r="E268" i="3" s="1"/>
  <c r="I442" i="3"/>
  <c r="E442" i="3" s="1"/>
  <c r="I911" i="3"/>
  <c r="E911" i="3" s="1"/>
  <c r="I350" i="3"/>
  <c r="E350" i="3" s="1"/>
  <c r="I1057" i="3"/>
  <c r="E1057" i="3" s="1"/>
  <c r="I711" i="3"/>
  <c r="E711" i="3" s="1"/>
  <c r="I330" i="3"/>
  <c r="E330" i="3" s="1"/>
  <c r="I732" i="3"/>
  <c r="E732" i="3" s="1"/>
  <c r="I120" i="3"/>
  <c r="E120" i="3" s="1"/>
  <c r="I887" i="3"/>
  <c r="E887" i="3" s="1"/>
  <c r="I439" i="3"/>
  <c r="E439" i="3" s="1"/>
  <c r="I903" i="3"/>
  <c r="E903" i="3" s="1"/>
  <c r="I118" i="3"/>
  <c r="E118" i="3" s="1"/>
  <c r="I899" i="3"/>
  <c r="E899" i="3" s="1"/>
  <c r="I842" i="3"/>
  <c r="E842" i="3" s="1"/>
  <c r="I470" i="3"/>
  <c r="E470" i="3" s="1"/>
  <c r="I298" i="3"/>
  <c r="E298" i="3" s="1"/>
  <c r="I733" i="3"/>
  <c r="E733" i="3" s="1"/>
  <c r="I336" i="3"/>
  <c r="E336" i="3" s="1"/>
  <c r="I179" i="3"/>
  <c r="E179" i="3" s="1"/>
  <c r="I1082" i="3"/>
  <c r="E1082" i="3" s="1"/>
  <c r="I861" i="3"/>
  <c r="E861" i="3" s="1"/>
  <c r="I669" i="3"/>
  <c r="E669" i="3" s="1"/>
  <c r="I160" i="3"/>
  <c r="E160" i="3" s="1"/>
  <c r="I379" i="3"/>
  <c r="E379" i="3" s="1"/>
  <c r="I852" i="3"/>
  <c r="E852" i="3" s="1"/>
  <c r="I373" i="3"/>
  <c r="E373" i="3" s="1"/>
  <c r="I688" i="3"/>
  <c r="E688" i="3" s="1"/>
  <c r="I716" i="3"/>
  <c r="E716" i="3" s="1"/>
  <c r="I452" i="3"/>
  <c r="E452" i="3" s="1"/>
  <c r="I740" i="3"/>
  <c r="E740" i="3" s="1"/>
  <c r="I689" i="3"/>
  <c r="E689" i="3" s="1"/>
  <c r="I123" i="7"/>
  <c r="I173" i="7"/>
  <c r="I163" i="7"/>
  <c r="I143" i="7"/>
  <c r="I133" i="7"/>
  <c r="I113" i="7"/>
  <c r="I183" i="7"/>
  <c r="I153" i="7"/>
  <c r="H507" i="7"/>
  <c r="H508" i="7"/>
  <c r="H509" i="7"/>
  <c r="H510" i="7"/>
  <c r="H511" i="7"/>
  <c r="H512" i="7"/>
  <c r="H7" i="7"/>
  <c r="H8" i="7"/>
  <c r="H9" i="7"/>
  <c r="H10" i="7"/>
  <c r="H11" i="7"/>
  <c r="H12" i="7"/>
  <c r="D446" i="7"/>
  <c r="D455" i="7"/>
  <c r="M475" i="7"/>
  <c r="M476" i="7"/>
  <c r="M485" i="7"/>
  <c r="H494" i="7"/>
  <c r="H493" i="7"/>
  <c r="M13" i="7"/>
  <c r="M54" i="7"/>
  <c r="M55" i="7"/>
  <c r="M56" i="7"/>
  <c r="M57" i="7"/>
  <c r="M58" i="7"/>
  <c r="M59" i="7"/>
  <c r="M60" i="7"/>
  <c r="M74" i="7"/>
  <c r="M75" i="7"/>
  <c r="M76" i="7"/>
  <c r="M77" i="7"/>
  <c r="M78" i="7"/>
  <c r="M79" i="7"/>
  <c r="M80" i="7"/>
  <c r="M84" i="7"/>
  <c r="M85" i="7"/>
  <c r="M86" i="7"/>
  <c r="M87" i="7"/>
  <c r="M88" i="7"/>
  <c r="M89" i="7"/>
  <c r="M90" i="7"/>
  <c r="M94" i="7"/>
  <c r="M95" i="7"/>
  <c r="M96" i="7"/>
  <c r="M97" i="7"/>
  <c r="M98" i="7"/>
  <c r="M99" i="7"/>
  <c r="M100" i="7"/>
  <c r="M533" i="7"/>
  <c r="M534" i="7"/>
  <c r="M535" i="7"/>
  <c r="M536" i="7"/>
  <c r="M537" i="7"/>
  <c r="M538" i="7"/>
  <c r="M539" i="7"/>
  <c r="M540" i="7"/>
  <c r="M543" i="7"/>
  <c r="M544" i="7"/>
  <c r="M545" i="7"/>
  <c r="M546" i="7"/>
  <c r="M547" i="7"/>
  <c r="M548" i="7"/>
  <c r="M549" i="7"/>
  <c r="M550" i="7"/>
  <c r="L603" i="7"/>
  <c r="M603" i="7" s="1"/>
  <c r="L604" i="7"/>
  <c r="M604" i="7" s="1"/>
  <c r="L605" i="7"/>
  <c r="M605" i="7" s="1"/>
  <c r="L606" i="7"/>
  <c r="M606" i="7" s="1"/>
  <c r="L607" i="7"/>
  <c r="M607" i="7" s="1"/>
  <c r="L608" i="7"/>
  <c r="M608" i="7" s="1"/>
  <c r="L609" i="7"/>
  <c r="M609" i="7" s="1"/>
  <c r="L610" i="7"/>
  <c r="M610" i="7" s="1"/>
  <c r="L613" i="7"/>
  <c r="M613" i="7" s="1"/>
  <c r="L614" i="7"/>
  <c r="M614" i="7" s="1"/>
  <c r="L615" i="7"/>
  <c r="M615" i="7" s="1"/>
  <c r="L616" i="7"/>
  <c r="M616" i="7" s="1"/>
  <c r="L617" i="7"/>
  <c r="M617" i="7" s="1"/>
  <c r="L618" i="7"/>
  <c r="M618" i="7" s="1"/>
  <c r="L619" i="7"/>
  <c r="M619" i="7" s="1"/>
  <c r="L620" i="7"/>
  <c r="M620" i="7" s="1"/>
  <c r="L623" i="7"/>
  <c r="M623" i="7" s="1"/>
  <c r="L624" i="7"/>
  <c r="M624" i="7" s="1"/>
  <c r="L625" i="7"/>
  <c r="M625" i="7" s="1"/>
  <c r="L626" i="7"/>
  <c r="M626" i="7" s="1"/>
  <c r="L627" i="7"/>
  <c r="M627" i="7" s="1"/>
  <c r="L628" i="7"/>
  <c r="M628" i="7" s="1"/>
  <c r="L629" i="7"/>
  <c r="M629" i="7" s="1"/>
  <c r="L630" i="7"/>
  <c r="M630" i="7" s="1"/>
  <c r="L633" i="7"/>
  <c r="M633" i="7" s="1"/>
  <c r="L634" i="7"/>
  <c r="M634" i="7" s="1"/>
  <c r="L635" i="7"/>
  <c r="M635" i="7" s="1"/>
  <c r="L636" i="7"/>
  <c r="M636" i="7" s="1"/>
  <c r="L637" i="7"/>
  <c r="M637" i="7" s="1"/>
  <c r="L638" i="7"/>
  <c r="M638" i="7" s="1"/>
  <c r="L639" i="7"/>
  <c r="M639" i="7" s="1"/>
  <c r="L640" i="7"/>
  <c r="M640" i="7" s="1"/>
  <c r="L643" i="7"/>
  <c r="M643" i="7" s="1"/>
  <c r="L644" i="7"/>
  <c r="M644" i="7" s="1"/>
  <c r="L645" i="7"/>
  <c r="M645" i="7" s="1"/>
  <c r="L646" i="7"/>
  <c r="M646" i="7" s="1"/>
  <c r="L647" i="7"/>
  <c r="M647" i="7" s="1"/>
  <c r="L648" i="7"/>
  <c r="M648" i="7" s="1"/>
  <c r="L649" i="7"/>
  <c r="M649" i="7" s="1"/>
  <c r="L650" i="7"/>
  <c r="M650" i="7" s="1"/>
  <c r="L653" i="7"/>
  <c r="M653" i="7" s="1"/>
  <c r="L654" i="7"/>
  <c r="M654" i="7" s="1"/>
  <c r="L655" i="7"/>
  <c r="M655" i="7" s="1"/>
  <c r="L656" i="7"/>
  <c r="M656" i="7" s="1"/>
  <c r="L657" i="7"/>
  <c r="M657" i="7" s="1"/>
  <c r="L658" i="7"/>
  <c r="M658" i="7" s="1"/>
  <c r="L659" i="7"/>
  <c r="M659" i="7" s="1"/>
  <c r="L660" i="7"/>
  <c r="M660" i="7" s="1"/>
  <c r="L663" i="7"/>
  <c r="M663" i="7" s="1"/>
  <c r="L664" i="7"/>
  <c r="M664" i="7" s="1"/>
  <c r="L665" i="7"/>
  <c r="M665" i="7" s="1"/>
  <c r="L666" i="7"/>
  <c r="M666" i="7" s="1"/>
  <c r="L667" i="7"/>
  <c r="M667" i="7" s="1"/>
  <c r="L668" i="7"/>
  <c r="M668" i="7" s="1"/>
  <c r="L669" i="7"/>
  <c r="M669" i="7" s="1"/>
  <c r="L670" i="7"/>
  <c r="M670" i="7" s="1"/>
  <c r="L673" i="7"/>
  <c r="M673" i="7" s="1"/>
  <c r="L674" i="7"/>
  <c r="M674" i="7" s="1"/>
  <c r="L675" i="7"/>
  <c r="M675" i="7" s="1"/>
  <c r="L676" i="7"/>
  <c r="M676" i="7" s="1"/>
  <c r="L677" i="7"/>
  <c r="M677" i="7" s="1"/>
  <c r="L678" i="7"/>
  <c r="M678" i="7" s="1"/>
  <c r="L679" i="7"/>
  <c r="M679" i="7" s="1"/>
  <c r="L680" i="7"/>
  <c r="M680" i="7" s="1"/>
  <c r="L693" i="7"/>
  <c r="M693" i="7" s="1"/>
  <c r="L694" i="7"/>
  <c r="M694" i="7" s="1"/>
  <c r="L695" i="7"/>
  <c r="M695" i="7" s="1"/>
  <c r="L696" i="7"/>
  <c r="M696" i="7" s="1"/>
  <c r="L697" i="7"/>
  <c r="M697" i="7" s="1"/>
  <c r="L698" i="7"/>
  <c r="M698" i="7" s="1"/>
  <c r="L699" i="7"/>
  <c r="M699" i="7" s="1"/>
  <c r="L700" i="7"/>
  <c r="M700" i="7" s="1"/>
  <c r="L703" i="7"/>
  <c r="M703" i="7" s="1"/>
  <c r="L704" i="7"/>
  <c r="M704" i="7" s="1"/>
  <c r="L705" i="7"/>
  <c r="M705" i="7" s="1"/>
  <c r="L706" i="7"/>
  <c r="M706" i="7" s="1"/>
  <c r="L707" i="7"/>
  <c r="M707" i="7" s="1"/>
  <c r="L708" i="7"/>
  <c r="M708" i="7" s="1"/>
  <c r="L709" i="7"/>
  <c r="M709" i="7" s="1"/>
  <c r="L710" i="7"/>
  <c r="M710" i="7" s="1"/>
  <c r="L763" i="7"/>
  <c r="M763" i="7" s="1"/>
  <c r="L764" i="7"/>
  <c r="M764" i="7" s="1"/>
  <c r="L765" i="7"/>
  <c r="M765" i="7" s="1"/>
  <c r="L766" i="7"/>
  <c r="M766" i="7" s="1"/>
  <c r="L767" i="7"/>
  <c r="M767" i="7" s="1"/>
  <c r="L768" i="7"/>
  <c r="M768" i="7" s="1"/>
  <c r="L769" i="7"/>
  <c r="M769" i="7" s="1"/>
  <c r="L770" i="7"/>
  <c r="M770" i="7" s="1"/>
  <c r="L773" i="7"/>
  <c r="M773" i="7" s="1"/>
  <c r="L774" i="7"/>
  <c r="M774" i="7" s="1"/>
  <c r="L775" i="7"/>
  <c r="M775" i="7" s="1"/>
  <c r="L776" i="7"/>
  <c r="M776" i="7" s="1"/>
  <c r="L777" i="7"/>
  <c r="M777" i="7" s="1"/>
  <c r="L778" i="7"/>
  <c r="M778" i="7" s="1"/>
  <c r="L779" i="7"/>
  <c r="M779" i="7" s="1"/>
  <c r="L780" i="7"/>
  <c r="M780" i="7" s="1"/>
  <c r="L783" i="7"/>
  <c r="M783" i="7" s="1"/>
  <c r="L784" i="7"/>
  <c r="M784" i="7" s="1"/>
  <c r="L785" i="7"/>
  <c r="M785" i="7" s="1"/>
  <c r="L786" i="7"/>
  <c r="M786" i="7" s="1"/>
  <c r="L787" i="7"/>
  <c r="M787" i="7" s="1"/>
  <c r="L788" i="7"/>
  <c r="M788" i="7" s="1"/>
  <c r="L789" i="7"/>
  <c r="M789" i="7" s="1"/>
  <c r="L790" i="7"/>
  <c r="M790" i="7" s="1"/>
  <c r="L793" i="7"/>
  <c r="M793" i="7" s="1"/>
  <c r="L794" i="7"/>
  <c r="M794" i="7" s="1"/>
  <c r="L795" i="7"/>
  <c r="M795" i="7" s="1"/>
  <c r="L796" i="7"/>
  <c r="M796" i="7" s="1"/>
  <c r="L797" i="7"/>
  <c r="M797" i="7" s="1"/>
  <c r="L798" i="7"/>
  <c r="M798" i="7" s="1"/>
  <c r="L799" i="7"/>
  <c r="M799" i="7" s="1"/>
  <c r="L800" i="7"/>
  <c r="M800" i="7" s="1"/>
  <c r="L803" i="7"/>
  <c r="M803" i="7" s="1"/>
  <c r="L804" i="7"/>
  <c r="M804" i="7" s="1"/>
  <c r="L805" i="7"/>
  <c r="M805" i="7" s="1"/>
  <c r="L806" i="7"/>
  <c r="M806" i="7" s="1"/>
  <c r="L807" i="7"/>
  <c r="M807" i="7" s="1"/>
  <c r="L808" i="7"/>
  <c r="M808" i="7" s="1"/>
  <c r="L809" i="7"/>
  <c r="M809" i="7" s="1"/>
  <c r="L810" i="7"/>
  <c r="M810" i="7" s="1"/>
  <c r="L813" i="7"/>
  <c r="M813" i="7" s="1"/>
  <c r="L814" i="7"/>
  <c r="L815" i="7"/>
  <c r="M815" i="7" s="1"/>
  <c r="L816" i="7"/>
  <c r="M816" i="7" s="1"/>
  <c r="L817" i="7"/>
  <c r="M817" i="7" s="1"/>
  <c r="L818" i="7"/>
  <c r="M818" i="7" s="1"/>
  <c r="L819" i="7"/>
  <c r="M819" i="7" s="1"/>
  <c r="L820" i="7"/>
  <c r="M820" i="7" s="1"/>
  <c r="L823" i="7"/>
  <c r="M823" i="7" s="1"/>
  <c r="L824" i="7"/>
  <c r="M824" i="7" s="1"/>
  <c r="L825" i="7"/>
  <c r="M825" i="7" s="1"/>
  <c r="L826" i="7"/>
  <c r="M826" i="7" s="1"/>
  <c r="L827" i="7"/>
  <c r="M827" i="7" s="1"/>
  <c r="L828" i="7"/>
  <c r="M828" i="7" s="1"/>
  <c r="L829" i="7"/>
  <c r="M829" i="7" s="1"/>
  <c r="L830" i="7"/>
  <c r="M830" i="7" s="1"/>
  <c r="L833" i="7"/>
  <c r="M833" i="7" s="1"/>
  <c r="L834" i="7"/>
  <c r="M834" i="7" s="1"/>
  <c r="L835" i="7"/>
  <c r="M835" i="7" s="1"/>
  <c r="L836" i="7"/>
  <c r="M836" i="7" s="1"/>
  <c r="L837" i="7"/>
  <c r="M837" i="7" s="1"/>
  <c r="L838" i="7"/>
  <c r="M838" i="7" s="1"/>
  <c r="L839" i="7"/>
  <c r="M839" i="7" s="1"/>
  <c r="L840" i="7"/>
  <c r="M840" i="7" s="1"/>
  <c r="L843" i="7"/>
  <c r="M843" i="7" s="1"/>
  <c r="L844" i="7"/>
  <c r="M844" i="7" s="1"/>
  <c r="L845" i="7"/>
  <c r="M845" i="7" s="1"/>
  <c r="L846" i="7"/>
  <c r="M846" i="7" s="1"/>
  <c r="L847" i="7"/>
  <c r="M847" i="7" s="1"/>
  <c r="L848" i="7"/>
  <c r="M848" i="7" s="1"/>
  <c r="L849" i="7"/>
  <c r="M849" i="7" s="1"/>
  <c r="L850" i="7"/>
  <c r="M850" i="7" s="1"/>
  <c r="L853" i="7"/>
  <c r="M853" i="7" s="1"/>
  <c r="L854" i="7"/>
  <c r="M854" i="7" s="1"/>
  <c r="L855" i="7"/>
  <c r="M855" i="7" s="1"/>
  <c r="L856" i="7"/>
  <c r="M856" i="7" s="1"/>
  <c r="L857" i="7"/>
  <c r="M857" i="7" s="1"/>
  <c r="L858" i="7"/>
  <c r="M858" i="7" s="1"/>
  <c r="L859" i="7"/>
  <c r="M859" i="7" s="1"/>
  <c r="L860" i="7"/>
  <c r="M860" i="7" s="1"/>
  <c r="L863" i="7"/>
  <c r="M863" i="7" s="1"/>
  <c r="L864" i="7"/>
  <c r="M864" i="7" s="1"/>
  <c r="L865" i="7"/>
  <c r="M865" i="7" s="1"/>
  <c r="L866" i="7"/>
  <c r="M866" i="7" s="1"/>
  <c r="L867" i="7"/>
  <c r="M867" i="7" s="1"/>
  <c r="L868" i="7"/>
  <c r="M868" i="7" s="1"/>
  <c r="L869" i="7"/>
  <c r="M869" i="7" s="1"/>
  <c r="L870" i="7"/>
  <c r="M870" i="7" s="1"/>
  <c r="L873" i="7"/>
  <c r="M873" i="7" s="1"/>
  <c r="L874" i="7"/>
  <c r="M874" i="7" s="1"/>
  <c r="L875" i="7"/>
  <c r="M875" i="7" s="1"/>
  <c r="L876" i="7"/>
  <c r="M876" i="7" s="1"/>
  <c r="L877" i="7"/>
  <c r="M877" i="7" s="1"/>
  <c r="L878" i="7"/>
  <c r="M878" i="7" s="1"/>
  <c r="L879" i="7"/>
  <c r="M879" i="7" s="1"/>
  <c r="L880" i="7"/>
  <c r="M880" i="7" s="1"/>
  <c r="L903" i="7"/>
  <c r="M903" i="7" s="1"/>
  <c r="L904" i="7"/>
  <c r="M904" i="7" s="1"/>
  <c r="L905" i="7"/>
  <c r="M905" i="7" s="1"/>
  <c r="L906" i="7"/>
  <c r="M906" i="7" s="1"/>
  <c r="L907" i="7"/>
  <c r="M907" i="7" s="1"/>
  <c r="L908" i="7"/>
  <c r="M908" i="7" s="1"/>
  <c r="L909" i="7"/>
  <c r="M909" i="7" s="1"/>
  <c r="L910" i="7"/>
  <c r="M910" i="7" s="1"/>
  <c r="L933" i="7"/>
  <c r="M933" i="7" s="1"/>
  <c r="L934" i="7"/>
  <c r="M934" i="7" s="1"/>
  <c r="L935" i="7"/>
  <c r="M935" i="7" s="1"/>
  <c r="L936" i="7"/>
  <c r="M936" i="7" s="1"/>
  <c r="L937" i="7"/>
  <c r="M937" i="7" s="1"/>
  <c r="L938" i="7"/>
  <c r="M938" i="7" s="1"/>
  <c r="L939" i="7"/>
  <c r="M939" i="7" s="1"/>
  <c r="L940" i="7"/>
  <c r="M940" i="7" s="1"/>
  <c r="L943" i="7"/>
  <c r="M943" i="7" s="1"/>
  <c r="L944" i="7"/>
  <c r="M944" i="7" s="1"/>
  <c r="L945" i="7"/>
  <c r="M945" i="7" s="1"/>
  <c r="L946" i="7"/>
  <c r="M946" i="7" s="1"/>
  <c r="L947" i="7"/>
  <c r="M947" i="7" s="1"/>
  <c r="L948" i="7"/>
  <c r="M948" i="7" s="1"/>
  <c r="L949" i="7"/>
  <c r="M949" i="7" s="1"/>
  <c r="L950" i="7"/>
  <c r="M950" i="7" s="1"/>
  <c r="M953" i="7"/>
  <c r="L954" i="7"/>
  <c r="M954" i="7" s="1"/>
  <c r="L955" i="7"/>
  <c r="M955" i="7" s="1"/>
  <c r="L956" i="7"/>
  <c r="M956" i="7" s="1"/>
  <c r="L957" i="7"/>
  <c r="M957" i="7" s="1"/>
  <c r="L958" i="7"/>
  <c r="M958" i="7" s="1"/>
  <c r="L959" i="7"/>
  <c r="M959" i="7" s="1"/>
  <c r="L960" i="7"/>
  <c r="M960" i="7" s="1"/>
  <c r="L963" i="7"/>
  <c r="M963" i="7" s="1"/>
  <c r="L964" i="7"/>
  <c r="M964" i="7" s="1"/>
  <c r="L965" i="7"/>
  <c r="M965" i="7" s="1"/>
  <c r="L966" i="7"/>
  <c r="M966" i="7" s="1"/>
  <c r="L967" i="7"/>
  <c r="M967" i="7" s="1"/>
  <c r="L968" i="7"/>
  <c r="M968" i="7" s="1"/>
  <c r="L969" i="7"/>
  <c r="M969" i="7" s="1"/>
  <c r="L970" i="7"/>
  <c r="M970" i="7" s="1"/>
  <c r="M973" i="7"/>
  <c r="L974" i="7"/>
  <c r="M974" i="7" s="1"/>
  <c r="L975" i="7"/>
  <c r="M975" i="7" s="1"/>
  <c r="L976" i="7"/>
  <c r="M976" i="7" s="1"/>
  <c r="L977" i="7"/>
  <c r="M977" i="7" s="1"/>
  <c r="L978" i="7"/>
  <c r="M978" i="7" s="1"/>
  <c r="L979" i="7"/>
  <c r="M979" i="7" s="1"/>
  <c r="L980" i="7"/>
  <c r="M980" i="7" s="1"/>
  <c r="L983" i="7"/>
  <c r="M983" i="7" s="1"/>
  <c r="L984" i="7"/>
  <c r="M984" i="7" s="1"/>
  <c r="L985" i="7"/>
  <c r="M985" i="7" s="1"/>
  <c r="L986" i="7"/>
  <c r="M986" i="7" s="1"/>
  <c r="L987" i="7"/>
  <c r="M987" i="7" s="1"/>
  <c r="L988" i="7"/>
  <c r="M988" i="7" s="1"/>
  <c r="L989" i="7"/>
  <c r="M989" i="7" s="1"/>
  <c r="L990" i="7"/>
  <c r="M990" i="7" s="1"/>
  <c r="L993" i="7"/>
  <c r="M993" i="7" s="1"/>
  <c r="L994" i="7"/>
  <c r="M994" i="7" s="1"/>
  <c r="L995" i="7"/>
  <c r="M995" i="7" s="1"/>
  <c r="L996" i="7"/>
  <c r="M996" i="7" s="1"/>
  <c r="L997" i="7"/>
  <c r="M997" i="7" s="1"/>
  <c r="L998" i="7"/>
  <c r="M998" i="7" s="1"/>
  <c r="L999" i="7"/>
  <c r="M999" i="7" s="1"/>
  <c r="L1000" i="7"/>
  <c r="M1000" i="7" s="1"/>
  <c r="L1003" i="7"/>
  <c r="M1003" i="7" s="1"/>
  <c r="L1004" i="7"/>
  <c r="M1004" i="7" s="1"/>
  <c r="L1005" i="7"/>
  <c r="M1005" i="7" s="1"/>
  <c r="L1006" i="7"/>
  <c r="M1006" i="7" s="1"/>
  <c r="L1007" i="7"/>
  <c r="M1007" i="7" s="1"/>
  <c r="L1008" i="7"/>
  <c r="M1008" i="7" s="1"/>
  <c r="L1009" i="7"/>
  <c r="M1009" i="7" s="1"/>
  <c r="L1010" i="7"/>
  <c r="M1010" i="7" s="1"/>
  <c r="L1013" i="7"/>
  <c r="M1013" i="7" s="1"/>
  <c r="L1014" i="7"/>
  <c r="M1014" i="7" s="1"/>
  <c r="L1015" i="7"/>
  <c r="M1015" i="7" s="1"/>
  <c r="L1016" i="7"/>
  <c r="M1016" i="7" s="1"/>
  <c r="L1017" i="7"/>
  <c r="M1017" i="7" s="1"/>
  <c r="L1018" i="7"/>
  <c r="M1018" i="7" s="1"/>
  <c r="L1019" i="7"/>
  <c r="M1019" i="7" s="1"/>
  <c r="L1020" i="7"/>
  <c r="M1020" i="7" s="1"/>
  <c r="L1023" i="7"/>
  <c r="M1023" i="7" s="1"/>
  <c r="L1024" i="7"/>
  <c r="M1024" i="7" s="1"/>
  <c r="L1025" i="7"/>
  <c r="M1025" i="7" s="1"/>
  <c r="L1026" i="7"/>
  <c r="M1026" i="7" s="1"/>
  <c r="L1027" i="7"/>
  <c r="M1027" i="7" s="1"/>
  <c r="L1028" i="7"/>
  <c r="M1028" i="7" s="1"/>
  <c r="L1029" i="7"/>
  <c r="M1029" i="7" s="1"/>
  <c r="L1030" i="7"/>
  <c r="M1030" i="7" s="1"/>
  <c r="L1033" i="7"/>
  <c r="M1033" i="7" s="1"/>
  <c r="M1034" i="7"/>
  <c r="L1035" i="7"/>
  <c r="M1035" i="7" s="1"/>
  <c r="L1036" i="7"/>
  <c r="M1036" i="7" s="1"/>
  <c r="L1037" i="7"/>
  <c r="M1037" i="7" s="1"/>
  <c r="L1038" i="7"/>
  <c r="M1038" i="7" s="1"/>
  <c r="L1039" i="7"/>
  <c r="M1039" i="7" s="1"/>
  <c r="L1040" i="7"/>
  <c r="M1040" i="7" s="1"/>
  <c r="L1043" i="7"/>
  <c r="M1043" i="7" s="1"/>
  <c r="L1044" i="7"/>
  <c r="M1044" i="7" s="1"/>
  <c r="L1045" i="7"/>
  <c r="M1045" i="7" s="1"/>
  <c r="L1046" i="7"/>
  <c r="M1046" i="7" s="1"/>
  <c r="L1047" i="7"/>
  <c r="M1047" i="7" s="1"/>
  <c r="L1048" i="7"/>
  <c r="M1048" i="7" s="1"/>
  <c r="L1049" i="7"/>
  <c r="M1049" i="7" s="1"/>
  <c r="L1050" i="7"/>
  <c r="M1050" i="7" s="1"/>
  <c r="L1053" i="7"/>
  <c r="M1053" i="7" s="1"/>
  <c r="L1054" i="7"/>
  <c r="M1054" i="7" s="1"/>
  <c r="L1055" i="7"/>
  <c r="M1055" i="7" s="1"/>
  <c r="L1056" i="7"/>
  <c r="M1056" i="7" s="1"/>
  <c r="L1057" i="7"/>
  <c r="M1057" i="7" s="1"/>
  <c r="L1058" i="7"/>
  <c r="M1058" i="7" s="1"/>
  <c r="L1059" i="7"/>
  <c r="M1059" i="7" s="1"/>
  <c r="L1060" i="7"/>
  <c r="M1060" i="7" s="1"/>
  <c r="L1063" i="7"/>
  <c r="M1063" i="7" s="1"/>
  <c r="L1064" i="7"/>
  <c r="M1064" i="7" s="1"/>
  <c r="L1065" i="7"/>
  <c r="M1065" i="7" s="1"/>
  <c r="L1066" i="7"/>
  <c r="M1066" i="7" s="1"/>
  <c r="L1067" i="7"/>
  <c r="M1067" i="7" s="1"/>
  <c r="L1068" i="7"/>
  <c r="M1068" i="7" s="1"/>
  <c r="L1069" i="7"/>
  <c r="M1069" i="7" s="1"/>
  <c r="L1070" i="7"/>
  <c r="M1070" i="7" s="1"/>
  <c r="L1073" i="7"/>
  <c r="M1073" i="7" s="1"/>
  <c r="L1074" i="7"/>
  <c r="M1074" i="7" s="1"/>
  <c r="L1075" i="7"/>
  <c r="M1075" i="7" s="1"/>
  <c r="L1076" i="7"/>
  <c r="M1076" i="7" s="1"/>
  <c r="L1077" i="7"/>
  <c r="M1077" i="7" s="1"/>
  <c r="L1078" i="7"/>
  <c r="M1078" i="7" s="1"/>
  <c r="L1079" i="7"/>
  <c r="M1079" i="7" s="1"/>
  <c r="L1080" i="7"/>
  <c r="M1080" i="7" s="1"/>
  <c r="L1083" i="7"/>
  <c r="M1083" i="7" s="1"/>
  <c r="L1084" i="7"/>
  <c r="M1084" i="7" s="1"/>
  <c r="L1085" i="7"/>
  <c r="M1085" i="7" s="1"/>
  <c r="L1086" i="7"/>
  <c r="M1086" i="7" s="1"/>
  <c r="L1087" i="7"/>
  <c r="M1087" i="7" s="1"/>
  <c r="L1088" i="7"/>
  <c r="M1088" i="7" s="1"/>
  <c r="L1089" i="7"/>
  <c r="M1089" i="7" s="1"/>
  <c r="L1090" i="7"/>
  <c r="M1090" i="7" s="1"/>
  <c r="L1093" i="7"/>
  <c r="M1093" i="7" s="1"/>
  <c r="L1094" i="7"/>
  <c r="M1094" i="7" s="1"/>
  <c r="L1095" i="7"/>
  <c r="M1095" i="7" s="1"/>
  <c r="L1096" i="7"/>
  <c r="M1096" i="7" s="1"/>
  <c r="L1097" i="7"/>
  <c r="M1097" i="7" s="1"/>
  <c r="L1098" i="7"/>
  <c r="M1098" i="7" s="1"/>
  <c r="L1099" i="7"/>
  <c r="M1099" i="7" s="1"/>
  <c r="L1100" i="7"/>
  <c r="M1100" i="7" s="1"/>
  <c r="L1103" i="7"/>
  <c r="M1103" i="7" s="1"/>
  <c r="L1104" i="7"/>
  <c r="M1104" i="7" s="1"/>
  <c r="L1105" i="7"/>
  <c r="M1105" i="7" s="1"/>
  <c r="L1106" i="7"/>
  <c r="M1106" i="7" s="1"/>
  <c r="L1107" i="7"/>
  <c r="M1107" i="7" s="1"/>
  <c r="L1108" i="7"/>
  <c r="M1108" i="7" s="1"/>
  <c r="L1109" i="7"/>
  <c r="M1109" i="7" s="1"/>
  <c r="L1110" i="7"/>
  <c r="M1110" i="7" s="1"/>
  <c r="L1113" i="7"/>
  <c r="M1113" i="7" s="1"/>
  <c r="L1114" i="7"/>
  <c r="M1114" i="7" s="1"/>
  <c r="L1115" i="7"/>
  <c r="M1115" i="7" s="1"/>
  <c r="L1116" i="7"/>
  <c r="M1116" i="7" s="1"/>
  <c r="L1117" i="7"/>
  <c r="M1117" i="7" s="1"/>
  <c r="L1118" i="7"/>
  <c r="M1118" i="7" s="1"/>
  <c r="L1119" i="7"/>
  <c r="M1119" i="7" s="1"/>
  <c r="L1120" i="7"/>
  <c r="M1120" i="7" s="1"/>
  <c r="L1123" i="7"/>
  <c r="M1123" i="7" s="1"/>
  <c r="L1124" i="7"/>
  <c r="M1124" i="7" s="1"/>
  <c r="L1125" i="7"/>
  <c r="M1125" i="7" s="1"/>
  <c r="L1126" i="7"/>
  <c r="M1126" i="7" s="1"/>
  <c r="L1127" i="7"/>
  <c r="M1127" i="7" s="1"/>
  <c r="L1128" i="7"/>
  <c r="M1128" i="7" s="1"/>
  <c r="L1129" i="7"/>
  <c r="M1129" i="7" s="1"/>
  <c r="L1130" i="7"/>
  <c r="M1130" i="7" s="1"/>
  <c r="L1133" i="7"/>
  <c r="M1133" i="7" s="1"/>
  <c r="L1134" i="7"/>
  <c r="M1134" i="7" s="1"/>
  <c r="L1135" i="7"/>
  <c r="M1135" i="7" s="1"/>
  <c r="L1136" i="7"/>
  <c r="M1136" i="7" s="1"/>
  <c r="L1137" i="7"/>
  <c r="M1137" i="7" s="1"/>
  <c r="L1138" i="7"/>
  <c r="M1138" i="7" s="1"/>
  <c r="L1139" i="7"/>
  <c r="M1139" i="7" s="1"/>
  <c r="L1140" i="7"/>
  <c r="M1140" i="7" s="1"/>
  <c r="L1143" i="7"/>
  <c r="M1143" i="7" s="1"/>
  <c r="L1144" i="7"/>
  <c r="M1144" i="7" s="1"/>
  <c r="L1145" i="7"/>
  <c r="M1145" i="7" s="1"/>
  <c r="L1146" i="7"/>
  <c r="M1146" i="7" s="1"/>
  <c r="L1147" i="7"/>
  <c r="M1147" i="7" s="1"/>
  <c r="L1148" i="7"/>
  <c r="M1148" i="7" s="1"/>
  <c r="L1149" i="7"/>
  <c r="M1149" i="7" s="1"/>
  <c r="L1150" i="7"/>
  <c r="M1150" i="7" s="1"/>
  <c r="L1153" i="7"/>
  <c r="M1153" i="7" s="1"/>
  <c r="L1154" i="7"/>
  <c r="M1154" i="7" s="1"/>
  <c r="L1155" i="7"/>
  <c r="M1155" i="7" s="1"/>
  <c r="L1156" i="7"/>
  <c r="M1156" i="7" s="1"/>
  <c r="L1157" i="7"/>
  <c r="M1157" i="7" s="1"/>
  <c r="L1158" i="7"/>
  <c r="M1158" i="7" s="1"/>
  <c r="L1159" i="7"/>
  <c r="M1159" i="7" s="1"/>
  <c r="L1160" i="7"/>
  <c r="M1160" i="7" s="1"/>
  <c r="M50" i="7"/>
  <c r="M49" i="7"/>
  <c r="M48" i="7"/>
  <c r="M47" i="7"/>
  <c r="M46" i="7"/>
  <c r="M45" i="7"/>
  <c r="M44" i="7"/>
  <c r="M40" i="7"/>
  <c r="M39" i="7"/>
  <c r="M38" i="7"/>
  <c r="M37" i="7"/>
  <c r="M36" i="7"/>
  <c r="M35" i="7"/>
  <c r="M34" i="7"/>
  <c r="M510" i="7"/>
  <c r="M509" i="7"/>
  <c r="M508" i="7"/>
  <c r="M507" i="7"/>
  <c r="M506" i="7"/>
  <c r="M505" i="7"/>
  <c r="M504" i="7"/>
  <c r="M503" i="7"/>
  <c r="M500" i="7"/>
  <c r="M499" i="7"/>
  <c r="M498" i="7"/>
  <c r="M497" i="7"/>
  <c r="M496" i="7"/>
  <c r="M490" i="7"/>
  <c r="M489" i="7"/>
  <c r="M488" i="7"/>
  <c r="M487" i="7"/>
  <c r="M486" i="7"/>
  <c r="M480" i="7"/>
  <c r="M479" i="7"/>
  <c r="M478" i="7"/>
  <c r="M477" i="7"/>
  <c r="M470" i="7"/>
  <c r="M469" i="7"/>
  <c r="M468" i="7"/>
  <c r="M467" i="7"/>
  <c r="M466" i="7"/>
  <c r="M465" i="7"/>
  <c r="M464" i="7"/>
  <c r="M460" i="7"/>
  <c r="M459" i="7"/>
  <c r="M458" i="7"/>
  <c r="M457" i="7"/>
  <c r="M456" i="7"/>
  <c r="M455" i="7"/>
  <c r="M454" i="7"/>
  <c r="M453" i="7"/>
  <c r="M450" i="7"/>
  <c r="M449" i="7"/>
  <c r="M448" i="7"/>
  <c r="M447" i="7"/>
  <c r="M446" i="7"/>
  <c r="M445" i="7"/>
  <c r="M444" i="7"/>
  <c r="M443" i="7"/>
  <c r="M440" i="7"/>
  <c r="M439" i="7"/>
  <c r="M438" i="7"/>
  <c r="M437" i="7"/>
  <c r="M436" i="7"/>
  <c r="M435" i="7"/>
  <c r="M434" i="7"/>
  <c r="M433" i="7"/>
  <c r="M430" i="7"/>
  <c r="M429" i="7"/>
  <c r="M428" i="7"/>
  <c r="M427" i="7"/>
  <c r="M426" i="7"/>
  <c r="M425" i="7"/>
  <c r="M424" i="7"/>
  <c r="M423" i="7"/>
  <c r="M420" i="7"/>
  <c r="M419" i="7"/>
  <c r="M418" i="7"/>
  <c r="M417" i="7"/>
  <c r="M416" i="7"/>
  <c r="M415" i="7"/>
  <c r="M414" i="7"/>
  <c r="M413" i="7"/>
  <c r="M400" i="7"/>
  <c r="M399" i="7"/>
  <c r="M398" i="7"/>
  <c r="M397" i="7"/>
  <c r="M396" i="7"/>
  <c r="M395" i="7"/>
  <c r="M394" i="7"/>
  <c r="M393" i="7"/>
  <c r="M380" i="7"/>
  <c r="M379" i="7"/>
  <c r="M378" i="7"/>
  <c r="M377" i="7"/>
  <c r="M376" i="7"/>
  <c r="M375" i="7"/>
  <c r="M374" i="7"/>
  <c r="M373" i="7"/>
  <c r="M390" i="7"/>
  <c r="M389" i="7"/>
  <c r="M388" i="7"/>
  <c r="M387" i="7"/>
  <c r="M386" i="7"/>
  <c r="M385" i="7"/>
  <c r="M384" i="7"/>
  <c r="M383" i="7"/>
  <c r="M370" i="7"/>
  <c r="M369" i="7"/>
  <c r="M368" i="7"/>
  <c r="M367" i="7"/>
  <c r="M366" i="7"/>
  <c r="M365" i="7"/>
  <c r="M364" i="7"/>
  <c r="M363" i="7"/>
  <c r="M360" i="7"/>
  <c r="M359" i="7"/>
  <c r="M358" i="7"/>
  <c r="M357" i="7"/>
  <c r="M356" i="7"/>
  <c r="M355" i="7"/>
  <c r="M354" i="7"/>
  <c r="M353" i="7"/>
  <c r="M350" i="7"/>
  <c r="M349" i="7"/>
  <c r="M348" i="7"/>
  <c r="M347" i="7"/>
  <c r="M346" i="7"/>
  <c r="M345" i="7"/>
  <c r="M344" i="7"/>
  <c r="M343" i="7"/>
  <c r="M330" i="7"/>
  <c r="M329" i="7"/>
  <c r="M328" i="7"/>
  <c r="M327" i="7"/>
  <c r="M326" i="7"/>
  <c r="M325" i="7"/>
  <c r="M324" i="7"/>
  <c r="M323" i="7"/>
  <c r="M320" i="7"/>
  <c r="M319" i="7"/>
  <c r="M318" i="7"/>
  <c r="M317" i="7"/>
  <c r="M316" i="7"/>
  <c r="M315" i="7"/>
  <c r="M314" i="7"/>
  <c r="M313" i="7"/>
  <c r="M310" i="7"/>
  <c r="M309" i="7"/>
  <c r="M308" i="7"/>
  <c r="M307" i="7"/>
  <c r="M306" i="7"/>
  <c r="M305" i="7"/>
  <c r="M304" i="7"/>
  <c r="M303" i="7"/>
  <c r="M300" i="7"/>
  <c r="M299" i="7"/>
  <c r="M298" i="7"/>
  <c r="M297" i="7"/>
  <c r="M296" i="7"/>
  <c r="M295" i="7"/>
  <c r="M293" i="7"/>
  <c r="M290" i="7"/>
  <c r="M289" i="7"/>
  <c r="M288" i="7"/>
  <c r="M287" i="7"/>
  <c r="M286" i="7"/>
  <c r="M285" i="7"/>
  <c r="M284" i="7"/>
  <c r="M283" i="7"/>
  <c r="M270" i="7"/>
  <c r="M269" i="7"/>
  <c r="M268" i="7"/>
  <c r="M267" i="7"/>
  <c r="M266" i="7"/>
  <c r="M265" i="7"/>
  <c r="M264" i="7"/>
  <c r="M263" i="7"/>
  <c r="M250" i="7"/>
  <c r="M249" i="7"/>
  <c r="M248" i="7"/>
  <c r="M247" i="7"/>
  <c r="M246" i="7"/>
  <c r="M245" i="7"/>
  <c r="M243" i="7"/>
  <c r="M240" i="7"/>
  <c r="M239" i="7"/>
  <c r="M238" i="7"/>
  <c r="M237" i="7"/>
  <c r="M236" i="7"/>
  <c r="M235" i="7"/>
  <c r="M234" i="7"/>
  <c r="M233" i="7"/>
  <c r="M220" i="7"/>
  <c r="M219" i="7"/>
  <c r="M218" i="7"/>
  <c r="M217" i="7"/>
  <c r="M216" i="7"/>
  <c r="M215" i="7"/>
  <c r="M214" i="7"/>
  <c r="M213" i="7"/>
  <c r="M210" i="7"/>
  <c r="M209" i="7"/>
  <c r="M208" i="7"/>
  <c r="M207" i="7"/>
  <c r="M206" i="7"/>
  <c r="M205" i="7"/>
  <c r="M204" i="7"/>
  <c r="M203" i="7"/>
  <c r="M110" i="7"/>
  <c r="M109" i="7"/>
  <c r="M108" i="7"/>
  <c r="M107" i="7"/>
  <c r="M106" i="7"/>
  <c r="M105" i="7"/>
  <c r="M104" i="7"/>
  <c r="M70" i="7"/>
  <c r="M69" i="7"/>
  <c r="M68" i="7"/>
  <c r="M67" i="7"/>
  <c r="M66" i="7"/>
  <c r="M65" i="7"/>
  <c r="M64" i="7"/>
  <c r="M30" i="7"/>
  <c r="M29" i="7"/>
  <c r="M28" i="7"/>
  <c r="M27" i="7"/>
  <c r="M26" i="7"/>
  <c r="M25" i="7"/>
  <c r="M24" i="7"/>
  <c r="M23" i="7"/>
  <c r="M20" i="7"/>
  <c r="M19" i="7"/>
  <c r="M18" i="7"/>
  <c r="M17" i="7"/>
  <c r="M16" i="7"/>
  <c r="M15" i="7"/>
  <c r="M14" i="7"/>
  <c r="M3" i="7"/>
  <c r="M10" i="7"/>
  <c r="M9" i="7"/>
  <c r="M8" i="7"/>
  <c r="M7" i="7"/>
  <c r="M6" i="7"/>
  <c r="M5" i="7"/>
  <c r="M4" i="7"/>
  <c r="M230" i="7"/>
  <c r="D37" i="3"/>
  <c r="D43" i="3"/>
  <c r="I713" i="7" l="1"/>
  <c r="I723" i="7"/>
  <c r="H455" i="7"/>
  <c r="P455" i="7"/>
  <c r="Q455" i="7" s="1"/>
  <c r="H446" i="7"/>
  <c r="P446" i="7"/>
  <c r="Q446" i="7" s="1"/>
  <c r="N823" i="7"/>
  <c r="M814" i="7"/>
  <c r="N813" i="7" s="1"/>
  <c r="F73" i="3"/>
  <c r="D53" i="3"/>
  <c r="D52" i="3"/>
  <c r="D51" i="3"/>
  <c r="D64" i="3"/>
  <c r="D48" i="3"/>
  <c r="D63" i="3"/>
  <c r="D47" i="3"/>
  <c r="D65" i="3"/>
  <c r="D62" i="3"/>
  <c r="D46" i="3"/>
  <c r="D61" i="3"/>
  <c r="D45" i="3"/>
  <c r="D66" i="3"/>
  <c r="D50" i="3"/>
  <c r="D49" i="3"/>
  <c r="D60" i="3"/>
  <c r="D44" i="3"/>
  <c r="D54" i="3"/>
  <c r="G57" i="3"/>
  <c r="F57" i="3"/>
  <c r="D57" i="3"/>
  <c r="D59" i="3"/>
  <c r="D58" i="3"/>
  <c r="D56" i="3"/>
  <c r="D55" i="3"/>
  <c r="D42" i="3"/>
  <c r="D41" i="3"/>
  <c r="D40" i="3"/>
  <c r="D39" i="3"/>
  <c r="D38" i="3"/>
  <c r="D14" i="3"/>
  <c r="K493" i="7"/>
  <c r="K494" i="7"/>
  <c r="I33" i="7"/>
  <c r="N773" i="7"/>
  <c r="G75" i="3" s="1"/>
  <c r="N623" i="7"/>
  <c r="N503" i="7"/>
  <c r="N703" i="7"/>
  <c r="G71" i="3" s="1"/>
  <c r="I83" i="7"/>
  <c r="N943" i="7"/>
  <c r="I613" i="7"/>
  <c r="N533" i="7"/>
  <c r="G54" i="3" s="1"/>
  <c r="I663" i="7"/>
  <c r="I833" i="7"/>
  <c r="N803" i="7"/>
  <c r="I43" i="7"/>
  <c r="N853" i="7"/>
  <c r="N643" i="7"/>
  <c r="I693" i="7"/>
  <c r="I963" i="7"/>
  <c r="I953" i="7"/>
  <c r="I1073" i="7"/>
  <c r="I93" i="7"/>
  <c r="N863" i="7"/>
  <c r="I603" i="7"/>
  <c r="F58" i="3" s="1"/>
  <c r="N543" i="7"/>
  <c r="G56" i="3" s="1"/>
  <c r="N613" i="7"/>
  <c r="I763" i="7"/>
  <c r="N1123" i="7"/>
  <c r="N1093" i="7"/>
  <c r="I983" i="7"/>
  <c r="I903" i="7"/>
  <c r="I843" i="7"/>
  <c r="I803" i="7"/>
  <c r="N1153" i="7"/>
  <c r="I1063" i="7"/>
  <c r="I1033" i="7"/>
  <c r="N1003" i="7"/>
  <c r="I863" i="7"/>
  <c r="I643" i="7"/>
  <c r="I1093" i="7"/>
  <c r="I1153" i="7"/>
  <c r="I1003" i="7"/>
  <c r="N833" i="7"/>
  <c r="N1143" i="7"/>
  <c r="N1053" i="7"/>
  <c r="N1023" i="7"/>
  <c r="I943" i="7"/>
  <c r="N1083" i="7"/>
  <c r="I973" i="7"/>
  <c r="N933" i="7"/>
  <c r="I633" i="7"/>
  <c r="N1113" i="7"/>
  <c r="I1053" i="7"/>
  <c r="I1023" i="7"/>
  <c r="N973" i="7"/>
  <c r="N953" i="7"/>
  <c r="I853" i="7"/>
  <c r="I533" i="7"/>
  <c r="F55" i="3" s="1"/>
  <c r="I1083" i="7"/>
  <c r="I933" i="7"/>
  <c r="N873" i="7"/>
  <c r="I1143" i="7"/>
  <c r="I1113" i="7"/>
  <c r="I1043" i="7"/>
  <c r="N993" i="7"/>
  <c r="I873" i="7"/>
  <c r="I773" i="7"/>
  <c r="N1043" i="7"/>
  <c r="N1013" i="7"/>
  <c r="N1073" i="7"/>
  <c r="I993" i="7"/>
  <c r="I793" i="7"/>
  <c r="I653" i="7"/>
  <c r="N1133" i="7"/>
  <c r="N1103" i="7"/>
  <c r="I1013" i="7"/>
  <c r="N903" i="7"/>
  <c r="I1133" i="7"/>
  <c r="I1103" i="7"/>
  <c r="N1063" i="7"/>
  <c r="I783" i="7"/>
  <c r="N783" i="7"/>
  <c r="G76" i="3" s="1"/>
  <c r="I673" i="7"/>
  <c r="I623" i="7"/>
  <c r="I1123" i="7"/>
  <c r="N1033" i="7"/>
  <c r="G103" i="3" s="1"/>
  <c r="N983" i="7"/>
  <c r="N963" i="7"/>
  <c r="I703" i="7"/>
  <c r="I543" i="7"/>
  <c r="F54" i="3" s="1"/>
  <c r="N693" i="7"/>
  <c r="N653" i="7"/>
  <c r="N843" i="7"/>
  <c r="I73" i="7"/>
  <c r="N633" i="7"/>
  <c r="N663" i="7"/>
  <c r="N603" i="7"/>
  <c r="G58" i="3" s="1"/>
  <c r="N793" i="7"/>
  <c r="N763" i="7"/>
  <c r="G74" i="3" s="1"/>
  <c r="N673" i="7"/>
  <c r="I53" i="7"/>
  <c r="N453" i="7"/>
  <c r="N443" i="7"/>
  <c r="N433" i="7"/>
  <c r="N423" i="7"/>
  <c r="N413" i="7"/>
  <c r="N393" i="7"/>
  <c r="N373" i="7"/>
  <c r="N383" i="7"/>
  <c r="N363" i="7"/>
  <c r="N353" i="7"/>
  <c r="N343" i="7"/>
  <c r="N323" i="7"/>
  <c r="N313" i="7"/>
  <c r="N303" i="7"/>
  <c r="N283" i="7"/>
  <c r="N263" i="7"/>
  <c r="N233" i="7"/>
  <c r="N213" i="7"/>
  <c r="N203" i="7"/>
  <c r="N23" i="7"/>
  <c r="N13" i="7"/>
  <c r="N3" i="7"/>
  <c r="B2" i="3"/>
  <c r="D24" i="32"/>
  <c r="D49" i="31"/>
  <c r="D98" i="31"/>
  <c r="D28" i="26"/>
  <c r="H32" i="26"/>
  <c r="D32" i="26"/>
  <c r="D84" i="31"/>
  <c r="H76" i="31"/>
  <c r="D42" i="31"/>
  <c r="H104" i="31"/>
  <c r="D90" i="31"/>
  <c r="D77" i="31"/>
  <c r="D20" i="31"/>
  <c r="H62" i="31"/>
  <c r="D35" i="31"/>
  <c r="D56" i="31"/>
  <c r="D33" i="26"/>
  <c r="H48" i="31"/>
  <c r="D27" i="32"/>
  <c r="D27" i="26"/>
  <c r="H90" i="31"/>
  <c r="H26" i="32"/>
  <c r="D34" i="16"/>
  <c r="H20" i="31"/>
  <c r="D26" i="32"/>
  <c r="H29" i="26"/>
  <c r="F32" i="26"/>
  <c r="D48" i="31"/>
  <c r="D63" i="31"/>
  <c r="H33" i="26"/>
  <c r="D104" i="31"/>
  <c r="D62" i="31"/>
  <c r="H27" i="26"/>
  <c r="D29" i="26"/>
  <c r="D91" i="31"/>
  <c r="D28" i="31"/>
  <c r="H34" i="31"/>
  <c r="D70" i="31"/>
  <c r="D25" i="32"/>
  <c r="D34" i="31"/>
  <c r="D21" i="31"/>
  <c r="H28" i="26"/>
  <c r="D76" i="31"/>
  <c r="F74" i="3" l="1"/>
  <c r="F71" i="3"/>
  <c r="F103" i="3"/>
  <c r="F104" i="3"/>
  <c r="F79" i="3"/>
  <c r="F72" i="3"/>
  <c r="B90" i="31"/>
  <c r="B26" i="32"/>
  <c r="B76" i="31"/>
  <c r="B62" i="31"/>
  <c r="B48" i="31"/>
  <c r="B34" i="31"/>
  <c r="B20" i="31"/>
  <c r="B104" i="31"/>
  <c r="C199" i="2"/>
  <c r="G197" i="2"/>
  <c r="E196" i="2"/>
  <c r="C195" i="2"/>
  <c r="G193" i="2"/>
  <c r="E192" i="2"/>
  <c r="C191" i="2"/>
  <c r="G188" i="2"/>
  <c r="E187" i="2"/>
  <c r="C186" i="2"/>
  <c r="G184" i="2"/>
  <c r="E183" i="2"/>
  <c r="C182" i="2"/>
  <c r="G180" i="2"/>
  <c r="E179" i="2"/>
  <c r="C177" i="2"/>
  <c r="G175" i="2"/>
  <c r="E174" i="2"/>
  <c r="C173" i="2"/>
  <c r="G171" i="2"/>
  <c r="E170" i="2"/>
  <c r="C169" i="2"/>
  <c r="G166" i="2"/>
  <c r="E165" i="2"/>
  <c r="C164" i="2"/>
  <c r="G162" i="2"/>
  <c r="E161" i="2"/>
  <c r="C160" i="2"/>
  <c r="G158" i="2"/>
  <c r="E157" i="2"/>
  <c r="C155" i="2"/>
  <c r="G153" i="2"/>
  <c r="E152" i="2"/>
  <c r="C151" i="2"/>
  <c r="G149" i="2"/>
  <c r="E148" i="2"/>
  <c r="C147" i="2"/>
  <c r="G144" i="2"/>
  <c r="E143" i="2"/>
  <c r="C142" i="2"/>
  <c r="G140" i="2"/>
  <c r="E139" i="2"/>
  <c r="C138" i="2"/>
  <c r="G136" i="2"/>
  <c r="E135" i="2"/>
  <c r="C133" i="2"/>
  <c r="G131" i="2"/>
  <c r="E130" i="2"/>
  <c r="C129" i="2"/>
  <c r="G127" i="2"/>
  <c r="E126" i="2"/>
  <c r="C125" i="2"/>
  <c r="G122" i="2"/>
  <c r="E121" i="2"/>
  <c r="C120" i="2"/>
  <c r="G118" i="2"/>
  <c r="E117" i="2"/>
  <c r="C116" i="2"/>
  <c r="G114" i="2"/>
  <c r="E113" i="2"/>
  <c r="C111" i="2"/>
  <c r="G109" i="2"/>
  <c r="E108" i="2"/>
  <c r="C107" i="2"/>
  <c r="G105" i="2"/>
  <c r="E104" i="2"/>
  <c r="C103" i="2"/>
  <c r="G100" i="2"/>
  <c r="E99" i="2"/>
  <c r="C98" i="2"/>
  <c r="G96" i="2"/>
  <c r="E95" i="2"/>
  <c r="C94" i="2"/>
  <c r="G92" i="2"/>
  <c r="E91" i="2"/>
  <c r="C89" i="2"/>
  <c r="G87" i="2"/>
  <c r="E86" i="2"/>
  <c r="C85" i="2"/>
  <c r="G83" i="2"/>
  <c r="E82" i="2"/>
  <c r="C81" i="2"/>
  <c r="G78" i="2"/>
  <c r="E77" i="2"/>
  <c r="C76" i="2"/>
  <c r="H198" i="2"/>
  <c r="F197" i="2"/>
  <c r="D196" i="2"/>
  <c r="H194" i="2"/>
  <c r="F193" i="2"/>
  <c r="D192" i="2"/>
  <c r="H190" i="2"/>
  <c r="F188" i="2"/>
  <c r="D187" i="2"/>
  <c r="H185" i="2"/>
  <c r="F184" i="2"/>
  <c r="D183" i="2"/>
  <c r="H181" i="2"/>
  <c r="F180" i="2"/>
  <c r="D179" i="2"/>
  <c r="H176" i="2"/>
  <c r="F175" i="2"/>
  <c r="D174" i="2"/>
  <c r="H172" i="2"/>
  <c r="F171" i="2"/>
  <c r="D170" i="2"/>
  <c r="H168" i="2"/>
  <c r="F166" i="2"/>
  <c r="D165" i="2"/>
  <c r="H163" i="2"/>
  <c r="F162" i="2"/>
  <c r="D161" i="2"/>
  <c r="H159" i="2"/>
  <c r="F158" i="2"/>
  <c r="D157" i="2"/>
  <c r="H154" i="2"/>
  <c r="F153" i="2"/>
  <c r="D152" i="2"/>
  <c r="H150" i="2"/>
  <c r="F149" i="2"/>
  <c r="D148" i="2"/>
  <c r="H146" i="2"/>
  <c r="F144" i="2"/>
  <c r="D143" i="2"/>
  <c r="H141" i="2"/>
  <c r="F140" i="2"/>
  <c r="D139" i="2"/>
  <c r="H137" i="2"/>
  <c r="F136" i="2"/>
  <c r="D135" i="2"/>
  <c r="H132" i="2"/>
  <c r="F131" i="2"/>
  <c r="D130" i="2"/>
  <c r="H128" i="2"/>
  <c r="F127" i="2"/>
  <c r="D126" i="2"/>
  <c r="H124" i="2"/>
  <c r="F122" i="2"/>
  <c r="G198" i="2"/>
  <c r="E197" i="2"/>
  <c r="C196" i="2"/>
  <c r="G194" i="2"/>
  <c r="E193" i="2"/>
  <c r="C192" i="2"/>
  <c r="G190" i="2"/>
  <c r="E188" i="2"/>
  <c r="C187" i="2"/>
  <c r="G185" i="2"/>
  <c r="E184" i="2"/>
  <c r="C183" i="2"/>
  <c r="G181" i="2"/>
  <c r="E180" i="2"/>
  <c r="C179" i="2"/>
  <c r="C178" i="2" s="1"/>
  <c r="G176" i="2"/>
  <c r="E175" i="2"/>
  <c r="C174" i="2"/>
  <c r="G172" i="2"/>
  <c r="E171" i="2"/>
  <c r="C170" i="2"/>
  <c r="G168" i="2"/>
  <c r="E166" i="2"/>
  <c r="C165" i="2"/>
  <c r="G163" i="2"/>
  <c r="E162" i="2"/>
  <c r="C161" i="2"/>
  <c r="G159" i="2"/>
  <c r="E158" i="2"/>
  <c r="C157" i="2"/>
  <c r="C156" i="2" s="1"/>
  <c r="G154" i="2"/>
  <c r="E153" i="2"/>
  <c r="C152" i="2"/>
  <c r="G150" i="2"/>
  <c r="E149" i="2"/>
  <c r="C148" i="2"/>
  <c r="G146" i="2"/>
  <c r="E144" i="2"/>
  <c r="C143" i="2"/>
  <c r="G141" i="2"/>
  <c r="E140" i="2"/>
  <c r="C139" i="2"/>
  <c r="G137" i="2"/>
  <c r="E136" i="2"/>
  <c r="C135" i="2"/>
  <c r="C134" i="2" s="1"/>
  <c r="G132" i="2"/>
  <c r="E131" i="2"/>
  <c r="C130" i="2"/>
  <c r="G128" i="2"/>
  <c r="E127" i="2"/>
  <c r="C126" i="2"/>
  <c r="G124" i="2"/>
  <c r="E122" i="2"/>
  <c r="C121" i="2"/>
  <c r="G119" i="2"/>
  <c r="E118" i="2"/>
  <c r="C117" i="2"/>
  <c r="G115" i="2"/>
  <c r="E114" i="2"/>
  <c r="C113" i="2"/>
  <c r="G110" i="2"/>
  <c r="E109" i="2"/>
  <c r="C108" i="2"/>
  <c r="G106" i="2"/>
  <c r="E105" i="2"/>
  <c r="C104" i="2"/>
  <c r="G102" i="2"/>
  <c r="E100" i="2"/>
  <c r="C99" i="2"/>
  <c r="G97" i="2"/>
  <c r="E96" i="2"/>
  <c r="C95" i="2"/>
  <c r="G93" i="2"/>
  <c r="E92" i="2"/>
  <c r="C91" i="2"/>
  <c r="G88" i="2"/>
  <c r="E87" i="2"/>
  <c r="C86" i="2"/>
  <c r="G84" i="2"/>
  <c r="E83" i="2"/>
  <c r="C82" i="2"/>
  <c r="G80" i="2"/>
  <c r="E78" i="2"/>
  <c r="C77" i="2"/>
  <c r="G75" i="2"/>
  <c r="H199" i="2"/>
  <c r="F198" i="2"/>
  <c r="D197" i="2"/>
  <c r="H195" i="2"/>
  <c r="F194" i="2"/>
  <c r="D193" i="2"/>
  <c r="H191" i="2"/>
  <c r="F190" i="2"/>
  <c r="D188" i="2"/>
  <c r="H186" i="2"/>
  <c r="F185" i="2"/>
  <c r="D184" i="2"/>
  <c r="H182" i="2"/>
  <c r="F181" i="2"/>
  <c r="D180" i="2"/>
  <c r="H177" i="2"/>
  <c r="F176" i="2"/>
  <c r="D175" i="2"/>
  <c r="H173" i="2"/>
  <c r="F172" i="2"/>
  <c r="D171" i="2"/>
  <c r="H169" i="2"/>
  <c r="F168" i="2"/>
  <c r="D166" i="2"/>
  <c r="H164" i="2"/>
  <c r="F163" i="2"/>
  <c r="D162" i="2"/>
  <c r="H160" i="2"/>
  <c r="F159" i="2"/>
  <c r="D158" i="2"/>
  <c r="H155" i="2"/>
  <c r="F154" i="2"/>
  <c r="D153" i="2"/>
  <c r="H151" i="2"/>
  <c r="F150" i="2"/>
  <c r="D149" i="2"/>
  <c r="H147" i="2"/>
  <c r="F146" i="2"/>
  <c r="D144" i="2"/>
  <c r="H142" i="2"/>
  <c r="F141" i="2"/>
  <c r="D140" i="2"/>
  <c r="H138" i="2"/>
  <c r="F137" i="2"/>
  <c r="D136" i="2"/>
  <c r="H133" i="2"/>
  <c r="F132" i="2"/>
  <c r="D131" i="2"/>
  <c r="H129" i="2"/>
  <c r="F128" i="2"/>
  <c r="D127" i="2"/>
  <c r="H125" i="2"/>
  <c r="F124" i="2"/>
  <c r="D122" i="2"/>
  <c r="H120" i="2"/>
  <c r="F119" i="2"/>
  <c r="D118" i="2"/>
  <c r="H116" i="2"/>
  <c r="F115" i="2"/>
  <c r="D114" i="2"/>
  <c r="H111" i="2"/>
  <c r="F110" i="2"/>
  <c r="D109" i="2"/>
  <c r="H107" i="2"/>
  <c r="F106" i="2"/>
  <c r="D105" i="2"/>
  <c r="H103" i="2"/>
  <c r="F102" i="2"/>
  <c r="D100" i="2"/>
  <c r="H98" i="2"/>
  <c r="F97" i="2"/>
  <c r="D96" i="2"/>
  <c r="H94" i="2"/>
  <c r="F93" i="2"/>
  <c r="D92" i="2"/>
  <c r="H89" i="2"/>
  <c r="F88" i="2"/>
  <c r="D87" i="2"/>
  <c r="H85" i="2"/>
  <c r="F84" i="2"/>
  <c r="D83" i="2"/>
  <c r="H81" i="2"/>
  <c r="F80" i="2"/>
  <c r="D78" i="2"/>
  <c r="H76" i="2"/>
  <c r="G199" i="2"/>
  <c r="E198" i="2"/>
  <c r="C197" i="2"/>
  <c r="G195" i="2"/>
  <c r="E194" i="2"/>
  <c r="C193" i="2"/>
  <c r="G191" i="2"/>
  <c r="E190" i="2"/>
  <c r="C188" i="2"/>
  <c r="G186" i="2"/>
  <c r="E185" i="2"/>
  <c r="C184" i="2"/>
  <c r="F199" i="2"/>
  <c r="D198" i="2"/>
  <c r="H196" i="2"/>
  <c r="F195" i="2"/>
  <c r="D194" i="2"/>
  <c r="H192" i="2"/>
  <c r="F191" i="2"/>
  <c r="D190" i="2"/>
  <c r="H187" i="2"/>
  <c r="F186" i="2"/>
  <c r="D185" i="2"/>
  <c r="H183" i="2"/>
  <c r="F182" i="2"/>
  <c r="D181" i="2"/>
  <c r="H179" i="2"/>
  <c r="F177" i="2"/>
  <c r="D176" i="2"/>
  <c r="H174" i="2"/>
  <c r="F173" i="2"/>
  <c r="D172" i="2"/>
  <c r="H170" i="2"/>
  <c r="F169" i="2"/>
  <c r="D168" i="2"/>
  <c r="H165" i="2"/>
  <c r="F164" i="2"/>
  <c r="D163" i="2"/>
  <c r="H161" i="2"/>
  <c r="F160" i="2"/>
  <c r="D159" i="2"/>
  <c r="H157" i="2"/>
  <c r="F155" i="2"/>
  <c r="D154" i="2"/>
  <c r="H152" i="2"/>
  <c r="F151" i="2"/>
  <c r="D150" i="2"/>
  <c r="H148" i="2"/>
  <c r="F147" i="2"/>
  <c r="D146" i="2"/>
  <c r="H143" i="2"/>
  <c r="F142" i="2"/>
  <c r="D141" i="2"/>
  <c r="H139" i="2"/>
  <c r="F138" i="2"/>
  <c r="D137" i="2"/>
  <c r="H135" i="2"/>
  <c r="F133" i="2"/>
  <c r="D132" i="2"/>
  <c r="H130" i="2"/>
  <c r="F129" i="2"/>
  <c r="D128" i="2"/>
  <c r="H126" i="2"/>
  <c r="F125" i="2"/>
  <c r="D124" i="2"/>
  <c r="H121" i="2"/>
  <c r="F120" i="2"/>
  <c r="D119" i="2"/>
  <c r="H117" i="2"/>
  <c r="F116" i="2"/>
  <c r="D115" i="2"/>
  <c r="H113" i="2"/>
  <c r="F111" i="2"/>
  <c r="D110" i="2"/>
  <c r="H108" i="2"/>
  <c r="F107" i="2"/>
  <c r="D106" i="2"/>
  <c r="H104" i="2"/>
  <c r="F103" i="2"/>
  <c r="D102" i="2"/>
  <c r="H99" i="2"/>
  <c r="F98" i="2"/>
  <c r="D97" i="2"/>
  <c r="H95" i="2"/>
  <c r="F94" i="2"/>
  <c r="D93" i="2"/>
  <c r="H91" i="2"/>
  <c r="F89" i="2"/>
  <c r="D88" i="2"/>
  <c r="H86" i="2"/>
  <c r="F85" i="2"/>
  <c r="D84" i="2"/>
  <c r="H82" i="2"/>
  <c r="F81" i="2"/>
  <c r="D80" i="2"/>
  <c r="H77" i="2"/>
  <c r="F76" i="2"/>
  <c r="F196" i="2"/>
  <c r="D191" i="2"/>
  <c r="H184" i="2"/>
  <c r="H180" i="2"/>
  <c r="C176" i="2"/>
  <c r="E172" i="2"/>
  <c r="D169" i="2"/>
  <c r="E164" i="2"/>
  <c r="G160" i="2"/>
  <c r="F157" i="2"/>
  <c r="G152" i="2"/>
  <c r="C149" i="2"/>
  <c r="H144" i="2"/>
  <c r="C141" i="2"/>
  <c r="E137" i="2"/>
  <c r="D133" i="2"/>
  <c r="E129" i="2"/>
  <c r="G125" i="2"/>
  <c r="F121" i="2"/>
  <c r="H118" i="2"/>
  <c r="D116" i="2"/>
  <c r="F113" i="2"/>
  <c r="H109" i="2"/>
  <c r="D107" i="2"/>
  <c r="F104" i="2"/>
  <c r="H100" i="2"/>
  <c r="D98" i="2"/>
  <c r="F95" i="2"/>
  <c r="H92" i="2"/>
  <c r="D89" i="2"/>
  <c r="F86" i="2"/>
  <c r="H83" i="2"/>
  <c r="D81" i="2"/>
  <c r="F77" i="2"/>
  <c r="D75" i="2"/>
  <c r="H73" i="2"/>
  <c r="F72" i="2"/>
  <c r="D71" i="2"/>
  <c r="H69" i="2"/>
  <c r="F67" i="2"/>
  <c r="D66" i="2"/>
  <c r="H64" i="2"/>
  <c r="F63" i="2"/>
  <c r="D62" i="2"/>
  <c r="H60" i="2"/>
  <c r="H55" i="2"/>
  <c r="F54" i="2"/>
  <c r="D53" i="2"/>
  <c r="H51" i="2"/>
  <c r="F50" i="2"/>
  <c r="D49" i="2"/>
  <c r="H45" i="2"/>
  <c r="F44" i="2"/>
  <c r="D43" i="2"/>
  <c r="H41" i="2"/>
  <c r="F40" i="2"/>
  <c r="H33" i="2"/>
  <c r="F32" i="2"/>
  <c r="D31" i="2"/>
  <c r="H29" i="2"/>
  <c r="F28" i="2"/>
  <c r="H22" i="2"/>
  <c r="F21" i="2"/>
  <c r="D20" i="2"/>
  <c r="H18" i="2"/>
  <c r="E8" i="2"/>
  <c r="G9" i="2"/>
  <c r="C11" i="2"/>
  <c r="E12" i="2"/>
  <c r="D186" i="2"/>
  <c r="F165" i="2"/>
  <c r="G133" i="2"/>
  <c r="E110" i="2"/>
  <c r="E84" i="2"/>
  <c r="F66" i="2"/>
  <c r="D56" i="2"/>
  <c r="H44" i="2"/>
  <c r="E195" i="2"/>
  <c r="C190" i="2"/>
  <c r="C189" i="2" s="1"/>
  <c r="G183" i="2"/>
  <c r="C180" i="2"/>
  <c r="H175" i="2"/>
  <c r="C172" i="2"/>
  <c r="E168" i="2"/>
  <c r="D164" i="2"/>
  <c r="E160" i="2"/>
  <c r="G155" i="2"/>
  <c r="F152" i="2"/>
  <c r="G148" i="2"/>
  <c r="C144" i="2"/>
  <c r="H140" i="2"/>
  <c r="C137" i="2"/>
  <c r="E132" i="2"/>
  <c r="D129" i="2"/>
  <c r="E125" i="2"/>
  <c r="D121" i="2"/>
  <c r="F118" i="2"/>
  <c r="H115" i="2"/>
  <c r="D113" i="2"/>
  <c r="F109" i="2"/>
  <c r="H106" i="2"/>
  <c r="D104" i="2"/>
  <c r="F100" i="2"/>
  <c r="H97" i="2"/>
  <c r="D95" i="2"/>
  <c r="F92" i="2"/>
  <c r="H88" i="2"/>
  <c r="D86" i="2"/>
  <c r="F83" i="2"/>
  <c r="H80" i="2"/>
  <c r="D77" i="2"/>
  <c r="C75" i="2"/>
  <c r="G73" i="2"/>
  <c r="E72" i="2"/>
  <c r="C71" i="2"/>
  <c r="G69" i="2"/>
  <c r="E67" i="2"/>
  <c r="C66" i="2"/>
  <c r="G64" i="2"/>
  <c r="E63" i="2"/>
  <c r="C62" i="2"/>
  <c r="G60" i="2"/>
  <c r="C58" i="2"/>
  <c r="G55" i="2"/>
  <c r="E54" i="2"/>
  <c r="C53" i="2"/>
  <c r="G51" i="2"/>
  <c r="E50" i="2"/>
  <c r="C49" i="2"/>
  <c r="G45" i="2"/>
  <c r="E44" i="2"/>
  <c r="C43" i="2"/>
  <c r="G41" i="2"/>
  <c r="E40" i="2"/>
  <c r="C39" i="2"/>
  <c r="G33" i="2"/>
  <c r="E32" i="2"/>
  <c r="C31" i="2"/>
  <c r="G29" i="2"/>
  <c r="E28" i="2"/>
  <c r="C27" i="2"/>
  <c r="G22" i="2"/>
  <c r="E21" i="2"/>
  <c r="C20" i="2"/>
  <c r="G18" i="2"/>
  <c r="F8" i="2"/>
  <c r="H9" i="2"/>
  <c r="D11" i="2"/>
  <c r="F12" i="2"/>
  <c r="D177" i="2"/>
  <c r="G169" i="2"/>
  <c r="E146" i="2"/>
  <c r="G116" i="2"/>
  <c r="E93" i="2"/>
  <c r="H72" i="2"/>
  <c r="F49" i="2"/>
  <c r="F31" i="2"/>
  <c r="D195" i="2"/>
  <c r="H188" i="2"/>
  <c r="F183" i="2"/>
  <c r="G179" i="2"/>
  <c r="C175" i="2"/>
  <c r="H171" i="2"/>
  <c r="C168" i="2"/>
  <c r="C167" i="2" s="1"/>
  <c r="E163" i="2"/>
  <c r="D160" i="2"/>
  <c r="E155" i="2"/>
  <c r="G151" i="2"/>
  <c r="F148" i="2"/>
  <c r="G143" i="2"/>
  <c r="C140" i="2"/>
  <c r="H136" i="2"/>
  <c r="C132" i="2"/>
  <c r="E128" i="2"/>
  <c r="D125" i="2"/>
  <c r="G120" i="2"/>
  <c r="C118" i="2"/>
  <c r="E115" i="2"/>
  <c r="G111" i="2"/>
  <c r="C109" i="2"/>
  <c r="E106" i="2"/>
  <c r="G103" i="2"/>
  <c r="C100" i="2"/>
  <c r="E97" i="2"/>
  <c r="G94" i="2"/>
  <c r="C92" i="2"/>
  <c r="E88" i="2"/>
  <c r="G85" i="2"/>
  <c r="C83" i="2"/>
  <c r="E80" i="2"/>
  <c r="G76" i="2"/>
  <c r="H74" i="2"/>
  <c r="F73" i="2"/>
  <c r="D72" i="2"/>
  <c r="H70" i="2"/>
  <c r="F69" i="2"/>
  <c r="D67" i="2"/>
  <c r="H65" i="2"/>
  <c r="F64" i="2"/>
  <c r="D63" i="2"/>
  <c r="H61" i="2"/>
  <c r="F60" i="2"/>
  <c r="H56" i="2"/>
  <c r="F55" i="2"/>
  <c r="D54" i="2"/>
  <c r="H52" i="2"/>
  <c r="F51" i="2"/>
  <c r="D50" i="2"/>
  <c r="F45" i="2"/>
  <c r="D44" i="2"/>
  <c r="H42" i="2"/>
  <c r="F41" i="2"/>
  <c r="D40" i="2"/>
  <c r="H34" i="2"/>
  <c r="F33" i="2"/>
  <c r="D32" i="2"/>
  <c r="H30" i="2"/>
  <c r="F29" i="2"/>
  <c r="D28" i="2"/>
  <c r="H23" i="2"/>
  <c r="F22" i="2"/>
  <c r="D21" i="2"/>
  <c r="H19" i="2"/>
  <c r="F18" i="2"/>
  <c r="G8" i="2"/>
  <c r="C10" i="2"/>
  <c r="E11" i="2"/>
  <c r="G12" i="2"/>
  <c r="E181" i="2"/>
  <c r="G161" i="2"/>
  <c r="F130" i="2"/>
  <c r="C105" i="2"/>
  <c r="G89" i="2"/>
  <c r="F75" i="2"/>
  <c r="D70" i="2"/>
  <c r="D61" i="2"/>
  <c r="H54" i="2"/>
  <c r="H32" i="2"/>
  <c r="E199" i="2"/>
  <c r="C194" i="2"/>
  <c r="G187" i="2"/>
  <c r="G182" i="2"/>
  <c r="F179" i="2"/>
  <c r="G174" i="2"/>
  <c r="C171" i="2"/>
  <c r="H166" i="2"/>
  <c r="C163" i="2"/>
  <c r="E159" i="2"/>
  <c r="D155" i="2"/>
  <c r="E151" i="2"/>
  <c r="G147" i="2"/>
  <c r="F143" i="2"/>
  <c r="G139" i="2"/>
  <c r="C136" i="2"/>
  <c r="H131" i="2"/>
  <c r="C128" i="2"/>
  <c r="E124" i="2"/>
  <c r="E120" i="2"/>
  <c r="G117" i="2"/>
  <c r="C115" i="2"/>
  <c r="E111" i="2"/>
  <c r="G108" i="2"/>
  <c r="C106" i="2"/>
  <c r="E103" i="2"/>
  <c r="G99" i="2"/>
  <c r="C97" i="2"/>
  <c r="E94" i="2"/>
  <c r="G91" i="2"/>
  <c r="C88" i="2"/>
  <c r="E85" i="2"/>
  <c r="G82" i="2"/>
  <c r="C80" i="2"/>
  <c r="E76" i="2"/>
  <c r="G74" i="2"/>
  <c r="E73" i="2"/>
  <c r="C72" i="2"/>
  <c r="G70" i="2"/>
  <c r="E69" i="2"/>
  <c r="C67" i="2"/>
  <c r="G65" i="2"/>
  <c r="E64" i="2"/>
  <c r="C63" i="2"/>
  <c r="G61" i="2"/>
  <c r="E60" i="2"/>
  <c r="G56" i="2"/>
  <c r="E55" i="2"/>
  <c r="C54" i="2"/>
  <c r="G52" i="2"/>
  <c r="E51" i="2"/>
  <c r="C50" i="2"/>
  <c r="E45" i="2"/>
  <c r="C44" i="2"/>
  <c r="G42" i="2"/>
  <c r="E41" i="2"/>
  <c r="C40" i="2"/>
  <c r="G34" i="2"/>
  <c r="E33" i="2"/>
  <c r="C32" i="2"/>
  <c r="G30" i="2"/>
  <c r="E29" i="2"/>
  <c r="C28" i="2"/>
  <c r="G23" i="2"/>
  <c r="E22" i="2"/>
  <c r="C21" i="2"/>
  <c r="G19" i="2"/>
  <c r="E18" i="2"/>
  <c r="H8" i="2"/>
  <c r="D10" i="2"/>
  <c r="F11" i="2"/>
  <c r="H12" i="2"/>
  <c r="H197" i="2"/>
  <c r="H153" i="2"/>
  <c r="E138" i="2"/>
  <c r="E119" i="2"/>
  <c r="E102" i="2"/>
  <c r="C87" i="2"/>
  <c r="D74" i="2"/>
  <c r="H63" i="2"/>
  <c r="D52" i="2"/>
  <c r="H40" i="2"/>
  <c r="D30" i="2"/>
  <c r="D199" i="2"/>
  <c r="H193" i="2"/>
  <c r="F187" i="2"/>
  <c r="E182" i="2"/>
  <c r="G177" i="2"/>
  <c r="F174" i="2"/>
  <c r="G170" i="2"/>
  <c r="C166" i="2"/>
  <c r="H162" i="2"/>
  <c r="C159" i="2"/>
  <c r="E154" i="2"/>
  <c r="D151" i="2"/>
  <c r="E147" i="2"/>
  <c r="G142" i="2"/>
  <c r="F139" i="2"/>
  <c r="G135" i="2"/>
  <c r="C131" i="2"/>
  <c r="H127" i="2"/>
  <c r="C124" i="2"/>
  <c r="C123" i="2" s="1"/>
  <c r="D120" i="2"/>
  <c r="F117" i="2"/>
  <c r="H114" i="2"/>
  <c r="D111" i="2"/>
  <c r="F108" i="2"/>
  <c r="H105" i="2"/>
  <c r="D103" i="2"/>
  <c r="F99" i="2"/>
  <c r="H96" i="2"/>
  <c r="D94" i="2"/>
  <c r="F91" i="2"/>
  <c r="H87" i="2"/>
  <c r="D85" i="2"/>
  <c r="F82" i="2"/>
  <c r="H78" i="2"/>
  <c r="D76" i="2"/>
  <c r="F74" i="2"/>
  <c r="D73" i="2"/>
  <c r="H71" i="2"/>
  <c r="F70" i="2"/>
  <c r="D69" i="2"/>
  <c r="H66" i="2"/>
  <c r="F65" i="2"/>
  <c r="D64" i="2"/>
  <c r="H62" i="2"/>
  <c r="F61" i="2"/>
  <c r="D60" i="2"/>
  <c r="F56" i="2"/>
  <c r="D55" i="2"/>
  <c r="H53" i="2"/>
  <c r="F52" i="2"/>
  <c r="D51" i="2"/>
  <c r="H49" i="2"/>
  <c r="D45" i="2"/>
  <c r="H43" i="2"/>
  <c r="F42" i="2"/>
  <c r="D41" i="2"/>
  <c r="F34" i="2"/>
  <c r="D33" i="2"/>
  <c r="H31" i="2"/>
  <c r="F30" i="2"/>
  <c r="D29" i="2"/>
  <c r="F23" i="2"/>
  <c r="D22" i="2"/>
  <c r="H20" i="2"/>
  <c r="F19" i="2"/>
  <c r="D18" i="2"/>
  <c r="C9" i="2"/>
  <c r="E10" i="2"/>
  <c r="G11" i="2"/>
  <c r="F192" i="2"/>
  <c r="C158" i="2"/>
  <c r="D142" i="2"/>
  <c r="C122" i="2"/>
  <c r="C114" i="2"/>
  <c r="G98" i="2"/>
  <c r="G81" i="2"/>
  <c r="F71" i="2"/>
  <c r="F62" i="2"/>
  <c r="F53" i="2"/>
  <c r="F43" i="2"/>
  <c r="C198" i="2"/>
  <c r="G192" i="2"/>
  <c r="E186" i="2"/>
  <c r="D182" i="2"/>
  <c r="E177" i="2"/>
  <c r="G173" i="2"/>
  <c r="F170" i="2"/>
  <c r="G165" i="2"/>
  <c r="C162" i="2"/>
  <c r="H158" i="2"/>
  <c r="C154" i="2"/>
  <c r="E150" i="2"/>
  <c r="D147" i="2"/>
  <c r="E142" i="2"/>
  <c r="G138" i="2"/>
  <c r="F135" i="2"/>
  <c r="G130" i="2"/>
  <c r="C127" i="2"/>
  <c r="H122" i="2"/>
  <c r="H119" i="2"/>
  <c r="D117" i="2"/>
  <c r="F114" i="2"/>
  <c r="H110" i="2"/>
  <c r="D108" i="2"/>
  <c r="F105" i="2"/>
  <c r="H102" i="2"/>
  <c r="D99" i="2"/>
  <c r="F96" i="2"/>
  <c r="H93" i="2"/>
  <c r="D91" i="2"/>
  <c r="F87" i="2"/>
  <c r="H84" i="2"/>
  <c r="D82" i="2"/>
  <c r="F78" i="2"/>
  <c r="H75" i="2"/>
  <c r="E74" i="2"/>
  <c r="C73" i="2"/>
  <c r="G71" i="2"/>
  <c r="E70" i="2"/>
  <c r="C69" i="2"/>
  <c r="G66" i="2"/>
  <c r="E65" i="2"/>
  <c r="C64" i="2"/>
  <c r="G62" i="2"/>
  <c r="E61" i="2"/>
  <c r="C60" i="2"/>
  <c r="E56" i="2"/>
  <c r="C55" i="2"/>
  <c r="G53" i="2"/>
  <c r="E52" i="2"/>
  <c r="C51" i="2"/>
  <c r="G49" i="2"/>
  <c r="C45" i="2"/>
  <c r="G43" i="2"/>
  <c r="E42" i="2"/>
  <c r="C41" i="2"/>
  <c r="E34" i="2"/>
  <c r="C33" i="2"/>
  <c r="G31" i="2"/>
  <c r="E30" i="2"/>
  <c r="C29" i="2"/>
  <c r="E23" i="2"/>
  <c r="C22" i="2"/>
  <c r="G20" i="2"/>
  <c r="E19" i="2"/>
  <c r="C18" i="2"/>
  <c r="D9" i="2"/>
  <c r="F10" i="2"/>
  <c r="H11" i="2"/>
  <c r="E173" i="2"/>
  <c r="C150" i="2"/>
  <c r="G126" i="2"/>
  <c r="G107" i="2"/>
  <c r="C96" i="2"/>
  <c r="C78" i="2"/>
  <c r="H67" i="2"/>
  <c r="D65" i="2"/>
  <c r="H50" i="2"/>
  <c r="D42" i="2"/>
  <c r="D34" i="2"/>
  <c r="D23" i="2"/>
  <c r="D173" i="2"/>
  <c r="E141" i="2"/>
  <c r="G113" i="2"/>
  <c r="E89" i="2"/>
  <c r="E71" i="2"/>
  <c r="E31" i="2"/>
  <c r="G21" i="2"/>
  <c r="F9" i="2"/>
  <c r="C65" i="2"/>
  <c r="E98" i="2"/>
  <c r="G63" i="2"/>
  <c r="E27" i="2"/>
  <c r="G95" i="2"/>
  <c r="C23" i="2"/>
  <c r="E116" i="2"/>
  <c r="E49" i="2"/>
  <c r="E9" i="2"/>
  <c r="E169" i="2"/>
  <c r="D138" i="2"/>
  <c r="C110" i="2"/>
  <c r="G86" i="2"/>
  <c r="C70" i="2"/>
  <c r="G44" i="2"/>
  <c r="C30" i="2"/>
  <c r="F20" i="2"/>
  <c r="G10" i="2"/>
  <c r="E53" i="2"/>
  <c r="C153" i="2"/>
  <c r="E75" i="2"/>
  <c r="C181" i="2"/>
  <c r="G50" i="2"/>
  <c r="G72" i="2"/>
  <c r="G164" i="2"/>
  <c r="E133" i="2"/>
  <c r="E107" i="2"/>
  <c r="C84" i="2"/>
  <c r="G67" i="2"/>
  <c r="C56" i="2"/>
  <c r="E43" i="2"/>
  <c r="H28" i="2"/>
  <c r="E20" i="2"/>
  <c r="H10" i="2"/>
  <c r="F126" i="2"/>
  <c r="C19" i="2"/>
  <c r="C185" i="2"/>
  <c r="C74" i="2"/>
  <c r="E62" i="2"/>
  <c r="C93" i="2"/>
  <c r="G32" i="2"/>
  <c r="G196" i="2"/>
  <c r="F161" i="2"/>
  <c r="G129" i="2"/>
  <c r="G104" i="2"/>
  <c r="E81" i="2"/>
  <c r="E66" i="2"/>
  <c r="G54" i="2"/>
  <c r="C42" i="2"/>
  <c r="G28" i="2"/>
  <c r="D19" i="2"/>
  <c r="C12" i="2"/>
  <c r="E191" i="2"/>
  <c r="G77" i="2"/>
  <c r="G40" i="2"/>
  <c r="D12" i="2"/>
  <c r="G121" i="2"/>
  <c r="C52" i="2"/>
  <c r="C8" i="2"/>
  <c r="C119" i="2"/>
  <c r="C34" i="2"/>
  <c r="E176" i="2"/>
  <c r="G157" i="2"/>
  <c r="C102" i="2"/>
  <c r="F27" i="2"/>
  <c r="H149" i="2"/>
  <c r="D8" i="2"/>
  <c r="C146" i="2"/>
  <c r="C145" i="2" s="1"/>
  <c r="C61" i="2"/>
  <c r="H21" i="2"/>
  <c r="F16" i="2"/>
  <c r="F7" i="2"/>
  <c r="F3" i="2"/>
  <c r="C3" i="2"/>
  <c r="C38" i="2"/>
  <c r="C17" i="2"/>
  <c r="C7" i="2"/>
  <c r="C16" i="2"/>
  <c r="C6" i="2"/>
  <c r="E3" i="2"/>
  <c r="C15" i="2"/>
  <c r="E16" i="2"/>
  <c r="E7" i="2"/>
  <c r="H103" i="3"/>
  <c r="F100" i="3"/>
  <c r="G100" i="3"/>
  <c r="G101" i="3"/>
  <c r="G102" i="3"/>
  <c r="F101" i="3"/>
  <c r="F102" i="3"/>
  <c r="G97" i="3"/>
  <c r="F98" i="3"/>
  <c r="F99" i="3"/>
  <c r="F97" i="3"/>
  <c r="G98" i="3"/>
  <c r="G99" i="3"/>
  <c r="G90" i="3"/>
  <c r="B33" i="26"/>
  <c r="G32" i="26"/>
  <c r="J32" i="26" s="1"/>
  <c r="B27" i="26"/>
  <c r="B28" i="26"/>
  <c r="B29" i="26"/>
  <c r="B32" i="26"/>
  <c r="G95" i="3"/>
  <c r="G96" i="3"/>
  <c r="F95" i="3"/>
  <c r="F96" i="3"/>
  <c r="G81" i="3"/>
  <c r="G55" i="3"/>
  <c r="H55" i="3" s="1"/>
  <c r="G78" i="3"/>
  <c r="G93" i="3"/>
  <c r="G94" i="3"/>
  <c r="G86" i="3"/>
  <c r="G87" i="3"/>
  <c r="G80" i="3"/>
  <c r="F56" i="3"/>
  <c r="H56" i="3" s="1"/>
  <c r="F80" i="3"/>
  <c r="F93" i="3"/>
  <c r="F94" i="3"/>
  <c r="F81" i="3"/>
  <c r="G89" i="3"/>
  <c r="F85" i="3"/>
  <c r="G84" i="3"/>
  <c r="G83" i="3"/>
  <c r="F87" i="3"/>
  <c r="G79" i="3"/>
  <c r="H79" i="3" s="1"/>
  <c r="I79" i="3" s="1"/>
  <c r="E79" i="3" s="1"/>
  <c r="G82" i="3"/>
  <c r="G91" i="3"/>
  <c r="G92" i="3"/>
  <c r="G77" i="3"/>
  <c r="G85" i="3"/>
  <c r="G88" i="3"/>
  <c r="F77" i="3"/>
  <c r="F83" i="3"/>
  <c r="F82" i="3"/>
  <c r="F88" i="3"/>
  <c r="F76" i="3"/>
  <c r="H76" i="3" s="1"/>
  <c r="I76" i="3" s="1"/>
  <c r="F84" i="3"/>
  <c r="F89" i="3"/>
  <c r="F90" i="3"/>
  <c r="F91" i="3"/>
  <c r="F92" i="3"/>
  <c r="F78" i="3"/>
  <c r="F75" i="3"/>
  <c r="H75" i="3" s="1"/>
  <c r="I75" i="3" s="1"/>
  <c r="E75" i="3" s="1"/>
  <c r="F86" i="3"/>
  <c r="G64" i="3"/>
  <c r="G63" i="3"/>
  <c r="G66" i="3"/>
  <c r="G65" i="3"/>
  <c r="G59" i="3"/>
  <c r="G53" i="3"/>
  <c r="G61" i="3"/>
  <c r="G69" i="3"/>
  <c r="G70" i="3"/>
  <c r="G62" i="3"/>
  <c r="G67" i="3"/>
  <c r="G68" i="3"/>
  <c r="G60" i="3"/>
  <c r="F63" i="3"/>
  <c r="F59" i="3"/>
  <c r="H74" i="3"/>
  <c r="I74" i="3" s="1"/>
  <c r="E74" i="3" s="1"/>
  <c r="F65" i="3"/>
  <c r="F66" i="3"/>
  <c r="F53" i="3"/>
  <c r="F62" i="3"/>
  <c r="F67" i="3"/>
  <c r="F69" i="3"/>
  <c r="F70" i="3"/>
  <c r="F60" i="3"/>
  <c r="F68" i="3"/>
  <c r="H73" i="3"/>
  <c r="F61" i="3"/>
  <c r="F64" i="3"/>
  <c r="H72" i="3"/>
  <c r="H71" i="3"/>
  <c r="I71" i="3" s="1"/>
  <c r="E71" i="3" s="1"/>
  <c r="G37" i="3"/>
  <c r="G52" i="3"/>
  <c r="G39" i="3"/>
  <c r="H57" i="3"/>
  <c r="H54" i="3"/>
  <c r="G43" i="3"/>
  <c r="H58" i="3"/>
  <c r="G41" i="3"/>
  <c r="F58" i="2" s="1"/>
  <c r="G3" i="3"/>
  <c r="F26" i="2" s="1"/>
  <c r="G4" i="3"/>
  <c r="G33" i="3"/>
  <c r="G35" i="3"/>
  <c r="G22" i="3"/>
  <c r="G27" i="3"/>
  <c r="G2" i="3"/>
  <c r="D23" i="3"/>
  <c r="D8" i="3"/>
  <c r="D5" i="3"/>
  <c r="D32" i="3"/>
  <c r="D25" i="3"/>
  <c r="D17" i="3"/>
  <c r="D2" i="3"/>
  <c r="D33" i="3"/>
  <c r="D34" i="3"/>
  <c r="D26" i="3"/>
  <c r="C5" i="2" s="1"/>
  <c r="D18" i="3"/>
  <c r="D19" i="3"/>
  <c r="D13" i="3"/>
  <c r="D10" i="3"/>
  <c r="C59" i="2" s="1"/>
  <c r="D11" i="3"/>
  <c r="D24" i="3"/>
  <c r="D3" i="3"/>
  <c r="C26" i="2" s="1"/>
  <c r="D20" i="3"/>
  <c r="D27" i="3"/>
  <c r="D28" i="3"/>
  <c r="D9" i="3"/>
  <c r="D35" i="3"/>
  <c r="D4" i="3"/>
  <c r="D36" i="3"/>
  <c r="D12" i="3"/>
  <c r="C48" i="2" s="1"/>
  <c r="D30" i="3"/>
  <c r="D6" i="3"/>
  <c r="D21" i="3"/>
  <c r="D15" i="3"/>
  <c r="D22" i="3"/>
  <c r="D29" i="3"/>
  <c r="D31" i="3"/>
  <c r="D16" i="3"/>
  <c r="D7" i="3"/>
  <c r="F39" i="2" l="1"/>
  <c r="H104" i="3"/>
  <c r="I104" i="3" s="1"/>
  <c r="E104" i="3" s="1"/>
  <c r="E39" i="2"/>
  <c r="C37" i="2"/>
  <c r="F37" i="2"/>
  <c r="C112" i="2"/>
  <c r="C2" i="2"/>
  <c r="C47" i="2"/>
  <c r="C46" i="2" s="1"/>
  <c r="C4" i="2"/>
  <c r="C36" i="2"/>
  <c r="C35" i="2" s="1"/>
  <c r="C25" i="2"/>
  <c r="C24" i="2" s="1"/>
  <c r="C14" i="2"/>
  <c r="C13" i="2" s="1"/>
  <c r="I73" i="3"/>
  <c r="G16" i="2"/>
  <c r="G7" i="2"/>
  <c r="E38" i="2"/>
  <c r="E17" i="2"/>
  <c r="I103" i="3"/>
  <c r="F4" i="2"/>
  <c r="F47" i="2"/>
  <c r="F36" i="2"/>
  <c r="F14" i="2"/>
  <c r="F25" i="2"/>
  <c r="F6" i="2"/>
  <c r="F15" i="2"/>
  <c r="I72" i="3"/>
  <c r="G3" i="2"/>
  <c r="F17" i="2"/>
  <c r="F38" i="2"/>
  <c r="H100" i="3"/>
  <c r="I100" i="3" s="1"/>
  <c r="E100" i="3" s="1"/>
  <c r="H101" i="3"/>
  <c r="I101" i="3" s="1"/>
  <c r="E101" i="3" s="1"/>
  <c r="H102" i="3"/>
  <c r="I102" i="3" s="1"/>
  <c r="E102" i="3" s="1"/>
  <c r="H97" i="3"/>
  <c r="I97" i="3" s="1"/>
  <c r="E97" i="3" s="1"/>
  <c r="H82" i="3"/>
  <c r="I82" i="3" s="1"/>
  <c r="E82" i="3" s="1"/>
  <c r="H98" i="3"/>
  <c r="H90" i="3"/>
  <c r="I90" i="3" s="1"/>
  <c r="E90" i="3" s="1"/>
  <c r="H99" i="3"/>
  <c r="I99" i="3" s="1"/>
  <c r="E99" i="3" s="1"/>
  <c r="H86" i="3"/>
  <c r="I86" i="3" s="1"/>
  <c r="E86" i="3" s="1"/>
  <c r="H81" i="3"/>
  <c r="I81" i="3" s="1"/>
  <c r="E81" i="3" s="1"/>
  <c r="H95" i="3"/>
  <c r="I95" i="3" s="1"/>
  <c r="E95" i="3" s="1"/>
  <c r="H96" i="3"/>
  <c r="I96" i="3" s="1"/>
  <c r="E96" i="3" s="1"/>
  <c r="H87" i="3"/>
  <c r="I87" i="3" s="1"/>
  <c r="E87" i="3" s="1"/>
  <c r="H78" i="3"/>
  <c r="I78" i="3" s="1"/>
  <c r="E78" i="3" s="1"/>
  <c r="H84" i="3"/>
  <c r="I84" i="3" s="1"/>
  <c r="E84" i="3" s="1"/>
  <c r="H80" i="3"/>
  <c r="I80" i="3" s="1"/>
  <c r="E80" i="3" s="1"/>
  <c r="H93" i="3"/>
  <c r="I93" i="3" s="1"/>
  <c r="E93" i="3" s="1"/>
  <c r="H94" i="3"/>
  <c r="I94" i="3" s="1"/>
  <c r="E94" i="3" s="1"/>
  <c r="H89" i="3"/>
  <c r="I89" i="3" s="1"/>
  <c r="H85" i="3"/>
  <c r="I85" i="3" s="1"/>
  <c r="E85" i="3" s="1"/>
  <c r="H83" i="3"/>
  <c r="I83" i="3" s="1"/>
  <c r="E83" i="3" s="1"/>
  <c r="H77" i="3"/>
  <c r="I77" i="3" s="1"/>
  <c r="E77" i="3" s="1"/>
  <c r="H88" i="3"/>
  <c r="I88" i="3" s="1"/>
  <c r="E88" i="3" s="1"/>
  <c r="H91" i="3"/>
  <c r="I91" i="3" s="1"/>
  <c r="E91" i="3" s="1"/>
  <c r="H64" i="3"/>
  <c r="I64" i="3" s="1"/>
  <c r="E64" i="3" s="1"/>
  <c r="H92" i="3"/>
  <c r="I92" i="3" s="1"/>
  <c r="E92" i="3" s="1"/>
  <c r="C68" i="2"/>
  <c r="C57" i="2"/>
  <c r="H61" i="3"/>
  <c r="I61" i="3" s="1"/>
  <c r="H59" i="3"/>
  <c r="I59" i="3" s="1"/>
  <c r="H65" i="3"/>
  <c r="I65" i="3" s="1"/>
  <c r="E65" i="3" s="1"/>
  <c r="H53" i="3"/>
  <c r="I53" i="3" s="1"/>
  <c r="H63" i="3"/>
  <c r="I63" i="3" s="1"/>
  <c r="E63" i="3" s="1"/>
  <c r="H60" i="3"/>
  <c r="I60" i="3" s="1"/>
  <c r="H67" i="3"/>
  <c r="I67" i="3" s="1"/>
  <c r="E67" i="3" s="1"/>
  <c r="H66" i="3"/>
  <c r="I66" i="3" s="1"/>
  <c r="E66" i="3" s="1"/>
  <c r="H69" i="3"/>
  <c r="I69" i="3" s="1"/>
  <c r="E69" i="3" s="1"/>
  <c r="C101" i="2"/>
  <c r="H62" i="3"/>
  <c r="I62" i="3" s="1"/>
  <c r="E62" i="3" s="1"/>
  <c r="C79" i="2"/>
  <c r="C90" i="2"/>
  <c r="E76" i="3"/>
  <c r="H70" i="3"/>
  <c r="H68" i="3"/>
  <c r="I68" i="3" s="1"/>
  <c r="E68" i="3" s="1"/>
  <c r="I56" i="3"/>
  <c r="E56" i="3" s="1"/>
  <c r="I58" i="3"/>
  <c r="E58" i="3" s="1"/>
  <c r="I55" i="3"/>
  <c r="E55" i="3" s="1"/>
  <c r="I57" i="3"/>
  <c r="I54" i="3"/>
  <c r="E54" i="3" s="1"/>
  <c r="F29" i="26"/>
  <c r="F25" i="32"/>
  <c r="F33" i="26"/>
  <c r="G39" i="2" l="1"/>
  <c r="G27" i="2"/>
  <c r="H27" i="2"/>
  <c r="G25" i="32"/>
  <c r="J25" i="32" s="1"/>
  <c r="I98" i="3"/>
  <c r="H39" i="2" s="1"/>
  <c r="G17" i="2"/>
  <c r="G38" i="2"/>
  <c r="E73" i="3"/>
  <c r="H16" i="2"/>
  <c r="H7" i="2"/>
  <c r="E72" i="3"/>
  <c r="H3" i="2"/>
  <c r="E103" i="3"/>
  <c r="G29" i="26"/>
  <c r="J29" i="26" s="1"/>
  <c r="G33" i="26"/>
  <c r="J33" i="26" s="1"/>
  <c r="E89" i="3"/>
  <c r="I70" i="3"/>
  <c r="E61" i="3"/>
  <c r="E60" i="3"/>
  <c r="E57" i="3"/>
  <c r="E59" i="3"/>
  <c r="E53" i="3"/>
  <c r="G4" i="4" a="1"/>
  <c r="G4" i="4" s="1"/>
  <c r="F49" i="31"/>
  <c r="F104" i="31"/>
  <c r="F91" i="31"/>
  <c r="F84" i="31"/>
  <c r="F56" i="31"/>
  <c r="F42" i="31"/>
  <c r="F70" i="31"/>
  <c r="F98" i="31"/>
  <c r="F26" i="32"/>
  <c r="F90" i="31"/>
  <c r="F76" i="31"/>
  <c r="F35" i="31"/>
  <c r="F77" i="31"/>
  <c r="F62" i="31"/>
  <c r="F48" i="31"/>
  <c r="F28" i="26"/>
  <c r="F34" i="31"/>
  <c r="F21" i="31"/>
  <c r="F20" i="31"/>
  <c r="F63" i="31"/>
  <c r="F28" i="31"/>
  <c r="D3" i="2" l="1"/>
  <c r="G104" i="31"/>
  <c r="J104" i="31" s="1"/>
  <c r="G49" i="31"/>
  <c r="J49" i="31" s="1"/>
  <c r="G77" i="31"/>
  <c r="J77" i="31" s="1"/>
  <c r="G21" i="31"/>
  <c r="J21" i="31" s="1"/>
  <c r="G35" i="31"/>
  <c r="J35" i="31" s="1"/>
  <c r="G63" i="31"/>
  <c r="J63" i="31" s="1"/>
  <c r="G91" i="31"/>
  <c r="J91" i="31" s="1"/>
  <c r="D27" i="2"/>
  <c r="G26" i="32"/>
  <c r="J26" i="32" s="1"/>
  <c r="G90" i="31"/>
  <c r="J90" i="31" s="1"/>
  <c r="G98" i="31"/>
  <c r="G62" i="31"/>
  <c r="J62" i="31" s="1"/>
  <c r="G84" i="31"/>
  <c r="G42" i="31"/>
  <c r="G70" i="31"/>
  <c r="G48" i="31"/>
  <c r="J48" i="31" s="1"/>
  <c r="G76" i="31"/>
  <c r="J76" i="31" s="1"/>
  <c r="G56" i="31"/>
  <c r="G28" i="31"/>
  <c r="G34" i="31"/>
  <c r="J34" i="31" s="1"/>
  <c r="G20" i="31"/>
  <c r="J20" i="31" s="1"/>
  <c r="G28" i="26"/>
  <c r="J28" i="26" s="1"/>
  <c r="D16" i="2"/>
  <c r="D7" i="2"/>
  <c r="E98" i="3"/>
  <c r="D39" i="2" s="1"/>
  <c r="H17" i="2"/>
  <c r="H38" i="2"/>
  <c r="E70" i="3"/>
  <c r="M223" i="7"/>
  <c r="M224" i="7"/>
  <c r="M225" i="7"/>
  <c r="M226" i="7"/>
  <c r="M227" i="7"/>
  <c r="M228" i="7"/>
  <c r="M229" i="7"/>
  <c r="M494" i="7"/>
  <c r="E5" i="4"/>
  <c r="E6" i="4"/>
  <c r="E7" i="4"/>
  <c r="E8" i="4"/>
  <c r="E9" i="4"/>
  <c r="E11" i="4"/>
  <c r="E12" i="4"/>
  <c r="E13" i="4"/>
  <c r="E14" i="4"/>
  <c r="E4" i="4"/>
  <c r="C5" i="4"/>
  <c r="C6" i="4"/>
  <c r="C7" i="4"/>
  <c r="C8" i="4"/>
  <c r="C9" i="4"/>
  <c r="C11" i="4"/>
  <c r="C12" i="4"/>
  <c r="C13" i="4"/>
  <c r="C14" i="4"/>
  <c r="C4" i="4"/>
  <c r="B15" i="4"/>
  <c r="D10" i="4"/>
  <c r="E10" i="4" s="1"/>
  <c r="B10" i="4"/>
  <c r="D38" i="2" l="1"/>
  <c r="D17" i="2"/>
  <c r="M123" i="7"/>
  <c r="N123" i="7" s="1"/>
  <c r="M183" i="7"/>
  <c r="N183" i="7" s="1"/>
  <c r="M173" i="7"/>
  <c r="N173" i="7" s="1"/>
  <c r="G19" i="3" s="1"/>
  <c r="M113" i="7"/>
  <c r="N113" i="7" s="1"/>
  <c r="G13" i="3" s="1"/>
  <c r="M133" i="7"/>
  <c r="N133" i="7" s="1"/>
  <c r="M163" i="7"/>
  <c r="N163" i="7" s="1"/>
  <c r="M153" i="7"/>
  <c r="N153" i="7" s="1"/>
  <c r="G17" i="3" s="1"/>
  <c r="M143" i="7"/>
  <c r="N143" i="7" s="1"/>
  <c r="M33" i="7"/>
  <c r="N33" i="7" s="1"/>
  <c r="G5" i="3" s="1"/>
  <c r="M73" i="7"/>
  <c r="N73" i="7" s="1"/>
  <c r="M93" i="7"/>
  <c r="N93" i="7" s="1"/>
  <c r="G11" i="3" s="1"/>
  <c r="M63" i="7"/>
  <c r="N63" i="7" s="1"/>
  <c r="M43" i="7"/>
  <c r="N43" i="7" s="1"/>
  <c r="G6" i="3" s="1"/>
  <c r="M53" i="7"/>
  <c r="N53" i="7" s="1"/>
  <c r="G7" i="3" s="1"/>
  <c r="M83" i="7"/>
  <c r="N83" i="7" s="1"/>
  <c r="M103" i="7"/>
  <c r="N103" i="7" s="1"/>
  <c r="M294" i="7"/>
  <c r="N293" i="7" s="1"/>
  <c r="C10" i="4"/>
  <c r="M244" i="7"/>
  <c r="N243" i="7" s="1"/>
  <c r="M473" i="7"/>
  <c r="M463" i="7"/>
  <c r="M493" i="7"/>
  <c r="M483" i="7"/>
  <c r="M474" i="7"/>
  <c r="M484" i="7"/>
  <c r="M495" i="7"/>
  <c r="N223" i="7"/>
  <c r="G12" i="3" l="1"/>
  <c r="F48" i="2" s="1"/>
  <c r="G8" i="3"/>
  <c r="G23" i="3"/>
  <c r="G24" i="3"/>
  <c r="G16" i="3"/>
  <c r="G18" i="3"/>
  <c r="G25" i="3"/>
  <c r="G26" i="3"/>
  <c r="F5" i="2" s="1"/>
  <c r="G20" i="3"/>
  <c r="G21" i="3"/>
  <c r="G28" i="3"/>
  <c r="G29" i="3"/>
  <c r="G14" i="3"/>
  <c r="G42" i="3"/>
  <c r="G10" i="3"/>
  <c r="F59" i="2" s="1"/>
  <c r="G9" i="3"/>
  <c r="G15" i="3"/>
  <c r="N483" i="7"/>
  <c r="N493" i="7"/>
  <c r="N463" i="7"/>
  <c r="G44" i="3" s="1"/>
  <c r="N473" i="7"/>
  <c r="G50" i="3" l="1"/>
  <c r="G51" i="3"/>
  <c r="G48" i="3"/>
  <c r="G49" i="3"/>
  <c r="G46" i="3"/>
  <c r="G47" i="3"/>
  <c r="G31" i="3"/>
  <c r="G45" i="3"/>
  <c r="G30" i="3"/>
  <c r="G36" i="3"/>
  <c r="G34" i="3"/>
  <c r="G40" i="3"/>
  <c r="G32" i="3"/>
  <c r="G38" i="3"/>
  <c r="A112" i="2"/>
  <c r="A101" i="2"/>
  <c r="A90" i="2"/>
  <c r="A79" i="2"/>
  <c r="A68" i="2"/>
  <c r="A57" i="2"/>
  <c r="A46" i="2"/>
  <c r="A35" i="2"/>
  <c r="A24" i="2"/>
  <c r="A13" i="2"/>
  <c r="A2" i="2"/>
  <c r="F90" i="2" l="1"/>
  <c r="N90" i="2" s="1"/>
  <c r="F112" i="2"/>
  <c r="N112" i="2" s="1"/>
  <c r="D59" i="15"/>
  <c r="D77" i="15"/>
  <c r="D57" i="15"/>
  <c r="D38" i="15"/>
  <c r="D83" i="15"/>
  <c r="D47" i="15"/>
  <c r="D41" i="15"/>
  <c r="D75" i="15"/>
  <c r="D22" i="15"/>
  <c r="D82" i="15"/>
  <c r="D31" i="15"/>
  <c r="D72" i="15"/>
  <c r="D25" i="15"/>
  <c r="D85" i="15"/>
  <c r="D66" i="15"/>
  <c r="D80" i="15"/>
  <c r="D61" i="15"/>
  <c r="D69" i="15"/>
  <c r="D50" i="15"/>
  <c r="D79" i="15"/>
  <c r="D76" i="15"/>
  <c r="D56" i="15"/>
  <c r="D53" i="15"/>
  <c r="D34" i="15"/>
  <c r="D78" i="15"/>
  <c r="D54" i="15"/>
  <c r="D60" i="15"/>
  <c r="D40" i="15"/>
  <c r="D37" i="15"/>
  <c r="D18" i="15"/>
  <c r="D62" i="15"/>
  <c r="D45" i="15"/>
  <c r="D44" i="15"/>
  <c r="D24" i="15"/>
  <c r="D21" i="15"/>
  <c r="D81" i="15"/>
  <c r="D46" i="15"/>
  <c r="D36" i="15"/>
  <c r="D63" i="15"/>
  <c r="D43" i="15"/>
  <c r="D28" i="15"/>
  <c r="D84" i="15"/>
  <c r="D65" i="15"/>
  <c r="D30" i="15"/>
  <c r="D17" i="15"/>
  <c r="D73" i="15"/>
  <c r="D29" i="15"/>
  <c r="D87" i="15"/>
  <c r="D68" i="15"/>
  <c r="D49" i="15"/>
  <c r="D58" i="15"/>
  <c r="D27" i="15"/>
  <c r="D74" i="15"/>
  <c r="D71" i="15"/>
  <c r="D52" i="15"/>
  <c r="D33" i="15"/>
  <c r="D55" i="15"/>
  <c r="D19" i="15"/>
  <c r="D42" i="15"/>
  <c r="D39" i="15"/>
  <c r="D20" i="15"/>
  <c r="D64" i="15"/>
  <c r="D91" i="15"/>
  <c r="D26" i="15"/>
  <c r="D23" i="15"/>
  <c r="D67" i="15"/>
  <c r="D48" i="15"/>
  <c r="D88" i="15"/>
  <c r="D89" i="15"/>
  <c r="D35" i="15"/>
  <c r="D90" i="15"/>
  <c r="D86" i="15"/>
  <c r="D51" i="15"/>
  <c r="D32" i="15"/>
  <c r="D70" i="15"/>
  <c r="A2" i="6" a="1"/>
  <c r="B65" i="6" s="1"/>
  <c r="F68" i="2" l="1"/>
  <c r="N68" i="2" s="1"/>
  <c r="F35" i="2"/>
  <c r="N35" i="2" s="1"/>
  <c r="F57" i="2"/>
  <c r="N57" i="2" s="1"/>
  <c r="F79" i="2"/>
  <c r="N79" i="2" s="1"/>
  <c r="F46" i="2"/>
  <c r="N46" i="2" s="1"/>
  <c r="F2" i="2"/>
  <c r="N2" i="2" s="1"/>
  <c r="F178" i="2"/>
  <c r="N178" i="2" s="1"/>
  <c r="F134" i="2"/>
  <c r="N134" i="2" s="1"/>
  <c r="F145" i="2"/>
  <c r="N145" i="2" s="1"/>
  <c r="F167" i="2"/>
  <c r="N167" i="2" s="1"/>
  <c r="F24" i="2"/>
  <c r="N24" i="2" s="1"/>
  <c r="F189" i="2"/>
  <c r="N189" i="2" s="1"/>
  <c r="F123" i="2"/>
  <c r="N123" i="2" s="1"/>
  <c r="F13" i="2"/>
  <c r="N13" i="2" s="1"/>
  <c r="F101" i="2"/>
  <c r="N101" i="2" s="1"/>
  <c r="F156" i="2"/>
  <c r="N156" i="2" s="1"/>
  <c r="B39" i="6"/>
  <c r="B49" i="6"/>
  <c r="B81" i="6"/>
  <c r="B84" i="6"/>
  <c r="B69" i="6"/>
  <c r="B50" i="6"/>
  <c r="B66" i="6"/>
  <c r="B82" i="6"/>
  <c r="B52" i="6"/>
  <c r="B51" i="6"/>
  <c r="B67" i="6"/>
  <c r="B83" i="6"/>
  <c r="B68" i="6"/>
  <c r="B53" i="6"/>
  <c r="B85" i="6"/>
  <c r="B54" i="6"/>
  <c r="B70" i="6"/>
  <c r="B86" i="6"/>
  <c r="B62" i="6"/>
  <c r="B55" i="6"/>
  <c r="B71" i="6"/>
  <c r="B87" i="6"/>
  <c r="B77" i="6"/>
  <c r="B40" i="6"/>
  <c r="B56" i="6"/>
  <c r="B72" i="6"/>
  <c r="B88" i="6"/>
  <c r="B41" i="6"/>
  <c r="B57" i="6"/>
  <c r="B73" i="6"/>
  <c r="B89" i="6"/>
  <c r="B42" i="6"/>
  <c r="B58" i="6"/>
  <c r="B74" i="6"/>
  <c r="B90" i="6"/>
  <c r="B45" i="6"/>
  <c r="B43" i="6"/>
  <c r="B59" i="6"/>
  <c r="B75" i="6"/>
  <c r="B91" i="6"/>
  <c r="B61" i="6"/>
  <c r="B78" i="6"/>
  <c r="B44" i="6"/>
  <c r="B60" i="6"/>
  <c r="B76" i="6"/>
  <c r="B46" i="6"/>
  <c r="B47" i="6"/>
  <c r="B63" i="6"/>
  <c r="B79" i="6"/>
  <c r="B48" i="6"/>
  <c r="B64" i="6"/>
  <c r="B80" i="6"/>
  <c r="D41" i="6"/>
  <c r="D49" i="6"/>
  <c r="D91" i="6"/>
  <c r="D87" i="6"/>
  <c r="D51" i="6"/>
  <c r="D57" i="6"/>
  <c r="D44" i="6"/>
  <c r="D64" i="6"/>
  <c r="D59" i="6"/>
  <c r="D55" i="6"/>
  <c r="D61" i="6"/>
  <c r="D84" i="6"/>
  <c r="D65" i="6"/>
  <c r="D40" i="6"/>
  <c r="D75" i="6"/>
  <c r="D39" i="6"/>
  <c r="D86" i="6"/>
  <c r="D63" i="6"/>
  <c r="D74" i="6"/>
  <c r="D70" i="6"/>
  <c r="D67" i="6"/>
  <c r="D71" i="6"/>
  <c r="D47" i="6"/>
  <c r="D58" i="6"/>
  <c r="D54" i="6"/>
  <c r="D78" i="6"/>
  <c r="D42" i="6"/>
  <c r="D38" i="6"/>
  <c r="D77" i="6"/>
  <c r="D53" i="6"/>
  <c r="D60" i="6"/>
  <c r="D56" i="6"/>
  <c r="D80" i="6"/>
  <c r="D43" i="6"/>
  <c r="D79" i="6"/>
  <c r="D81" i="6"/>
  <c r="D83" i="6"/>
  <c r="B38" i="6"/>
  <c r="D48" i="6"/>
  <c r="D90" i="6"/>
  <c r="D62" i="6"/>
  <c r="D89" i="6"/>
  <c r="D85" i="6"/>
  <c r="D46" i="6"/>
  <c r="D73" i="6"/>
  <c r="D69" i="6"/>
  <c r="D82" i="6"/>
  <c r="D66" i="6"/>
  <c r="D45" i="6"/>
  <c r="D88" i="6"/>
  <c r="D68" i="6"/>
  <c r="D50" i="6"/>
  <c r="D76" i="6"/>
  <c r="D72" i="6"/>
  <c r="D52" i="6"/>
  <c r="B35" i="6"/>
  <c r="C35" i="6" s="1"/>
  <c r="B37" i="6"/>
  <c r="C37" i="6" s="1"/>
  <c r="D37" i="6"/>
  <c r="D34" i="6"/>
  <c r="B36" i="6"/>
  <c r="C36" i="6" s="1"/>
  <c r="D36" i="6"/>
  <c r="D35" i="6"/>
  <c r="B34" i="6"/>
  <c r="C34" i="6" s="1"/>
  <c r="A2" i="6"/>
  <c r="D2" i="6" s="1"/>
  <c r="B32" i="6"/>
  <c r="C32" i="6" s="1"/>
  <c r="B33" i="6"/>
  <c r="D33" i="6"/>
  <c r="D32" i="6"/>
  <c r="B18" i="6"/>
  <c r="B3" i="6"/>
  <c r="B19" i="6"/>
  <c r="B4" i="6"/>
  <c r="B20" i="6"/>
  <c r="B5" i="6"/>
  <c r="B21" i="6"/>
  <c r="B6" i="6"/>
  <c r="B22" i="6"/>
  <c r="B7" i="6"/>
  <c r="B23" i="6"/>
  <c r="B8" i="6"/>
  <c r="B24" i="6"/>
  <c r="B9" i="6"/>
  <c r="B25" i="6"/>
  <c r="B10" i="6"/>
  <c r="B26" i="6"/>
  <c r="B28" i="6"/>
  <c r="B11" i="6"/>
  <c r="B27" i="6"/>
  <c r="B12" i="6"/>
  <c r="B13" i="6"/>
  <c r="B29" i="6"/>
  <c r="B14" i="6"/>
  <c r="B30" i="6"/>
  <c r="B15" i="6"/>
  <c r="B31" i="6"/>
  <c r="B16" i="6"/>
  <c r="B17" i="6"/>
  <c r="D31" i="6"/>
  <c r="D29" i="6"/>
  <c r="D30" i="6"/>
  <c r="D25" i="6"/>
  <c r="D28" i="6"/>
  <c r="D27" i="6"/>
  <c r="D26" i="6"/>
  <c r="D21" i="6"/>
  <c r="D24" i="6"/>
  <c r="D23" i="6"/>
  <c r="D22" i="6"/>
  <c r="D18" i="6"/>
  <c r="D20" i="6"/>
  <c r="D19" i="6"/>
  <c r="D8" i="6"/>
  <c r="D11" i="6"/>
  <c r="D16" i="6"/>
  <c r="D10" i="6"/>
  <c r="D3" i="6"/>
  <c r="D13" i="6"/>
  <c r="D14" i="6"/>
  <c r="D12" i="6"/>
  <c r="D6" i="6"/>
  <c r="D5" i="6"/>
  <c r="D15" i="6"/>
  <c r="D7" i="6"/>
  <c r="D17" i="6"/>
  <c r="D9" i="6"/>
  <c r="D4" i="6"/>
  <c r="N200" i="2" l="1"/>
  <c r="N202" i="2" s="1"/>
  <c r="N203" i="2" s="1"/>
  <c r="G38" i="6"/>
  <c r="C47" i="6"/>
  <c r="G47" i="6"/>
  <c r="I89" i="6"/>
  <c r="F89" i="6"/>
  <c r="C89" i="6"/>
  <c r="G89" i="6"/>
  <c r="H89" i="6"/>
  <c r="E89" i="6"/>
  <c r="F85" i="6"/>
  <c r="I85" i="6"/>
  <c r="C85" i="6"/>
  <c r="G85" i="6"/>
  <c r="E85" i="6"/>
  <c r="H85" i="6"/>
  <c r="C46" i="6"/>
  <c r="G46" i="6"/>
  <c r="H73" i="6"/>
  <c r="E73" i="6"/>
  <c r="I73" i="6"/>
  <c r="F73" i="6"/>
  <c r="G73" i="6"/>
  <c r="C73" i="6"/>
  <c r="C53" i="6"/>
  <c r="G53" i="6"/>
  <c r="F80" i="6"/>
  <c r="H80" i="6"/>
  <c r="G80" i="6"/>
  <c r="C80" i="6"/>
  <c r="E80" i="6"/>
  <c r="I80" i="6"/>
  <c r="G76" i="6"/>
  <c r="F76" i="6"/>
  <c r="E76" i="6"/>
  <c r="C76" i="6"/>
  <c r="I76" i="6"/>
  <c r="H76" i="6"/>
  <c r="C57" i="6"/>
  <c r="G57" i="6"/>
  <c r="G68" i="6"/>
  <c r="E68" i="6"/>
  <c r="C68" i="6"/>
  <c r="I68" i="6"/>
  <c r="F68" i="6"/>
  <c r="H68" i="6"/>
  <c r="C60" i="6"/>
  <c r="G60" i="6"/>
  <c r="C41" i="6"/>
  <c r="G41" i="6"/>
  <c r="G83" i="6"/>
  <c r="C83" i="6"/>
  <c r="F83" i="6"/>
  <c r="H83" i="6"/>
  <c r="E83" i="6"/>
  <c r="I83" i="6"/>
  <c r="F84" i="6"/>
  <c r="C84" i="6"/>
  <c r="G84" i="6"/>
  <c r="H84" i="6"/>
  <c r="E84" i="6"/>
  <c r="I84" i="6"/>
  <c r="E72" i="6"/>
  <c r="I72" i="6"/>
  <c r="F72" i="6"/>
  <c r="G72" i="6"/>
  <c r="C72" i="6"/>
  <c r="H72" i="6"/>
  <c r="C38" i="6"/>
  <c r="C61" i="6"/>
  <c r="G61" i="6"/>
  <c r="C56" i="6"/>
  <c r="G56" i="6"/>
  <c r="C52" i="6"/>
  <c r="G52" i="6"/>
  <c r="E67" i="6"/>
  <c r="C67" i="6"/>
  <c r="G67" i="6"/>
  <c r="F67" i="6"/>
  <c r="H67" i="6"/>
  <c r="I67" i="6"/>
  <c r="I78" i="6"/>
  <c r="E78" i="6"/>
  <c r="F78" i="6"/>
  <c r="C78" i="6"/>
  <c r="G78" i="6"/>
  <c r="H78" i="6"/>
  <c r="C51" i="6"/>
  <c r="G51" i="6"/>
  <c r="I91" i="6"/>
  <c r="C91" i="6"/>
  <c r="G91" i="6"/>
  <c r="F91" i="6"/>
  <c r="E91" i="6"/>
  <c r="H91" i="6"/>
  <c r="G40" i="6"/>
  <c r="C40" i="6"/>
  <c r="I82" i="6"/>
  <c r="H82" i="6"/>
  <c r="F82" i="6"/>
  <c r="E82" i="6"/>
  <c r="G82" i="6"/>
  <c r="C82" i="6"/>
  <c r="I88" i="6"/>
  <c r="C88" i="6"/>
  <c r="F88" i="6"/>
  <c r="G88" i="6"/>
  <c r="H88" i="6"/>
  <c r="E88" i="6"/>
  <c r="H75" i="6"/>
  <c r="C75" i="6"/>
  <c r="G75" i="6"/>
  <c r="I75" i="6"/>
  <c r="F75" i="6"/>
  <c r="E75" i="6"/>
  <c r="I77" i="6"/>
  <c r="E77" i="6"/>
  <c r="C77" i="6"/>
  <c r="G77" i="6"/>
  <c r="F77" i="6"/>
  <c r="H77" i="6"/>
  <c r="I66" i="6"/>
  <c r="C66" i="6"/>
  <c r="H66" i="6"/>
  <c r="G66" i="6"/>
  <c r="E66" i="6"/>
  <c r="F66" i="6"/>
  <c r="G44" i="6"/>
  <c r="C44" i="6"/>
  <c r="C59" i="6"/>
  <c r="G59" i="6"/>
  <c r="H87" i="6"/>
  <c r="G87" i="6"/>
  <c r="C87" i="6"/>
  <c r="I87" i="6"/>
  <c r="E87" i="6"/>
  <c r="F87" i="6"/>
  <c r="C50" i="6"/>
  <c r="G50" i="6"/>
  <c r="C55" i="6"/>
  <c r="G55" i="6"/>
  <c r="B2" i="6"/>
  <c r="G43" i="6"/>
  <c r="C43" i="6"/>
  <c r="I71" i="6"/>
  <c r="G71" i="6"/>
  <c r="C71" i="6"/>
  <c r="H71" i="6"/>
  <c r="E71" i="6"/>
  <c r="F71" i="6"/>
  <c r="F69" i="6"/>
  <c r="I69" i="6"/>
  <c r="G69" i="6"/>
  <c r="C69" i="6"/>
  <c r="E69" i="6"/>
  <c r="H69" i="6"/>
  <c r="G45" i="6"/>
  <c r="C45" i="6"/>
  <c r="I90" i="6"/>
  <c r="E90" i="6"/>
  <c r="H90" i="6"/>
  <c r="C90" i="6"/>
  <c r="F90" i="6"/>
  <c r="G90" i="6"/>
  <c r="I81" i="6"/>
  <c r="E81" i="6"/>
  <c r="F81" i="6"/>
  <c r="C81" i="6"/>
  <c r="G81" i="6"/>
  <c r="H81" i="6"/>
  <c r="C48" i="6"/>
  <c r="G48" i="6"/>
  <c r="H74" i="6"/>
  <c r="E74" i="6"/>
  <c r="I74" i="6"/>
  <c r="C74" i="6"/>
  <c r="F74" i="6"/>
  <c r="G74" i="6"/>
  <c r="H65" i="6"/>
  <c r="F65" i="6"/>
  <c r="C65" i="6"/>
  <c r="E65" i="6"/>
  <c r="G65" i="6"/>
  <c r="I65" i="6"/>
  <c r="G79" i="6"/>
  <c r="F79" i="6"/>
  <c r="I79" i="6"/>
  <c r="C79" i="6"/>
  <c r="H79" i="6"/>
  <c r="E79" i="6"/>
  <c r="C58" i="6"/>
  <c r="G58" i="6"/>
  <c r="G70" i="6"/>
  <c r="H70" i="6"/>
  <c r="E70" i="6"/>
  <c r="F70" i="6"/>
  <c r="C70" i="6"/>
  <c r="I70" i="6"/>
  <c r="C49" i="6"/>
  <c r="G49" i="6"/>
  <c r="G64" i="6"/>
  <c r="C64" i="6"/>
  <c r="G62" i="6"/>
  <c r="C62" i="6"/>
  <c r="G86" i="6"/>
  <c r="H86" i="6"/>
  <c r="E86" i="6"/>
  <c r="F86" i="6"/>
  <c r="C86" i="6"/>
  <c r="I86" i="6"/>
  <c r="G63" i="6"/>
  <c r="C63" i="6"/>
  <c r="C42" i="6"/>
  <c r="G42" i="6"/>
  <c r="C54" i="6"/>
  <c r="G54" i="6"/>
  <c r="G39" i="6"/>
  <c r="C39" i="6"/>
  <c r="C33" i="6"/>
  <c r="C18" i="6"/>
  <c r="C24" i="6"/>
  <c r="C17" i="6"/>
  <c r="C8" i="6"/>
  <c r="C31" i="6"/>
  <c r="C29" i="6"/>
  <c r="C9" i="6"/>
  <c r="C15" i="6"/>
  <c r="C23" i="6"/>
  <c r="C30" i="6"/>
  <c r="C7" i="6"/>
  <c r="C14" i="6"/>
  <c r="C6" i="6"/>
  <c r="C13" i="6"/>
  <c r="C5" i="6"/>
  <c r="C25" i="6"/>
  <c r="C28" i="6"/>
  <c r="C20" i="6"/>
  <c r="C12" i="6"/>
  <c r="C4" i="6"/>
  <c r="C16" i="6"/>
  <c r="C22" i="6"/>
  <c r="C27" i="6"/>
  <c r="C21" i="6"/>
  <c r="C19" i="6"/>
  <c r="C26" i="6"/>
  <c r="C3" i="6"/>
  <c r="C11" i="6"/>
  <c r="C10" i="6"/>
  <c r="D22" i="32"/>
  <c r="H81" i="31"/>
  <c r="D40" i="31"/>
  <c r="D88" i="31"/>
  <c r="H83" i="31"/>
  <c r="H19" i="31"/>
  <c r="H75" i="31"/>
  <c r="D25" i="26"/>
  <c r="D75" i="31"/>
  <c r="D61" i="31"/>
  <c r="D81" i="31"/>
  <c r="D26" i="26"/>
  <c r="D19" i="31"/>
  <c r="D39" i="31"/>
  <c r="H68" i="31"/>
  <c r="D32" i="16"/>
  <c r="D82" i="31"/>
  <c r="H33" i="31"/>
  <c r="D23" i="32"/>
  <c r="D55" i="31"/>
  <c r="D95" i="31"/>
  <c r="D89" i="31"/>
  <c r="D22" i="16"/>
  <c r="D27" i="31"/>
  <c r="D20" i="16"/>
  <c r="D69" i="31"/>
  <c r="H53" i="31"/>
  <c r="D32" i="31"/>
  <c r="D33" i="16"/>
  <c r="H69" i="31"/>
  <c r="H32" i="32"/>
  <c r="H21" i="32"/>
  <c r="H96" i="31"/>
  <c r="H55" i="31"/>
  <c r="D74" i="31"/>
  <c r="H23" i="16"/>
  <c r="D46" i="31"/>
  <c r="H32" i="16"/>
  <c r="H25" i="31"/>
  <c r="D24" i="26"/>
  <c r="H26" i="31"/>
  <c r="D47" i="31"/>
  <c r="H39" i="31"/>
  <c r="D32" i="32"/>
  <c r="D26" i="31"/>
  <c r="D21" i="16"/>
  <c r="D31" i="32"/>
  <c r="D18" i="31"/>
  <c r="H23" i="32"/>
  <c r="H67" i="31"/>
  <c r="H31" i="16"/>
  <c r="D33" i="31"/>
  <c r="D21" i="32"/>
  <c r="D20" i="32"/>
  <c r="H97" i="31"/>
  <c r="H26" i="26"/>
  <c r="H27" i="31"/>
  <c r="H25" i="26"/>
  <c r="H89" i="31"/>
  <c r="D53" i="31"/>
  <c r="H31" i="32"/>
  <c r="D31" i="16"/>
  <c r="H54" i="31"/>
  <c r="H82" i="31"/>
  <c r="H47" i="31"/>
  <c r="H95" i="31"/>
  <c r="J67" i="21"/>
  <c r="D54" i="31"/>
  <c r="D83" i="31"/>
  <c r="H41" i="31"/>
  <c r="H22" i="32"/>
  <c r="H61" i="31"/>
  <c r="D60" i="31"/>
  <c r="H67" i="21"/>
  <c r="D67" i="21"/>
  <c r="D41" i="31"/>
  <c r="D23" i="16"/>
  <c r="H33" i="16"/>
  <c r="D68" i="31"/>
  <c r="H22" i="16"/>
  <c r="H40" i="31"/>
  <c r="D96" i="31"/>
  <c r="D97" i="31"/>
  <c r="D67" i="31"/>
  <c r="D25" i="31"/>
  <c r="B23" i="16" l="1"/>
  <c r="B22" i="32"/>
  <c r="B23" i="32"/>
  <c r="B32" i="32"/>
  <c r="B31" i="32"/>
  <c r="B21" i="32"/>
  <c r="B69" i="31"/>
  <c r="B55" i="31"/>
  <c r="B83" i="31"/>
  <c r="B27" i="31"/>
  <c r="B41" i="31"/>
  <c r="B97" i="31"/>
  <c r="B96" i="31"/>
  <c r="B68" i="31"/>
  <c r="B26" i="31"/>
  <c r="B40" i="31"/>
  <c r="B82" i="31"/>
  <c r="B54" i="31"/>
  <c r="B53" i="31"/>
  <c r="B25" i="31"/>
  <c r="B95" i="31"/>
  <c r="B81" i="31"/>
  <c r="B39" i="31"/>
  <c r="B67" i="31"/>
  <c r="B75" i="31"/>
  <c r="B61" i="31"/>
  <c r="B89" i="31"/>
  <c r="B47" i="31"/>
  <c r="B19" i="31"/>
  <c r="B33" i="31"/>
  <c r="J203" i="2"/>
  <c r="J204" i="2" s="1"/>
  <c r="N204" i="2"/>
  <c r="B33" i="16"/>
  <c r="B31" i="16"/>
  <c r="B32" i="16"/>
  <c r="B26" i="26"/>
  <c r="B25" i="26"/>
  <c r="I67" i="21"/>
  <c r="F67" i="21" s="1"/>
  <c r="B22" i="16"/>
  <c r="C2" i="6"/>
  <c r="I413" i="7"/>
  <c r="H24" i="26"/>
  <c r="H74" i="31"/>
  <c r="H21" i="16"/>
  <c r="H20" i="16"/>
  <c r="H32" i="31"/>
  <c r="H20" i="32"/>
  <c r="H46" i="31"/>
  <c r="H88" i="31"/>
  <c r="H60" i="31"/>
  <c r="H18" i="31"/>
  <c r="B20" i="32" l="1"/>
  <c r="B88" i="31"/>
  <c r="B60" i="31"/>
  <c r="B46" i="31"/>
  <c r="B74" i="31"/>
  <c r="B32" i="31"/>
  <c r="B18" i="31"/>
  <c r="B21" i="16"/>
  <c r="B24" i="26"/>
  <c r="B20" i="16"/>
  <c r="G67" i="21"/>
  <c r="D78" i="21" s="1"/>
  <c r="I323" i="7"/>
  <c r="I393" i="7"/>
  <c r="H3" i="7"/>
  <c r="I353" i="7"/>
  <c r="I383" i="7"/>
  <c r="H4" i="7"/>
  <c r="H5" i="7"/>
  <c r="O67" i="21" l="1"/>
  <c r="I103" i="7"/>
  <c r="F6" i="3" s="1"/>
  <c r="I373" i="7"/>
  <c r="I13" i="7"/>
  <c r="F3" i="3" s="1"/>
  <c r="I3" i="7"/>
  <c r="F2" i="3" s="1"/>
  <c r="I233" i="7"/>
  <c r="F10" i="3" s="1"/>
  <c r="E59" i="2" s="1"/>
  <c r="I363" i="7"/>
  <c r="I63" i="7"/>
  <c r="F5" i="3" s="1"/>
  <c r="I23" i="7"/>
  <c r="F4" i="3" s="1"/>
  <c r="E37" i="2" l="1"/>
  <c r="E26" i="2"/>
  <c r="E14" i="2"/>
  <c r="E4" i="2"/>
  <c r="H6" i="3"/>
  <c r="H3" i="3"/>
  <c r="H5" i="3"/>
  <c r="H2" i="3"/>
  <c r="H4" i="3"/>
  <c r="H10" i="3"/>
  <c r="G59" i="2" s="1"/>
  <c r="G26" i="2" l="1"/>
  <c r="G37" i="2"/>
  <c r="G4" i="2"/>
  <c r="G14" i="2"/>
  <c r="I3" i="3"/>
  <c r="I10" i="3"/>
  <c r="H59" i="2" s="1"/>
  <c r="I4" i="3"/>
  <c r="I2" i="3"/>
  <c r="I5" i="3"/>
  <c r="I6" i="3"/>
  <c r="I283" i="7"/>
  <c r="I493" i="7"/>
  <c r="I433" i="7"/>
  <c r="I423" i="7"/>
  <c r="I263" i="7"/>
  <c r="F12" i="3" s="1"/>
  <c r="E48" i="2" s="1"/>
  <c r="I343" i="7"/>
  <c r="I303" i="7"/>
  <c r="I313" i="7"/>
  <c r="H37" i="2" l="1"/>
  <c r="H26" i="2"/>
  <c r="H4" i="2"/>
  <c r="H14" i="2"/>
  <c r="E2" i="3"/>
  <c r="E3" i="3"/>
  <c r="E6" i="3"/>
  <c r="E5" i="3"/>
  <c r="E10" i="3"/>
  <c r="D59" i="2" s="1"/>
  <c r="E4" i="3"/>
  <c r="F27" i="3"/>
  <c r="F40" i="3"/>
  <c r="F16" i="3"/>
  <c r="F19" i="3"/>
  <c r="F41" i="3"/>
  <c r="F18" i="3"/>
  <c r="F33" i="3"/>
  <c r="F39" i="3"/>
  <c r="I473" i="7"/>
  <c r="I213" i="7"/>
  <c r="I483" i="7"/>
  <c r="I223" i="7"/>
  <c r="F9" i="3" s="1"/>
  <c r="I243" i="7"/>
  <c r="F26" i="3" s="1"/>
  <c r="E5" i="2" s="1"/>
  <c r="I443" i="7"/>
  <c r="F42" i="3" s="1"/>
  <c r="I453" i="7"/>
  <c r="I293" i="7"/>
  <c r="I203" i="7"/>
  <c r="F7" i="3" s="1"/>
  <c r="I503" i="7"/>
  <c r="H12" i="3"/>
  <c r="G48" i="2" s="1"/>
  <c r="I463" i="7"/>
  <c r="E58" i="2" l="1"/>
  <c r="E47" i="2"/>
  <c r="D37" i="2"/>
  <c r="D26" i="2"/>
  <c r="D14" i="2"/>
  <c r="D4" i="2"/>
  <c r="F47" i="3"/>
  <c r="H47" i="3" s="1"/>
  <c r="H40" i="3"/>
  <c r="F52" i="3"/>
  <c r="F48" i="3"/>
  <c r="G10" i="6"/>
  <c r="G9" i="6"/>
  <c r="G8" i="6"/>
  <c r="I12" i="3"/>
  <c r="H48" i="2" s="1"/>
  <c r="H39" i="3"/>
  <c r="H41" i="3"/>
  <c r="H33" i="3"/>
  <c r="H18" i="3"/>
  <c r="H9" i="3"/>
  <c r="H19" i="3"/>
  <c r="H16" i="3"/>
  <c r="H7" i="3"/>
  <c r="H26" i="3"/>
  <c r="G5" i="2" s="1"/>
  <c r="H42" i="3"/>
  <c r="H27" i="3"/>
  <c r="F50" i="3"/>
  <c r="F49" i="3"/>
  <c r="F21" i="3"/>
  <c r="F51" i="3"/>
  <c r="F28" i="3"/>
  <c r="F25" i="3"/>
  <c r="F8" i="3"/>
  <c r="F23" i="3"/>
  <c r="F24" i="3"/>
  <c r="H24" i="3" s="1"/>
  <c r="F31" i="3"/>
  <c r="F46" i="3"/>
  <c r="F30" i="3"/>
  <c r="H30" i="3" s="1"/>
  <c r="F45" i="3"/>
  <c r="F22" i="3"/>
  <c r="H22" i="3" s="1"/>
  <c r="F29" i="3"/>
  <c r="F44" i="3"/>
  <c r="H44" i="3" s="1"/>
  <c r="F35" i="3"/>
  <c r="F15" i="3"/>
  <c r="F34" i="3"/>
  <c r="F37" i="3"/>
  <c r="F43" i="3"/>
  <c r="H43" i="3" s="1"/>
  <c r="F36" i="3"/>
  <c r="F14" i="3"/>
  <c r="F20" i="3"/>
  <c r="F11" i="3"/>
  <c r="F17" i="3"/>
  <c r="F13" i="3"/>
  <c r="F32" i="3"/>
  <c r="F38" i="3"/>
  <c r="E25" i="2" l="1"/>
  <c r="E36" i="2"/>
  <c r="G58" i="2"/>
  <c r="G47" i="2"/>
  <c r="E15" i="2"/>
  <c r="E6" i="2"/>
  <c r="H52" i="3"/>
  <c r="I47" i="3"/>
  <c r="E47" i="3" s="1"/>
  <c r="I40" i="3"/>
  <c r="E40" i="3" s="1"/>
  <c r="H21" i="3"/>
  <c r="H48" i="3"/>
  <c r="G14" i="6"/>
  <c r="G13" i="6"/>
  <c r="I22" i="3"/>
  <c r="E22" i="3" s="1"/>
  <c r="I30" i="3"/>
  <c r="E30" i="3" s="1"/>
  <c r="I7" i="3"/>
  <c r="I41" i="3"/>
  <c r="I44" i="3"/>
  <c r="E44" i="3" s="1"/>
  <c r="I27" i="3"/>
  <c r="I42" i="3"/>
  <c r="E42" i="3" s="1"/>
  <c r="I26" i="3"/>
  <c r="H5" i="2" s="1"/>
  <c r="I18" i="3"/>
  <c r="I33" i="3"/>
  <c r="I16" i="3"/>
  <c r="I19" i="3"/>
  <c r="I24" i="3"/>
  <c r="E24" i="3" s="1"/>
  <c r="I9" i="3"/>
  <c r="I39" i="3"/>
  <c r="I43" i="3"/>
  <c r="E43" i="3" s="1"/>
  <c r="E12" i="3"/>
  <c r="D48" i="2" s="1"/>
  <c r="H29" i="3"/>
  <c r="H45" i="3"/>
  <c r="H25" i="3"/>
  <c r="H49" i="3"/>
  <c r="H31" i="3"/>
  <c r="H23" i="3"/>
  <c r="H50" i="3"/>
  <c r="H11" i="3"/>
  <c r="H15" i="3"/>
  <c r="H17" i="3"/>
  <c r="H38" i="3"/>
  <c r="H20" i="3"/>
  <c r="H8" i="3"/>
  <c r="H35" i="3"/>
  <c r="H36" i="3"/>
  <c r="H51" i="3"/>
  <c r="H28" i="3"/>
  <c r="H46" i="3"/>
  <c r="H34" i="3"/>
  <c r="H14" i="3"/>
  <c r="H32" i="3"/>
  <c r="H13" i="3"/>
  <c r="H37" i="3"/>
  <c r="G25" i="2" l="1"/>
  <c r="G36" i="2"/>
  <c r="H58" i="2"/>
  <c r="H47" i="2"/>
  <c r="G15" i="2"/>
  <c r="G6" i="2"/>
  <c r="I52" i="3"/>
  <c r="E52" i="3" s="1"/>
  <c r="E90" i="2"/>
  <c r="L90" i="2" s="1"/>
  <c r="E79" i="2"/>
  <c r="L79" i="2" s="1"/>
  <c r="E68" i="2"/>
  <c r="L68" i="2" s="1"/>
  <c r="E46" i="2"/>
  <c r="L46" i="2" s="1"/>
  <c r="E35" i="2"/>
  <c r="L35" i="2" s="1"/>
  <c r="I21" i="3"/>
  <c r="F48" i="6"/>
  <c r="F50" i="6"/>
  <c r="F45" i="6"/>
  <c r="F47" i="6"/>
  <c r="F42" i="6"/>
  <c r="F44" i="6"/>
  <c r="F41" i="6"/>
  <c r="F40" i="6"/>
  <c r="F39" i="6"/>
  <c r="E178" i="2"/>
  <c r="L178" i="2" s="1"/>
  <c r="E167" i="2"/>
  <c r="L167" i="2" s="1"/>
  <c r="E112" i="2"/>
  <c r="L112" i="2" s="1"/>
  <c r="E57" i="2"/>
  <c r="L57" i="2" s="1"/>
  <c r="E156" i="2"/>
  <c r="L156" i="2" s="1"/>
  <c r="E2" i="2"/>
  <c r="L2" i="2" s="1"/>
  <c r="E134" i="2"/>
  <c r="L134" i="2" s="1"/>
  <c r="E123" i="2"/>
  <c r="L123" i="2" s="1"/>
  <c r="E13" i="2"/>
  <c r="E189" i="2"/>
  <c r="L189" i="2" s="1"/>
  <c r="E145" i="2"/>
  <c r="L145" i="2" s="1"/>
  <c r="E101" i="2"/>
  <c r="L101" i="2" s="1"/>
  <c r="E24" i="2"/>
  <c r="L24" i="2" s="1"/>
  <c r="I48" i="3"/>
  <c r="L13" i="2" l="1"/>
  <c r="L200" i="2" s="1"/>
  <c r="G90" i="2"/>
  <c r="P90" i="2" s="1"/>
  <c r="G68" i="2"/>
  <c r="P68" i="2" s="1"/>
  <c r="G79" i="2"/>
  <c r="P79" i="2" s="1"/>
  <c r="G35" i="2"/>
  <c r="P35" i="2" s="1"/>
  <c r="G46" i="2"/>
  <c r="P46" i="2" s="1"/>
  <c r="F63" i="6"/>
  <c r="F64" i="6"/>
  <c r="F62" i="6"/>
  <c r="F61" i="6"/>
  <c r="F60" i="6"/>
  <c r="F46" i="6"/>
  <c r="F59" i="6"/>
  <c r="F54" i="6"/>
  <c r="H59" i="6"/>
  <c r="F55" i="6"/>
  <c r="F57" i="6"/>
  <c r="E21" i="3"/>
  <c r="H56" i="6"/>
  <c r="F58" i="6"/>
  <c r="F56" i="6"/>
  <c r="H58" i="6"/>
  <c r="F53" i="6"/>
  <c r="F49" i="6"/>
  <c r="H49" i="6"/>
  <c r="F52" i="6"/>
  <c r="F51" i="6"/>
  <c r="H46" i="6"/>
  <c r="H45" i="6"/>
  <c r="H44" i="6"/>
  <c r="F43" i="6"/>
  <c r="G112" i="2"/>
  <c r="P112" i="2" s="1"/>
  <c r="G123" i="2"/>
  <c r="P123" i="2" s="1"/>
  <c r="H43" i="6"/>
  <c r="H41" i="6"/>
  <c r="H39" i="6"/>
  <c r="H40" i="6"/>
  <c r="F38" i="6"/>
  <c r="H38" i="6"/>
  <c r="G57" i="2"/>
  <c r="P57" i="2" s="1"/>
  <c r="G145" i="2"/>
  <c r="P145" i="2" s="1"/>
  <c r="G134" i="2"/>
  <c r="P134" i="2" s="1"/>
  <c r="G156" i="2"/>
  <c r="P156" i="2" s="1"/>
  <c r="G24" i="2"/>
  <c r="P24" i="2" s="1"/>
  <c r="G101" i="2"/>
  <c r="P101" i="2" s="1"/>
  <c r="G167" i="2"/>
  <c r="P167" i="2" s="1"/>
  <c r="G178" i="2"/>
  <c r="P178" i="2" s="1"/>
  <c r="G189" i="2"/>
  <c r="P189" i="2" s="1"/>
  <c r="G2" i="2"/>
  <c r="P2" i="2" s="1"/>
  <c r="G13" i="2"/>
  <c r="P13" i="2" s="1"/>
  <c r="E48" i="3"/>
  <c r="E27" i="3"/>
  <c r="E41" i="3"/>
  <c r="E39" i="3"/>
  <c r="E26" i="3"/>
  <c r="D5" i="2" s="1"/>
  <c r="G7" i="6"/>
  <c r="F8" i="6"/>
  <c r="G33" i="6"/>
  <c r="G19" i="6"/>
  <c r="E33" i="3"/>
  <c r="E18" i="3"/>
  <c r="E9" i="3"/>
  <c r="E19" i="3"/>
  <c r="I35" i="3"/>
  <c r="I37" i="3"/>
  <c r="I8" i="3"/>
  <c r="I20" i="3"/>
  <c r="I36" i="3"/>
  <c r="I13" i="3"/>
  <c r="I32" i="3"/>
  <c r="I38" i="3"/>
  <c r="I17" i="3"/>
  <c r="I25" i="3"/>
  <c r="I14" i="3"/>
  <c r="I45" i="3"/>
  <c r="I11" i="3"/>
  <c r="I50" i="3"/>
  <c r="I29" i="3"/>
  <c r="E7" i="3"/>
  <c r="I49" i="3"/>
  <c r="I15" i="3"/>
  <c r="I34" i="3"/>
  <c r="I23" i="3"/>
  <c r="I28" i="3"/>
  <c r="I46" i="3"/>
  <c r="I31" i="3"/>
  <c r="E16" i="3"/>
  <c r="I51" i="3"/>
  <c r="G32" i="6"/>
  <c r="G2" i="6"/>
  <c r="G22" i="6"/>
  <c r="G31" i="6"/>
  <c r="G26" i="6"/>
  <c r="G6" i="6"/>
  <c r="G27" i="6"/>
  <c r="G16" i="6"/>
  <c r="G3" i="6"/>
  <c r="G25" i="6"/>
  <c r="G5" i="6"/>
  <c r="G23" i="6"/>
  <c r="G21" i="6"/>
  <c r="G15" i="6"/>
  <c r="G17" i="6"/>
  <c r="G20" i="6"/>
  <c r="G4" i="6"/>
  <c r="G28" i="6"/>
  <c r="G30" i="6"/>
  <c r="G35" i="6"/>
  <c r="G24" i="6"/>
  <c r="G34" i="6"/>
  <c r="G29" i="6"/>
  <c r="F9" i="6"/>
  <c r="F24" i="32"/>
  <c r="G24" i="32" l="1"/>
  <c r="J24" i="32" s="1"/>
  <c r="H36" i="2"/>
  <c r="H25" i="2"/>
  <c r="D58" i="2"/>
  <c r="D47" i="2"/>
  <c r="H6" i="2"/>
  <c r="H15" i="2"/>
  <c r="E37" i="3"/>
  <c r="H8" i="6"/>
  <c r="P200" i="2"/>
  <c r="H63" i="6"/>
  <c r="H64" i="6"/>
  <c r="H62" i="6"/>
  <c r="H61" i="6"/>
  <c r="H53" i="6"/>
  <c r="H52" i="6"/>
  <c r="H60" i="6"/>
  <c r="H55" i="6"/>
  <c r="H51" i="6"/>
  <c r="H48" i="6"/>
  <c r="H57" i="6"/>
  <c r="H50" i="6"/>
  <c r="H54" i="6"/>
  <c r="H47" i="6"/>
  <c r="H42" i="6"/>
  <c r="E34" i="3"/>
  <c r="F10" i="6"/>
  <c r="H20" i="6"/>
  <c r="H28" i="6"/>
  <c r="H18" i="6"/>
  <c r="H17" i="6"/>
  <c r="H32" i="6"/>
  <c r="H9" i="6"/>
  <c r="H34" i="6"/>
  <c r="E28" i="3"/>
  <c r="E25" i="3"/>
  <c r="E38" i="3"/>
  <c r="E36" i="3"/>
  <c r="H12" i="6"/>
  <c r="G18" i="6"/>
  <c r="G11" i="6"/>
  <c r="G12" i="6"/>
  <c r="G36" i="6"/>
  <c r="G37" i="6"/>
  <c r="H37" i="6"/>
  <c r="E35" i="3"/>
  <c r="E51" i="3"/>
  <c r="H19" i="6"/>
  <c r="E50" i="3"/>
  <c r="E23" i="3"/>
  <c r="H2" i="6"/>
  <c r="E8" i="3"/>
  <c r="E20" i="3"/>
  <c r="H22" i="6"/>
  <c r="H29" i="6"/>
  <c r="E46" i="3"/>
  <c r="E29" i="3"/>
  <c r="H30" i="6"/>
  <c r="E11" i="3"/>
  <c r="E14" i="3"/>
  <c r="E49" i="3"/>
  <c r="H16" i="6"/>
  <c r="E31" i="3"/>
  <c r="H33" i="6"/>
  <c r="H7" i="6"/>
  <c r="E32" i="3"/>
  <c r="E15" i="3"/>
  <c r="E45" i="3"/>
  <c r="E17" i="3"/>
  <c r="E13" i="3"/>
  <c r="H25" i="6"/>
  <c r="H31" i="6"/>
  <c r="H27" i="6"/>
  <c r="H13" i="6"/>
  <c r="F27" i="26"/>
  <c r="D36" i="2" l="1"/>
  <c r="D25" i="2"/>
  <c r="D6" i="2"/>
  <c r="D15" i="2"/>
  <c r="G27" i="26"/>
  <c r="J27" i="26" s="1"/>
  <c r="H79" i="2"/>
  <c r="D79" i="2" s="1"/>
  <c r="K79" i="2" s="1"/>
  <c r="H90" i="2"/>
  <c r="H68" i="2"/>
  <c r="H46" i="2"/>
  <c r="R46" i="2" s="1"/>
  <c r="H35" i="2"/>
  <c r="R35" i="2" s="1"/>
  <c r="I54" i="6"/>
  <c r="I59" i="6"/>
  <c r="I48" i="6"/>
  <c r="I50" i="6"/>
  <c r="I46" i="6"/>
  <c r="E44" i="6"/>
  <c r="I41" i="6"/>
  <c r="I40" i="6"/>
  <c r="I39" i="6"/>
  <c r="H57" i="2"/>
  <c r="R57" i="2" s="1"/>
  <c r="H134" i="2"/>
  <c r="R134" i="2" s="1"/>
  <c r="H156" i="2"/>
  <c r="R156" i="2" s="1"/>
  <c r="H178" i="2"/>
  <c r="R178" i="2" s="1"/>
  <c r="H101" i="2"/>
  <c r="R101" i="2" s="1"/>
  <c r="H2" i="2"/>
  <c r="R2" i="2" s="1"/>
  <c r="H24" i="2"/>
  <c r="R24" i="2" s="1"/>
  <c r="H189" i="2"/>
  <c r="H123" i="2"/>
  <c r="R123" i="2" s="1"/>
  <c r="H167" i="2"/>
  <c r="R167" i="2" s="1"/>
  <c r="H112" i="2"/>
  <c r="R112" i="2" s="1"/>
  <c r="H13" i="2"/>
  <c r="D13" i="2" s="1"/>
  <c r="H145" i="2"/>
  <c r="R145" i="2" s="1"/>
  <c r="H10" i="6"/>
  <c r="H4" i="6"/>
  <c r="H5" i="6"/>
  <c r="H15" i="6"/>
  <c r="H14" i="6"/>
  <c r="H35" i="6"/>
  <c r="H21" i="6"/>
  <c r="H36" i="6"/>
  <c r="H26" i="6"/>
  <c r="H23" i="6"/>
  <c r="F25" i="6"/>
  <c r="F2" i="6"/>
  <c r="F30" i="6"/>
  <c r="F22" i="6"/>
  <c r="F17" i="6"/>
  <c r="F20" i="6"/>
  <c r="F28" i="6"/>
  <c r="F15" i="6"/>
  <c r="F7" i="6"/>
  <c r="F18" i="6"/>
  <c r="H24" i="6"/>
  <c r="H3" i="6"/>
  <c r="H6" i="6"/>
  <c r="H11" i="6"/>
  <c r="R13" i="2" l="1"/>
  <c r="K13" i="2"/>
  <c r="R79" i="2"/>
  <c r="S79" i="2" s="1"/>
  <c r="O79" i="2"/>
  <c r="Q79" i="2"/>
  <c r="M79" i="2"/>
  <c r="R68" i="2"/>
  <c r="D68" i="2"/>
  <c r="K68" i="2" s="1"/>
  <c r="R90" i="2"/>
  <c r="D90" i="2"/>
  <c r="K90" i="2" s="1"/>
  <c r="D35" i="2"/>
  <c r="D46" i="2"/>
  <c r="R189" i="2"/>
  <c r="I8" i="6"/>
  <c r="D123" i="2"/>
  <c r="K123" i="2" s="1"/>
  <c r="D57" i="2"/>
  <c r="K57" i="2" s="1"/>
  <c r="D189" i="2"/>
  <c r="K189" i="2" s="1"/>
  <c r="D156" i="2"/>
  <c r="K156" i="2" s="1"/>
  <c r="D24" i="2"/>
  <c r="K24" i="2" s="1"/>
  <c r="D2" i="2"/>
  <c r="K2" i="2" s="1"/>
  <c r="D112" i="2"/>
  <c r="K112" i="2" s="1"/>
  <c r="D101" i="2"/>
  <c r="K101" i="2" s="1"/>
  <c r="D134" i="2"/>
  <c r="K134" i="2" s="1"/>
  <c r="D145" i="2"/>
  <c r="K145" i="2" s="1"/>
  <c r="D167" i="2"/>
  <c r="K167" i="2" s="1"/>
  <c r="D178" i="2"/>
  <c r="K178" i="2" s="1"/>
  <c r="I62" i="6"/>
  <c r="I64" i="6"/>
  <c r="I63" i="6"/>
  <c r="I55" i="6"/>
  <c r="I57" i="6"/>
  <c r="I61" i="6"/>
  <c r="I60" i="6"/>
  <c r="E54" i="6"/>
  <c r="I58" i="6"/>
  <c r="E58" i="6"/>
  <c r="I56" i="6"/>
  <c r="I53" i="6"/>
  <c r="I49" i="6"/>
  <c r="E49" i="6"/>
  <c r="I51" i="6"/>
  <c r="E50" i="6"/>
  <c r="I52" i="6"/>
  <c r="I47" i="6"/>
  <c r="E47" i="6"/>
  <c r="I45" i="6"/>
  <c r="E45" i="6"/>
  <c r="I25" i="6"/>
  <c r="I44" i="6"/>
  <c r="E40" i="6"/>
  <c r="I42" i="6"/>
  <c r="E42" i="6"/>
  <c r="E41" i="6"/>
  <c r="I43" i="6"/>
  <c r="E43" i="6"/>
  <c r="E39" i="6"/>
  <c r="I37" i="6"/>
  <c r="I38" i="6"/>
  <c r="E38" i="6"/>
  <c r="I33" i="6"/>
  <c r="I4" i="6"/>
  <c r="I13" i="6"/>
  <c r="I14" i="6"/>
  <c r="I7" i="6"/>
  <c r="I3" i="6"/>
  <c r="I5" i="6"/>
  <c r="I10" i="6"/>
  <c r="E9" i="6"/>
  <c r="I9" i="6"/>
  <c r="E10" i="6" l="1"/>
  <c r="R200" i="2"/>
  <c r="S90" i="2"/>
  <c r="O90" i="2"/>
  <c r="M90" i="2"/>
  <c r="Q90" i="2"/>
  <c r="Q68" i="2"/>
  <c r="O68" i="2"/>
  <c r="M68" i="2"/>
  <c r="S68" i="2"/>
  <c r="K35" i="2"/>
  <c r="S35" i="2" s="1"/>
  <c r="K46" i="2"/>
  <c r="M46" i="2" s="1"/>
  <c r="S189" i="2"/>
  <c r="E8" i="6"/>
  <c r="O167" i="2"/>
  <c r="M167" i="2"/>
  <c r="Q167" i="2"/>
  <c r="S178" i="2"/>
  <c r="O178" i="2"/>
  <c r="M178" i="2"/>
  <c r="Q178" i="2"/>
  <c r="S167" i="2"/>
  <c r="O156" i="2"/>
  <c r="M156" i="2"/>
  <c r="Q156" i="2"/>
  <c r="O134" i="2"/>
  <c r="M134" i="2"/>
  <c r="Q134" i="2"/>
  <c r="S24" i="2"/>
  <c r="O24" i="2"/>
  <c r="M24" i="2"/>
  <c r="Q24" i="2"/>
  <c r="S145" i="2"/>
  <c r="O145" i="2"/>
  <c r="M145" i="2"/>
  <c r="Q145" i="2"/>
  <c r="S57" i="2"/>
  <c r="O57" i="2"/>
  <c r="M57" i="2"/>
  <c r="Q57" i="2"/>
  <c r="O101" i="2"/>
  <c r="M101" i="2"/>
  <c r="Q101" i="2"/>
  <c r="M123" i="2"/>
  <c r="O123" i="2"/>
  <c r="Q123" i="2"/>
  <c r="S112" i="2"/>
  <c r="O112" i="2"/>
  <c r="M112" i="2"/>
  <c r="Q112" i="2"/>
  <c r="S134" i="2"/>
  <c r="S101" i="2"/>
  <c r="S156" i="2"/>
  <c r="S123" i="2"/>
  <c r="O13" i="2"/>
  <c r="M13" i="2"/>
  <c r="Q13" i="2"/>
  <c r="S2" i="2"/>
  <c r="O2" i="2"/>
  <c r="M2" i="2"/>
  <c r="Q2" i="2"/>
  <c r="S13" i="2"/>
  <c r="E62" i="6"/>
  <c r="E63" i="6"/>
  <c r="E64" i="6"/>
  <c r="E61" i="6"/>
  <c r="E60" i="6"/>
  <c r="E53" i="6"/>
  <c r="E57" i="6"/>
  <c r="E59" i="6"/>
  <c r="E55" i="6"/>
  <c r="E52" i="6"/>
  <c r="E56" i="6"/>
  <c r="E46" i="6"/>
  <c r="E51" i="6"/>
  <c r="E48" i="6"/>
  <c r="I6" i="6"/>
  <c r="I17" i="6"/>
  <c r="I32" i="6"/>
  <c r="I11" i="6"/>
  <c r="I12" i="6"/>
  <c r="F33" i="6"/>
  <c r="F26" i="6"/>
  <c r="F31" i="6"/>
  <c r="F27" i="6"/>
  <c r="F23" i="6"/>
  <c r="F21" i="6"/>
  <c r="F29" i="6"/>
  <c r="I28" i="6"/>
  <c r="I16" i="6"/>
  <c r="F19" i="6"/>
  <c r="F16" i="6"/>
  <c r="E23" i="6"/>
  <c r="E22" i="6"/>
  <c r="F4" i="6"/>
  <c r="F24" i="6"/>
  <c r="F32" i="6"/>
  <c r="E32" i="6"/>
  <c r="E30" i="6"/>
  <c r="F12" i="6"/>
  <c r="F35" i="6"/>
  <c r="F3" i="6"/>
  <c r="F6" i="6"/>
  <c r="E20" i="6"/>
  <c r="F11" i="6"/>
  <c r="F34" i="6"/>
  <c r="F5" i="6"/>
  <c r="E26" i="6"/>
  <c r="F14" i="6"/>
  <c r="F13" i="6"/>
  <c r="I26" i="6"/>
  <c r="I31" i="6"/>
  <c r="I15" i="6"/>
  <c r="E16" i="6"/>
  <c r="I20" i="6"/>
  <c r="E7" i="6"/>
  <c r="I18" i="6"/>
  <c r="I19" i="6"/>
  <c r="I29" i="6"/>
  <c r="E28" i="6"/>
  <c r="I36" i="6"/>
  <c r="I23" i="6"/>
  <c r="I27" i="6"/>
  <c r="I35" i="6"/>
  <c r="I34" i="6"/>
  <c r="E33" i="6"/>
  <c r="I2" i="6"/>
  <c r="E2" i="6"/>
  <c r="E19" i="6"/>
  <c r="I22" i="6"/>
  <c r="I30" i="6"/>
  <c r="E21" i="6"/>
  <c r="I21" i="6"/>
  <c r="I24" i="6"/>
  <c r="F23" i="32"/>
  <c r="F74" i="31"/>
  <c r="F32" i="31"/>
  <c r="F60" i="31"/>
  <c r="F46" i="31"/>
  <c r="F20" i="32"/>
  <c r="F18" i="31"/>
  <c r="F23" i="16"/>
  <c r="F24" i="26"/>
  <c r="F88" i="31"/>
  <c r="G23" i="16" l="1"/>
  <c r="J23" i="16" s="1"/>
  <c r="G23" i="32"/>
  <c r="J23" i="32" s="1"/>
  <c r="G20" i="32"/>
  <c r="G46" i="31"/>
  <c r="G88" i="31"/>
  <c r="G74" i="31"/>
  <c r="G60" i="31"/>
  <c r="G18" i="31"/>
  <c r="G32" i="31"/>
  <c r="G24" i="26"/>
  <c r="J24" i="26" s="1"/>
  <c r="O46" i="2"/>
  <c r="O35" i="2"/>
  <c r="Q46" i="2"/>
  <c r="M35" i="2"/>
  <c r="Q35" i="2"/>
  <c r="S46" i="2"/>
  <c r="O189" i="2"/>
  <c r="Q189" i="2"/>
  <c r="M189" i="2"/>
  <c r="K200" i="2"/>
  <c r="E18" i="6"/>
  <c r="E14" i="6"/>
  <c r="E31" i="6"/>
  <c r="E24" i="6"/>
  <c r="E29" i="6"/>
  <c r="E15" i="6"/>
  <c r="E27" i="6"/>
  <c r="F36" i="6"/>
  <c r="F37" i="6"/>
  <c r="E17" i="6"/>
  <c r="E25" i="6"/>
  <c r="E4" i="6"/>
  <c r="E35" i="6"/>
  <c r="E34" i="6"/>
  <c r="E3" i="6"/>
  <c r="E5" i="6"/>
  <c r="E6" i="6"/>
  <c r="E11" i="6"/>
  <c r="E13" i="6"/>
  <c r="F95" i="31"/>
  <c r="F25" i="26"/>
  <c r="F19" i="31"/>
  <c r="F26" i="26"/>
  <c r="F69" i="31"/>
  <c r="F47" i="31"/>
  <c r="F68" i="31"/>
  <c r="F27" i="31"/>
  <c r="F25" i="31"/>
  <c r="F31" i="32"/>
  <c r="F20" i="16"/>
  <c r="F61" i="31"/>
  <c r="F81" i="31"/>
  <c r="F22" i="16"/>
  <c r="F83" i="31"/>
  <c r="F39" i="31"/>
  <c r="F33" i="31"/>
  <c r="F75" i="31"/>
  <c r="F67" i="31"/>
  <c r="F53" i="31"/>
  <c r="F32" i="16"/>
  <c r="F26" i="31"/>
  <c r="F55" i="31"/>
  <c r="F31" i="16"/>
  <c r="F96" i="31"/>
  <c r="F22" i="32"/>
  <c r="F89" i="31"/>
  <c r="F82" i="31"/>
  <c r="F21" i="16"/>
  <c r="F21" i="32"/>
  <c r="F97" i="31"/>
  <c r="F40" i="31"/>
  <c r="F54" i="31"/>
  <c r="F41" i="31"/>
  <c r="F32" i="32"/>
  <c r="G22" i="16" l="1"/>
  <c r="J22" i="16" s="1"/>
  <c r="G21" i="16"/>
  <c r="J21" i="16" s="1"/>
  <c r="G22" i="32"/>
  <c r="J22" i="32" s="1"/>
  <c r="G21" i="32"/>
  <c r="G32" i="32"/>
  <c r="G31" i="32"/>
  <c r="J20" i="32"/>
  <c r="G75" i="31"/>
  <c r="J75" i="31" s="1"/>
  <c r="G47" i="31"/>
  <c r="J47" i="31" s="1"/>
  <c r="G89" i="31"/>
  <c r="J89" i="31" s="1"/>
  <c r="G61" i="31"/>
  <c r="J61" i="31" s="1"/>
  <c r="G33" i="31"/>
  <c r="J33" i="31" s="1"/>
  <c r="G19" i="31"/>
  <c r="J19" i="31" s="1"/>
  <c r="G82" i="31"/>
  <c r="G96" i="31"/>
  <c r="G54" i="31"/>
  <c r="G40" i="31"/>
  <c r="G26" i="31"/>
  <c r="G68" i="31"/>
  <c r="G81" i="31"/>
  <c r="G39" i="31"/>
  <c r="G95" i="31"/>
  <c r="G67" i="31"/>
  <c r="G53" i="31"/>
  <c r="G25" i="31"/>
  <c r="G41" i="31"/>
  <c r="G27" i="31"/>
  <c r="G97" i="31"/>
  <c r="G69" i="31"/>
  <c r="G83" i="31"/>
  <c r="G55" i="31"/>
  <c r="J46" i="31"/>
  <c r="J32" i="31"/>
  <c r="J18" i="31"/>
  <c r="J60" i="31"/>
  <c r="J74" i="31"/>
  <c r="J88" i="31"/>
  <c r="O200" i="2"/>
  <c r="Q200" i="2"/>
  <c r="G31" i="16"/>
  <c r="G33" i="16"/>
  <c r="G32" i="16"/>
  <c r="G26" i="26"/>
  <c r="J26" i="26" s="1"/>
  <c r="G25" i="26"/>
  <c r="J25" i="26" s="1"/>
  <c r="G20" i="16"/>
  <c r="J20" i="16" s="1"/>
  <c r="S200" i="2"/>
  <c r="M200" i="2"/>
  <c r="R66" i="21"/>
  <c r="E36" i="6"/>
  <c r="E37" i="6"/>
  <c r="E12" i="6"/>
  <c r="F34" i="16" l="1"/>
  <c r="F34" i="32"/>
  <c r="G34" i="32" s="1"/>
  <c r="J21" i="32"/>
  <c r="F57" i="31"/>
  <c r="G57" i="31" s="1"/>
  <c r="G58" i="31" s="1"/>
  <c r="F99" i="31"/>
  <c r="G99" i="31" s="1"/>
  <c r="G100" i="31" s="1"/>
  <c r="F92" i="31"/>
  <c r="G92" i="31" s="1"/>
  <c r="G93" i="31" s="1"/>
  <c r="F50" i="31"/>
  <c r="G50" i="31" s="1"/>
  <c r="G51" i="31" s="1"/>
  <c r="F78" i="31"/>
  <c r="G78" i="31" s="1"/>
  <c r="G79" i="31" s="1"/>
  <c r="F22" i="31"/>
  <c r="G22" i="31" s="1"/>
  <c r="G23" i="31" s="1"/>
  <c r="F36" i="31"/>
  <c r="G36" i="31" s="1"/>
  <c r="G37" i="31" s="1"/>
  <c r="F71" i="31"/>
  <c r="G71" i="31" s="1"/>
  <c r="G72" i="31" s="1"/>
  <c r="J15" i="31"/>
  <c r="F43" i="31"/>
  <c r="G43" i="31" s="1"/>
  <c r="G44" i="31" s="1"/>
  <c r="F64" i="31"/>
  <c r="G64" i="31" s="1"/>
  <c r="G65" i="31" s="1"/>
  <c r="F85" i="31"/>
  <c r="G85" i="31" s="1"/>
  <c r="G86" i="31" s="1"/>
  <c r="F29" i="31"/>
  <c r="G29" i="31" s="1"/>
  <c r="G30" i="31" s="1"/>
  <c r="J18" i="26"/>
  <c r="F34" i="26" s="1"/>
  <c r="G34" i="26" s="1"/>
  <c r="G46" i="26" s="1"/>
  <c r="G47" i="26" s="1"/>
  <c r="G48" i="26" s="1"/>
  <c r="G35" i="32" l="1"/>
  <c r="G110" i="31"/>
  <c r="G111" i="31" s="1"/>
  <c r="G112" i="31" s="1"/>
  <c r="H46" i="26"/>
  <c r="H47" i="26" s="1"/>
  <c r="A2" i="15" a="1"/>
  <c r="A2" i="15" s="1"/>
  <c r="J27" i="32" l="1"/>
  <c r="J15" i="32" s="1"/>
  <c r="J125" i="21"/>
  <c r="F27" i="32" l="1"/>
  <c r="G27" i="32" s="1"/>
  <c r="G28" i="32" s="1"/>
  <c r="G37" i="32" s="1"/>
  <c r="O66" i="21"/>
  <c r="I125" i="21"/>
  <c r="G50" i="32" l="1"/>
  <c r="G124" i="21"/>
  <c r="J129" i="21" s="1"/>
  <c r="G51" i="32" l="1"/>
  <c r="G52" i="32" s="1"/>
  <c r="I50" i="32"/>
  <c r="G125" i="21"/>
  <c r="G126" i="21" s="1"/>
  <c r="I126" i="21"/>
  <c r="J15" i="16" l="1"/>
  <c r="G34" i="16" l="1"/>
  <c r="F27" i="16"/>
  <c r="G27" i="16" s="1"/>
  <c r="G28" i="16" l="1"/>
  <c r="G35" i="16"/>
  <c r="G37" i="16" l="1"/>
  <c r="G50" i="16" s="1"/>
  <c r="G51" i="16" s="1"/>
  <c r="G52" i="16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D505" authorId="0" shapeId="0" xr:uid="{4E934009-2BC7-44D8-A93B-A692837869C2}">
      <text>
        <r>
          <rPr>
            <sz val="11"/>
            <color theme="1"/>
            <rFont val="Arial"/>
            <family val="2"/>
          </rPr>
          <t xml:space="preserve">cristi:
2 straturi cu 3,5 kg / strat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H21" authorId="0" shapeId="0" xr:uid="{AE12554C-0638-4C34-861B-CC1285C4EE24}">
      <text>
        <r>
          <rPr>
            <b/>
            <sz val="9"/>
            <color indexed="81"/>
            <rFont val="Segoe UI"/>
            <family val="2"/>
          </rPr>
          <t>user:</t>
        </r>
        <r>
          <rPr>
            <sz val="9"/>
            <color indexed="81"/>
            <rFont val="Segoe UI"/>
            <family val="2"/>
          </rPr>
          <t xml:space="preserve">
era 1.600
</t>
        </r>
      </text>
    </comment>
    <comment ref="T21" authorId="0" shapeId="0" xr:uid="{0470BF6F-8B30-4722-BD26-F56FF106D58A}">
      <text>
        <r>
          <rPr>
            <b/>
            <sz val="9"/>
            <color indexed="81"/>
            <rFont val="Segoe UI"/>
            <family val="2"/>
          </rPr>
          <t>user:</t>
        </r>
        <r>
          <rPr>
            <sz val="9"/>
            <color indexed="81"/>
            <rFont val="Segoe UI"/>
            <family val="2"/>
          </rPr>
          <t xml:space="preserve">
era 1.600
</t>
        </r>
      </text>
    </comment>
    <comment ref="Y21" authorId="0" shapeId="0" xr:uid="{8B8BDBE7-2B7F-4EB8-A418-896FB38167A6}">
      <text>
        <r>
          <rPr>
            <b/>
            <sz val="9"/>
            <color indexed="81"/>
            <rFont val="Segoe UI"/>
            <family val="2"/>
          </rPr>
          <t>user:</t>
        </r>
        <r>
          <rPr>
            <sz val="9"/>
            <color indexed="81"/>
            <rFont val="Segoe UI"/>
            <family val="2"/>
          </rPr>
          <t xml:space="preserve">
era 1.600
</t>
        </r>
      </text>
    </comment>
    <comment ref="H22" authorId="0" shapeId="0" xr:uid="{4B8D396D-047F-41A5-B492-77DC1F305E8A}">
      <text>
        <r>
          <rPr>
            <b/>
            <sz val="9"/>
            <color indexed="81"/>
            <rFont val="Segoe UI"/>
            <family val="2"/>
          </rPr>
          <t>user:</t>
        </r>
        <r>
          <rPr>
            <sz val="9"/>
            <color indexed="81"/>
            <rFont val="Segoe UI"/>
            <family val="2"/>
          </rPr>
          <t xml:space="preserve">
era 2.000
</t>
        </r>
      </text>
    </comment>
    <comment ref="T22" authorId="0" shapeId="0" xr:uid="{8D993D28-95D4-4439-AB90-260B3E272523}">
      <text>
        <r>
          <rPr>
            <b/>
            <sz val="9"/>
            <color indexed="81"/>
            <rFont val="Segoe UI"/>
            <family val="2"/>
          </rPr>
          <t>user:</t>
        </r>
        <r>
          <rPr>
            <sz val="9"/>
            <color indexed="81"/>
            <rFont val="Segoe UI"/>
            <family val="2"/>
          </rPr>
          <t xml:space="preserve">
era 2.000
</t>
        </r>
      </text>
    </comment>
    <comment ref="Y22" authorId="0" shapeId="0" xr:uid="{4C4EFE4B-70C0-4BF4-9855-51ADC5A0E008}">
      <text>
        <r>
          <rPr>
            <b/>
            <sz val="9"/>
            <color indexed="81"/>
            <rFont val="Segoe UI"/>
            <family val="2"/>
          </rPr>
          <t>user:</t>
        </r>
        <r>
          <rPr>
            <sz val="9"/>
            <color indexed="81"/>
            <rFont val="Segoe UI"/>
            <family val="2"/>
          </rPr>
          <t xml:space="preserve">
era 2.000
</t>
        </r>
      </text>
    </comment>
    <comment ref="H23" authorId="0" shapeId="0" xr:uid="{7339FA93-46A2-48EE-AE30-B68814D88EC7}">
      <text>
        <r>
          <rPr>
            <b/>
            <sz val="9"/>
            <color indexed="81"/>
            <rFont val="Segoe UI"/>
            <family val="2"/>
          </rPr>
          <t>user:</t>
        </r>
        <r>
          <rPr>
            <sz val="9"/>
            <color indexed="81"/>
            <rFont val="Segoe UI"/>
            <family val="2"/>
          </rPr>
          <t xml:space="preserve">
era 1.600
</t>
        </r>
      </text>
    </comment>
    <comment ref="T23" authorId="0" shapeId="0" xr:uid="{59B31E5F-7300-46C8-A4A5-0FE52D138AC1}">
      <text>
        <r>
          <rPr>
            <b/>
            <sz val="9"/>
            <color indexed="81"/>
            <rFont val="Segoe UI"/>
            <family val="2"/>
          </rPr>
          <t>user:</t>
        </r>
        <r>
          <rPr>
            <sz val="9"/>
            <color indexed="81"/>
            <rFont val="Segoe UI"/>
            <family val="2"/>
          </rPr>
          <t xml:space="preserve">
era 1.600
</t>
        </r>
      </text>
    </comment>
    <comment ref="Y23" authorId="0" shapeId="0" xr:uid="{42355C58-1F82-453A-90A7-66C4B82751BF}">
      <text>
        <r>
          <rPr>
            <b/>
            <sz val="9"/>
            <color indexed="81"/>
            <rFont val="Segoe UI"/>
            <family val="2"/>
          </rPr>
          <t>user:</t>
        </r>
        <r>
          <rPr>
            <sz val="9"/>
            <color indexed="81"/>
            <rFont val="Segoe UI"/>
            <family val="2"/>
          </rPr>
          <t xml:space="preserve">
era 1.600
</t>
        </r>
      </text>
    </comment>
    <comment ref="H24" authorId="0" shapeId="0" xr:uid="{BBB43EC4-7B3D-42E4-8077-99084CEBE12F}">
      <text>
        <r>
          <rPr>
            <b/>
            <sz val="9"/>
            <color indexed="81"/>
            <rFont val="Segoe UI"/>
            <family val="2"/>
          </rPr>
          <t>user:</t>
        </r>
        <r>
          <rPr>
            <sz val="9"/>
            <color indexed="81"/>
            <rFont val="Segoe UI"/>
            <family val="2"/>
          </rPr>
          <t xml:space="preserve">
era 2.000
</t>
        </r>
      </text>
    </comment>
    <comment ref="T24" authorId="0" shapeId="0" xr:uid="{BF925BFA-BB56-45B9-8A11-C6ED2C8AF364}">
      <text>
        <r>
          <rPr>
            <b/>
            <sz val="9"/>
            <color indexed="81"/>
            <rFont val="Segoe UI"/>
            <family val="2"/>
          </rPr>
          <t>user:</t>
        </r>
        <r>
          <rPr>
            <sz val="9"/>
            <color indexed="81"/>
            <rFont val="Segoe UI"/>
            <family val="2"/>
          </rPr>
          <t xml:space="preserve">
era 2.000
</t>
        </r>
      </text>
    </comment>
    <comment ref="Y24" authorId="0" shapeId="0" xr:uid="{33887840-1642-4E5B-A77C-188D571F2732}">
      <text>
        <r>
          <rPr>
            <b/>
            <sz val="9"/>
            <color indexed="81"/>
            <rFont val="Segoe UI"/>
            <family val="2"/>
          </rPr>
          <t>user:</t>
        </r>
        <r>
          <rPr>
            <sz val="9"/>
            <color indexed="81"/>
            <rFont val="Segoe UI"/>
            <family val="2"/>
          </rPr>
          <t xml:space="preserve">
era 2.000
</t>
        </r>
      </text>
    </comment>
    <comment ref="H25" authorId="0" shapeId="0" xr:uid="{023D84A3-6E24-410B-9AC7-78A8D47EB247}">
      <text>
        <r>
          <rPr>
            <b/>
            <sz val="9"/>
            <color indexed="81"/>
            <rFont val="Segoe UI"/>
            <family val="2"/>
          </rPr>
          <t>user:</t>
        </r>
        <r>
          <rPr>
            <sz val="9"/>
            <color indexed="81"/>
            <rFont val="Segoe UI"/>
            <family val="2"/>
          </rPr>
          <t xml:space="preserve">
era 1.600
</t>
        </r>
      </text>
    </comment>
    <comment ref="T25" authorId="0" shapeId="0" xr:uid="{78433683-D730-461C-BF97-5CC40394E449}">
      <text>
        <r>
          <rPr>
            <b/>
            <sz val="9"/>
            <color indexed="81"/>
            <rFont val="Segoe UI"/>
            <family val="2"/>
          </rPr>
          <t>user:</t>
        </r>
        <r>
          <rPr>
            <sz val="9"/>
            <color indexed="81"/>
            <rFont val="Segoe UI"/>
            <family val="2"/>
          </rPr>
          <t xml:space="preserve">
era 1.600
</t>
        </r>
      </text>
    </comment>
    <comment ref="Y25" authorId="0" shapeId="0" xr:uid="{29130DA8-0B6B-4E74-A46E-603DD388C4F9}">
      <text>
        <r>
          <rPr>
            <b/>
            <sz val="9"/>
            <color indexed="81"/>
            <rFont val="Segoe UI"/>
            <family val="2"/>
          </rPr>
          <t>user:</t>
        </r>
        <r>
          <rPr>
            <sz val="9"/>
            <color indexed="81"/>
            <rFont val="Segoe UI"/>
            <family val="2"/>
          </rPr>
          <t xml:space="preserve">
era 1.600
</t>
        </r>
      </text>
    </comment>
    <comment ref="H26" authorId="0" shapeId="0" xr:uid="{74B270E2-6B13-4159-97D4-058AD7BE9A8D}">
      <text>
        <r>
          <rPr>
            <b/>
            <sz val="9"/>
            <color indexed="81"/>
            <rFont val="Segoe UI"/>
            <family val="2"/>
          </rPr>
          <t>user:</t>
        </r>
        <r>
          <rPr>
            <sz val="9"/>
            <color indexed="81"/>
            <rFont val="Segoe UI"/>
            <family val="2"/>
          </rPr>
          <t xml:space="preserve">
era 1.600
</t>
        </r>
      </text>
    </comment>
    <comment ref="T26" authorId="0" shapeId="0" xr:uid="{63A8A1A0-A51A-4222-AB5D-24DBAFD1739A}">
      <text>
        <r>
          <rPr>
            <b/>
            <sz val="9"/>
            <color indexed="81"/>
            <rFont val="Segoe UI"/>
            <family val="2"/>
          </rPr>
          <t>user:</t>
        </r>
        <r>
          <rPr>
            <sz val="9"/>
            <color indexed="81"/>
            <rFont val="Segoe UI"/>
            <family val="2"/>
          </rPr>
          <t xml:space="preserve">
era 1.600
</t>
        </r>
      </text>
    </comment>
    <comment ref="Y26" authorId="0" shapeId="0" xr:uid="{94FD5684-BDE4-4C82-A200-8A4F11C1AACE}">
      <text>
        <r>
          <rPr>
            <b/>
            <sz val="9"/>
            <color indexed="81"/>
            <rFont val="Segoe UI"/>
            <family val="2"/>
          </rPr>
          <t>user:</t>
        </r>
        <r>
          <rPr>
            <sz val="9"/>
            <color indexed="81"/>
            <rFont val="Segoe UI"/>
            <family val="2"/>
          </rPr>
          <t xml:space="preserve">
era 1.600
</t>
        </r>
      </text>
    </comment>
    <comment ref="H27" authorId="0" shapeId="0" xr:uid="{74F5F411-5BCF-4823-BC50-788F1AF5D29F}">
      <text>
        <r>
          <rPr>
            <b/>
            <sz val="9"/>
            <color indexed="81"/>
            <rFont val="Segoe UI"/>
            <family val="2"/>
          </rPr>
          <t>user:</t>
        </r>
        <r>
          <rPr>
            <sz val="9"/>
            <color indexed="81"/>
            <rFont val="Segoe UI"/>
            <family val="2"/>
          </rPr>
          <t xml:space="preserve">
era 1.600
</t>
        </r>
      </text>
    </comment>
    <comment ref="T27" authorId="0" shapeId="0" xr:uid="{3431E248-593E-4D24-9F08-BEE4D546F421}">
      <text>
        <r>
          <rPr>
            <b/>
            <sz val="9"/>
            <color indexed="81"/>
            <rFont val="Segoe UI"/>
            <family val="2"/>
          </rPr>
          <t>user:</t>
        </r>
        <r>
          <rPr>
            <sz val="9"/>
            <color indexed="81"/>
            <rFont val="Segoe UI"/>
            <family val="2"/>
          </rPr>
          <t xml:space="preserve">
era 1.600
</t>
        </r>
      </text>
    </comment>
    <comment ref="Y27" authorId="0" shapeId="0" xr:uid="{7FC0518A-6BFD-4D00-B3CD-127A703D582E}">
      <text>
        <r>
          <rPr>
            <b/>
            <sz val="9"/>
            <color indexed="81"/>
            <rFont val="Segoe UI"/>
            <family val="2"/>
          </rPr>
          <t>user:</t>
        </r>
        <r>
          <rPr>
            <sz val="9"/>
            <color indexed="81"/>
            <rFont val="Segoe UI"/>
            <family val="2"/>
          </rPr>
          <t xml:space="preserve">
era 1.600
</t>
        </r>
      </text>
    </comment>
    <comment ref="H28" authorId="0" shapeId="0" xr:uid="{593FB00A-CA42-4054-BED2-C5CD9CFA8B03}">
      <text>
        <r>
          <rPr>
            <b/>
            <sz val="9"/>
            <color indexed="81"/>
            <rFont val="Segoe UI"/>
            <family val="2"/>
          </rPr>
          <t>user:</t>
        </r>
        <r>
          <rPr>
            <sz val="9"/>
            <color indexed="81"/>
            <rFont val="Segoe UI"/>
            <family val="2"/>
          </rPr>
          <t xml:space="preserve">
era 1.600
</t>
        </r>
      </text>
    </comment>
    <comment ref="T28" authorId="0" shapeId="0" xr:uid="{03617760-90BA-42F5-8A4D-4D09FB34510A}">
      <text>
        <r>
          <rPr>
            <b/>
            <sz val="9"/>
            <color indexed="81"/>
            <rFont val="Segoe UI"/>
            <family val="2"/>
          </rPr>
          <t>user:</t>
        </r>
        <r>
          <rPr>
            <sz val="9"/>
            <color indexed="81"/>
            <rFont val="Segoe UI"/>
            <family val="2"/>
          </rPr>
          <t xml:space="preserve">
era 1.600
</t>
        </r>
      </text>
    </comment>
    <comment ref="Y28" authorId="0" shapeId="0" xr:uid="{84DF22ED-EFB3-48CC-B25B-15F48EEA5BA5}">
      <text>
        <r>
          <rPr>
            <b/>
            <sz val="9"/>
            <color indexed="81"/>
            <rFont val="Segoe UI"/>
            <family val="2"/>
          </rPr>
          <t>user:</t>
        </r>
        <r>
          <rPr>
            <sz val="9"/>
            <color indexed="81"/>
            <rFont val="Segoe UI"/>
            <family val="2"/>
          </rPr>
          <t xml:space="preserve">
era 1.600
</t>
        </r>
      </text>
    </comment>
    <comment ref="H29" authorId="0" shapeId="0" xr:uid="{19FC2FFA-EAF1-4868-92B0-8468DAA7B5C4}">
      <text>
        <r>
          <rPr>
            <b/>
            <sz val="9"/>
            <color indexed="81"/>
            <rFont val="Segoe UI"/>
            <family val="2"/>
          </rPr>
          <t>user:</t>
        </r>
        <r>
          <rPr>
            <sz val="9"/>
            <color indexed="81"/>
            <rFont val="Segoe UI"/>
            <family val="2"/>
          </rPr>
          <t xml:space="preserve">
era 1.600
</t>
        </r>
      </text>
    </comment>
    <comment ref="T29" authorId="0" shapeId="0" xr:uid="{D1E90787-51CE-470D-AF70-3E1EB7CB717F}">
      <text>
        <r>
          <rPr>
            <b/>
            <sz val="9"/>
            <color indexed="81"/>
            <rFont val="Segoe UI"/>
            <family val="2"/>
          </rPr>
          <t>user:</t>
        </r>
        <r>
          <rPr>
            <sz val="9"/>
            <color indexed="81"/>
            <rFont val="Segoe UI"/>
            <family val="2"/>
          </rPr>
          <t xml:space="preserve">
era 1.600
</t>
        </r>
      </text>
    </comment>
    <comment ref="Y29" authorId="0" shapeId="0" xr:uid="{837730DD-D4BD-4E17-9DD8-D051205880B8}">
      <text>
        <r>
          <rPr>
            <b/>
            <sz val="9"/>
            <color indexed="81"/>
            <rFont val="Segoe UI"/>
            <family val="2"/>
          </rPr>
          <t>user:</t>
        </r>
        <r>
          <rPr>
            <sz val="9"/>
            <color indexed="81"/>
            <rFont val="Segoe UI"/>
            <family val="2"/>
          </rPr>
          <t xml:space="preserve">
era 1.600
</t>
        </r>
      </text>
    </comment>
    <comment ref="H30" authorId="0" shapeId="0" xr:uid="{436958CE-0A64-4ED1-9C07-89295A5B920F}">
      <text>
        <r>
          <rPr>
            <b/>
            <sz val="9"/>
            <color indexed="81"/>
            <rFont val="Segoe UI"/>
            <family val="2"/>
          </rPr>
          <t>user:</t>
        </r>
        <r>
          <rPr>
            <sz val="9"/>
            <color indexed="81"/>
            <rFont val="Segoe UI"/>
            <family val="2"/>
          </rPr>
          <t xml:space="preserve">
era 2.000</t>
        </r>
      </text>
    </comment>
    <comment ref="T30" authorId="0" shapeId="0" xr:uid="{64DF68B7-1A8D-4309-B9BC-EAF2BBA8F671}">
      <text>
        <r>
          <rPr>
            <b/>
            <sz val="9"/>
            <color indexed="81"/>
            <rFont val="Segoe UI"/>
            <family val="2"/>
          </rPr>
          <t>user:</t>
        </r>
        <r>
          <rPr>
            <sz val="9"/>
            <color indexed="81"/>
            <rFont val="Segoe UI"/>
            <family val="2"/>
          </rPr>
          <t xml:space="preserve">
era 2.000</t>
        </r>
      </text>
    </comment>
    <comment ref="Y30" authorId="0" shapeId="0" xr:uid="{67543EE2-02AF-4FA5-B988-29C4AD1B8792}">
      <text>
        <r>
          <rPr>
            <b/>
            <sz val="9"/>
            <color indexed="81"/>
            <rFont val="Segoe UI"/>
            <family val="2"/>
          </rPr>
          <t>user:</t>
        </r>
        <r>
          <rPr>
            <sz val="9"/>
            <color indexed="81"/>
            <rFont val="Segoe UI"/>
            <family val="2"/>
          </rPr>
          <t xml:space="preserve">
era 2.000</t>
        </r>
      </text>
    </comment>
    <comment ref="T56" authorId="0" shapeId="0" xr:uid="{437D6AFD-0014-4573-93F5-AE3067DEA5D8}">
      <text>
        <r>
          <rPr>
            <b/>
            <sz val="9"/>
            <color indexed="81"/>
            <rFont val="Segoe UI"/>
            <family val="2"/>
          </rPr>
          <t>user:</t>
        </r>
        <r>
          <rPr>
            <sz val="9"/>
            <color indexed="81"/>
            <rFont val="Segoe UI"/>
            <family val="2"/>
          </rPr>
          <t xml:space="preserve">
era 1,28
</t>
        </r>
      </text>
    </comment>
    <comment ref="Y56" authorId="0" shapeId="0" xr:uid="{5BD6BED3-E739-4BCB-A9C4-4A0D6A645C3A}">
      <text>
        <r>
          <rPr>
            <b/>
            <sz val="9"/>
            <color indexed="81"/>
            <rFont val="Segoe UI"/>
            <family val="2"/>
          </rPr>
          <t>user:</t>
        </r>
        <r>
          <rPr>
            <sz val="9"/>
            <color indexed="81"/>
            <rFont val="Segoe UI"/>
            <family val="2"/>
          </rPr>
          <t xml:space="preserve">
era 1,28
</t>
        </r>
      </text>
    </comment>
    <comment ref="H57" authorId="0" shapeId="0" xr:uid="{4240E626-5EB4-474F-9639-7A676EAE9541}">
      <text>
        <r>
          <rPr>
            <b/>
            <sz val="9"/>
            <color indexed="81"/>
            <rFont val="Segoe UI"/>
            <family val="2"/>
          </rPr>
          <t>user:</t>
        </r>
        <r>
          <rPr>
            <sz val="9"/>
            <color indexed="81"/>
            <rFont val="Segoe UI"/>
            <family val="2"/>
          </rPr>
          <t xml:space="preserve">
era 1,28
</t>
        </r>
      </text>
    </comment>
    <comment ref="H130" authorId="0" shapeId="0" xr:uid="{4110EFD9-98EA-4F82-A882-FBF9F4100577}">
      <text>
        <r>
          <rPr>
            <b/>
            <sz val="9"/>
            <color indexed="81"/>
            <rFont val="Segoe UI"/>
            <family val="2"/>
          </rPr>
          <t>user:</t>
        </r>
        <r>
          <rPr>
            <sz val="9"/>
            <color indexed="81"/>
            <rFont val="Segoe UI"/>
            <family val="2"/>
          </rPr>
          <t xml:space="preserve">
din 80x100 taiat in 3 pe latura de 100.</t>
        </r>
      </text>
    </comment>
    <comment ref="H133" authorId="0" shapeId="0" xr:uid="{ED850937-00BD-4D17-BEDC-78791BB0C081}">
      <text>
        <r>
          <rPr>
            <b/>
            <sz val="9"/>
            <color indexed="81"/>
            <rFont val="Segoe UI"/>
            <family val="2"/>
          </rPr>
          <t>user:</t>
        </r>
        <r>
          <rPr>
            <sz val="9"/>
            <color indexed="81"/>
            <rFont val="Segoe UI"/>
            <family val="2"/>
          </rPr>
          <t xml:space="preserve">
din 80x100 taiat in 3 pe latura de 100.</t>
        </r>
      </text>
    </comment>
    <comment ref="H134" authorId="0" shapeId="0" xr:uid="{B671C980-3279-4687-A246-4E136BE7FA07}">
      <text>
        <r>
          <rPr>
            <b/>
            <sz val="9"/>
            <color indexed="81"/>
            <rFont val="Segoe UI"/>
            <family val="2"/>
          </rPr>
          <t>user:</t>
        </r>
        <r>
          <rPr>
            <sz val="9"/>
            <color indexed="81"/>
            <rFont val="Segoe UI"/>
            <family val="2"/>
          </rPr>
          <t xml:space="preserve">
din 80x100 taiat in 3 pe latura de 100.</t>
        </r>
      </text>
    </comment>
    <comment ref="H135" authorId="0" shapeId="0" xr:uid="{CEEB493E-D2E9-47B2-B118-989F17A4F54A}">
      <text>
        <r>
          <rPr>
            <b/>
            <sz val="9"/>
            <color indexed="81"/>
            <rFont val="Segoe UI"/>
            <family val="2"/>
          </rPr>
          <t>user:</t>
        </r>
        <r>
          <rPr>
            <sz val="9"/>
            <color indexed="81"/>
            <rFont val="Segoe UI"/>
            <family val="2"/>
          </rPr>
          <t xml:space="preserve">
din 45x150 taiat
2800x0,0012 
</t>
        </r>
      </text>
    </comment>
    <comment ref="H137" authorId="0" shapeId="0" xr:uid="{052D3A51-60A2-4771-A130-9B709C520F87}">
      <text>
        <r>
          <rPr>
            <b/>
            <sz val="9"/>
            <color indexed="81"/>
            <rFont val="Segoe UI"/>
            <family val="2"/>
          </rPr>
          <t>user:</t>
        </r>
        <r>
          <rPr>
            <sz val="9"/>
            <color indexed="81"/>
            <rFont val="Segoe UI"/>
            <family val="2"/>
          </rPr>
          <t xml:space="preserve">
din 45x150 taiat
2800x0,0016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E20" authorId="0" shapeId="0" xr:uid="{F4B1F0C0-30A3-4B17-9153-7B2C0C63A881}">
      <text>
        <r>
          <rPr>
            <b/>
            <sz val="9"/>
            <color indexed="81"/>
            <rFont val="Segoe UI"/>
            <charset val="1"/>
          </rPr>
          <t>user:</t>
        </r>
        <r>
          <rPr>
            <sz val="9"/>
            <color indexed="81"/>
            <rFont val="Segoe UI"/>
            <charset val="1"/>
          </rPr>
          <t xml:space="preserve">
225 SI 62  = suprafete goluri &gt; 3 m2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E20" authorId="0" shapeId="0" xr:uid="{372C237F-AC97-4D7C-BA20-551F9D202941}">
      <text>
        <r>
          <rPr>
            <b/>
            <sz val="9"/>
            <color indexed="81"/>
            <rFont val="Segoe UI"/>
            <charset val="1"/>
          </rPr>
          <t>user:</t>
        </r>
        <r>
          <rPr>
            <sz val="9"/>
            <color indexed="81"/>
            <rFont val="Segoe UI"/>
            <charset val="1"/>
          </rPr>
          <t xml:space="preserve">
225 SI 62  = suprafete goluri &gt; 3 m2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E18" authorId="0" shapeId="0" xr:uid="{DD956604-A680-4EF3-8D48-7EA031896D62}">
      <text>
        <r>
          <rPr>
            <b/>
            <sz val="9"/>
            <color indexed="81"/>
            <rFont val="Segoe UI"/>
            <charset val="1"/>
          </rPr>
          <t>user:</t>
        </r>
        <r>
          <rPr>
            <sz val="9"/>
            <color indexed="81"/>
            <rFont val="Segoe UI"/>
            <charset val="1"/>
          </rPr>
          <t xml:space="preserve">
5 = suprafete goluri &gt; 3 m2</t>
        </r>
      </text>
    </comment>
    <comment ref="E32" authorId="0" shapeId="0" xr:uid="{84603BA3-FCCB-428E-9B40-118A283D0403}">
      <text>
        <r>
          <rPr>
            <b/>
            <sz val="9"/>
            <color indexed="81"/>
            <rFont val="Segoe UI"/>
            <charset val="1"/>
          </rPr>
          <t>user:</t>
        </r>
        <r>
          <rPr>
            <sz val="9"/>
            <color indexed="81"/>
            <rFont val="Segoe UI"/>
            <charset val="1"/>
          </rPr>
          <t xml:space="preserve">
5 goluri &gt;3 m2</t>
        </r>
      </text>
    </comment>
    <comment ref="E46" authorId="0" shapeId="0" xr:uid="{084D5D53-DCB5-4C18-887B-D2DAFC217AF1}">
      <text>
        <r>
          <rPr>
            <b/>
            <sz val="9"/>
            <color indexed="81"/>
            <rFont val="Segoe UI"/>
            <charset val="1"/>
          </rPr>
          <t>user:</t>
        </r>
        <r>
          <rPr>
            <sz val="9"/>
            <color indexed="81"/>
            <rFont val="Segoe UI"/>
            <charset val="1"/>
          </rPr>
          <t xml:space="preserve">
5 = suprafete goluri &gt; 3 m2</t>
        </r>
      </text>
    </comment>
    <comment ref="E60" authorId="0" shapeId="0" xr:uid="{0A5FF077-0789-4DF1-938C-A909778C9971}">
      <text>
        <r>
          <rPr>
            <b/>
            <sz val="9"/>
            <color indexed="81"/>
            <rFont val="Segoe UI"/>
            <charset val="1"/>
          </rPr>
          <t>user:</t>
        </r>
        <r>
          <rPr>
            <sz val="9"/>
            <color indexed="81"/>
            <rFont val="Segoe UI"/>
            <charset val="1"/>
          </rPr>
          <t xml:space="preserve">
5 = suprafete goluri &gt; 3 m2</t>
        </r>
      </text>
    </comment>
    <comment ref="E74" authorId="0" shapeId="0" xr:uid="{11BDB666-C468-4FE6-A6E7-10C33912D864}">
      <text>
        <r>
          <rPr>
            <b/>
            <sz val="9"/>
            <color indexed="81"/>
            <rFont val="Segoe UI"/>
            <charset val="1"/>
          </rPr>
          <t>user:</t>
        </r>
        <r>
          <rPr>
            <sz val="9"/>
            <color indexed="81"/>
            <rFont val="Segoe UI"/>
            <charset val="1"/>
          </rPr>
          <t xml:space="preserve">
5 = suprafete goluri &gt; 3 m2</t>
        </r>
      </text>
    </comment>
    <comment ref="E88" authorId="0" shapeId="0" xr:uid="{C8967405-3DD2-4536-8D27-37BBC3F169D2}">
      <text>
        <r>
          <rPr>
            <b/>
            <sz val="9"/>
            <color indexed="81"/>
            <rFont val="Segoe UI"/>
            <charset val="1"/>
          </rPr>
          <t>user:</t>
        </r>
        <r>
          <rPr>
            <sz val="9"/>
            <color indexed="81"/>
            <rFont val="Segoe UI"/>
            <charset val="1"/>
          </rPr>
          <t xml:space="preserve">
5 = suprafete goluri &gt; 3 m2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E24" authorId="0" shapeId="0" xr:uid="{AC09A560-1601-4116-A7BA-EEA906E00B26}">
      <text>
        <r>
          <rPr>
            <b/>
            <sz val="9"/>
            <color indexed="81"/>
            <rFont val="Segoe UI"/>
            <charset val="1"/>
          </rPr>
          <t>user:</t>
        </r>
        <r>
          <rPr>
            <sz val="9"/>
            <color indexed="81"/>
            <rFont val="Segoe UI"/>
            <charset val="1"/>
          </rPr>
          <t xml:space="preserve">
42 = suprafete goluri &gt; 3 m2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<sst xmlns="http://schemas.openxmlformats.org/spreadsheetml/2006/main" count="3284" uniqueCount="644">
  <si>
    <t>THD</t>
  </si>
  <si>
    <t>OSB 8</t>
  </si>
  <si>
    <t>OSB 12</t>
  </si>
  <si>
    <t>OSB 15</t>
  </si>
  <si>
    <t>OSB 18</t>
  </si>
  <si>
    <t>OSB 16 RF</t>
  </si>
  <si>
    <t>OSB 22</t>
  </si>
  <si>
    <t>OSB 9</t>
  </si>
  <si>
    <t>DWD 16 mm</t>
  </si>
  <si>
    <t>Lemn Stratificat</t>
  </si>
  <si>
    <t>Enduit  (sac de 25 Kg) - chantier</t>
  </si>
  <si>
    <t>DEVIS QUANTITATIF ESTIMATIF</t>
  </si>
  <si>
    <t>le</t>
  </si>
  <si>
    <t>SCGB</t>
  </si>
  <si>
    <t xml:space="preserve">20 Rue de Novital, </t>
  </si>
  <si>
    <t>LOT STRUCTURE OSSATURE BOIS</t>
  </si>
  <si>
    <t>Désignation</t>
  </si>
  <si>
    <t>Unité</t>
  </si>
  <si>
    <t xml:space="preserve">Qt </t>
  </si>
  <si>
    <t>Prix Unitaire</t>
  </si>
  <si>
    <t>TOTAL</t>
  </si>
  <si>
    <t>m2</t>
  </si>
  <si>
    <t>m3</t>
  </si>
  <si>
    <t>ml</t>
  </si>
  <si>
    <t>Calage de pente</t>
  </si>
  <si>
    <t>Divers</t>
  </si>
  <si>
    <t>Etude Loftwood Construction</t>
  </si>
  <si>
    <t>j</t>
  </si>
  <si>
    <t>ft</t>
  </si>
  <si>
    <t>Transport</t>
  </si>
  <si>
    <t>Montant de la fourniture sur chantier d'éléments préfabriqué  HT</t>
  </si>
  <si>
    <t>MONTANT TOTAL TTC</t>
  </si>
  <si>
    <t>Validation du devis par LAROX WOOD HOUSE</t>
  </si>
  <si>
    <t>Signature:</t>
  </si>
  <si>
    <t>Tampon de l'entreprise:</t>
  </si>
  <si>
    <t>COMPOSITION</t>
  </si>
  <si>
    <t>MAT</t>
  </si>
  <si>
    <t>MO</t>
  </si>
  <si>
    <t>PRIX</t>
  </si>
  <si>
    <t>Structure 50 mm</t>
  </si>
  <si>
    <t>Structure 100 mm</t>
  </si>
  <si>
    <t>Structure 150 mm</t>
  </si>
  <si>
    <t>Agepan THD</t>
  </si>
  <si>
    <t>FDB Pavawall 40 mm</t>
  </si>
  <si>
    <t>Laine minérale 150 mm</t>
  </si>
  <si>
    <t>Laine minérale 50 mm</t>
  </si>
  <si>
    <t>Laine minérale 100 mm</t>
  </si>
  <si>
    <t>Laine de bois 150 mm</t>
  </si>
  <si>
    <t>Laine de bois 50 mm</t>
  </si>
  <si>
    <t>Laine de bois 100 mm</t>
  </si>
  <si>
    <t>Agepan THD - chantier</t>
  </si>
  <si>
    <t>ARTICLES</t>
  </si>
  <si>
    <t>mur structure</t>
  </si>
  <si>
    <t>Mur colle</t>
  </si>
  <si>
    <t>Mur ITE</t>
  </si>
  <si>
    <t>Mur sous-enduit</t>
  </si>
  <si>
    <t>Mur enduit</t>
  </si>
  <si>
    <t>Mur isolant 1</t>
  </si>
  <si>
    <t>Mur isolant 2</t>
  </si>
  <si>
    <t>Mur isolant 3</t>
  </si>
  <si>
    <t>Mur panneau 1</t>
  </si>
  <si>
    <t>Mur pare-vapeur</t>
  </si>
  <si>
    <t>Mur panneau 2</t>
  </si>
  <si>
    <t>Plancher ITE</t>
  </si>
  <si>
    <t>Plancher sous-enduit</t>
  </si>
  <si>
    <t>Plancher enduit</t>
  </si>
  <si>
    <t>Plancher isolant 1</t>
  </si>
  <si>
    <t>Plancher isolant 2</t>
  </si>
  <si>
    <t>Plancher isolant 3</t>
  </si>
  <si>
    <t>Plancher pare-vapeur</t>
  </si>
  <si>
    <t>Plancher panneau 1</t>
  </si>
  <si>
    <t>Plancher panneau 2</t>
  </si>
  <si>
    <t>MO (hr)</t>
  </si>
  <si>
    <t>UM</t>
  </si>
  <si>
    <t>Transf in mp</t>
  </si>
  <si>
    <t>adeziv</t>
  </si>
  <si>
    <t>kg</t>
  </si>
  <si>
    <t>Adeziv imbinare</t>
  </si>
  <si>
    <t>l</t>
  </si>
  <si>
    <t>Amorsa</t>
  </si>
  <si>
    <t>Banda imbinare</t>
  </si>
  <si>
    <t>Capse folie 10 mm</t>
  </si>
  <si>
    <t>buc</t>
  </si>
  <si>
    <t>Capse OSB 50 mm</t>
  </si>
  <si>
    <t>Cuie 90 / 120</t>
  </si>
  <si>
    <t>EASY BAND 50MMX25M</t>
  </si>
  <si>
    <t>mp</t>
  </si>
  <si>
    <t>Firestop basic sealant</t>
  </si>
  <si>
    <t>Firestop tape 100x0,06</t>
  </si>
  <si>
    <t>Folie antivapori</t>
  </si>
  <si>
    <t>Lemn 100x45 mm</t>
  </si>
  <si>
    <t>mc</t>
  </si>
  <si>
    <t>Lemn 100x45 mm talpa</t>
  </si>
  <si>
    <t>Lemn 150x45 mm</t>
  </si>
  <si>
    <t>Lemn 150x45 mm talpa</t>
  </si>
  <si>
    <t>Lemn 240x45 mm</t>
  </si>
  <si>
    <t>Lemn 260x45 mm</t>
  </si>
  <si>
    <t>Lemn 50x45 mm</t>
  </si>
  <si>
    <t>Lemn 50x45 mm talpa</t>
  </si>
  <si>
    <t>OSB 12 mm 2,5x1,25 m</t>
  </si>
  <si>
    <t>OSB 15 mm 2,5x1,25 m</t>
  </si>
  <si>
    <t>OSB 18 mm 2,5x1,25 m</t>
  </si>
  <si>
    <t>OSB 22 mm 2,5x1,25 m</t>
  </si>
  <si>
    <t>OSB 8 mm 2,5x1,25 m</t>
  </si>
  <si>
    <t>PAVAWALL</t>
  </si>
  <si>
    <t>Plasa fibra 50 mp</t>
  </si>
  <si>
    <t>Profil U THD</t>
  </si>
  <si>
    <t>PSE</t>
  </si>
  <si>
    <t>Tencuiala 25 Kg</t>
  </si>
  <si>
    <t>Vata bazaltica 100 mm</t>
  </si>
  <si>
    <t>Vata bazaltica 50 mm</t>
  </si>
  <si>
    <t>Vata lemn 100 mm</t>
  </si>
  <si>
    <t>Vata lemn 50 mm</t>
  </si>
  <si>
    <t>MATERIAUX</t>
  </si>
  <si>
    <t>U</t>
  </si>
  <si>
    <t>Nr  CRT.</t>
  </si>
  <si>
    <t>Cant</t>
  </si>
  <si>
    <t>Pret Euro</t>
  </si>
  <si>
    <t>Valoare Euro</t>
  </si>
  <si>
    <t>etapa de fabricație</t>
  </si>
  <si>
    <t>MAIN D'ŒUVRE</t>
  </si>
  <si>
    <t>OSB 9 mm 2,5x1,25 m</t>
  </si>
  <si>
    <t>Bois massif atelier</t>
  </si>
  <si>
    <t>Bois massif chantier</t>
  </si>
  <si>
    <t>Etrier 360L</t>
  </si>
  <si>
    <t>PPIN</t>
  </si>
  <si>
    <t>PPINE</t>
  </si>
  <si>
    <t>u</t>
  </si>
  <si>
    <t>Rothoblaast</t>
  </si>
  <si>
    <t>Lemn 240x80 mm</t>
  </si>
  <si>
    <t>Lemn 260x80 mm</t>
  </si>
  <si>
    <t>Talpa</t>
  </si>
  <si>
    <t>panou de placaj 19 mm</t>
  </si>
  <si>
    <t>Domisole</t>
  </si>
  <si>
    <t>ARTICLE</t>
  </si>
  <si>
    <t>Liste déroulante:</t>
  </si>
  <si>
    <t>Capse THD 70 mm</t>
  </si>
  <si>
    <t>DESCIPTION</t>
  </si>
  <si>
    <t>Colle</t>
  </si>
  <si>
    <t>OSB 16 mm RF</t>
  </si>
  <si>
    <t>FDB 40 mm</t>
  </si>
  <si>
    <t>Polystyrène 50 mm</t>
  </si>
  <si>
    <t>Panneau medium</t>
  </si>
  <si>
    <t>Lamellé collé</t>
  </si>
  <si>
    <t>Enduit</t>
  </si>
  <si>
    <t>Profile départ FDB</t>
  </si>
  <si>
    <t xml:space="preserve">Trame </t>
  </si>
  <si>
    <t>OSB 3</t>
  </si>
  <si>
    <t>OSB 3 résistant au feu</t>
  </si>
  <si>
    <t>Bois classe 4</t>
  </si>
  <si>
    <t>Bois classe 2</t>
  </si>
  <si>
    <t>Pare vapeur</t>
  </si>
  <si>
    <t>Scotch RF</t>
  </si>
  <si>
    <t>Mastic RF</t>
  </si>
  <si>
    <t>Scotch étanche</t>
  </si>
  <si>
    <t>Clou 90 / 120</t>
  </si>
  <si>
    <t>Agrafe 70 mm</t>
  </si>
  <si>
    <t>Agrafe 50 mm</t>
  </si>
  <si>
    <t>Agrafe 10 mm</t>
  </si>
  <si>
    <t>Bande de joint</t>
  </si>
  <si>
    <t>Sous enduit Maité</t>
  </si>
  <si>
    <t>Platre</t>
  </si>
  <si>
    <t>Traitement</t>
  </si>
  <si>
    <t>KVH</t>
  </si>
  <si>
    <t>Isolant phonique sol</t>
  </si>
  <si>
    <t>Étapes</t>
  </si>
  <si>
    <t>Liste déroulante</t>
  </si>
  <si>
    <t>Structure 260x80 mm en kit</t>
  </si>
  <si>
    <t>Structure 240x80 mm en kit</t>
  </si>
  <si>
    <t>Etude BE France</t>
  </si>
  <si>
    <t>Etude bureau d'étude France</t>
  </si>
  <si>
    <t>Transport Ro/Fr</t>
  </si>
  <si>
    <t>Cant/Um</t>
  </si>
  <si>
    <t>Componente</t>
  </si>
  <si>
    <t>Pierd</t>
  </si>
  <si>
    <t>Les murs ossature bois (vide pour plein)</t>
  </si>
  <si>
    <t>ID</t>
  </si>
  <si>
    <t>PARAMETRE DE CHIFFRAGE</t>
  </si>
  <si>
    <t>VALEUR</t>
  </si>
  <si>
    <t>Déboursé horaire</t>
  </si>
  <si>
    <t>€/hr</t>
  </si>
  <si>
    <t>Conversion Lei --&gt; Euro</t>
  </si>
  <si>
    <t>Conversion Euro --&gt; Lei</t>
  </si>
  <si>
    <t>Lei/€</t>
  </si>
  <si>
    <t>€/Lei</t>
  </si>
  <si>
    <t>Frais généraux</t>
  </si>
  <si>
    <t>pourcent</t>
  </si>
  <si>
    <t>L'offre est valable pour une durée de 30 jours à compter de la date d'édition du devis.</t>
  </si>
  <si>
    <t xml:space="preserve"> →   Lei</t>
  </si>
  <si>
    <t>TARIF 1 OUVRIER</t>
  </si>
  <si>
    <t>Déboursé (€)</t>
  </si>
  <si>
    <t>PA structure</t>
  </si>
  <si>
    <t>PP structure</t>
  </si>
  <si>
    <t>PP Structure</t>
  </si>
  <si>
    <t>PA Structure</t>
  </si>
  <si>
    <t>Pare-pluie</t>
  </si>
  <si>
    <t>Écran pare-pluie</t>
  </si>
  <si>
    <t>Folie antiploaie</t>
  </si>
  <si>
    <t xml:space="preserve">   Lei</t>
  </si>
  <si>
    <t>Structure PP 240-250</t>
  </si>
  <si>
    <t>Structure PP 240-313</t>
  </si>
  <si>
    <t>Structure PP 240-416</t>
  </si>
  <si>
    <t>Structure PP 240-625</t>
  </si>
  <si>
    <t>Structure PP 260-250</t>
  </si>
  <si>
    <t>Structure PP 260-313</t>
  </si>
  <si>
    <t>Structure PP 260-416</t>
  </si>
  <si>
    <t>Structure PP 260-625</t>
  </si>
  <si>
    <t>Structure PA 240-250</t>
  </si>
  <si>
    <t>Structure PA 240-313</t>
  </si>
  <si>
    <t>Structure PA 240-416</t>
  </si>
  <si>
    <t>Structure PA 240-625</t>
  </si>
  <si>
    <t>Structure PA 260-250</t>
  </si>
  <si>
    <t>Structure PA 260-313</t>
  </si>
  <si>
    <t>Structure PA 260-416</t>
  </si>
  <si>
    <t>Structure PA 260-625</t>
  </si>
  <si>
    <t>Latori 20x40 mm</t>
  </si>
  <si>
    <t>Lattage 20x40mm</t>
  </si>
  <si>
    <t>Lattage bois</t>
  </si>
  <si>
    <t>Bardage bois</t>
  </si>
  <si>
    <t>Bénéfice vente matériaux</t>
  </si>
  <si>
    <t>Quincaillerie</t>
  </si>
  <si>
    <t>TARIF 2 OUVRIER</t>
  </si>
  <si>
    <t>Contelatte bois 20x40 mm</t>
  </si>
  <si>
    <t>PRIX / U</t>
  </si>
  <si>
    <t>SERVICE</t>
  </si>
  <si>
    <t>PRESTATION</t>
  </si>
  <si>
    <t>Transport Camion standard</t>
  </si>
  <si>
    <t>Transport Camion Mega</t>
  </si>
  <si>
    <t>Prix brut</t>
  </si>
  <si>
    <t>Prix net</t>
  </si>
  <si>
    <t>Bénéfice Article/compo</t>
  </si>
  <si>
    <t>Bénéfice Service</t>
  </si>
  <si>
    <t>MATRICE</t>
  </si>
  <si>
    <t>MATRICE_SERVICE</t>
  </si>
  <si>
    <t>MATRICE_COMPOSITION</t>
  </si>
  <si>
    <t>MATRICE_MATERIAUX</t>
  </si>
  <si>
    <t>MATRICE_ARTICLE</t>
  </si>
  <si>
    <t>Charpente industrielle</t>
  </si>
  <si>
    <t>Panneau contreplaqué 19 mm</t>
  </si>
  <si>
    <t>Contreplaqué blanc mélaminé</t>
  </si>
  <si>
    <t>ST</t>
  </si>
  <si>
    <t>Traitement terrasse</t>
  </si>
  <si>
    <t>Charpente terrasse cl4</t>
  </si>
  <si>
    <t>% de CA €</t>
  </si>
  <si>
    <t>Type</t>
  </si>
  <si>
    <r>
      <t xml:space="preserve">Définir dans l'ordre:
1/ Colonne </t>
    </r>
    <r>
      <rPr>
        <b/>
        <sz val="11"/>
        <color theme="1"/>
        <rFont val="Calibri"/>
        <family val="2"/>
        <scheme val="minor"/>
      </rPr>
      <t>Type</t>
    </r>
    <r>
      <rPr>
        <sz val="11"/>
        <color theme="1"/>
        <rFont val="Calibri"/>
        <family val="2"/>
        <scheme val="minor"/>
      </rPr>
      <t xml:space="preserve">
↓↓↓↓
2/ Colonne </t>
    </r>
    <r>
      <rPr>
        <b/>
        <sz val="11"/>
        <color theme="1"/>
        <rFont val="Calibri"/>
        <family val="2"/>
        <scheme val="minor"/>
      </rPr>
      <t>Désignation</t>
    </r>
    <r>
      <rPr>
        <sz val="11"/>
        <color theme="1"/>
        <rFont val="Calibri"/>
        <family val="2"/>
        <scheme val="minor"/>
      </rPr>
      <t xml:space="preserve">
→→
3/ Colonne quantité </t>
    </r>
    <r>
      <rPr>
        <b/>
        <sz val="11"/>
        <color theme="1"/>
        <rFont val="Calibri"/>
        <family val="2"/>
        <scheme val="minor"/>
      </rPr>
      <t>Qt</t>
    </r>
    <r>
      <rPr>
        <sz val="11"/>
        <color theme="1"/>
        <rFont val="Calibri"/>
        <family val="2"/>
        <scheme val="minor"/>
      </rPr>
      <t xml:space="preserve">
→→→→</t>
    </r>
  </si>
  <si>
    <t>Etrier 240 L</t>
  </si>
  <si>
    <t>Etrier 360 L-G</t>
  </si>
  <si>
    <t>Etrier 360 L-D</t>
  </si>
  <si>
    <t>PP1</t>
  </si>
  <si>
    <t>Platine C-a</t>
  </si>
  <si>
    <t>Platine C-b</t>
  </si>
  <si>
    <t>Platine C-c</t>
  </si>
  <si>
    <t>Platine A</t>
  </si>
  <si>
    <t>Platine B</t>
  </si>
  <si>
    <t>Console</t>
  </si>
  <si>
    <t>Poteaux</t>
  </si>
  <si>
    <t>Bardage</t>
  </si>
  <si>
    <t>Forfait quincaillerie</t>
  </si>
  <si>
    <t>bardage sur litelage</t>
  </si>
  <si>
    <t>Garde corps</t>
  </si>
  <si>
    <t>Garde-corps</t>
  </si>
  <si>
    <t>PSE CHANTIER</t>
  </si>
  <si>
    <t>BOCHEMIT</t>
  </si>
  <si>
    <t>Traitement du bois</t>
  </si>
  <si>
    <t>Lattage 20x80mm</t>
  </si>
  <si>
    <t xml:space="preserve"> </t>
  </si>
  <si>
    <t>Gagnac-Sur-Garonne</t>
  </si>
  <si>
    <t>Client</t>
  </si>
  <si>
    <t>Montage WV60</t>
  </si>
  <si>
    <t>WALCO V60</t>
  </si>
  <si>
    <t>Crochet Walco V60 et montage</t>
  </si>
  <si>
    <t>PSE ATELIER 50 mm</t>
  </si>
  <si>
    <t>Le present devis inclut le transport de la marchandise sur chantier,</t>
  </si>
  <si>
    <t>10% à la réception, règlement par virement à 30 jours fin de mois, le 10.</t>
  </si>
  <si>
    <t>Maitre d'ouvrage</t>
  </si>
  <si>
    <t>Validation du devis par SCGB</t>
  </si>
  <si>
    <t>boite</t>
  </si>
  <si>
    <t>Usinage Lamellé collé</t>
  </si>
  <si>
    <t>STEICO Protect 40mm</t>
  </si>
  <si>
    <t>Ouate de cellulose 60kg/m3</t>
  </si>
  <si>
    <t>Lame terrasse pin marron</t>
  </si>
  <si>
    <t>Silicone</t>
  </si>
  <si>
    <t>Résilient Xylophon</t>
  </si>
  <si>
    <t>Lame de terrasse pin cl4 brun</t>
  </si>
  <si>
    <t>Vis 4,5x8 EVO</t>
  </si>
  <si>
    <t>Vis 8x160 EVO</t>
  </si>
  <si>
    <t>Granuloroll</t>
  </si>
  <si>
    <t>LC douglas (fourn.+ usiné France)</t>
  </si>
  <si>
    <t>Lame de terrasse</t>
  </si>
  <si>
    <t>Terrasse et lambourde + vis</t>
  </si>
  <si>
    <t>Ouate 150</t>
  </si>
  <si>
    <t>Ouate 240</t>
  </si>
  <si>
    <t>Ouate 260</t>
  </si>
  <si>
    <t>ITE bois 40 mm</t>
  </si>
  <si>
    <t>Talpa particulier</t>
  </si>
  <si>
    <t>V33 Solvent</t>
  </si>
  <si>
    <t>Lamellé collé en kit - intérieur</t>
  </si>
  <si>
    <t>Lamellé collé en kit - traitement ext.</t>
  </si>
  <si>
    <t>START100</t>
  </si>
  <si>
    <t>Rothoblaas</t>
  </si>
  <si>
    <t>Lattage 20x80 EPDM</t>
  </si>
  <si>
    <t>Structure lambourde - extérieure</t>
  </si>
  <si>
    <t>Calage de pente surfacique</t>
  </si>
  <si>
    <t>Muralière 10x10</t>
  </si>
  <si>
    <t>lemn, 100 x 100 mm</t>
  </si>
  <si>
    <t>BRICODEPOT</t>
  </si>
  <si>
    <t>STEICO Protect 20 mm</t>
  </si>
  <si>
    <t>STEICO ZELL</t>
  </si>
  <si>
    <t>Vata lemn 80 mm</t>
  </si>
  <si>
    <t>Level350</t>
  </si>
  <si>
    <t>Connect250</t>
  </si>
  <si>
    <t>kkf4570</t>
  </si>
  <si>
    <t>Vis STR-H 100</t>
  </si>
  <si>
    <t>Polistiren</t>
  </si>
  <si>
    <t>Muralière 8x10</t>
  </si>
  <si>
    <t>lemn, 80 x 100 mm</t>
  </si>
  <si>
    <t>Surub pt.lemn cap inecat TX 6x80</t>
  </si>
  <si>
    <t>Surub pt.lemn cap inecat TX 6x140</t>
  </si>
  <si>
    <t>Silicon alb 300</t>
  </si>
  <si>
    <t>Tubulatura 1010</t>
  </si>
  <si>
    <t>folie natur 25</t>
  </si>
  <si>
    <t>spuma PO 750ml</t>
  </si>
  <si>
    <t>surub lemn 4x40</t>
  </si>
  <si>
    <t>surub lemn 4x80</t>
  </si>
  <si>
    <t>surub lemn 6x100</t>
  </si>
  <si>
    <t>surub lemn 6x120</t>
  </si>
  <si>
    <t>surub lemn 6x150</t>
  </si>
  <si>
    <t>Chinga transport de 50</t>
  </si>
  <si>
    <t>Chinga transport de 100</t>
  </si>
  <si>
    <t>Wenghe bait</t>
  </si>
  <si>
    <t>Capse THD 90mm</t>
  </si>
  <si>
    <t>surub lemn 6x160</t>
  </si>
  <si>
    <t>surub pt. Lemn 4,5x80</t>
  </si>
  <si>
    <t>surub pt. Lemn 6x160</t>
  </si>
  <si>
    <t>Rigips 12,5</t>
  </si>
  <si>
    <t>Rigips Diamant de 15</t>
  </si>
  <si>
    <t>Rigips verde de 12,5</t>
  </si>
  <si>
    <t>Variations</t>
  </si>
  <si>
    <t>Dbr</t>
  </si>
  <si>
    <t>Marge totale</t>
  </si>
  <si>
    <t>Dbr total</t>
  </si>
  <si>
    <t>coût HT €/m2 =</t>
  </si>
  <si>
    <t>surface au sol =</t>
  </si>
  <si>
    <t>Rigle rindeluite din lemn, 24 x 120 mm</t>
  </si>
  <si>
    <t>Lame de plancher massif</t>
  </si>
  <si>
    <t>Volige 24mm</t>
  </si>
  <si>
    <t>Transport camion tandem VAR (83)</t>
  </si>
  <si>
    <t>Transport camion standard BOUCHE-DU-RHONE (13)</t>
  </si>
  <si>
    <t>Transport camion standard ISERE (38)</t>
  </si>
  <si>
    <t>Déplacement</t>
  </si>
  <si>
    <t>Logement</t>
  </si>
  <si>
    <t>Montage chantier</t>
  </si>
  <si>
    <t>Engin de levage</t>
  </si>
  <si>
    <t>Conditions de règlement :</t>
  </si>
  <si>
    <t>Conditions particulières :</t>
  </si>
  <si>
    <t>Durée de validité :</t>
  </si>
  <si>
    <t>- l'offre est valable pour une durée de 30 jours à compter de la date d'édition du devis.</t>
  </si>
  <si>
    <t>- devis globale et forfaitaire</t>
  </si>
  <si>
    <t>- toute modification technique après commande entrainera une évoultion du prix</t>
  </si>
  <si>
    <t>Reste a etre validee a la demande, en principe est 1,3 Euro / Km</t>
  </si>
  <si>
    <t>- le present devis inclut le transport de la marchandise sur chantier, 30% à la commande, 40% à la première expédition, 20% à la livraison totale, 10% à la réception, règlement par virement à 30 jours fin de mois, le 10.</t>
  </si>
  <si>
    <t>- chiffrage réalisé suivant plan(s) d'esquisse transmis par le client</t>
  </si>
  <si>
    <r>
      <t xml:space="preserve">Ne sont pas inclus </t>
    </r>
    <r>
      <rPr>
        <i/>
        <u/>
        <sz val="11"/>
        <color theme="1"/>
        <rFont val="Calibri"/>
        <family val="2"/>
        <scheme val="minor"/>
      </rPr>
      <t>dans l'offre</t>
    </r>
    <r>
      <rPr>
        <b/>
        <i/>
        <u/>
        <sz val="11"/>
        <color theme="1"/>
        <rFont val="Calibri"/>
        <family val="2"/>
        <scheme val="minor"/>
      </rPr>
      <t xml:space="preserve"> :</t>
    </r>
  </si>
  <si>
    <t>- les finitions extérieures (bardage extérieur, sous-face, habillage de menuiseries, pliage en appuis, couvertines, joues, etc…)</t>
  </si>
  <si>
    <t>- La partie étanchéité en balcon</t>
  </si>
  <si>
    <t>- la couverture et son littelage</t>
  </si>
  <si>
    <r>
      <t>Sont inclus</t>
    </r>
    <r>
      <rPr>
        <i/>
        <u/>
        <sz val="11"/>
        <color theme="1"/>
        <rFont val="Calibri"/>
        <family val="2"/>
        <scheme val="minor"/>
      </rPr>
      <t xml:space="preserve"> dans l'offre </t>
    </r>
    <r>
      <rPr>
        <b/>
        <i/>
        <u/>
        <sz val="11"/>
        <color theme="1"/>
        <rFont val="Calibri"/>
        <family val="2"/>
        <scheme val="minor"/>
      </rPr>
      <t>:</t>
    </r>
  </si>
  <si>
    <t>- la vérification et la réception des supports pour la structure bois</t>
  </si>
  <si>
    <t>- l'amenée du matériel sur chantier, le déplacement des équipes, le repliement et nettoyage</t>
  </si>
  <si>
    <t>Etude</t>
  </si>
  <si>
    <t>MO chantier</t>
  </si>
  <si>
    <t>- les ouvrages maçonnés (dalle, plots maçonnés, …)</t>
  </si>
  <si>
    <t>- l'ensemble des aménagements intérieurs (meubles, échelles, …)</t>
  </si>
  <si>
    <t>- l'ensemble des réseaux ne sont pas inclus et seront à définir en phase d'exécution</t>
  </si>
  <si>
    <t>- l'ensemble des fixations et joints d'étanchéité entre structures bois</t>
  </si>
  <si>
    <t>Marge selon coef</t>
  </si>
  <si>
    <t>&lt;-- % de marge</t>
  </si>
  <si>
    <t>ITE 4cm EPS80</t>
  </si>
  <si>
    <t>BAUMIT SUPRAFIX</t>
  </si>
  <si>
    <t>- les finitions intérieures (lambris, habillage du sol, placo...)</t>
  </si>
  <si>
    <t>- la mise à disposition d'un engin de levage ainsi que d'un chauffeur</t>
  </si>
  <si>
    <t>Toiture</t>
  </si>
  <si>
    <t>- la fourniture et pose des ossatures bois préfabriquées, isolées et étanches: mur extérieur, plancher bas, structure de toiture)</t>
  </si>
  <si>
    <t>Déplacement (75)</t>
  </si>
  <si>
    <t>Transport standard (75)</t>
  </si>
  <si>
    <t>Levage</t>
  </si>
  <si>
    <t>ens</t>
  </si>
  <si>
    <t>- Hypothèse de calcul : position géographique non transmise</t>
  </si>
  <si>
    <t>Fourniture</t>
  </si>
  <si>
    <t>Qté</t>
  </si>
  <si>
    <t>PU</t>
  </si>
  <si>
    <t>Mur à ossature bois (vide pour plein)</t>
  </si>
  <si>
    <t>Plancher ossature bois</t>
  </si>
  <si>
    <t>Généralités</t>
  </si>
  <si>
    <t>Rozeta 55 mm diam</t>
  </si>
  <si>
    <t>BAR9030</t>
  </si>
  <si>
    <t>Bardage 19x140 UYLS</t>
  </si>
  <si>
    <t>Bardage 19x117 UTV</t>
  </si>
  <si>
    <t xml:space="preserve">PVC - protection </t>
  </si>
  <si>
    <t>Barrier SD 90 (3x30m)</t>
  </si>
  <si>
    <t>Transpir 150 (3x50m)</t>
  </si>
  <si>
    <t>Pare-vapeur SD 90</t>
  </si>
  <si>
    <t>Bache de protection provisoire</t>
  </si>
  <si>
    <t>lemn, 30 x 80 mm</t>
  </si>
  <si>
    <t>Lattage 30x80mm</t>
  </si>
  <si>
    <t>TERRAUV75</t>
  </si>
  <si>
    <t>Bande EPDM agrafees</t>
  </si>
  <si>
    <t>PP ACOPERIS</t>
  </si>
  <si>
    <t>PP R+1</t>
  </si>
  <si>
    <t>PP RDC</t>
  </si>
  <si>
    <t>Marge</t>
  </si>
  <si>
    <t>FG</t>
  </si>
  <si>
    <t>Pare-pluie support continu</t>
  </si>
  <si>
    <t/>
  </si>
  <si>
    <t>Valeur</t>
  </si>
  <si>
    <t>OSB3 22 mm RL</t>
  </si>
  <si>
    <t>OSB 22 RL</t>
  </si>
  <si>
    <t>Folie antivapori Sd&gt;28</t>
  </si>
  <si>
    <t>Pare-vapeur Sd&gt;28</t>
  </si>
  <si>
    <t>Lattage 20x30mm</t>
  </si>
  <si>
    <t>lemn, 20 x 30 mm</t>
  </si>
  <si>
    <t>Lattage 27x30mm</t>
  </si>
  <si>
    <t>lemn, 27 x 30 mm</t>
  </si>
  <si>
    <t>lemn, 20 x 45 mm</t>
  </si>
  <si>
    <t>Lattage 20x45mm</t>
  </si>
  <si>
    <t>OSB 22 RL / Pare-vapeur Sd&gt;28 / Structure PP 260-625 / Laine minérale 150 mm / Laine minérale 100 mm / OSB 12</t>
  </si>
  <si>
    <t>PP ACOPERIS VIDERE</t>
  </si>
  <si>
    <t>Pare-pluie sur OSB Sd&lt;1,5</t>
  </si>
  <si>
    <t>Pare-pluie sur OSB Sd&lt;1,5 m</t>
  </si>
  <si>
    <t>lemn, 30 x 45 mm</t>
  </si>
  <si>
    <t>Lattage  vertical 30x45mm</t>
  </si>
  <si>
    <t>AE-15-POLYSTYREN</t>
  </si>
  <si>
    <t>OSB 8 / Pare-vapeur SD 90 / Structure 150 mm / Laine minérale 150 mm / OSB 12 / Bache de protection provisoire</t>
  </si>
  <si>
    <t>AE-15 TERRASA-BARDAGE</t>
  </si>
  <si>
    <t>OSB 8 / Pare-vapeur Sd&gt;28 / Structure 150 mm / OSB 12 / Pare-pluie sur OSB Sd&lt;1,5 m / Lattage  vertical 30x45mm</t>
  </si>
  <si>
    <t>AE-15 TERRASA-POLYSTIREN</t>
  </si>
  <si>
    <t>OSB 8 / Pare-vapeur SD 90 / Structure 150 mm / OSB 12 / Bache de protection provisoire</t>
  </si>
  <si>
    <t>Bochemit</t>
  </si>
  <si>
    <t>OSB 22 RL / Pare-vapeur Sd&gt;28 / Structure PP 260-625 / Laine minérale 150 mm / Laine minérale 100 mm / OSB 8 / Pare-pluie support continu / Lattage 20x45mm</t>
  </si>
  <si>
    <t>OSB 15 / Structure PA 260-625 / Laine minérale 100 mm / Pare-vapeur Sd&gt;28 / OSB 12</t>
  </si>
  <si>
    <t>OSB 22 / Structure PA 260-416</t>
  </si>
  <si>
    <t xml:space="preserve">BOTANICAL </t>
  </si>
  <si>
    <t>PE-15</t>
  </si>
  <si>
    <t>PEST-15</t>
  </si>
  <si>
    <t>PIST-10</t>
  </si>
  <si>
    <t>PP-250-416</t>
  </si>
  <si>
    <t>Pare-vapeur SD 90 / Structure 150 mm / Laine minérale 150 mm / OSB 12 / Pare-pluie sur OSB Sd&lt;1,5 m / Lattage 20x45mm</t>
  </si>
  <si>
    <t>Pare-vapeur SD 90 / Structure 150 mm / OSB 12 / Pare-pluie sur OSB Sd&lt;1,5 m / Lattage 20x45mm</t>
  </si>
  <si>
    <t>Structure 100 mm / OSB 12</t>
  </si>
  <si>
    <t>Structure PA 260-416 / OSB 22</t>
  </si>
  <si>
    <t>ETAULIERS - 23,01,2023</t>
  </si>
  <si>
    <t>Joint dilatation</t>
  </si>
  <si>
    <t>Boitier BSAS46137</t>
  </si>
  <si>
    <t>Boitier Rothoblaas BSAS46137 + clous</t>
  </si>
  <si>
    <t>SKS75100</t>
  </si>
  <si>
    <t>GROUND200</t>
  </si>
  <si>
    <t>AB110135</t>
  </si>
  <si>
    <t>Polistiren EPS80 40mm</t>
  </si>
  <si>
    <t>Adeziv PU DENBRAVEN 870 mml</t>
  </si>
  <si>
    <t>Vata de sticla 50 mm</t>
  </si>
  <si>
    <t>Lambourde 200x45 cl4</t>
  </si>
  <si>
    <t>Lattage 45x50 cl2</t>
  </si>
  <si>
    <t>Lattage 45x20 cl2</t>
  </si>
  <si>
    <t>Tableau de fenêtre Steico 20 mm</t>
  </si>
  <si>
    <t>Lisse d'implantation 45x150mm cl3 + fixations et bande bitumineuse</t>
  </si>
  <si>
    <t>Bande bitumineuse pour lisse d'implantation et fixation</t>
  </si>
  <si>
    <t>Polystiren 40 mm colle et visse avec rousace</t>
  </si>
  <si>
    <t>Knauf Diamant 12,5 mm</t>
  </si>
  <si>
    <t>Laine de verre 50 mm</t>
  </si>
  <si>
    <t>Tub copex 16 mm</t>
  </si>
  <si>
    <t xml:space="preserve">Doza </t>
  </si>
  <si>
    <t>Boite electrique + gaine 3m</t>
  </si>
  <si>
    <t>Devis quantitatif et estimatif n°3105 - A de référence: 1958-FONTAINES TRANCHE 2-CASTELNAU  -  édition du : jj-10-luni  -  opération : VENTURA</t>
  </si>
  <si>
    <t>01.03.2023</t>
  </si>
  <si>
    <t>3105 - A</t>
  </si>
  <si>
    <t>VENTURA</t>
  </si>
  <si>
    <t>1958-FONTAINES TRANCHE 2-CASTELNAU</t>
  </si>
  <si>
    <t xml:space="preserve">Montage ossature bois </t>
  </si>
  <si>
    <t xml:space="preserve"> Le montage sera exécuté par une équipe de 3 ouvriers en période 26.02-12.03.2022</t>
  </si>
  <si>
    <t>Le prix comprend:</t>
  </si>
  <si>
    <t xml:space="preserve"> - Implanter et réglage la base</t>
  </si>
  <si>
    <t xml:space="preserve"> - Déchargement du camion et levage de l’ossature bois et des poutres</t>
  </si>
  <si>
    <t xml:space="preserve"> - Mise en place de la charpente, pose des poutres au vent, et contreventement de la structure</t>
  </si>
  <si>
    <t xml:space="preserve"> - Pose des abouts de chevrons, chanlatte et volige de dépassé de toiture et sous le porche du garage</t>
  </si>
  <si>
    <t>Le prix ne comprend pas :</t>
  </si>
  <si>
    <r>
      <t>-</t>
    </r>
    <r>
      <rPr>
        <sz val="7"/>
        <color theme="1"/>
        <rFont val="Times New Roman"/>
        <family val="1"/>
      </rPr>
      <t xml:space="preserve">        </t>
    </r>
    <r>
      <rPr>
        <sz val="11"/>
        <color theme="1"/>
        <rFont val="Calibri"/>
        <family val="2"/>
        <scheme val="minor"/>
      </rPr>
      <t>Fondation</t>
    </r>
  </si>
  <si>
    <r>
      <t>-</t>
    </r>
    <r>
      <rPr>
        <sz val="7"/>
        <color theme="1"/>
        <rFont val="Times New Roman"/>
        <family val="1"/>
      </rPr>
      <t xml:space="preserve">        </t>
    </r>
    <r>
      <rPr>
        <sz val="11"/>
        <color theme="1"/>
        <rFont val="Calibri"/>
        <family val="2"/>
        <scheme val="minor"/>
      </rPr>
      <t>Installation sanitaire et électrique</t>
    </r>
  </si>
  <si>
    <r>
      <t>-</t>
    </r>
    <r>
      <rPr>
        <sz val="7"/>
        <color theme="1"/>
        <rFont val="Times New Roman"/>
        <family val="1"/>
      </rPr>
      <t xml:space="preserve">        </t>
    </r>
    <r>
      <rPr>
        <sz val="11"/>
        <color theme="1"/>
        <rFont val="Calibri"/>
        <family val="2"/>
        <scheme val="minor"/>
      </rPr>
      <t>Les matériaux et les travaux pour finition intérieur et extérieur</t>
    </r>
  </si>
  <si>
    <r>
      <t>-</t>
    </r>
    <r>
      <rPr>
        <sz val="7"/>
        <color theme="1"/>
        <rFont val="Times New Roman"/>
        <family val="1"/>
      </rPr>
      <t xml:space="preserve">        </t>
    </r>
    <r>
      <rPr>
        <sz val="11"/>
        <color theme="1"/>
        <rFont val="Calibri"/>
        <family val="2"/>
        <scheme val="minor"/>
      </rPr>
      <t>Tuile et montage de la tuile</t>
    </r>
  </si>
  <si>
    <r>
      <t>-</t>
    </r>
    <r>
      <rPr>
        <sz val="7"/>
        <color theme="1"/>
        <rFont val="Times New Roman"/>
        <family val="1"/>
      </rPr>
      <t xml:space="preserve">        </t>
    </r>
    <r>
      <rPr>
        <sz val="11"/>
        <color theme="1"/>
        <rFont val="Calibri"/>
        <family val="2"/>
        <scheme val="minor"/>
      </rPr>
      <t>Plaque au plâtre</t>
    </r>
  </si>
  <si>
    <r>
      <t>-</t>
    </r>
    <r>
      <rPr>
        <sz val="7"/>
        <color theme="1"/>
        <rFont val="Times New Roman"/>
        <family val="1"/>
      </rPr>
      <t xml:space="preserve">        </t>
    </r>
    <r>
      <rPr>
        <sz val="11"/>
        <color theme="1"/>
        <rFont val="Calibri"/>
        <family val="2"/>
        <scheme val="minor"/>
      </rPr>
      <t>La menuiserie intérieure et extérieur</t>
    </r>
  </si>
  <si>
    <r>
      <t>-</t>
    </r>
    <r>
      <rPr>
        <sz val="7"/>
        <color theme="1"/>
        <rFont val="Times New Roman"/>
        <family val="1"/>
      </rPr>
      <t xml:space="preserve">        </t>
    </r>
    <r>
      <rPr>
        <sz val="11"/>
        <color theme="1"/>
        <rFont val="Calibri"/>
        <family val="2"/>
        <scheme val="minor"/>
      </rPr>
      <t>Travaux de hydroisolation</t>
    </r>
  </si>
  <si>
    <r>
      <t>-</t>
    </r>
    <r>
      <rPr>
        <sz val="7"/>
        <color theme="1"/>
        <rFont val="Times New Roman"/>
        <family val="1"/>
      </rPr>
      <t xml:space="preserve">        </t>
    </r>
    <r>
      <rPr>
        <sz val="11"/>
        <color theme="1"/>
        <rFont val="Calibri"/>
        <family val="2"/>
        <scheme val="minor"/>
      </rPr>
      <t>Crépi extérieur</t>
    </r>
  </si>
  <si>
    <r>
      <t>-</t>
    </r>
    <r>
      <rPr>
        <sz val="7"/>
        <color theme="1"/>
        <rFont val="Times New Roman"/>
        <family val="1"/>
      </rPr>
      <t xml:space="preserve">        </t>
    </r>
    <r>
      <rPr>
        <sz val="11"/>
        <color theme="1"/>
        <rFont val="Calibri"/>
        <family val="2"/>
        <scheme val="minor"/>
      </rPr>
      <t>Bardage mur extérieur</t>
    </r>
  </si>
  <si>
    <r>
      <t>-</t>
    </r>
    <r>
      <rPr>
        <sz val="7"/>
        <color theme="1"/>
        <rFont val="Times New Roman"/>
        <family val="1"/>
      </rPr>
      <t xml:space="preserve">        </t>
    </r>
    <r>
      <rPr>
        <sz val="11"/>
        <color theme="1"/>
        <rFont val="Calibri"/>
        <family val="2"/>
        <scheme val="minor"/>
      </rPr>
      <t>Murs intérieurs</t>
    </r>
  </si>
  <si>
    <t>Le client dois assurer la grue pour l’élèvement des panneaux, l’échafaudage, courant électrique, les outils de main, hébergements des ouvriers (avec accès a cuisine) et le transport des ouvriers de la place de hébergement au chantier.</t>
  </si>
  <si>
    <t>50% à la commande, 50% à la réception</t>
  </si>
  <si>
    <t>par virement en 5 jours</t>
  </si>
  <si>
    <t>Montant   HT</t>
  </si>
  <si>
    <t>Signature et tampon de l'entreprise:  :</t>
  </si>
  <si>
    <t>Fermacell HD</t>
  </si>
  <si>
    <t>Fermacell HDl</t>
  </si>
  <si>
    <t>Fermacell HD 2600*1200*15</t>
  </si>
  <si>
    <t>Fermacell HD et rail</t>
  </si>
  <si>
    <t>Fermacell H2O</t>
  </si>
  <si>
    <t>Adeziv Baumit Suprafix</t>
  </si>
  <si>
    <t>Primer Baumit Superprimer</t>
  </si>
  <si>
    <t>Pare vapeur IN 120 (3x50)</t>
  </si>
  <si>
    <t>Structure PA 200x100-625</t>
  </si>
  <si>
    <t>Vata bazaltica 100 mm 70kg/m3</t>
  </si>
  <si>
    <t>Vata bazaltica 150 mm 70 kg/m3</t>
  </si>
  <si>
    <t>Laine minérale 150 mm 70 kg/m3</t>
  </si>
  <si>
    <t>Laine minérale 100 mm 70kg/m3</t>
  </si>
  <si>
    <t>05000 GAP</t>
  </si>
  <si>
    <t>50% à la commande, 30% à la première expédition, 10% à la livraison totale,</t>
  </si>
  <si>
    <t>Pignon</t>
  </si>
  <si>
    <t xml:space="preserve"> KALISTE - 7 VILLAS ACCOLEES</t>
  </si>
  <si>
    <t>Alumidi320L+5 bolturi</t>
  </si>
  <si>
    <t>Pied de poteau F700140LIFT + 4 bolturi</t>
  </si>
  <si>
    <t>Lisse d'implantation 45x100mm cl3 + fixations et bande bitumineuse avec entailles /1,2m</t>
  </si>
  <si>
    <t xml:space="preserve">Mannequins - coffrage </t>
  </si>
  <si>
    <t>Pignon / Structure 100 mm / OSB 12</t>
  </si>
  <si>
    <t>Structure 145 mm</t>
  </si>
  <si>
    <t>Pare-vapeur SD 90 / Laine minérale 150 mm / Structure 145 mm</t>
  </si>
  <si>
    <t>Bois support 750x100x45 mm</t>
  </si>
  <si>
    <t>Livraison en 4 semaine apres seront recevoir les plans finale et l'acompte</t>
  </si>
  <si>
    <t>Mannequins - coffrage OSB 22 mm 2500x500 mm</t>
  </si>
  <si>
    <t>* Bache de protection provisoire est PVC épais</t>
  </si>
  <si>
    <t>SCCV KALISTE</t>
  </si>
  <si>
    <t>Devis fait sur la base de descriptif du 29.01.2024</t>
  </si>
  <si>
    <t>Euro/ora</t>
  </si>
  <si>
    <t>Ore lucrate</t>
  </si>
  <si>
    <t>Zile lucrate</t>
  </si>
  <si>
    <t>PEST-10</t>
  </si>
  <si>
    <t>mp/ora</t>
  </si>
  <si>
    <t>mp/saptamana</t>
  </si>
  <si>
    <t>RAZAC - 24 VILLAS</t>
  </si>
  <si>
    <t>24430 RAZAC-SUR-L'ISLE</t>
  </si>
  <si>
    <t>Baumit StarContact White</t>
  </si>
  <si>
    <t>Baumit Uniprimer</t>
  </si>
  <si>
    <t xml:space="preserve">Baumit Enduit et trame </t>
  </si>
  <si>
    <t xml:space="preserve">Lisse d'implantation 45x150mm cl3 </t>
  </si>
  <si>
    <t>Supports murs</t>
  </si>
  <si>
    <t>Livraison en 9 semaine apres seront recevoir les plans finale et l'acompte</t>
  </si>
  <si>
    <t>PEST-10-BARDAGE</t>
  </si>
  <si>
    <t>PA-150-625</t>
  </si>
  <si>
    <t>Pare-vapeur SD 90 / Structure 145 mm / Laine minérale 150 mm / OSB 12 / Bache de protection provisoire</t>
  </si>
  <si>
    <t>Structure 100 mm / OSB 12 / Bache de protection provisoire / Pignon</t>
  </si>
  <si>
    <t>Lisse d'implantation 45x100mm cl3 + fixations et bande bitumineuse</t>
  </si>
  <si>
    <t xml:space="preserve">JP Charpente </t>
  </si>
  <si>
    <t>6 Imp. des Chardons</t>
  </si>
  <si>
    <t>Aucamville</t>
  </si>
  <si>
    <t xml:space="preserve">Lisse de chainage 45x150mm </t>
  </si>
  <si>
    <t>Devis fait sur la base du plan du 04.03.2025 et descriptif du 25.02.2025</t>
  </si>
  <si>
    <t>PEST-10-BARDAGE PIGNON</t>
  </si>
  <si>
    <t>Bardage horizontal cl4</t>
  </si>
  <si>
    <t>Lambriu 19 mm cl4</t>
  </si>
  <si>
    <t>Structure 100 mm / Bardage horizontal cl4</t>
  </si>
  <si>
    <t>Structure 100 mm / Bardage horizontal cl4 / Pignon</t>
  </si>
  <si>
    <t>Suprafete</t>
  </si>
  <si>
    <t>Val</t>
  </si>
  <si>
    <t>Material</t>
  </si>
  <si>
    <t>Vata bazaltica 150 mm</t>
  </si>
  <si>
    <t>Pentru tot santierul</t>
  </si>
  <si>
    <t>Pentru jumatate de santier</t>
  </si>
  <si>
    <t>RAZAC</t>
  </si>
  <si>
    <t>Total</t>
  </si>
  <si>
    <t>Pare Vapeur</t>
  </si>
  <si>
    <t>Struct 145</t>
  </si>
  <si>
    <t>Vata 150</t>
  </si>
  <si>
    <t>Struct 100</t>
  </si>
  <si>
    <t>Bache prot</t>
  </si>
  <si>
    <t>Lisa</t>
  </si>
  <si>
    <t>Centuri</t>
  </si>
  <si>
    <t>Stoc</t>
  </si>
  <si>
    <t>Necesar</t>
  </si>
  <si>
    <t>Val stoc</t>
  </si>
  <si>
    <t>PU Euro</t>
  </si>
  <si>
    <t>PU Lei</t>
  </si>
  <si>
    <t>Val Necesar</t>
  </si>
  <si>
    <t>Avans 1</t>
  </si>
  <si>
    <t>Avans 2</t>
  </si>
  <si>
    <t>Avans 3</t>
  </si>
  <si>
    <t>Avans 4</t>
  </si>
  <si>
    <t>Avans 5</t>
  </si>
  <si>
    <t>Feronerie + transport A</t>
  </si>
  <si>
    <t>Feronerie + transport B</t>
  </si>
  <si>
    <t>Feronerie + transport cabanons</t>
  </si>
  <si>
    <t>Deviz</t>
  </si>
  <si>
    <t>Beneficiu</t>
  </si>
  <si>
    <t>Les murs ossature bois (vide pour plein) - STRUCTURE ZONE A Villas 5-9</t>
  </si>
  <si>
    <t>TOTAL ZONE A Villas 5-9</t>
  </si>
  <si>
    <t>Les murs ossature bois (vide pour plein) - STRUCTURE ZONE A Villas 10-14</t>
  </si>
  <si>
    <t>Les murs ossature bois (vide pour plein) - STRUCTURE ZONE A Villas 15-16</t>
  </si>
  <si>
    <t>TOTAL ZONE A Villas 10-14</t>
  </si>
  <si>
    <t>TOTAL ZONE A Villas 15-16</t>
  </si>
  <si>
    <t>Les murs ossature bois (vide pour plein) - STRUCTURE ZONE B Villas 1-4</t>
  </si>
  <si>
    <t>TOTAL ZONE B Villas 1-4</t>
  </si>
  <si>
    <t>Les murs ossature bois (vide pour plein) - STRUCTURE ZONE B Villas 17-20</t>
  </si>
  <si>
    <t>TOTAL ZONE B Villas 17-20</t>
  </si>
  <si>
    <t>Les murs ossature bois (vide pour plein) - STRUCTURE ZONE B Villas 21-24</t>
  </si>
  <si>
    <t>TOTAL ZONE B Villas 21.24</t>
  </si>
  <si>
    <t>Les murs ossature bois (vide pour plein) - 4 CABANON</t>
  </si>
  <si>
    <t>TOTAL  4 CABANON</t>
  </si>
  <si>
    <t>Les murs ossature bois (vide pour plein) - 5 CABANON</t>
  </si>
  <si>
    <t>TOTAL  5 CABANON</t>
  </si>
  <si>
    <t>Les murs ossature bois (vide pour plein) - 2 CABANON</t>
  </si>
  <si>
    <t>TOTAL  2 CABANON</t>
  </si>
  <si>
    <t>TOTAL  TRANSPORT</t>
  </si>
  <si>
    <t>24310 - BRANTOME EN PERIGORD</t>
  </si>
  <si>
    <t>TOTAL VILLAS</t>
  </si>
  <si>
    <t>2550 KM</t>
  </si>
  <si>
    <t>Les murs ossature bois (vide pour plein) - 20 VILLAS</t>
  </si>
  <si>
    <t xml:space="preserve">DOXAR </t>
  </si>
  <si>
    <t>SC TEHNIC DESIGN MC SRL</t>
  </si>
  <si>
    <t>RO 22365504</t>
  </si>
  <si>
    <t>BOTOSANI</t>
  </si>
  <si>
    <t>ALEEA PICTORULUI NR 3</t>
  </si>
  <si>
    <t xml:space="preserve">Validation du devis par TEHNIC DESIGN MC </t>
  </si>
  <si>
    <t>Fourniture et pos porte cabanon ,bardage epiceea 20 mm epp,quincaillerie,tout compris</t>
  </si>
  <si>
    <t>LOFT WOOD PROMOTION</t>
  </si>
  <si>
    <t>31150 Rue de Novital</t>
  </si>
  <si>
    <t>14</t>
  </si>
  <si>
    <t>MARMANDE MONTAIGNE</t>
  </si>
  <si>
    <t>PP-625</t>
  </si>
  <si>
    <t>PP-313</t>
  </si>
  <si>
    <t>OSB 12 / Structure 100 mm / Bardage horizontal cl4</t>
  </si>
  <si>
    <t>OSB 12 / Structure 100 mm / Bardage horizontal cl4 / Pignon</t>
  </si>
  <si>
    <t>OSB 22 / Structure PP 260-625</t>
  </si>
  <si>
    <t>OSB 22 / Structure PP 260-313</t>
  </si>
  <si>
    <t>Les murs ossature bois (vide pour plein) CABANON</t>
  </si>
  <si>
    <t>Les murs ossature bois (vide pour plein) MAISONS</t>
  </si>
  <si>
    <t>Muralière 60X70 mm</t>
  </si>
  <si>
    <t>lemn, 60x70 mm</t>
  </si>
  <si>
    <t>TOTAL  CABANON</t>
  </si>
  <si>
    <t>TOTAL MAISONS</t>
  </si>
  <si>
    <t>Devis fait sur la base du plan et descriptif du 17.11.2025</t>
  </si>
  <si>
    <t>Livraison en 24 semaine apres seront recevoir les plans finale et l'acompte</t>
  </si>
  <si>
    <t>TOTAL  MAISONS ET CABANON</t>
  </si>
  <si>
    <t>47200 MARMANDE - Rue Michel Montaigne</t>
  </si>
  <si>
    <t>TOTAL   CABANON</t>
  </si>
  <si>
    <t>Les murs ossature bois (vide pour plein) -  CABANON</t>
  </si>
  <si>
    <t>Montage programee en mai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</si>
</sst>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2">
    <numFmt numFmtId="164" formatCode="#,##0.00\ &quot;€&quot;;[Red]\-#,##0.00\ &quot;€&quot;"/>
    <numFmt numFmtId="165" formatCode="_-* #,##0.00\ &quot;€&quot;_-;\-* #,##0.00\ &quot;€&quot;_-;_-* &quot;-&quot;??\ &quot;€&quot;_-;_-@_-"/>
    <numFmt numFmtId="166" formatCode="_ * #,##0.00_)\ &quot;€&quot;_ ;_ * \(#,##0.00\)\ &quot;€&quot;_ ;_ * &quot;-&quot;??_)\ &quot;€&quot;_ ;_ @_ "/>
    <numFmt numFmtId="167" formatCode="&quot;TVA &quot;0.00&quot; %&quot;"/>
    <numFmt numFmtId="168" formatCode="0.0%"/>
    <numFmt numFmtId="169" formatCode="&quot;FG= &quot;0.00%"/>
    <numFmt numFmtId="170" formatCode="&quot;MARGE= &quot;0.00%"/>
    <numFmt numFmtId="171" formatCode="0.000"/>
    <numFmt numFmtId="172" formatCode="0&quot; €/hr&quot;"/>
    <numFmt numFmtId="173" formatCode="\ &quot;€   ← x&quot;0.00&quot;   Lei&quot;"/>
    <numFmt numFmtId="174" formatCode="&quot;€   x&quot;0.000&quot; →   Lei&quot;"/>
    <numFmt numFmtId="175" formatCode="&quot;€   x&quot;0.000"/>
    <numFmt numFmtId="176" formatCode="\ &quot;€   ← x&quot;0.00"/>
    <numFmt numFmtId="177" formatCode="#,##0.00\ &quot;€&quot;"/>
    <numFmt numFmtId="178" formatCode="&quot;FT QUINCAILLERIE = &quot;0.00%"/>
    <numFmt numFmtId="179" formatCode="&quot;Référence : &quot;@"/>
    <numFmt numFmtId="180" formatCode="&quot;Opération : &quot;@"/>
    <numFmt numFmtId="181" formatCode="&quot;N° Devis : &quot;@"/>
    <numFmt numFmtId="182" formatCode="&quot;Adresse : &quot;@"/>
    <numFmt numFmtId="183" formatCode="0.0000"/>
    <numFmt numFmtId="184" formatCode="0.00&quot; m2&quot;"/>
    <numFmt numFmtId="185" formatCode="0&quot; €/m2&quot;"/>
  </numFmts>
  <fonts count="4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i/>
      <u/>
      <sz val="12"/>
      <color theme="1"/>
      <name val="Calibri (Corps)"/>
    </font>
    <font>
      <sz val="12"/>
      <color theme="1"/>
      <name val="Calibri"/>
      <family val="2"/>
      <scheme val="minor"/>
    </font>
    <font>
      <u/>
      <sz val="11"/>
      <color theme="8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Arial"/>
      <family val="2"/>
    </font>
    <font>
      <sz val="8"/>
      <name val="Calibri"/>
      <family val="2"/>
      <scheme val="minor"/>
    </font>
    <font>
      <b/>
      <sz val="11"/>
      <color theme="1"/>
      <name val="Arial"/>
      <family val="2"/>
    </font>
    <font>
      <b/>
      <sz val="12"/>
      <color theme="1"/>
      <name val="Calibri"/>
      <family val="2"/>
    </font>
    <font>
      <sz val="11"/>
      <color theme="0" tint="-0.249977111117893"/>
      <name val="Calibri"/>
      <family val="2"/>
    </font>
    <font>
      <sz val="14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0" tint="-0.34998626667073579"/>
      <name val="Calibri"/>
      <family val="2"/>
      <scheme val="minor"/>
    </font>
    <font>
      <sz val="11"/>
      <color theme="0" tint="-0.34998626667073579"/>
      <name val="Calibri"/>
      <family val="2"/>
    </font>
    <font>
      <b/>
      <sz val="11"/>
      <color theme="0" tint="-0.34998626667073579"/>
      <name val="Calibri"/>
      <family val="2"/>
    </font>
    <font>
      <b/>
      <sz val="11"/>
      <color theme="0" tint="-0.34998626667073579"/>
      <name val="Arial"/>
      <family val="2"/>
    </font>
    <font>
      <sz val="11"/>
      <color theme="1"/>
      <name val="Calibri"/>
      <family val="2"/>
      <charset val="238"/>
      <scheme val="minor"/>
    </font>
    <font>
      <sz val="10"/>
      <color theme="0" tint="-0.34998626667073579"/>
      <name val="Century Gothic"/>
      <family val="2"/>
    </font>
    <font>
      <b/>
      <sz val="9"/>
      <color indexed="81"/>
      <name val="Segoe UI"/>
      <family val="2"/>
    </font>
    <font>
      <sz val="9"/>
      <color indexed="81"/>
      <name val="Segoe UI"/>
      <family val="2"/>
    </font>
    <font>
      <sz val="11"/>
      <color indexed="8"/>
      <name val="Calibri"/>
      <family val="2"/>
      <charset val="238"/>
    </font>
    <font>
      <i/>
      <u/>
      <sz val="11"/>
      <color theme="1"/>
      <name val="Calibri"/>
      <family val="2"/>
      <scheme val="minor"/>
    </font>
    <font>
      <b/>
      <i/>
      <u/>
      <sz val="11"/>
      <color theme="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sz val="11"/>
      <color rgb="FFFF0000"/>
      <name val="Calibri"/>
      <family val="2"/>
    </font>
    <font>
      <sz val="11"/>
      <name val="Calibri"/>
      <family val="2"/>
      <scheme val="minor"/>
    </font>
    <font>
      <b/>
      <sz val="12"/>
      <name val="Calibri"/>
      <family val="2"/>
      <scheme val="minor"/>
    </font>
    <font>
      <sz val="7"/>
      <color theme="1"/>
      <name val="Times New Roman"/>
      <family val="1"/>
    </font>
    <font>
      <b/>
      <i/>
      <sz val="12"/>
      <color theme="1"/>
      <name val="Calibri"/>
      <family val="2"/>
      <scheme val="minor"/>
    </font>
    <font>
      <sz val="11"/>
      <name val="Calibri"/>
      <family val="2"/>
    </font>
    <font>
      <b/>
      <sz val="11"/>
      <color rgb="FFFF0000"/>
      <name val="Calibri"/>
      <family val="2"/>
      <scheme val="minor"/>
    </font>
    <font>
      <sz val="9"/>
      <color indexed="81"/>
      <name val="Segoe UI"/>
      <charset val="1"/>
    </font>
    <font>
      <b/>
      <sz val="9"/>
      <color indexed="81"/>
      <name val="Segoe UI"/>
      <charset val="1"/>
    </font>
    <font>
      <b/>
      <sz val="11"/>
      <name val="Arial"/>
      <family val="2"/>
    </font>
    <font>
      <b/>
      <sz val="12"/>
      <name val="Calibri"/>
      <family val="2"/>
    </font>
    <font>
      <b/>
      <sz val="11"/>
      <name val="Calibri"/>
      <family val="2"/>
    </font>
    <font>
      <sz val="11"/>
      <name val="Calibri"/>
      <family val="2"/>
      <charset val="238"/>
    </font>
    <font>
      <b/>
      <sz val="1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rgb="FF92D050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9933"/>
        <bgColor indexed="64"/>
      </patternFill>
    </fill>
    <fill>
      <patternFill patternType="solid">
        <fgColor rgb="FF00B0F0"/>
        <bgColor indexed="64"/>
      </patternFill>
    </fill>
  </fills>
  <borders count="94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indexed="64"/>
      </left>
      <right style="medium">
        <color rgb="FF000000"/>
      </right>
      <top style="medium">
        <color indexed="64"/>
      </top>
      <bottom/>
      <diagonal/>
    </border>
    <border>
      <left style="medium">
        <color indexed="64"/>
      </left>
      <right style="medium">
        <color rgb="FF000000"/>
      </right>
      <top/>
      <bottom/>
      <diagonal/>
    </border>
    <border>
      <left style="medium">
        <color indexed="64"/>
      </left>
      <right style="medium">
        <color rgb="FF000000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rgb="FF000000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thin">
        <color indexed="64"/>
      </right>
      <top style="medium">
        <color indexed="64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medium">
        <color rgb="FF000000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theme="0" tint="-0.24994659260841701"/>
      </right>
      <top/>
      <bottom style="medium">
        <color theme="0" tint="-0.24994659260841701"/>
      </bottom>
      <diagonal/>
    </border>
    <border>
      <left style="medium">
        <color theme="0" tint="-0.24994659260841701"/>
      </left>
      <right style="medium">
        <color theme="0" tint="-0.24994659260841701"/>
      </right>
      <top/>
      <bottom style="medium">
        <color theme="0" tint="-0.24994659260841701"/>
      </bottom>
      <diagonal/>
    </border>
    <border>
      <left style="medium">
        <color indexed="64"/>
      </left>
      <right style="medium">
        <color theme="0" tint="-0.24994659260841701"/>
      </right>
      <top style="medium">
        <color theme="0" tint="-0.24994659260841701"/>
      </top>
      <bottom style="medium">
        <color theme="0" tint="-0.24994659260841701"/>
      </bottom>
      <diagonal/>
    </border>
    <border>
      <left style="medium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medium">
        <color theme="0" tint="-0.24994659260841701"/>
      </bottom>
      <diagonal/>
    </border>
    <border>
      <left/>
      <right style="medium">
        <color indexed="64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medium">
        <color indexed="64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rgb="FF000000"/>
      </left>
      <right/>
      <top style="medium">
        <color indexed="64"/>
      </top>
      <bottom/>
      <diagonal/>
    </border>
    <border>
      <left/>
      <right style="thin">
        <color rgb="FF000000"/>
      </right>
      <top style="medium">
        <color indexed="64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/>
      <diagonal/>
    </border>
    <border>
      <left style="medium">
        <color indexed="64"/>
      </left>
      <right style="thin">
        <color rgb="FF000000"/>
      </right>
      <top/>
      <bottom/>
      <diagonal/>
    </border>
    <border>
      <left style="medium">
        <color indexed="64"/>
      </left>
      <right style="thin">
        <color rgb="FF000000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medium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auto="1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theme="0" tint="-0.24994659260841701"/>
      </right>
      <top style="medium">
        <color theme="0" tint="-0.24994659260841701"/>
      </top>
      <bottom style="medium">
        <color theme="0" tint="-0.24994659260841701"/>
      </bottom>
      <diagonal/>
    </border>
    <border>
      <left style="thin">
        <color auto="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auto="1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5">
    <xf numFmtId="0" fontId="0" fillId="0" borderId="0"/>
    <xf numFmtId="165" fontId="1" fillId="0" borderId="0" applyFont="0" applyFill="0" applyBorder="0" applyAlignment="0" applyProtection="0"/>
    <xf numFmtId="0" fontId="5" fillId="0" borderId="0"/>
    <xf numFmtId="9" fontId="1" fillId="0" borderId="0" applyFont="0" applyFill="0" applyBorder="0" applyAlignment="0" applyProtection="0"/>
    <xf numFmtId="0" fontId="22" fillId="0" borderId="0"/>
  </cellStyleXfs>
  <cellXfs count="507">
    <xf numFmtId="0" fontId="0" fillId="0" borderId="0" xfId="0"/>
    <xf numFmtId="0" fontId="0" fillId="0" borderId="0" xfId="0" applyAlignment="1">
      <alignment vertical="center"/>
    </xf>
    <xf numFmtId="0" fontId="3" fillId="2" borderId="2" xfId="0" applyFont="1" applyFill="1" applyBorder="1" applyAlignment="1">
      <alignment horizontal="right" vertical="center"/>
    </xf>
    <xf numFmtId="0" fontId="3" fillId="2" borderId="3" xfId="0" applyFont="1" applyFill="1" applyBorder="1" applyAlignment="1">
      <alignment vertical="center"/>
    </xf>
    <xf numFmtId="0" fontId="0" fillId="0" borderId="4" xfId="0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11" xfId="0" applyBorder="1" applyAlignment="1">
      <alignment vertical="center"/>
    </xf>
    <xf numFmtId="0" fontId="0" fillId="0" borderId="9" xfId="0" applyBorder="1" applyAlignment="1">
      <alignment vertical="center"/>
    </xf>
    <xf numFmtId="0" fontId="0" fillId="0" borderId="10" xfId="0" applyBorder="1" applyAlignment="1">
      <alignment vertical="center"/>
    </xf>
    <xf numFmtId="0" fontId="1" fillId="0" borderId="14" xfId="0" applyFont="1" applyBorder="1" applyAlignment="1">
      <alignment vertical="center"/>
    </xf>
    <xf numFmtId="166" fontId="1" fillId="0" borderId="14" xfId="0" applyNumberFormat="1" applyFont="1" applyBorder="1" applyAlignment="1">
      <alignment vertical="center"/>
    </xf>
    <xf numFmtId="0" fontId="1" fillId="0" borderId="8" xfId="0" applyFont="1" applyBorder="1" applyAlignment="1">
      <alignment vertical="center" wrapText="1"/>
    </xf>
    <xf numFmtId="0" fontId="7" fillId="0" borderId="4" xfId="0" applyFont="1" applyBorder="1" applyAlignment="1">
      <alignment vertical="center"/>
    </xf>
    <xf numFmtId="0" fontId="2" fillId="0" borderId="5" xfId="0" applyFont="1" applyBorder="1" applyAlignment="1">
      <alignment horizontal="center" vertical="center"/>
    </xf>
    <xf numFmtId="0" fontId="2" fillId="0" borderId="5" xfId="0" applyFont="1" applyBorder="1" applyAlignment="1">
      <alignment vertical="center"/>
    </xf>
    <xf numFmtId="0" fontId="7" fillId="0" borderId="7" xfId="0" applyFont="1" applyBorder="1" applyAlignment="1">
      <alignment vertical="center"/>
    </xf>
    <xf numFmtId="167" fontId="2" fillId="0" borderId="0" xfId="0" applyNumberFormat="1" applyFont="1" applyAlignment="1">
      <alignment horizontal="left" vertical="center" wrapText="1"/>
    </xf>
    <xf numFmtId="168" fontId="1" fillId="0" borderId="0" xfId="0" applyNumberFormat="1" applyFont="1" applyAlignment="1">
      <alignment vertical="center" wrapTex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166" fontId="1" fillId="0" borderId="8" xfId="0" applyNumberFormat="1" applyFont="1" applyBorder="1" applyAlignment="1">
      <alignment vertical="center"/>
    </xf>
    <xf numFmtId="0" fontId="7" fillId="0" borderId="1" xfId="0" applyFont="1" applyBorder="1" applyAlignment="1">
      <alignment vertical="center"/>
    </xf>
    <xf numFmtId="0" fontId="8" fillId="0" borderId="2" xfId="0" applyFont="1" applyBorder="1" applyAlignment="1">
      <alignment vertical="center" wrapText="1"/>
    </xf>
    <xf numFmtId="0" fontId="8" fillId="0" borderId="2" xfId="0" applyFont="1" applyBorder="1" applyAlignment="1">
      <alignment horizontal="center" vertical="center"/>
    </xf>
    <xf numFmtId="0" fontId="8" fillId="0" borderId="2" xfId="0" applyFont="1" applyBorder="1" applyAlignment="1">
      <alignment vertical="center"/>
    </xf>
    <xf numFmtId="166" fontId="8" fillId="0" borderId="3" xfId="0" applyNumberFormat="1" applyFont="1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7" xfId="0" applyBorder="1" applyAlignment="1">
      <alignment vertical="center"/>
    </xf>
    <xf numFmtId="0" fontId="0" fillId="0" borderId="8" xfId="0" applyBorder="1" applyAlignment="1">
      <alignment vertical="center"/>
    </xf>
    <xf numFmtId="4" fontId="0" fillId="0" borderId="0" xfId="0" applyNumberFormat="1"/>
    <xf numFmtId="0" fontId="9" fillId="0" borderId="5" xfId="0" applyFont="1" applyBorder="1" applyAlignment="1">
      <alignment horizontal="center"/>
    </xf>
    <xf numFmtId="0" fontId="10" fillId="0" borderId="7" xfId="0" applyFont="1" applyBorder="1"/>
    <xf numFmtId="4" fontId="10" fillId="0" borderId="0" xfId="0" applyNumberFormat="1" applyFont="1"/>
    <xf numFmtId="0" fontId="10" fillId="0" borderId="11" xfId="0" applyFont="1" applyBorder="1"/>
    <xf numFmtId="0" fontId="10" fillId="3" borderId="4" xfId="0" applyFont="1" applyFill="1" applyBorder="1" applyAlignment="1">
      <alignment vertical="top"/>
    </xf>
    <xf numFmtId="4" fontId="9" fillId="0" borderId="5" xfId="0" applyNumberFormat="1" applyFont="1" applyBorder="1"/>
    <xf numFmtId="4" fontId="9" fillId="0" borderId="6" xfId="0" applyNumberFormat="1" applyFont="1" applyBorder="1"/>
    <xf numFmtId="0" fontId="0" fillId="0" borderId="15" xfId="0" applyBorder="1"/>
    <xf numFmtId="0" fontId="9" fillId="0" borderId="15" xfId="0" applyFont="1" applyBorder="1" applyAlignment="1">
      <alignment horizontal="center"/>
    </xf>
    <xf numFmtId="169" fontId="9" fillId="0" borderId="15" xfId="0" applyNumberFormat="1" applyFont="1" applyBorder="1" applyAlignment="1">
      <alignment horizontal="center"/>
    </xf>
    <xf numFmtId="170" fontId="9" fillId="0" borderId="15" xfId="0" applyNumberFormat="1" applyFont="1" applyBorder="1" applyAlignment="1">
      <alignment horizontal="center"/>
    </xf>
    <xf numFmtId="0" fontId="10" fillId="0" borderId="15" xfId="0" applyFont="1" applyBorder="1" applyAlignment="1">
      <alignment horizontal="center"/>
    </xf>
    <xf numFmtId="0" fontId="10" fillId="0" borderId="0" xfId="0" applyFont="1"/>
    <xf numFmtId="0" fontId="14" fillId="0" borderId="21" xfId="0" applyFont="1" applyBorder="1" applyAlignment="1">
      <alignment horizontal="center"/>
    </xf>
    <xf numFmtId="0" fontId="14" fillId="0" borderId="21" xfId="0" applyFont="1" applyBorder="1"/>
    <xf numFmtId="4" fontId="14" fillId="0" borderId="22" xfId="0" applyNumberFormat="1" applyFont="1" applyBorder="1"/>
    <xf numFmtId="0" fontId="10" fillId="0" borderId="15" xfId="0" applyFont="1" applyBorder="1"/>
    <xf numFmtId="0" fontId="2" fillId="0" borderId="15" xfId="0" applyFont="1" applyBorder="1"/>
    <xf numFmtId="2" fontId="0" fillId="0" borderId="15" xfId="0" applyNumberFormat="1" applyBorder="1"/>
    <xf numFmtId="0" fontId="10" fillId="0" borderId="0" xfId="0" applyFont="1" applyAlignment="1">
      <alignment vertical="center" wrapText="1"/>
    </xf>
    <xf numFmtId="0" fontId="0" fillId="0" borderId="0" xfId="0" applyAlignment="1">
      <alignment wrapText="1"/>
    </xf>
    <xf numFmtId="0" fontId="1" fillId="0" borderId="7" xfId="0" applyFont="1" applyBorder="1" applyAlignment="1">
      <alignment vertical="center" wrapText="1"/>
    </xf>
    <xf numFmtId="171" fontId="0" fillId="0" borderId="15" xfId="0" applyNumberFormat="1" applyBorder="1"/>
    <xf numFmtId="0" fontId="10" fillId="0" borderId="16" xfId="0" applyFont="1" applyBorder="1" applyAlignment="1">
      <alignment horizontal="center"/>
    </xf>
    <xf numFmtId="4" fontId="10" fillId="0" borderId="15" xfId="0" applyNumberFormat="1" applyFont="1" applyBorder="1" applyAlignment="1">
      <alignment horizontal="center"/>
    </xf>
    <xf numFmtId="0" fontId="0" fillId="4" borderId="15" xfId="0" applyFill="1" applyBorder="1"/>
    <xf numFmtId="0" fontId="2" fillId="0" borderId="3" xfId="0" applyFont="1" applyBorder="1"/>
    <xf numFmtId="0" fontId="0" fillId="0" borderId="3" xfId="0" applyBorder="1"/>
    <xf numFmtId="9" fontId="14" fillId="0" borderId="23" xfId="3" applyFont="1" applyBorder="1" applyAlignment="1">
      <alignment horizontal="center"/>
    </xf>
    <xf numFmtId="4" fontId="15" fillId="0" borderId="0" xfId="0" applyNumberFormat="1" applyFont="1"/>
    <xf numFmtId="9" fontId="10" fillId="0" borderId="0" xfId="3" applyFont="1"/>
    <xf numFmtId="9" fontId="0" fillId="0" borderId="0" xfId="3" applyFont="1"/>
    <xf numFmtId="4" fontId="14" fillId="0" borderId="21" xfId="0" applyNumberFormat="1" applyFont="1" applyBorder="1"/>
    <xf numFmtId="4" fontId="14" fillId="0" borderId="21" xfId="0" applyNumberFormat="1" applyFont="1" applyBorder="1" applyAlignment="1">
      <alignment horizontal="center"/>
    </xf>
    <xf numFmtId="0" fontId="10" fillId="0" borderId="35" xfId="0" applyFont="1" applyBorder="1"/>
    <xf numFmtId="0" fontId="10" fillId="0" borderId="36" xfId="0" applyFont="1" applyBorder="1" applyAlignment="1">
      <alignment horizontal="center"/>
    </xf>
    <xf numFmtId="171" fontId="10" fillId="0" borderId="36" xfId="0" applyNumberFormat="1" applyFont="1" applyBorder="1" applyAlignment="1">
      <alignment horizontal="center"/>
    </xf>
    <xf numFmtId="0" fontId="10" fillId="0" borderId="36" xfId="0" applyFont="1" applyBorder="1"/>
    <xf numFmtId="0" fontId="10" fillId="0" borderId="37" xfId="0" applyFont="1" applyBorder="1"/>
    <xf numFmtId="0" fontId="10" fillId="0" borderId="38" xfId="0" applyFont="1" applyBorder="1"/>
    <xf numFmtId="0" fontId="10" fillId="0" borderId="21" xfId="0" applyFont="1" applyBorder="1" applyAlignment="1">
      <alignment horizontal="center"/>
    </xf>
    <xf numFmtId="171" fontId="10" fillId="0" borderId="21" xfId="0" applyNumberFormat="1" applyFont="1" applyBorder="1" applyAlignment="1">
      <alignment horizontal="center"/>
    </xf>
    <xf numFmtId="0" fontId="10" fillId="0" borderId="21" xfId="0" applyFont="1" applyBorder="1"/>
    <xf numFmtId="0" fontId="10" fillId="0" borderId="39" xfId="0" applyFont="1" applyBorder="1"/>
    <xf numFmtId="0" fontId="10" fillId="0" borderId="40" xfId="0" applyFont="1" applyBorder="1"/>
    <xf numFmtId="0" fontId="10" fillId="0" borderId="41" xfId="0" applyFont="1" applyBorder="1" applyAlignment="1">
      <alignment horizontal="center"/>
    </xf>
    <xf numFmtId="171" fontId="10" fillId="0" borderId="41" xfId="0" applyNumberFormat="1" applyFont="1" applyBorder="1" applyAlignment="1">
      <alignment horizontal="center"/>
    </xf>
    <xf numFmtId="4" fontId="10" fillId="0" borderId="41" xfId="0" applyNumberFormat="1" applyFont="1" applyBorder="1"/>
    <xf numFmtId="4" fontId="10" fillId="0" borderId="42" xfId="0" applyNumberFormat="1" applyFont="1" applyBorder="1"/>
    <xf numFmtId="0" fontId="9" fillId="0" borderId="0" xfId="0" applyFont="1" applyAlignment="1">
      <alignment horizontal="center"/>
    </xf>
    <xf numFmtId="0" fontId="16" fillId="0" borderId="8" xfId="0" applyFont="1" applyBorder="1"/>
    <xf numFmtId="0" fontId="16" fillId="0" borderId="7" xfId="0" applyFont="1" applyBorder="1"/>
    <xf numFmtId="171" fontId="16" fillId="0" borderId="14" xfId="0" applyNumberFormat="1" applyFont="1" applyBorder="1"/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0" fillId="0" borderId="43" xfId="0" applyBorder="1"/>
    <xf numFmtId="0" fontId="10" fillId="0" borderId="44" xfId="0" applyFont="1" applyBorder="1" applyAlignment="1">
      <alignment horizontal="center"/>
    </xf>
    <xf numFmtId="171" fontId="10" fillId="0" borderId="44" xfId="0" applyNumberFormat="1" applyFont="1" applyBorder="1" applyAlignment="1">
      <alignment horizontal="center"/>
    </xf>
    <xf numFmtId="0" fontId="0" fillId="0" borderId="16" xfId="0" applyBorder="1"/>
    <xf numFmtId="0" fontId="0" fillId="0" borderId="45" xfId="0" applyBorder="1"/>
    <xf numFmtId="0" fontId="0" fillId="0" borderId="46" xfId="0" applyBorder="1"/>
    <xf numFmtId="0" fontId="0" fillId="0" borderId="13" xfId="0" applyBorder="1"/>
    <xf numFmtId="171" fontId="0" fillId="0" borderId="13" xfId="0" applyNumberFormat="1" applyBorder="1"/>
    <xf numFmtId="0" fontId="10" fillId="0" borderId="47" xfId="0" applyFont="1" applyBorder="1" applyAlignment="1">
      <alignment horizontal="center"/>
    </xf>
    <xf numFmtId="0" fontId="13" fillId="0" borderId="48" xfId="0" applyFont="1" applyBorder="1"/>
    <xf numFmtId="0" fontId="14" fillId="0" borderId="27" xfId="0" applyFont="1" applyBorder="1"/>
    <xf numFmtId="14" fontId="8" fillId="0" borderId="49" xfId="0" applyNumberFormat="1" applyFont="1" applyBorder="1" applyAlignment="1">
      <alignment horizontal="center" vertical="center"/>
    </xf>
    <xf numFmtId="14" fontId="8" fillId="0" borderId="50" xfId="0" applyNumberFormat="1" applyFont="1" applyBorder="1" applyAlignment="1">
      <alignment vertical="center"/>
    </xf>
    <xf numFmtId="14" fontId="8" fillId="0" borderId="51" xfId="0" applyNumberFormat="1" applyFont="1" applyBorder="1" applyAlignment="1">
      <alignment vertical="center"/>
    </xf>
    <xf numFmtId="174" fontId="9" fillId="0" borderId="51" xfId="0" applyNumberFormat="1" applyFont="1" applyBorder="1"/>
    <xf numFmtId="175" fontId="9" fillId="0" borderId="34" xfId="0" applyNumberFormat="1" applyFont="1" applyBorder="1" applyAlignment="1">
      <alignment horizontal="left"/>
    </xf>
    <xf numFmtId="0" fontId="18" fillId="0" borderId="52" xfId="0" applyFont="1" applyBorder="1"/>
    <xf numFmtId="0" fontId="19" fillId="0" borderId="53" xfId="0" applyFont="1" applyBorder="1" applyAlignment="1">
      <alignment horizontal="center"/>
    </xf>
    <xf numFmtId="0" fontId="18" fillId="0" borderId="53" xfId="0" applyFont="1" applyBorder="1"/>
    <xf numFmtId="0" fontId="20" fillId="0" borderId="54" xfId="0" applyFont="1" applyBorder="1" applyAlignment="1">
      <alignment wrapText="1"/>
    </xf>
    <xf numFmtId="0" fontId="20" fillId="0" borderId="55" xfId="0" applyFont="1" applyBorder="1" applyAlignment="1">
      <alignment horizontal="center"/>
    </xf>
    <xf numFmtId="0" fontId="19" fillId="0" borderId="54" xfId="0" applyFont="1" applyBorder="1" applyAlignment="1">
      <alignment horizontal="center"/>
    </xf>
    <xf numFmtId="0" fontId="19" fillId="0" borderId="55" xfId="0" applyFont="1" applyBorder="1" applyAlignment="1">
      <alignment horizontal="center"/>
    </xf>
    <xf numFmtId="171" fontId="19" fillId="0" borderId="55" xfId="0" applyNumberFormat="1" applyFont="1" applyBorder="1" applyAlignment="1">
      <alignment horizontal="center"/>
    </xf>
    <xf numFmtId="0" fontId="18" fillId="0" borderId="54" xfId="0" applyFont="1" applyBorder="1"/>
    <xf numFmtId="0" fontId="18" fillId="0" borderId="55" xfId="0" applyFont="1" applyBorder="1"/>
    <xf numFmtId="0" fontId="8" fillId="0" borderId="50" xfId="0" applyFont="1" applyBorder="1" applyAlignment="1">
      <alignment vertical="center"/>
    </xf>
    <xf numFmtId="0" fontId="18" fillId="0" borderId="57" xfId="0" applyFont="1" applyBorder="1"/>
    <xf numFmtId="0" fontId="18" fillId="0" borderId="56" xfId="0" applyFont="1" applyBorder="1"/>
    <xf numFmtId="0" fontId="10" fillId="0" borderId="58" xfId="0" applyFont="1" applyBorder="1"/>
    <xf numFmtId="0" fontId="0" fillId="0" borderId="15" xfId="0" applyBorder="1" applyAlignment="1">
      <alignment horizontal="right"/>
    </xf>
    <xf numFmtId="4" fontId="10" fillId="0" borderId="15" xfId="0" applyNumberFormat="1" applyFont="1" applyBorder="1" applyAlignment="1">
      <alignment horizontal="right"/>
    </xf>
    <xf numFmtId="171" fontId="0" fillId="0" borderId="15" xfId="0" applyNumberFormat="1" applyBorder="1" applyAlignment="1">
      <alignment horizontal="right"/>
    </xf>
    <xf numFmtId="171" fontId="0" fillId="5" borderId="13" xfId="0" applyNumberFormat="1" applyFill="1" applyBorder="1"/>
    <xf numFmtId="0" fontId="10" fillId="5" borderId="44" xfId="0" applyFont="1" applyFill="1" applyBorder="1" applyAlignment="1">
      <alignment horizontal="center"/>
    </xf>
    <xf numFmtId="171" fontId="19" fillId="5" borderId="55" xfId="0" applyNumberFormat="1" applyFont="1" applyFill="1" applyBorder="1" applyAlignment="1">
      <alignment horizontal="center"/>
    </xf>
    <xf numFmtId="0" fontId="19" fillId="5" borderId="55" xfId="0" applyFont="1" applyFill="1" applyBorder="1" applyAlignment="1">
      <alignment horizontal="center"/>
    </xf>
    <xf numFmtId="0" fontId="21" fillId="0" borderId="57" xfId="0" applyFont="1" applyBorder="1"/>
    <xf numFmtId="173" fontId="20" fillId="0" borderId="55" xfId="0" applyNumberFormat="1" applyFont="1" applyBorder="1"/>
    <xf numFmtId="176" fontId="20" fillId="0" borderId="55" xfId="0" applyNumberFormat="1" applyFont="1" applyBorder="1"/>
    <xf numFmtId="10" fontId="16" fillId="0" borderId="14" xfId="3" applyNumberFormat="1" applyFont="1" applyBorder="1"/>
    <xf numFmtId="2" fontId="16" fillId="0" borderId="14" xfId="0" applyNumberFormat="1" applyFont="1" applyBorder="1"/>
    <xf numFmtId="0" fontId="2" fillId="0" borderId="0" xfId="0" applyFont="1" applyAlignment="1">
      <alignment vertical="top"/>
    </xf>
    <xf numFmtId="0" fontId="2" fillId="0" borderId="0" xfId="0" applyFont="1"/>
    <xf numFmtId="0" fontId="0" fillId="0" borderId="0" xfId="0" applyAlignment="1">
      <alignment horizontal="center"/>
    </xf>
    <xf numFmtId="177" fontId="9" fillId="0" borderId="15" xfId="0" applyNumberFormat="1" applyFont="1" applyBorder="1" applyAlignment="1">
      <alignment horizontal="center"/>
    </xf>
    <xf numFmtId="177" fontId="0" fillId="0" borderId="15" xfId="0" applyNumberFormat="1" applyBorder="1"/>
    <xf numFmtId="177" fontId="0" fillId="0" borderId="0" xfId="0" applyNumberFormat="1"/>
    <xf numFmtId="0" fontId="9" fillId="0" borderId="8" xfId="0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7" fillId="0" borderId="10" xfId="0" applyFont="1" applyBorder="1"/>
    <xf numFmtId="0" fontId="7" fillId="0" borderId="13" xfId="0" applyFont="1" applyBorder="1"/>
    <xf numFmtId="0" fontId="7" fillId="0" borderId="11" xfId="0" applyFont="1" applyBorder="1"/>
    <xf numFmtId="10" fontId="16" fillId="0" borderId="14" xfId="3" applyNumberFormat="1" applyFont="1" applyFill="1" applyBorder="1"/>
    <xf numFmtId="171" fontId="0" fillId="5" borderId="15" xfId="0" applyNumberFormat="1" applyFill="1" applyBorder="1"/>
    <xf numFmtId="0" fontId="16" fillId="0" borderId="14" xfId="0" applyFont="1" applyBorder="1"/>
    <xf numFmtId="14" fontId="8" fillId="0" borderId="50" xfId="0" applyNumberFormat="1" applyFont="1" applyBorder="1" applyAlignment="1">
      <alignment horizontal="center" vertical="center"/>
    </xf>
    <xf numFmtId="0" fontId="13" fillId="0" borderId="63" xfId="0" applyFont="1" applyBorder="1"/>
    <xf numFmtId="0" fontId="0" fillId="0" borderId="10" xfId="0" applyBorder="1"/>
    <xf numFmtId="9" fontId="10" fillId="0" borderId="36" xfId="3" applyFont="1" applyBorder="1" applyAlignment="1">
      <alignment horizontal="center"/>
    </xf>
    <xf numFmtId="9" fontId="10" fillId="0" borderId="21" xfId="3" applyFont="1" applyBorder="1" applyAlignment="1">
      <alignment horizontal="center"/>
    </xf>
    <xf numFmtId="9" fontId="10" fillId="0" borderId="41" xfId="3" applyFont="1" applyBorder="1" applyAlignment="1">
      <alignment horizontal="center"/>
    </xf>
    <xf numFmtId="9" fontId="10" fillId="0" borderId="59" xfId="3" applyFont="1" applyBorder="1" applyAlignment="1">
      <alignment horizontal="center"/>
    </xf>
    <xf numFmtId="169" fontId="14" fillId="0" borderId="34" xfId="0" applyNumberFormat="1" applyFont="1" applyBorder="1"/>
    <xf numFmtId="0" fontId="10" fillId="0" borderId="66" xfId="0" applyFont="1" applyBorder="1"/>
    <xf numFmtId="0" fontId="10" fillId="0" borderId="67" xfId="0" applyFont="1" applyBorder="1"/>
    <xf numFmtId="0" fontId="10" fillId="0" borderId="68" xfId="0" applyFont="1" applyBorder="1"/>
    <xf numFmtId="0" fontId="1" fillId="0" borderId="11" xfId="0" applyFont="1" applyBorder="1" applyAlignment="1">
      <alignment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/>
    </xf>
    <xf numFmtId="0" fontId="1" fillId="0" borderId="13" xfId="0" applyFont="1" applyBorder="1" applyAlignment="1">
      <alignment vertical="center"/>
    </xf>
    <xf numFmtId="166" fontId="1" fillId="0" borderId="13" xfId="0" applyNumberFormat="1" applyFont="1" applyBorder="1" applyAlignment="1">
      <alignment vertical="center"/>
    </xf>
    <xf numFmtId="165" fontId="1" fillId="0" borderId="13" xfId="1" applyFont="1" applyBorder="1" applyAlignment="1">
      <alignment vertical="center"/>
    </xf>
    <xf numFmtId="0" fontId="1" fillId="0" borderId="7" xfId="0" applyFont="1" applyBorder="1" applyAlignment="1">
      <alignment horizontal="right" vertical="center"/>
    </xf>
    <xf numFmtId="0" fontId="1" fillId="0" borderId="10" xfId="0" applyFont="1" applyBorder="1" applyAlignment="1">
      <alignment vertical="center" wrapText="1"/>
    </xf>
    <xf numFmtId="0" fontId="0" fillId="0" borderId="14" xfId="0" applyBorder="1" applyAlignment="1">
      <alignment vertical="center"/>
    </xf>
    <xf numFmtId="177" fontId="1" fillId="0" borderId="14" xfId="0" applyNumberFormat="1" applyFont="1" applyBorder="1" applyAlignment="1">
      <alignment horizontal="center" vertical="center" wrapText="1"/>
    </xf>
    <xf numFmtId="177" fontId="1" fillId="0" borderId="14" xfId="1" applyNumberFormat="1" applyFont="1" applyBorder="1" applyAlignment="1">
      <alignment vertical="center"/>
    </xf>
    <xf numFmtId="177" fontId="2" fillId="0" borderId="6" xfId="0" applyNumberFormat="1" applyFont="1" applyBorder="1" applyAlignment="1">
      <alignment vertical="center"/>
    </xf>
    <xf numFmtId="0" fontId="0" fillId="0" borderId="8" xfId="0" applyBorder="1" applyAlignment="1">
      <alignment horizontal="center" vertical="top"/>
    </xf>
    <xf numFmtId="2" fontId="10" fillId="0" borderId="44" xfId="0" applyNumberFormat="1" applyFont="1" applyBorder="1" applyAlignment="1">
      <alignment horizontal="center"/>
    </xf>
    <xf numFmtId="0" fontId="0" fillId="0" borderId="14" xfId="0" applyBorder="1"/>
    <xf numFmtId="177" fontId="0" fillId="0" borderId="14" xfId="0" applyNumberFormat="1" applyBorder="1"/>
    <xf numFmtId="177" fontId="0" fillId="0" borderId="69" xfId="0" applyNumberFormat="1" applyBorder="1"/>
    <xf numFmtId="178" fontId="0" fillId="0" borderId="70" xfId="0" applyNumberFormat="1" applyBorder="1"/>
    <xf numFmtId="0" fontId="1" fillId="0" borderId="6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0" fillId="0" borderId="8" xfId="0" applyBorder="1" applyAlignment="1">
      <alignment vertical="center" wrapText="1"/>
    </xf>
    <xf numFmtId="0" fontId="0" fillId="0" borderId="7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2" fillId="0" borderId="12" xfId="0" applyFont="1" applyBorder="1" applyAlignment="1">
      <alignment horizontal="center" vertical="top"/>
    </xf>
    <xf numFmtId="0" fontId="2" fillId="0" borderId="14" xfId="0" applyFont="1" applyBorder="1" applyAlignment="1">
      <alignment horizontal="center" vertical="top"/>
    </xf>
    <xf numFmtId="0" fontId="2" fillId="0" borderId="13" xfId="0" applyFont="1" applyBorder="1" applyAlignment="1">
      <alignment horizontal="center" vertical="top"/>
    </xf>
    <xf numFmtId="179" fontId="8" fillId="0" borderId="0" xfId="0" applyNumberFormat="1" applyFont="1" applyAlignment="1">
      <alignment vertical="center" wrapText="1"/>
    </xf>
    <xf numFmtId="0" fontId="0" fillId="5" borderId="0" xfId="0" applyFill="1" applyAlignment="1">
      <alignment vertical="center"/>
    </xf>
    <xf numFmtId="0" fontId="17" fillId="0" borderId="0" xfId="0" applyFont="1" applyAlignment="1">
      <alignment vertical="center" wrapText="1"/>
    </xf>
    <xf numFmtId="2" fontId="0" fillId="0" borderId="13" xfId="0" applyNumberFormat="1" applyBorder="1"/>
    <xf numFmtId="2" fontId="10" fillId="0" borderId="47" xfId="0" applyNumberFormat="1" applyFont="1" applyBorder="1" applyAlignment="1">
      <alignment horizontal="center"/>
    </xf>
    <xf numFmtId="2" fontId="10" fillId="5" borderId="44" xfId="0" applyNumberFormat="1" applyFont="1" applyFill="1" applyBorder="1" applyAlignment="1">
      <alignment horizontal="center"/>
    </xf>
    <xf numFmtId="2" fontId="0" fillId="5" borderId="15" xfId="0" applyNumberFormat="1" applyFill="1" applyBorder="1" applyAlignment="1">
      <alignment horizontal="center"/>
    </xf>
    <xf numFmtId="9" fontId="10" fillId="0" borderId="36" xfId="3" applyFont="1" applyBorder="1" applyAlignment="1" applyProtection="1">
      <alignment horizontal="center"/>
    </xf>
    <xf numFmtId="9" fontId="10" fillId="0" borderId="21" xfId="3" applyFont="1" applyBorder="1" applyAlignment="1" applyProtection="1">
      <alignment horizontal="center"/>
    </xf>
    <xf numFmtId="9" fontId="10" fillId="0" borderId="41" xfId="3" applyFont="1" applyBorder="1" applyAlignment="1" applyProtection="1">
      <alignment horizontal="center"/>
    </xf>
    <xf numFmtId="2" fontId="0" fillId="0" borderId="15" xfId="0" applyNumberFormat="1" applyBorder="1" applyAlignment="1">
      <alignment horizontal="center"/>
    </xf>
    <xf numFmtId="0" fontId="0" fillId="6" borderId="43" xfId="0" applyFill="1" applyBorder="1"/>
    <xf numFmtId="0" fontId="26" fillId="6" borderId="71" xfId="0" applyFont="1" applyFill="1" applyBorder="1"/>
    <xf numFmtId="0" fontId="26" fillId="0" borderId="71" xfId="0" applyFont="1" applyBorder="1"/>
    <xf numFmtId="0" fontId="0" fillId="0" borderId="71" xfId="0" applyBorder="1" applyAlignment="1">
      <alignment horizontal="left"/>
    </xf>
    <xf numFmtId="171" fontId="0" fillId="0" borderId="71" xfId="0" applyNumberFormat="1" applyBorder="1" applyAlignment="1">
      <alignment horizontal="center"/>
    </xf>
    <xf numFmtId="171" fontId="0" fillId="0" borderId="15" xfId="0" applyNumberFormat="1" applyBorder="1" applyAlignment="1">
      <alignment horizontal="center"/>
    </xf>
    <xf numFmtId="171" fontId="0" fillId="0" borderId="0" xfId="0" applyNumberFormat="1" applyAlignment="1">
      <alignment horizontal="center"/>
    </xf>
    <xf numFmtId="0" fontId="0" fillId="7" borderId="43" xfId="0" applyFill="1" applyBorder="1"/>
    <xf numFmtId="183" fontId="0" fillId="0" borderId="13" xfId="0" applyNumberFormat="1" applyBorder="1"/>
    <xf numFmtId="171" fontId="10" fillId="7" borderId="47" xfId="0" applyNumberFormat="1" applyFont="1" applyFill="1" applyBorder="1" applyAlignment="1">
      <alignment horizontal="center"/>
    </xf>
    <xf numFmtId="0" fontId="0" fillId="0" borderId="72" xfId="0" applyBorder="1"/>
    <xf numFmtId="171" fontId="10" fillId="0" borderId="47" xfId="0" applyNumberFormat="1" applyFont="1" applyBorder="1" applyAlignment="1">
      <alignment horizontal="center"/>
    </xf>
    <xf numFmtId="171" fontId="10" fillId="7" borderId="44" xfId="0" applyNumberFormat="1" applyFont="1" applyFill="1" applyBorder="1" applyAlignment="1">
      <alignment horizontal="center"/>
    </xf>
    <xf numFmtId="168" fontId="0" fillId="0" borderId="0" xfId="3" applyNumberFormat="1" applyFont="1"/>
    <xf numFmtId="9" fontId="1" fillId="0" borderId="15" xfId="0" applyNumberFormat="1" applyFont="1" applyBorder="1" applyAlignment="1">
      <alignment horizontal="right" vertical="center"/>
    </xf>
    <xf numFmtId="164" fontId="0" fillId="0" borderId="15" xfId="0" applyNumberFormat="1" applyBorder="1"/>
    <xf numFmtId="184" fontId="0" fillId="0" borderId="15" xfId="0" applyNumberFormat="1" applyBorder="1"/>
    <xf numFmtId="2" fontId="1" fillId="0" borderId="73" xfId="0" applyNumberFormat="1" applyFont="1" applyBorder="1" applyAlignment="1">
      <alignment horizontal="right" vertical="center"/>
    </xf>
    <xf numFmtId="2" fontId="1" fillId="0" borderId="14" xfId="0" applyNumberFormat="1" applyFont="1" applyBorder="1" applyAlignment="1">
      <alignment horizontal="right" vertical="center"/>
    </xf>
    <xf numFmtId="2" fontId="0" fillId="0" borderId="14" xfId="0" applyNumberFormat="1" applyBorder="1" applyAlignment="1">
      <alignment horizontal="right"/>
    </xf>
    <xf numFmtId="185" fontId="0" fillId="0" borderId="15" xfId="0" applyNumberFormat="1" applyBorder="1"/>
    <xf numFmtId="0" fontId="0" fillId="8" borderId="43" xfId="0" applyFill="1" applyBorder="1"/>
    <xf numFmtId="0" fontId="0" fillId="8" borderId="3" xfId="0" applyFill="1" applyBorder="1"/>
    <xf numFmtId="0" fontId="0" fillId="8" borderId="15" xfId="0" applyFill="1" applyBorder="1"/>
    <xf numFmtId="0" fontId="0" fillId="8" borderId="13" xfId="0" applyFill="1" applyBorder="1"/>
    <xf numFmtId="0" fontId="10" fillId="8" borderId="44" xfId="0" applyFont="1" applyFill="1" applyBorder="1" applyAlignment="1">
      <alignment horizontal="center"/>
    </xf>
    <xf numFmtId="0" fontId="17" fillId="0" borderId="0" xfId="0" applyFont="1" applyAlignment="1">
      <alignment vertical="center"/>
    </xf>
    <xf numFmtId="177" fontId="0" fillId="0" borderId="13" xfId="0" applyNumberFormat="1" applyBorder="1"/>
    <xf numFmtId="0" fontId="17" fillId="0" borderId="9" xfId="0" applyFont="1" applyBorder="1" applyAlignment="1">
      <alignment vertical="center" wrapText="1"/>
    </xf>
    <xf numFmtId="0" fontId="1" fillId="0" borderId="74" xfId="0" applyFont="1" applyBorder="1" applyAlignment="1">
      <alignment horizontal="center" vertical="center" wrapText="1"/>
    </xf>
    <xf numFmtId="177" fontId="1" fillId="0" borderId="73" xfId="0" applyNumberFormat="1" applyFont="1" applyBorder="1" applyAlignment="1">
      <alignment horizontal="center" vertical="center" wrapText="1"/>
    </xf>
    <xf numFmtId="0" fontId="0" fillId="0" borderId="9" xfId="0" applyBorder="1"/>
    <xf numFmtId="0" fontId="1" fillId="0" borderId="7" xfId="0" applyFont="1" applyBorder="1" applyAlignment="1">
      <alignment horizontal="right" vertical="center" wrapText="1"/>
    </xf>
    <xf numFmtId="0" fontId="1" fillId="0" borderId="11" xfId="0" applyFont="1" applyBorder="1" applyAlignment="1">
      <alignment horizontal="right" vertical="center" wrapText="1"/>
    </xf>
    <xf numFmtId="0" fontId="27" fillId="0" borderId="7" xfId="0" applyFont="1" applyBorder="1" applyAlignment="1">
      <alignment vertical="center"/>
    </xf>
    <xf numFmtId="0" fontId="27" fillId="0" borderId="7" xfId="0" applyFont="1" applyBorder="1" applyAlignment="1">
      <alignment vertical="center" wrapText="1"/>
    </xf>
    <xf numFmtId="177" fontId="0" fillId="9" borderId="15" xfId="0" applyNumberFormat="1" applyFill="1" applyBorder="1"/>
    <xf numFmtId="177" fontId="0" fillId="5" borderId="15" xfId="0" applyNumberFormat="1" applyFill="1" applyBorder="1"/>
    <xf numFmtId="0" fontId="0" fillId="0" borderId="1" xfId="0" applyBorder="1"/>
    <xf numFmtId="0" fontId="0" fillId="0" borderId="12" xfId="0" applyBorder="1"/>
    <xf numFmtId="177" fontId="0" fillId="0" borderId="12" xfId="0" applyNumberFormat="1" applyBorder="1"/>
    <xf numFmtId="0" fontId="0" fillId="0" borderId="76" xfId="0" applyBorder="1"/>
    <xf numFmtId="0" fontId="0" fillId="0" borderId="77" xfId="0" applyBorder="1"/>
    <xf numFmtId="177" fontId="0" fillId="0" borderId="77" xfId="0" applyNumberFormat="1" applyBorder="1"/>
    <xf numFmtId="177" fontId="0" fillId="5" borderId="77" xfId="0" applyNumberFormat="1" applyFill="1" applyBorder="1"/>
    <xf numFmtId="0" fontId="0" fillId="0" borderId="78" xfId="0" applyBorder="1"/>
    <xf numFmtId="0" fontId="0" fillId="0" borderId="70" xfId="0" applyBorder="1"/>
    <xf numFmtId="177" fontId="0" fillId="0" borderId="70" xfId="0" applyNumberFormat="1" applyBorder="1"/>
    <xf numFmtId="177" fontId="0" fillId="5" borderId="70" xfId="0" applyNumberFormat="1" applyFill="1" applyBorder="1"/>
    <xf numFmtId="177" fontId="0" fillId="0" borderId="79" xfId="0" applyNumberFormat="1" applyBorder="1"/>
    <xf numFmtId="177" fontId="0" fillId="0" borderId="1" xfId="0" applyNumberFormat="1" applyBorder="1"/>
    <xf numFmtId="177" fontId="0" fillId="0" borderId="80" xfId="0" applyNumberFormat="1" applyBorder="1"/>
    <xf numFmtId="183" fontId="10" fillId="0" borderId="44" xfId="0" applyNumberFormat="1" applyFont="1" applyBorder="1" applyAlignment="1">
      <alignment horizontal="center"/>
    </xf>
    <xf numFmtId="0" fontId="3" fillId="2" borderId="84" xfId="0" applyFont="1" applyFill="1" applyBorder="1" applyAlignment="1">
      <alignment horizontal="right" vertical="center"/>
    </xf>
    <xf numFmtId="0" fontId="3" fillId="2" borderId="72" xfId="0" applyFont="1" applyFill="1" applyBorder="1" applyAlignment="1">
      <alignment vertical="center"/>
    </xf>
    <xf numFmtId="0" fontId="0" fillId="0" borderId="74" xfId="0" applyBorder="1" applyAlignment="1">
      <alignment vertical="center"/>
    </xf>
    <xf numFmtId="0" fontId="0" fillId="0" borderId="85" xfId="0" applyBorder="1" applyAlignment="1">
      <alignment vertical="center"/>
    </xf>
    <xf numFmtId="0" fontId="0" fillId="0" borderId="84" xfId="0" applyBorder="1" applyAlignment="1">
      <alignment horizontal="center" vertical="center"/>
    </xf>
    <xf numFmtId="0" fontId="1" fillId="0" borderId="85" xfId="0" applyFont="1" applyBorder="1" applyAlignment="1">
      <alignment horizontal="center" vertical="center" wrapText="1"/>
    </xf>
    <xf numFmtId="0" fontId="1" fillId="0" borderId="0" xfId="0" applyFont="1" applyAlignment="1">
      <alignment horizontal="right" vertical="center"/>
    </xf>
    <xf numFmtId="0" fontId="0" fillId="0" borderId="7" xfId="0" applyBorder="1" applyAlignment="1">
      <alignment horizontal="right" vertical="center" wrapText="1"/>
    </xf>
    <xf numFmtId="177" fontId="1" fillId="0" borderId="8" xfId="0" applyNumberFormat="1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177" fontId="1" fillId="0" borderId="10" xfId="0" applyNumberFormat="1" applyFont="1" applyBorder="1" applyAlignment="1">
      <alignment horizontal="center" vertical="center" wrapText="1"/>
    </xf>
    <xf numFmtId="0" fontId="6" fillId="0" borderId="7" xfId="0" applyFont="1" applyBorder="1" applyAlignment="1">
      <alignment vertical="top"/>
    </xf>
    <xf numFmtId="0" fontId="6" fillId="0" borderId="8" xfId="0" applyFont="1" applyBorder="1" applyAlignment="1">
      <alignment vertical="top" wrapText="1"/>
    </xf>
    <xf numFmtId="0" fontId="1" fillId="0" borderId="15" xfId="0" applyFont="1" applyBorder="1" applyAlignment="1">
      <alignment horizontal="right" vertical="center"/>
    </xf>
    <xf numFmtId="0" fontId="7" fillId="0" borderId="74" xfId="0" applyFont="1" applyBorder="1" applyAlignment="1">
      <alignment vertical="center"/>
    </xf>
    <xf numFmtId="0" fontId="2" fillId="0" borderId="85" xfId="0" applyFont="1" applyBorder="1" applyAlignment="1">
      <alignment horizontal="center" vertical="center"/>
    </xf>
    <xf numFmtId="0" fontId="2" fillId="0" borderId="85" xfId="0" applyFont="1" applyBorder="1" applyAlignment="1">
      <alignment vertical="center"/>
    </xf>
    <xf numFmtId="177" fontId="2" fillId="0" borderId="75" xfId="0" applyNumberFormat="1" applyFont="1" applyBorder="1" applyAlignment="1">
      <alignment vertical="center"/>
    </xf>
    <xf numFmtId="0" fontId="7" fillId="0" borderId="83" xfId="0" applyFont="1" applyBorder="1" applyAlignment="1">
      <alignment vertical="center"/>
    </xf>
    <xf numFmtId="0" fontId="8" fillId="0" borderId="84" xfId="0" applyFont="1" applyBorder="1" applyAlignment="1">
      <alignment vertical="center" wrapText="1"/>
    </xf>
    <xf numFmtId="0" fontId="8" fillId="0" borderId="84" xfId="0" applyFont="1" applyBorder="1" applyAlignment="1">
      <alignment horizontal="center" vertical="center"/>
    </xf>
    <xf numFmtId="0" fontId="8" fillId="0" borderId="84" xfId="0" applyFont="1" applyBorder="1" applyAlignment="1">
      <alignment vertical="center"/>
    </xf>
    <xf numFmtId="166" fontId="8" fillId="0" borderId="72" xfId="0" applyNumberFormat="1" applyFont="1" applyBorder="1" applyAlignment="1">
      <alignment vertical="center"/>
    </xf>
    <xf numFmtId="9" fontId="0" fillId="0" borderId="83" xfId="3" applyFont="1" applyBorder="1"/>
    <xf numFmtId="0" fontId="0" fillId="0" borderId="75" xfId="0" applyBorder="1" applyAlignment="1">
      <alignment vertical="center"/>
    </xf>
    <xf numFmtId="0" fontId="0" fillId="0" borderId="15" xfId="0" applyBorder="1" applyAlignment="1">
      <alignment horizontal="right" vertical="center"/>
    </xf>
    <xf numFmtId="0" fontId="0" fillId="0" borderId="15" xfId="0" applyBorder="1" applyAlignment="1">
      <alignment horizontal="center"/>
    </xf>
    <xf numFmtId="0" fontId="0" fillId="0" borderId="0" xfId="0" applyAlignment="1">
      <alignment horizontal="center" vertical="center" wrapText="1"/>
    </xf>
    <xf numFmtId="0" fontId="1" fillId="0" borderId="75" xfId="0" applyFont="1" applyBorder="1" applyAlignment="1">
      <alignment horizontal="center" vertical="center" wrapText="1"/>
    </xf>
    <xf numFmtId="0" fontId="1" fillId="0" borderId="73" xfId="0" applyFont="1" applyBorder="1" applyAlignment="1">
      <alignment horizontal="center" vertical="center" wrapText="1"/>
    </xf>
    <xf numFmtId="164" fontId="0" fillId="0" borderId="0" xfId="0" applyNumberFormat="1"/>
    <xf numFmtId="184" fontId="0" fillId="0" borderId="0" xfId="0" applyNumberFormat="1"/>
    <xf numFmtId="185" fontId="0" fillId="0" borderId="0" xfId="0" applyNumberFormat="1"/>
    <xf numFmtId="0" fontId="1" fillId="0" borderId="12" xfId="0" applyFont="1" applyBorder="1" applyAlignment="1">
      <alignment vertical="center"/>
    </xf>
    <xf numFmtId="2" fontId="0" fillId="0" borderId="0" xfId="0" applyNumberFormat="1"/>
    <xf numFmtId="0" fontId="7" fillId="0" borderId="8" xfId="0" applyFont="1" applyBorder="1" applyAlignment="1">
      <alignment horizontal="right" vertical="center" wrapText="1"/>
    </xf>
    <xf numFmtId="0" fontId="10" fillId="5" borderId="36" xfId="0" applyFont="1" applyFill="1" applyBorder="1" applyAlignment="1">
      <alignment horizontal="center"/>
    </xf>
    <xf numFmtId="0" fontId="10" fillId="5" borderId="21" xfId="0" applyFont="1" applyFill="1" applyBorder="1" applyAlignment="1">
      <alignment horizontal="center"/>
    </xf>
    <xf numFmtId="0" fontId="30" fillId="0" borderId="36" xfId="0" applyFont="1" applyBorder="1"/>
    <xf numFmtId="0" fontId="30" fillId="0" borderId="37" xfId="0" applyFont="1" applyBorder="1"/>
    <xf numFmtId="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4" fontId="2" fillId="0" borderId="0" xfId="0" applyNumberFormat="1" applyFont="1" applyAlignment="1">
      <alignment horizontal="center"/>
    </xf>
    <xf numFmtId="0" fontId="10" fillId="0" borderId="18" xfId="0" applyFont="1" applyBorder="1"/>
    <xf numFmtId="0" fontId="10" fillId="5" borderId="86" xfId="0" applyFont="1" applyFill="1" applyBorder="1" applyAlignment="1">
      <alignment horizontal="center"/>
    </xf>
    <xf numFmtId="0" fontId="31" fillId="0" borderId="14" xfId="0" applyFont="1" applyBorder="1" applyAlignment="1">
      <alignment horizontal="center" vertical="center" wrapText="1"/>
    </xf>
    <xf numFmtId="177" fontId="31" fillId="0" borderId="14" xfId="0" applyNumberFormat="1" applyFont="1" applyBorder="1" applyAlignment="1">
      <alignment horizontal="center" vertical="center" wrapText="1"/>
    </xf>
    <xf numFmtId="166" fontId="31" fillId="0" borderId="14" xfId="0" applyNumberFormat="1" applyFont="1" applyBorder="1" applyAlignment="1">
      <alignment vertical="center"/>
    </xf>
    <xf numFmtId="177" fontId="31" fillId="0" borderId="14" xfId="1" applyNumberFormat="1" applyFont="1" applyBorder="1" applyAlignment="1">
      <alignment vertical="center"/>
    </xf>
    <xf numFmtId="0" fontId="6" fillId="0" borderId="7" xfId="0" applyFont="1" applyBorder="1" applyAlignment="1">
      <alignment vertical="top" wrapText="1"/>
    </xf>
    <xf numFmtId="0" fontId="32" fillId="0" borderId="8" xfId="0" applyFont="1" applyBorder="1" applyAlignment="1">
      <alignment vertical="top" wrapText="1"/>
    </xf>
    <xf numFmtId="0" fontId="2" fillId="0" borderId="8" xfId="0" applyFont="1" applyBorder="1" applyAlignment="1">
      <alignment horizontal="left" vertical="center" wrapText="1"/>
    </xf>
    <xf numFmtId="0" fontId="0" fillId="0" borderId="8" xfId="0" applyBorder="1" applyAlignment="1">
      <alignment horizontal="left" vertical="center" wrapText="1"/>
    </xf>
    <xf numFmtId="0" fontId="0" fillId="0" borderId="0" xfId="0" applyAlignment="1">
      <alignment vertical="center" wrapText="1"/>
    </xf>
    <xf numFmtId="0" fontId="17" fillId="0" borderId="8" xfId="0" applyFont="1" applyBorder="1" applyAlignment="1">
      <alignment vertical="center" wrapText="1"/>
    </xf>
    <xf numFmtId="0" fontId="34" fillId="0" borderId="0" xfId="0" applyFont="1" applyAlignment="1">
      <alignment vertical="center" wrapText="1"/>
    </xf>
    <xf numFmtId="0" fontId="0" fillId="0" borderId="73" xfId="0" applyBorder="1" applyAlignment="1">
      <alignment vertical="center"/>
    </xf>
    <xf numFmtId="0" fontId="0" fillId="0" borderId="13" xfId="0" applyBorder="1" applyAlignment="1">
      <alignment vertical="center"/>
    </xf>
    <xf numFmtId="0" fontId="19" fillId="0" borderId="87" xfId="0" applyFont="1" applyBorder="1" applyAlignment="1">
      <alignment horizontal="center"/>
    </xf>
    <xf numFmtId="0" fontId="18" fillId="0" borderId="88" xfId="0" applyFont="1" applyBorder="1"/>
    <xf numFmtId="0" fontId="19" fillId="7" borderId="54" xfId="0" applyFont="1" applyFill="1" applyBorder="1" applyAlignment="1">
      <alignment horizontal="center"/>
    </xf>
    <xf numFmtId="0" fontId="36" fillId="0" borderId="8" xfId="0" applyFont="1" applyBorder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0" fontId="0" fillId="0" borderId="0" xfId="0" applyNumberFormat="1"/>
    <xf numFmtId="0" fontId="31" fillId="0" borderId="14" xfId="0" applyFont="1" applyBorder="1" applyAlignment="1">
      <alignment vertical="center"/>
    </xf>
    <xf numFmtId="14" fontId="32" fillId="0" borderId="49" xfId="0" applyNumberFormat="1" applyFont="1" applyBorder="1" applyAlignment="1">
      <alignment horizontal="center" vertical="center"/>
    </xf>
    <xf numFmtId="14" fontId="32" fillId="0" borderId="50" xfId="0" applyNumberFormat="1" applyFont="1" applyBorder="1" applyAlignment="1">
      <alignment horizontal="center" vertical="center"/>
    </xf>
    <xf numFmtId="14" fontId="32" fillId="0" borderId="50" xfId="0" applyNumberFormat="1" applyFont="1" applyBorder="1" applyAlignment="1">
      <alignment vertical="center"/>
    </xf>
    <xf numFmtId="14" fontId="32" fillId="0" borderId="51" xfId="0" applyNumberFormat="1" applyFont="1" applyBorder="1" applyAlignment="1">
      <alignment horizontal="center" vertical="center"/>
    </xf>
    <xf numFmtId="0" fontId="39" fillId="0" borderId="48" xfId="0" applyFont="1" applyBorder="1"/>
    <xf numFmtId="0" fontId="39" fillId="0" borderId="63" xfId="0" applyFont="1" applyBorder="1"/>
    <xf numFmtId="0" fontId="40" fillId="0" borderId="27" xfId="0" applyFont="1" applyBorder="1"/>
    <xf numFmtId="169" fontId="40" fillId="0" borderId="34" xfId="0" applyNumberFormat="1" applyFont="1" applyBorder="1"/>
    <xf numFmtId="175" fontId="41" fillId="0" borderId="34" xfId="0" applyNumberFormat="1" applyFont="1" applyBorder="1" applyAlignment="1">
      <alignment horizontal="left"/>
    </xf>
    <xf numFmtId="174" fontId="41" fillId="0" borderId="51" xfId="0" applyNumberFormat="1" applyFont="1" applyBorder="1" applyAlignment="1">
      <alignment horizontal="center"/>
    </xf>
    <xf numFmtId="0" fontId="31" fillId="0" borderId="46" xfId="0" applyFont="1" applyBorder="1"/>
    <xf numFmtId="0" fontId="31" fillId="0" borderId="10" xfId="0" applyFont="1" applyBorder="1"/>
    <xf numFmtId="0" fontId="31" fillId="0" borderId="13" xfId="0" applyFont="1" applyBorder="1"/>
    <xf numFmtId="2" fontId="31" fillId="0" borderId="13" xfId="0" applyNumberFormat="1" applyFont="1" applyBorder="1"/>
    <xf numFmtId="2" fontId="35" fillId="0" borderId="47" xfId="0" applyNumberFormat="1" applyFont="1" applyBorder="1" applyAlignment="1">
      <alignment horizontal="center"/>
    </xf>
    <xf numFmtId="0" fontId="31" fillId="0" borderId="43" xfId="0" applyFont="1" applyBorder="1"/>
    <xf numFmtId="0" fontId="31" fillId="0" borderId="72" xfId="0" applyFont="1" applyBorder="1"/>
    <xf numFmtId="0" fontId="31" fillId="0" borderId="15" xfId="0" applyFont="1" applyBorder="1"/>
    <xf numFmtId="2" fontId="35" fillId="0" borderId="44" xfId="0" applyNumberFormat="1" applyFont="1" applyBorder="1" applyAlignment="1">
      <alignment horizontal="center"/>
    </xf>
    <xf numFmtId="183" fontId="31" fillId="0" borderId="13" xfId="0" applyNumberFormat="1" applyFont="1" applyBorder="1"/>
    <xf numFmtId="183" fontId="35" fillId="0" borderId="44" xfId="0" applyNumberFormat="1" applyFont="1" applyBorder="1" applyAlignment="1">
      <alignment horizontal="center"/>
    </xf>
    <xf numFmtId="171" fontId="35" fillId="0" borderId="44" xfId="0" applyNumberFormat="1" applyFont="1" applyBorder="1" applyAlignment="1">
      <alignment horizontal="center"/>
    </xf>
    <xf numFmtId="0" fontId="35" fillId="0" borderId="44" xfId="0" applyFont="1" applyBorder="1" applyAlignment="1">
      <alignment horizontal="center"/>
    </xf>
    <xf numFmtId="2" fontId="31" fillId="0" borderId="15" xfId="0" applyNumberFormat="1" applyFont="1" applyBorder="1" applyAlignment="1">
      <alignment horizontal="center"/>
    </xf>
    <xf numFmtId="171" fontId="31" fillId="0" borderId="13" xfId="0" applyNumberFormat="1" applyFont="1" applyBorder="1"/>
    <xf numFmtId="171" fontId="31" fillId="0" borderId="15" xfId="0" applyNumberFormat="1" applyFont="1" applyBorder="1"/>
    <xf numFmtId="0" fontId="42" fillId="0" borderId="71" xfId="0" applyFont="1" applyBorder="1"/>
    <xf numFmtId="0" fontId="31" fillId="0" borderId="71" xfId="0" applyFont="1" applyBorder="1" applyAlignment="1">
      <alignment horizontal="left"/>
    </xf>
    <xf numFmtId="171" fontId="31" fillId="0" borderId="71" xfId="0" applyNumberFormat="1" applyFont="1" applyBorder="1" applyAlignment="1">
      <alignment horizontal="center"/>
    </xf>
    <xf numFmtId="171" fontId="31" fillId="0" borderId="15" xfId="0" applyNumberFormat="1" applyFont="1" applyBorder="1" applyAlignment="1">
      <alignment horizontal="center"/>
    </xf>
    <xf numFmtId="171" fontId="31" fillId="0" borderId="0" xfId="0" applyNumberFormat="1" applyFont="1" applyAlignment="1">
      <alignment horizontal="center"/>
    </xf>
    <xf numFmtId="0" fontId="43" fillId="0" borderId="0" xfId="0" applyFont="1"/>
    <xf numFmtId="0" fontId="35" fillId="0" borderId="15" xfId="0" applyFont="1" applyBorder="1" applyAlignment="1">
      <alignment horizontal="center"/>
    </xf>
    <xf numFmtId="0" fontId="31" fillId="0" borderId="0" xfId="0" applyFont="1"/>
    <xf numFmtId="2" fontId="35" fillId="0" borderId="15" xfId="0" applyNumberFormat="1" applyFont="1" applyBorder="1" applyAlignment="1">
      <alignment horizontal="center"/>
    </xf>
    <xf numFmtId="2" fontId="31" fillId="0" borderId="15" xfId="0" applyNumberFormat="1" applyFont="1" applyBorder="1"/>
    <xf numFmtId="0" fontId="31" fillId="0" borderId="15" xfId="0" applyFont="1" applyBorder="1" applyAlignment="1">
      <alignment horizontal="center"/>
    </xf>
    <xf numFmtId="0" fontId="31" fillId="0" borderId="3" xfId="0" applyFont="1" applyBorder="1"/>
    <xf numFmtId="0" fontId="31" fillId="0" borderId="16" xfId="0" applyFont="1" applyBorder="1"/>
    <xf numFmtId="0" fontId="31" fillId="0" borderId="45" xfId="0" applyFont="1" applyBorder="1" applyAlignment="1">
      <alignment horizontal="center"/>
    </xf>
    <xf numFmtId="0" fontId="10" fillId="3" borderId="74" xfId="0" applyFont="1" applyFill="1" applyBorder="1" applyAlignment="1">
      <alignment vertical="top"/>
    </xf>
    <xf numFmtId="0" fontId="0" fillId="5" borderId="0" xfId="0" applyFill="1"/>
    <xf numFmtId="0" fontId="0" fillId="10" borderId="0" xfId="0" applyFill="1"/>
    <xf numFmtId="0" fontId="1" fillId="0" borderId="0" xfId="0" applyFont="1" applyAlignment="1">
      <alignment vertical="center" wrapText="1"/>
    </xf>
    <xf numFmtId="177" fontId="43" fillId="0" borderId="90" xfId="1" applyNumberFormat="1" applyFont="1" applyBorder="1" applyAlignment="1">
      <alignment vertical="center"/>
    </xf>
    <xf numFmtId="0" fontId="2" fillId="0" borderId="91" xfId="0" applyFont="1" applyBorder="1" applyAlignment="1">
      <alignment horizontal="center" vertical="center"/>
    </xf>
    <xf numFmtId="0" fontId="2" fillId="0" borderId="92" xfId="0" applyFont="1" applyBorder="1" applyAlignment="1">
      <alignment horizontal="center" vertical="center"/>
    </xf>
    <xf numFmtId="177" fontId="43" fillId="0" borderId="92" xfId="1" applyNumberFormat="1" applyFont="1" applyBorder="1" applyAlignment="1">
      <alignment vertical="center"/>
    </xf>
    <xf numFmtId="0" fontId="10" fillId="5" borderId="0" xfId="0" applyFont="1" applyFill="1"/>
    <xf numFmtId="4" fontId="0" fillId="5" borderId="0" xfId="0" applyNumberFormat="1" applyFill="1"/>
    <xf numFmtId="4" fontId="2" fillId="0" borderId="0" xfId="0" applyNumberFormat="1" applyFont="1"/>
    <xf numFmtId="0" fontId="2" fillId="0" borderId="16" xfId="0" applyFont="1" applyBorder="1"/>
    <xf numFmtId="0" fontId="2" fillId="0" borderId="45" xfId="0" applyFont="1" applyBorder="1"/>
    <xf numFmtId="0" fontId="9" fillId="0" borderId="16" xfId="0" applyFont="1" applyBorder="1"/>
    <xf numFmtId="4" fontId="2" fillId="0" borderId="45" xfId="0" applyNumberFormat="1" applyFont="1" applyBorder="1"/>
    <xf numFmtId="0" fontId="2" fillId="0" borderId="65" xfId="0" applyFont="1" applyBorder="1"/>
    <xf numFmtId="4" fontId="2" fillId="0" borderId="93" xfId="0" applyNumberFormat="1" applyFont="1" applyBorder="1"/>
    <xf numFmtId="4" fontId="2" fillId="0" borderId="82" xfId="0" applyNumberFormat="1" applyFont="1" applyBorder="1"/>
    <xf numFmtId="0" fontId="0" fillId="0" borderId="15" xfId="0" applyBorder="1" applyAlignment="1">
      <alignment textRotation="90"/>
    </xf>
    <xf numFmtId="4" fontId="0" fillId="0" borderId="15" xfId="0" applyNumberFormat="1" applyBorder="1"/>
    <xf numFmtId="0" fontId="2" fillId="0" borderId="15" xfId="0" applyFont="1" applyBorder="1" applyAlignment="1">
      <alignment horizontal="center"/>
    </xf>
    <xf numFmtId="0" fontId="0" fillId="0" borderId="0" xfId="0" applyAlignment="1">
      <alignment horizontal="right"/>
    </xf>
    <xf numFmtId="177" fontId="43" fillId="5" borderId="90" xfId="1" applyNumberFormat="1" applyFont="1" applyFill="1" applyBorder="1" applyAlignment="1">
      <alignment vertical="center"/>
    </xf>
    <xf numFmtId="0" fontId="1" fillId="0" borderId="0" xfId="0" applyFont="1" applyAlignment="1">
      <alignment vertical="center"/>
    </xf>
    <xf numFmtId="0" fontId="0" fillId="0" borderId="8" xfId="0" applyBorder="1"/>
    <xf numFmtId="0" fontId="0" fillId="0" borderId="0" xfId="0" applyAlignment="1">
      <alignment horizontal="left" vertical="center"/>
    </xf>
    <xf numFmtId="177" fontId="43" fillId="0" borderId="7" xfId="1" applyNumberFormat="1" applyFont="1" applyBorder="1" applyAlignment="1">
      <alignment vertical="center"/>
    </xf>
    <xf numFmtId="0" fontId="0" fillId="0" borderId="64" xfId="0" applyBorder="1" applyAlignment="1">
      <alignment horizontal="center" vertical="center" wrapText="1"/>
    </xf>
    <xf numFmtId="0" fontId="0" fillId="0" borderId="81" xfId="0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0" fillId="0" borderId="45" xfId="0" applyBorder="1" applyAlignment="1">
      <alignment horizontal="center" vertical="center" wrapText="1"/>
    </xf>
    <xf numFmtId="0" fontId="0" fillId="0" borderId="65" xfId="0" applyBorder="1" applyAlignment="1">
      <alignment horizontal="center" vertical="center" wrapText="1"/>
    </xf>
    <xf numFmtId="0" fontId="0" fillId="0" borderId="82" xfId="0" applyBorder="1" applyAlignment="1">
      <alignment horizontal="center" vertical="center" wrapText="1"/>
    </xf>
    <xf numFmtId="0" fontId="0" fillId="0" borderId="8" xfId="0" applyBorder="1" applyAlignment="1">
      <alignment horizontal="center" vertical="top"/>
    </xf>
    <xf numFmtId="0" fontId="9" fillId="0" borderId="0" xfId="0" applyFont="1" applyAlignment="1">
      <alignment horizontal="center"/>
    </xf>
    <xf numFmtId="0" fontId="2" fillId="0" borderId="12" xfId="0" applyFont="1" applyBorder="1" applyAlignment="1">
      <alignment horizontal="center" vertical="top"/>
    </xf>
    <xf numFmtId="0" fontId="2" fillId="0" borderId="14" xfId="0" applyFont="1" applyBorder="1" applyAlignment="1">
      <alignment horizontal="center" vertical="top"/>
    </xf>
    <xf numFmtId="0" fontId="2" fillId="0" borderId="13" xfId="0" applyFont="1" applyBorder="1" applyAlignment="1">
      <alignment horizontal="center" vertical="top"/>
    </xf>
    <xf numFmtId="0" fontId="10" fillId="0" borderId="31" xfId="0" applyFont="1" applyBorder="1" applyAlignment="1">
      <alignment horizontal="center" vertical="center" wrapText="1"/>
    </xf>
    <xf numFmtId="0" fontId="10" fillId="0" borderId="18" xfId="0" applyFont="1" applyBorder="1" applyAlignment="1">
      <alignment horizontal="center" vertical="center" wrapText="1"/>
    </xf>
    <xf numFmtId="0" fontId="10" fillId="0" borderId="17" xfId="0" applyFont="1" applyBorder="1" applyAlignment="1">
      <alignment horizontal="center" vertical="center" wrapText="1"/>
    </xf>
    <xf numFmtId="0" fontId="10" fillId="0" borderId="24" xfId="0" applyFont="1" applyBorder="1" applyAlignment="1">
      <alignment horizontal="center" vertical="center" wrapText="1"/>
    </xf>
    <xf numFmtId="0" fontId="10" fillId="0" borderId="25" xfId="0" applyFont="1" applyBorder="1" applyAlignment="1">
      <alignment horizontal="center" vertical="center" wrapText="1"/>
    </xf>
    <xf numFmtId="0" fontId="10" fillId="0" borderId="26" xfId="0" applyFont="1" applyBorder="1" applyAlignment="1">
      <alignment horizontal="center" vertical="center" wrapText="1"/>
    </xf>
    <xf numFmtId="4" fontId="9" fillId="0" borderId="36" xfId="0" applyNumberFormat="1" applyFont="1" applyBorder="1" applyAlignment="1">
      <alignment horizontal="center" vertical="center"/>
    </xf>
    <xf numFmtId="4" fontId="9" fillId="0" borderId="21" xfId="0" applyNumberFormat="1" applyFont="1" applyBorder="1" applyAlignment="1">
      <alignment horizontal="center" vertical="center"/>
    </xf>
    <xf numFmtId="4" fontId="9" fillId="0" borderId="41" xfId="0" applyNumberFormat="1" applyFont="1" applyBorder="1" applyAlignment="1">
      <alignment horizontal="center" vertical="center"/>
    </xf>
    <xf numFmtId="4" fontId="9" fillId="0" borderId="28" xfId="0" applyNumberFormat="1" applyFont="1" applyBorder="1" applyAlignment="1">
      <alignment horizontal="center" vertical="center"/>
    </xf>
    <xf numFmtId="4" fontId="9" fillId="0" borderId="29" xfId="0" applyNumberFormat="1" applyFont="1" applyBorder="1" applyAlignment="1">
      <alignment horizontal="center" vertical="center"/>
    </xf>
    <xf numFmtId="4" fontId="9" fillId="0" borderId="30" xfId="0" applyNumberFormat="1" applyFont="1" applyBorder="1" applyAlignment="1">
      <alignment horizontal="center" vertical="center"/>
    </xf>
    <xf numFmtId="0" fontId="10" fillId="0" borderId="64" xfId="0" applyFont="1" applyBorder="1" applyAlignment="1">
      <alignment horizontal="center" vertical="center" wrapText="1"/>
    </xf>
    <xf numFmtId="0" fontId="10" fillId="0" borderId="16" xfId="0" applyFont="1" applyBorder="1" applyAlignment="1">
      <alignment horizontal="center" vertical="center" wrapText="1"/>
    </xf>
    <xf numFmtId="0" fontId="10" fillId="0" borderId="65" xfId="0" applyFont="1" applyBorder="1" applyAlignment="1">
      <alignment horizontal="center" vertical="center" wrapText="1"/>
    </xf>
    <xf numFmtId="0" fontId="10" fillId="5" borderId="31" xfId="0" applyFont="1" applyFill="1" applyBorder="1" applyAlignment="1">
      <alignment horizontal="center" vertical="center" wrapText="1"/>
    </xf>
    <xf numFmtId="0" fontId="10" fillId="5" borderId="18" xfId="0" applyFont="1" applyFill="1" applyBorder="1" applyAlignment="1">
      <alignment horizontal="center" vertical="center" wrapText="1"/>
    </xf>
    <xf numFmtId="0" fontId="10" fillId="5" borderId="17" xfId="0" applyFont="1" applyFill="1" applyBorder="1" applyAlignment="1">
      <alignment horizontal="center" vertical="center" wrapText="1"/>
    </xf>
    <xf numFmtId="0" fontId="30" fillId="0" borderId="31" xfId="0" applyFont="1" applyBorder="1" applyAlignment="1">
      <alignment horizontal="center" vertical="center" wrapText="1"/>
    </xf>
    <xf numFmtId="0" fontId="30" fillId="0" borderId="18" xfId="0" applyFont="1" applyBorder="1" applyAlignment="1">
      <alignment horizontal="center" vertical="center" wrapText="1"/>
    </xf>
    <xf numFmtId="0" fontId="30" fillId="0" borderId="17" xfId="0" applyFont="1" applyBorder="1" applyAlignment="1">
      <alignment horizontal="center" vertical="center" wrapText="1"/>
    </xf>
    <xf numFmtId="0" fontId="14" fillId="0" borderId="62" xfId="0" applyFont="1" applyBorder="1" applyAlignment="1">
      <alignment horizontal="center" vertical="center" wrapText="1"/>
    </xf>
    <xf numFmtId="0" fontId="14" fillId="0" borderId="40" xfId="0" applyFont="1" applyBorder="1" applyAlignment="1">
      <alignment horizontal="center" vertical="center" wrapText="1"/>
    </xf>
    <xf numFmtId="0" fontId="14" fillId="0" borderId="32" xfId="0" applyFont="1" applyBorder="1" applyAlignment="1">
      <alignment horizontal="center" vertical="center" wrapText="1"/>
    </xf>
    <xf numFmtId="0" fontId="14" fillId="0" borderId="33" xfId="0" applyFont="1" applyBorder="1" applyAlignment="1">
      <alignment horizontal="center" vertical="center" wrapText="1"/>
    </xf>
    <xf numFmtId="0" fontId="9" fillId="0" borderId="19" xfId="0" applyFont="1" applyBorder="1" applyAlignment="1">
      <alignment horizontal="center"/>
    </xf>
    <xf numFmtId="0" fontId="9" fillId="0" borderId="60" xfId="0" applyFont="1" applyBorder="1" applyAlignment="1">
      <alignment horizontal="center"/>
    </xf>
    <xf numFmtId="0" fontId="9" fillId="0" borderId="20" xfId="0" applyFont="1" applyBorder="1" applyAlignment="1">
      <alignment horizontal="center"/>
    </xf>
    <xf numFmtId="0" fontId="9" fillId="0" borderId="61" xfId="0" applyFont="1" applyBorder="1" applyAlignment="1">
      <alignment horizontal="center"/>
    </xf>
    <xf numFmtId="0" fontId="0" fillId="0" borderId="15" xfId="0" applyBorder="1" applyAlignment="1">
      <alignment horizontal="center"/>
    </xf>
    <xf numFmtId="172" fontId="0" fillId="0" borderId="15" xfId="0" applyNumberFormat="1" applyBorder="1" applyAlignment="1">
      <alignment horizontal="center"/>
    </xf>
    <xf numFmtId="0" fontId="23" fillId="0" borderId="9" xfId="0" applyFont="1" applyBorder="1" applyAlignment="1">
      <alignment horizontal="center" vertical="top" wrapText="1"/>
    </xf>
    <xf numFmtId="179" fontId="5" fillId="0" borderId="7" xfId="2" applyNumberFormat="1" applyBorder="1" applyAlignment="1">
      <alignment horizontal="left"/>
    </xf>
    <xf numFmtId="179" fontId="5" fillId="0" borderId="8" xfId="2" applyNumberFormat="1" applyBorder="1" applyAlignment="1">
      <alignment horizontal="left"/>
    </xf>
    <xf numFmtId="0" fontId="1" fillId="0" borderId="12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14" fontId="3" fillId="2" borderId="2" xfId="0" applyNumberFormat="1" applyFont="1" applyFill="1" applyBorder="1" applyAlignment="1">
      <alignment horizontal="center" vertical="center"/>
    </xf>
    <xf numFmtId="181" fontId="5" fillId="0" borderId="7" xfId="2" applyNumberFormat="1" applyBorder="1" applyAlignment="1">
      <alignment horizontal="left" vertical="center"/>
    </xf>
    <xf numFmtId="181" fontId="5" fillId="0" borderId="8" xfId="2" applyNumberFormat="1" applyBorder="1" applyAlignment="1">
      <alignment horizontal="left" vertical="center"/>
    </xf>
    <xf numFmtId="0" fontId="4" fillId="0" borderId="7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180" fontId="5" fillId="0" borderId="7" xfId="2" applyNumberFormat="1" applyBorder="1" applyAlignment="1">
      <alignment horizontal="left"/>
    </xf>
    <xf numFmtId="180" fontId="1" fillId="0" borderId="8" xfId="2" applyNumberFormat="1" applyFont="1" applyBorder="1" applyAlignment="1">
      <alignment horizontal="left"/>
    </xf>
    <xf numFmtId="0" fontId="0" fillId="0" borderId="7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8" xfId="0" applyBorder="1" applyAlignment="1">
      <alignment horizontal="center" vertical="center"/>
    </xf>
    <xf numFmtId="182" fontId="5" fillId="0" borderId="7" xfId="2" applyNumberFormat="1" applyBorder="1" applyAlignment="1">
      <alignment horizontal="left" vertical="top" wrapText="1"/>
    </xf>
    <xf numFmtId="182" fontId="5" fillId="0" borderId="8" xfId="2" applyNumberFormat="1" applyBorder="1" applyAlignment="1">
      <alignment horizontal="left" vertical="top" wrapText="1"/>
    </xf>
    <xf numFmtId="0" fontId="0" fillId="0" borderId="12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180" fontId="8" fillId="0" borderId="5" xfId="0" applyNumberFormat="1" applyFont="1" applyBorder="1" applyAlignment="1">
      <alignment horizontal="left" vertical="center" wrapText="1"/>
    </xf>
    <xf numFmtId="0" fontId="8" fillId="0" borderId="5" xfId="0" applyFont="1" applyBorder="1" applyAlignment="1">
      <alignment horizontal="left" vertical="center" wrapText="1"/>
    </xf>
    <xf numFmtId="0" fontId="8" fillId="0" borderId="6" xfId="0" applyFont="1" applyBorder="1" applyAlignment="1">
      <alignment horizontal="left" vertical="center" wrapText="1"/>
    </xf>
    <xf numFmtId="0" fontId="8" fillId="0" borderId="9" xfId="0" applyFont="1" applyBorder="1" applyAlignment="1">
      <alignment horizontal="left" vertical="center"/>
    </xf>
    <xf numFmtId="0" fontId="8" fillId="0" borderId="10" xfId="0" applyFont="1" applyBorder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2" fillId="0" borderId="49" xfId="0" applyFont="1" applyBorder="1" applyAlignment="1">
      <alignment horizontal="center" vertical="center"/>
    </xf>
    <xf numFmtId="0" fontId="2" fillId="0" borderId="50" xfId="0" applyFont="1" applyBorder="1" applyAlignment="1">
      <alignment horizontal="center" vertical="center"/>
    </xf>
    <xf numFmtId="0" fontId="2" fillId="0" borderId="89" xfId="0" applyFont="1" applyBorder="1" applyAlignment="1">
      <alignment horizontal="center" vertical="center"/>
    </xf>
    <xf numFmtId="0" fontId="2" fillId="0" borderId="5" xfId="0" applyFont="1" applyBorder="1" applyAlignment="1">
      <alignment horizontal="left" vertical="center" wrapText="1"/>
    </xf>
    <xf numFmtId="0" fontId="6" fillId="0" borderId="7" xfId="0" applyFont="1" applyBorder="1" applyAlignment="1">
      <alignment horizontal="left" vertical="top" wrapText="1"/>
    </xf>
    <xf numFmtId="0" fontId="6" fillId="0" borderId="8" xfId="0" applyFont="1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2" fillId="5" borderId="49" xfId="0" applyFont="1" applyFill="1" applyBorder="1" applyAlignment="1">
      <alignment horizontal="center" vertical="center"/>
    </xf>
    <xf numFmtId="0" fontId="2" fillId="5" borderId="50" xfId="0" applyFont="1" applyFill="1" applyBorder="1" applyAlignment="1">
      <alignment horizontal="center" vertical="center"/>
    </xf>
    <xf numFmtId="0" fontId="2" fillId="5" borderId="89" xfId="0" applyFont="1" applyFill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179" fontId="1" fillId="0" borderId="8" xfId="2" applyNumberFormat="1" applyFont="1" applyBorder="1" applyAlignment="1">
      <alignment horizontal="left"/>
    </xf>
    <xf numFmtId="182" fontId="5" fillId="0" borderId="11" xfId="2" applyNumberFormat="1" applyBorder="1" applyAlignment="1">
      <alignment horizontal="left" vertical="top" wrapText="1"/>
    </xf>
    <xf numFmtId="182" fontId="5" fillId="0" borderId="10" xfId="2" applyNumberFormat="1" applyBorder="1" applyAlignment="1">
      <alignment horizontal="left" vertical="top" wrapText="1"/>
    </xf>
    <xf numFmtId="0" fontId="1" fillId="0" borderId="7" xfId="0" applyFont="1" applyBorder="1" applyAlignment="1">
      <alignment horizontal="center" vertical="center"/>
    </xf>
    <xf numFmtId="177" fontId="0" fillId="0" borderId="15" xfId="0" applyNumberFormat="1" applyBorder="1" applyAlignment="1">
      <alignment horizontal="center" vertical="top"/>
    </xf>
    <xf numFmtId="0" fontId="0" fillId="0" borderId="15" xfId="0" applyBorder="1" applyAlignment="1">
      <alignment horizontal="center" vertical="top"/>
    </xf>
    <xf numFmtId="0" fontId="23" fillId="0" borderId="0" xfId="0" applyFont="1" applyAlignment="1">
      <alignment horizontal="center" vertical="top" wrapText="1"/>
    </xf>
    <xf numFmtId="0" fontId="3" fillId="2" borderId="83" xfId="0" applyFont="1" applyFill="1" applyBorder="1" applyAlignment="1">
      <alignment horizontal="center" vertical="center"/>
    </xf>
    <xf numFmtId="0" fontId="3" fillId="2" borderId="84" xfId="0" applyFont="1" applyFill="1" applyBorder="1" applyAlignment="1">
      <alignment horizontal="center" vertical="center"/>
    </xf>
    <xf numFmtId="14" fontId="3" fillId="2" borderId="84" xfId="0" applyNumberFormat="1" applyFont="1" applyFill="1" applyBorder="1" applyAlignment="1">
      <alignment horizontal="center" vertical="center"/>
    </xf>
    <xf numFmtId="0" fontId="4" fillId="0" borderId="74" xfId="0" applyFont="1" applyBorder="1" applyAlignment="1">
      <alignment horizontal="center" vertical="center"/>
    </xf>
    <xf numFmtId="0" fontId="4" fillId="0" borderId="85" xfId="0" applyFont="1" applyBorder="1" applyAlignment="1">
      <alignment horizontal="center" vertical="center"/>
    </xf>
    <xf numFmtId="0" fontId="4" fillId="0" borderId="75" xfId="0" applyFont="1" applyBorder="1" applyAlignment="1">
      <alignment horizontal="center" vertical="center"/>
    </xf>
    <xf numFmtId="49" fontId="27" fillId="0" borderId="0" xfId="0" applyNumberFormat="1" applyFont="1" applyAlignment="1">
      <alignment horizontal="left" vertical="center" wrapText="1"/>
    </xf>
    <xf numFmtId="0" fontId="0" fillId="2" borderId="83" xfId="0" applyFill="1" applyBorder="1" applyAlignment="1">
      <alignment horizontal="center" vertical="center"/>
    </xf>
    <xf numFmtId="0" fontId="0" fillId="2" borderId="84" xfId="0" applyFill="1" applyBorder="1" applyAlignment="1">
      <alignment horizontal="center" vertical="center"/>
    </xf>
    <xf numFmtId="0" fontId="0" fillId="2" borderId="72" xfId="0" applyFill="1" applyBorder="1" applyAlignment="1">
      <alignment horizontal="center" vertical="center"/>
    </xf>
    <xf numFmtId="49" fontId="17" fillId="0" borderId="0" xfId="0" applyNumberFormat="1" applyFont="1" applyAlignment="1">
      <alignment horizontal="left" vertical="center" wrapText="1"/>
    </xf>
    <xf numFmtId="49" fontId="29" fillId="0" borderId="0" xfId="0" applyNumberFormat="1" applyFont="1" applyAlignment="1">
      <alignment horizontal="left" vertical="center" wrapText="1"/>
    </xf>
    <xf numFmtId="49" fontId="28" fillId="0" borderId="0" xfId="0" applyNumberFormat="1" applyFont="1" applyAlignment="1">
      <alignment horizontal="left" vertical="center" wrapText="1"/>
    </xf>
    <xf numFmtId="0" fontId="0" fillId="0" borderId="73" xfId="0" applyBorder="1" applyAlignment="1">
      <alignment horizontal="center" vertical="center" wrapText="1"/>
    </xf>
    <xf numFmtId="0" fontId="1" fillId="0" borderId="75" xfId="0" applyFont="1" applyBorder="1" applyAlignment="1">
      <alignment horizontal="center" vertical="center" wrapText="1"/>
    </xf>
    <xf numFmtId="0" fontId="1" fillId="0" borderId="73" xfId="0" applyFont="1" applyBorder="1" applyAlignment="1">
      <alignment horizontal="center" vertical="center" wrapText="1"/>
    </xf>
    <xf numFmtId="0" fontId="2" fillId="0" borderId="85" xfId="0" applyFont="1" applyBorder="1" applyAlignment="1">
      <alignment horizontal="left" vertical="center" wrapText="1"/>
    </xf>
    <xf numFmtId="180" fontId="8" fillId="0" borderId="85" xfId="0" applyNumberFormat="1" applyFont="1" applyBorder="1" applyAlignment="1">
      <alignment horizontal="left" vertical="center" wrapText="1"/>
    </xf>
    <xf numFmtId="0" fontId="8" fillId="0" borderId="85" xfId="0" applyFont="1" applyBorder="1" applyAlignment="1">
      <alignment horizontal="left" vertical="center" wrapText="1"/>
    </xf>
    <xf numFmtId="0" fontId="8" fillId="0" borderId="75" xfId="0" applyFont="1" applyBorder="1" applyAlignment="1">
      <alignment horizontal="left" vertical="center" wrapText="1"/>
    </xf>
    <xf numFmtId="177" fontId="7" fillId="0" borderId="7" xfId="0" applyNumberFormat="1" applyFont="1" applyBorder="1" applyAlignment="1">
      <alignment vertical="center" wrapText="1"/>
    </xf>
    <xf numFmtId="177" fontId="7" fillId="0" borderId="0" xfId="0" applyNumberFormat="1" applyFont="1" applyAlignment="1">
      <alignment vertical="center" wrapText="1"/>
    </xf>
    <xf numFmtId="177" fontId="7" fillId="0" borderId="8" xfId="0" applyNumberFormat="1" applyFont="1" applyBorder="1" applyAlignment="1">
      <alignment vertical="center" wrapText="1"/>
    </xf>
    <xf numFmtId="0" fontId="17" fillId="0" borderId="0" xfId="0" applyFont="1" applyAlignment="1">
      <alignment horizontal="left" vertical="center"/>
    </xf>
    <xf numFmtId="0" fontId="17" fillId="0" borderId="8" xfId="0" applyFont="1" applyBorder="1" applyAlignment="1">
      <alignment horizontal="left" vertical="center"/>
    </xf>
    <xf numFmtId="0" fontId="8" fillId="0" borderId="8" xfId="0" applyFont="1" applyBorder="1" applyAlignment="1">
      <alignment horizontal="left" vertical="center" wrapText="1"/>
    </xf>
    <xf numFmtId="0" fontId="2" fillId="0" borderId="85" xfId="0" applyFont="1" applyBorder="1" applyAlignment="1">
      <alignment horizontal="center"/>
    </xf>
    <xf numFmtId="0" fontId="0" fillId="0" borderId="0" xfId="0" applyAlignment="1">
      <alignment horizontal="center"/>
    </xf>
    <xf numFmtId="0" fontId="2" fillId="0" borderId="49" xfId="0" applyFont="1" applyBorder="1" applyAlignment="1">
      <alignment horizontal="center"/>
    </xf>
    <xf numFmtId="0" fontId="2" fillId="0" borderId="50" xfId="0" applyFont="1" applyBorder="1" applyAlignment="1">
      <alignment horizontal="center"/>
    </xf>
    <xf numFmtId="0" fontId="2" fillId="0" borderId="51" xfId="0" applyFont="1" applyBorder="1" applyAlignment="1">
      <alignment horizontal="center"/>
    </xf>
    <xf numFmtId="0" fontId="8" fillId="0" borderId="49" xfId="0" applyFont="1" applyBorder="1" applyAlignment="1">
      <alignment horizontal="center"/>
    </xf>
    <xf numFmtId="0" fontId="8" fillId="0" borderId="50" xfId="0" applyFont="1" applyBorder="1" applyAlignment="1">
      <alignment horizontal="center"/>
    </xf>
    <xf numFmtId="0" fontId="8" fillId="0" borderId="51" xfId="0" applyFont="1" applyBorder="1" applyAlignment="1">
      <alignment horizontal="center"/>
    </xf>
  </cellXfs>
  <cellStyles count="5">
    <cellStyle name="Monedă" xfId="1" builtinId="4"/>
    <cellStyle name="Normal" xfId="0" builtinId="0"/>
    <cellStyle name="Normal 2" xfId="2" xr:uid="{B70E6947-1EB1-4529-9D7B-67E6282C4EFE}"/>
    <cellStyle name="Normal 3" xfId="4" xr:uid="{6D8E2B18-FC24-45B6-877A-8C571DB9D469}"/>
    <cellStyle name="Procent" xfId="3" builtinId="5"/>
  </cellStyles>
  <dxfs count="186"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0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theme="0"/>
      </font>
      <fill>
        <patternFill patternType="none">
          <bgColor auto="1"/>
        </patternFill>
      </fill>
    </dxf>
    <dxf>
      <fill>
        <patternFill>
          <bgColor theme="1" tint="0.499984740745262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theme="0"/>
      </font>
      <fill>
        <patternFill patternType="none">
          <bgColor auto="1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theme="0"/>
      </font>
      <fill>
        <patternFill patternType="none">
          <bgColor auto="1"/>
        </patternFill>
      </fill>
    </dxf>
    <dxf>
      <fill>
        <patternFill>
          <bgColor theme="1" tint="0.499984740745262"/>
        </patternFill>
      </fill>
    </dxf>
    <dxf>
      <font>
        <color theme="0"/>
      </font>
      <fill>
        <patternFill patternType="none">
          <bgColor auto="1"/>
        </patternFill>
      </fill>
    </dxf>
    <dxf>
      <fill>
        <patternFill>
          <bgColor theme="1" tint="0.499984740745262"/>
        </patternFill>
      </fill>
    </dxf>
    <dxf>
      <font>
        <color theme="0"/>
      </font>
      <fill>
        <patternFill patternType="none">
          <bgColor auto="1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theme="0"/>
      </font>
      <fill>
        <patternFill patternType="none">
          <bgColor auto="1"/>
        </patternFill>
      </fill>
    </dxf>
    <dxf>
      <fill>
        <patternFill>
          <bgColor theme="1" tint="0.499984740745262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theme="0"/>
      </font>
      <fill>
        <patternFill patternType="none">
          <bgColor auto="1"/>
        </patternFill>
      </fill>
    </dxf>
    <dxf>
      <fill>
        <patternFill>
          <bgColor theme="1" tint="0.499984740745262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theme="0"/>
      </font>
      <fill>
        <patternFill patternType="none">
          <bgColor auto="1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</dxfs>
  <tableStyles count="0" defaultTableStyle="TableStyleMedium2" defaultPivotStyle="PivotStyleLight16"/>
  <colors>
    <mruColors>
      <color rgb="FFFF99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o-R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Répartition</a:t>
            </a:r>
            <a:r>
              <a:rPr lang="fr-FR" baseline="0"/>
              <a:t> des coûts</a:t>
            </a:r>
            <a:endParaRPr lang="fr-F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11C2-41FB-B14E-BE01C9D38E3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11C2-41FB-B14E-BE01C9D38E3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11C2-41FB-B14E-BE01C9D38E3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11C2-41FB-B14E-BE01C9D38E3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11C2-41FB-B14E-BE01C9D38E3B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'MODELE SCGB'!$R$65:$V$65</c:f>
              <c:strCache>
                <c:ptCount val="5"/>
                <c:pt idx="0">
                  <c:v>Fourniture</c:v>
                </c:pt>
                <c:pt idx="1">
                  <c:v>Transport</c:v>
                </c:pt>
                <c:pt idx="2">
                  <c:v>Etude</c:v>
                </c:pt>
                <c:pt idx="3">
                  <c:v>Levage</c:v>
                </c:pt>
                <c:pt idx="4">
                  <c:v>MO chantier</c:v>
                </c:pt>
              </c:strCache>
            </c:strRef>
          </c:cat>
          <c:val>
            <c:numRef>
              <c:f>'MODELE SCGB'!$R$66:$V$66</c:f>
              <c:numCache>
                <c:formatCode>#,##0.00\ "€"</c:formatCode>
                <c:ptCount val="5"/>
                <c:pt idx="0">
                  <c:v>0</c:v>
                </c:pt>
                <c:pt idx="1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11C2-41FB-B14E-BE01C9D38E3B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2447925</xdr:colOff>
      <xdr:row>13</xdr:row>
      <xdr:rowOff>85726</xdr:rowOff>
    </xdr:from>
    <xdr:to>
      <xdr:col>10</xdr:col>
      <xdr:colOff>266700</xdr:colOff>
      <xdr:row>15</xdr:row>
      <xdr:rowOff>28576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644FA743-C65A-4B65-8022-6CAB0CB3ED07}"/>
            </a:ext>
          </a:extLst>
        </xdr:cNvPr>
        <xdr:cNvSpPr txBox="1"/>
      </xdr:nvSpPr>
      <xdr:spPr>
        <a:xfrm>
          <a:off x="2447925" y="2562226"/>
          <a:ext cx="7105650" cy="3238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1100"/>
            <a:t>TOTAL = ( MAT + MO ) + </a:t>
          </a:r>
          <a:r>
            <a:rPr lang="fr-F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 MAT + MO ) x</a:t>
          </a:r>
          <a:r>
            <a:rPr lang="fr-FR" sz="1100" baseline="0"/>
            <a:t> 30% bénéfice + (</a:t>
          </a:r>
          <a:r>
            <a:rPr lang="fr-F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 MAT + MO ) + ( MAT + MO ) x</a:t>
          </a:r>
          <a:r>
            <a:rPr lang="fr-F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30% bénéfice ) x </a:t>
          </a:r>
          <a:r>
            <a:rPr lang="fr-FR" sz="1100" baseline="0"/>
            <a:t>7% FG</a:t>
          </a:r>
          <a:endParaRPr lang="fr-FR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1</xdr:row>
      <xdr:rowOff>28576</xdr:rowOff>
    </xdr:from>
    <xdr:to>
      <xdr:col>2</xdr:col>
      <xdr:colOff>1360983</xdr:colOff>
      <xdr:row>6</xdr:row>
      <xdr:rowOff>114301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80504D3B-4606-46ED-BE34-EDF6392F6DC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626" t="13637" b="10811"/>
        <a:stretch/>
      </xdr:blipFill>
      <xdr:spPr>
        <a:xfrm>
          <a:off x="990600" y="28576"/>
          <a:ext cx="2239603" cy="1083945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</xdr:colOff>
      <xdr:row>1</xdr:row>
      <xdr:rowOff>28576</xdr:rowOff>
    </xdr:from>
    <xdr:to>
      <xdr:col>2</xdr:col>
      <xdr:colOff>1360983</xdr:colOff>
      <xdr:row>6</xdr:row>
      <xdr:rowOff>114301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7F017C67-EA35-4BE8-95FA-A9A8584D9FA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626" t="13637" b="10811"/>
        <a:stretch/>
      </xdr:blipFill>
      <xdr:spPr>
        <a:xfrm>
          <a:off x="990600" y="28576"/>
          <a:ext cx="2239603" cy="108394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1</xdr:row>
      <xdr:rowOff>28576</xdr:rowOff>
    </xdr:from>
    <xdr:to>
      <xdr:col>2</xdr:col>
      <xdr:colOff>1360983</xdr:colOff>
      <xdr:row>6</xdr:row>
      <xdr:rowOff>114301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ACAEB1DD-F2AF-4176-B59A-78769F8373C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626" t="13637" b="10811"/>
        <a:stretch/>
      </xdr:blipFill>
      <xdr:spPr>
        <a:xfrm>
          <a:off x="990600" y="501016"/>
          <a:ext cx="2237283" cy="1083945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</xdr:colOff>
      <xdr:row>1</xdr:row>
      <xdr:rowOff>28576</xdr:rowOff>
    </xdr:from>
    <xdr:to>
      <xdr:col>2</xdr:col>
      <xdr:colOff>1360983</xdr:colOff>
      <xdr:row>6</xdr:row>
      <xdr:rowOff>114301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402DD933-4151-4B44-A334-240DC9210CB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626" t="13637" b="10811"/>
        <a:stretch/>
      </xdr:blipFill>
      <xdr:spPr>
        <a:xfrm>
          <a:off x="990600" y="501016"/>
          <a:ext cx="2237283" cy="108394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1</xdr:row>
      <xdr:rowOff>28576</xdr:rowOff>
    </xdr:from>
    <xdr:to>
      <xdr:col>2</xdr:col>
      <xdr:colOff>1195331</xdr:colOff>
      <xdr:row>6</xdr:row>
      <xdr:rowOff>114301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A6D0CCBE-7387-411F-B3D8-37B4D734B32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626" t="13637" b="10811"/>
        <a:stretch/>
      </xdr:blipFill>
      <xdr:spPr>
        <a:xfrm>
          <a:off x="990600" y="501016"/>
          <a:ext cx="2239271" cy="1083945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</xdr:colOff>
      <xdr:row>1</xdr:row>
      <xdr:rowOff>28576</xdr:rowOff>
    </xdr:from>
    <xdr:to>
      <xdr:col>2</xdr:col>
      <xdr:colOff>1195331</xdr:colOff>
      <xdr:row>6</xdr:row>
      <xdr:rowOff>114301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AC7E7C1F-B3BA-4003-8824-817BAD84590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626" t="13637" b="10811"/>
        <a:stretch/>
      </xdr:blipFill>
      <xdr:spPr>
        <a:xfrm>
          <a:off x="990600" y="501016"/>
          <a:ext cx="2239271" cy="108394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72886</xdr:colOff>
      <xdr:row>1</xdr:row>
      <xdr:rowOff>19878</xdr:rowOff>
    </xdr:from>
    <xdr:to>
      <xdr:col>2</xdr:col>
      <xdr:colOff>1754948</xdr:colOff>
      <xdr:row>6</xdr:row>
      <xdr:rowOff>91183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420960B1-9A45-4769-AA4D-1972B8CBF4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25386" y="492318"/>
          <a:ext cx="2360242" cy="1069525"/>
        </a:xfrm>
        <a:prstGeom prst="rect">
          <a:avLst/>
        </a:prstGeom>
      </xdr:spPr>
    </xdr:pic>
    <xdr:clientData/>
  </xdr:twoCellAnchor>
  <xdr:twoCellAnchor>
    <xdr:from>
      <xdr:col>16</xdr:col>
      <xdr:colOff>617220</xdr:colOff>
      <xdr:row>67</xdr:row>
      <xdr:rowOff>110490</xdr:rowOff>
    </xdr:from>
    <xdr:to>
      <xdr:col>22</xdr:col>
      <xdr:colOff>15240</xdr:colOff>
      <xdr:row>86</xdr:row>
      <xdr:rowOff>97971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F892782C-D82F-4EE4-83E2-B99EFD692DF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1</xdr:row>
      <xdr:rowOff>28576</xdr:rowOff>
    </xdr:from>
    <xdr:to>
      <xdr:col>2</xdr:col>
      <xdr:colOff>1413992</xdr:colOff>
      <xdr:row>6</xdr:row>
      <xdr:rowOff>114301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5748FF66-AE65-467E-811B-EA6B1916A4D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626" t="13637" b="10811"/>
        <a:stretch/>
      </xdr:blipFill>
      <xdr:spPr>
        <a:xfrm>
          <a:off x="990600" y="501016"/>
          <a:ext cx="2240265" cy="1083945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</xdr:colOff>
      <xdr:row>1</xdr:row>
      <xdr:rowOff>28576</xdr:rowOff>
    </xdr:from>
    <xdr:to>
      <xdr:col>2</xdr:col>
      <xdr:colOff>1413992</xdr:colOff>
      <xdr:row>6</xdr:row>
      <xdr:rowOff>114301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9C16ACE6-07E8-4369-9164-47C867983A8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626" t="13637" b="10811"/>
        <a:stretch/>
      </xdr:blipFill>
      <xdr:spPr>
        <a:xfrm>
          <a:off x="990600" y="501016"/>
          <a:ext cx="2240265" cy="1083945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</xdr:colOff>
      <xdr:row>1</xdr:row>
      <xdr:rowOff>28576</xdr:rowOff>
    </xdr:from>
    <xdr:to>
      <xdr:col>2</xdr:col>
      <xdr:colOff>1417695</xdr:colOff>
      <xdr:row>6</xdr:row>
      <xdr:rowOff>114301</xdr:rowOff>
    </xdr:to>
    <xdr:pic>
      <xdr:nvPicPr>
        <xdr:cNvPr id="4" name="Image 1">
          <a:extLst>
            <a:ext uri="{FF2B5EF4-FFF2-40B4-BE49-F238E27FC236}">
              <a16:creationId xmlns:a16="http://schemas.microsoft.com/office/drawing/2014/main" id="{B5B4AC31-1384-445A-BCCC-96091A0356A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626" t="13637" b="10811"/>
        <a:stretch/>
      </xdr:blipFill>
      <xdr:spPr>
        <a:xfrm>
          <a:off x="990600" y="501016"/>
          <a:ext cx="2243968" cy="1083945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</xdr:colOff>
      <xdr:row>1</xdr:row>
      <xdr:rowOff>28576</xdr:rowOff>
    </xdr:from>
    <xdr:to>
      <xdr:col>2</xdr:col>
      <xdr:colOff>1417695</xdr:colOff>
      <xdr:row>6</xdr:row>
      <xdr:rowOff>114301</xdr:rowOff>
    </xdr:to>
    <xdr:pic>
      <xdr:nvPicPr>
        <xdr:cNvPr id="5" name="Image 2">
          <a:extLst>
            <a:ext uri="{FF2B5EF4-FFF2-40B4-BE49-F238E27FC236}">
              <a16:creationId xmlns:a16="http://schemas.microsoft.com/office/drawing/2014/main" id="{30593C28-1E64-408F-AE90-E1E3E2ED5F6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626" t="13637" b="10811"/>
        <a:stretch/>
      </xdr:blipFill>
      <xdr:spPr>
        <a:xfrm>
          <a:off x="990600" y="501016"/>
          <a:ext cx="2243968" cy="108394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printerSettings" Target="../printerSettings/printerSettings5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8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printerSettings" Target="../printerSettings/printerSettings10.bin"/><Relationship Id="rId1" Type="http://schemas.openxmlformats.org/officeDocument/2006/relationships/printerSettings" Target="../printerSettings/printerSettings9.bin"/><Relationship Id="rId4" Type="http://schemas.openxmlformats.org/officeDocument/2006/relationships/comments" Target="../comments1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1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3.bin"/><Relationship Id="rId4" Type="http://schemas.openxmlformats.org/officeDocument/2006/relationships/comments" Target="../comments3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14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5.bin"/><Relationship Id="rId4" Type="http://schemas.openxmlformats.org/officeDocument/2006/relationships/comments" Target="../comments5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6.bin"/><Relationship Id="rId4" Type="http://schemas.openxmlformats.org/officeDocument/2006/relationships/comments" Target="../comments6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7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8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1A4F01-C59D-4155-9BF1-B75526AE5866}">
  <sheetPr>
    <tabColor rgb="FFFF0000"/>
  </sheetPr>
  <dimension ref="A1:G9"/>
  <sheetViews>
    <sheetView showGridLines="0" workbookViewId="0">
      <selection activeCell="B10" sqref="B10"/>
    </sheetView>
  </sheetViews>
  <sheetFormatPr defaultColWidth="11.5546875" defaultRowHeight="14.4" outlineLevelCol="1"/>
  <cols>
    <col min="1" max="1" width="33" bestFit="1" customWidth="1"/>
    <col min="2" max="2" width="11.109375" bestFit="1" customWidth="1"/>
    <col min="3" max="3" width="13.109375" customWidth="1"/>
    <col min="5" max="5" width="29.33203125" hidden="1" customWidth="1" outlineLevel="1"/>
    <col min="6" max="6" width="30.33203125" hidden="1" customWidth="1" outlineLevel="1"/>
    <col min="7" max="7" width="11.5546875" collapsed="1"/>
  </cols>
  <sheetData>
    <row r="1" spans="1:6" ht="18">
      <c r="A1" s="136" t="s">
        <v>177</v>
      </c>
      <c r="B1" s="137" t="s">
        <v>178</v>
      </c>
      <c r="C1" s="138" t="s">
        <v>17</v>
      </c>
      <c r="E1" s="137" t="s">
        <v>225</v>
      </c>
      <c r="F1" s="137" t="s">
        <v>232</v>
      </c>
    </row>
    <row r="2" spans="1:6" ht="18">
      <c r="A2" s="80" t="s">
        <v>179</v>
      </c>
      <c r="B2" s="127">
        <v>22</v>
      </c>
      <c r="C2" s="81" t="s">
        <v>180</v>
      </c>
      <c r="E2" s="141" t="s">
        <v>224</v>
      </c>
      <c r="F2" s="141" t="s">
        <v>233</v>
      </c>
    </row>
    <row r="3" spans="1:6" ht="18">
      <c r="A3" s="80" t="s">
        <v>185</v>
      </c>
      <c r="B3" s="139">
        <v>0.1</v>
      </c>
      <c r="C3" s="81" t="s">
        <v>186</v>
      </c>
      <c r="E3" s="141" t="s">
        <v>35</v>
      </c>
      <c r="F3" s="141" t="s">
        <v>234</v>
      </c>
    </row>
    <row r="4" spans="1:6" ht="18">
      <c r="A4" s="80" t="s">
        <v>230</v>
      </c>
      <c r="B4" s="126">
        <v>0.3</v>
      </c>
      <c r="C4" s="81" t="s">
        <v>186</v>
      </c>
      <c r="E4" s="141" t="s">
        <v>134</v>
      </c>
      <c r="F4" s="141" t="s">
        <v>236</v>
      </c>
    </row>
    <row r="5" spans="1:6" ht="18">
      <c r="A5" s="80" t="s">
        <v>219</v>
      </c>
      <c r="B5" s="126">
        <v>0.2</v>
      </c>
      <c r="C5" s="81" t="s">
        <v>186</v>
      </c>
      <c r="E5" s="141" t="s">
        <v>113</v>
      </c>
      <c r="F5" s="141" t="s">
        <v>235</v>
      </c>
    </row>
    <row r="6" spans="1:6" ht="18">
      <c r="A6" s="80" t="s">
        <v>231</v>
      </c>
      <c r="B6" s="126">
        <v>0</v>
      </c>
      <c r="C6" s="81" t="s">
        <v>186</v>
      </c>
      <c r="E6" s="141"/>
      <c r="F6" s="141"/>
    </row>
    <row r="7" spans="1:6" ht="18">
      <c r="A7" s="80" t="s">
        <v>181</v>
      </c>
      <c r="B7" s="82">
        <v>4.8499999999999996</v>
      </c>
      <c r="C7" s="81" t="s">
        <v>183</v>
      </c>
      <c r="E7" s="141"/>
      <c r="F7" s="141"/>
    </row>
    <row r="8" spans="1:6" ht="18">
      <c r="A8" s="80" t="s">
        <v>182</v>
      </c>
      <c r="B8" s="82">
        <f>1/B7</f>
        <v>0.2061855670103093</v>
      </c>
      <c r="C8" s="81" t="s">
        <v>184</v>
      </c>
      <c r="E8" s="141"/>
      <c r="F8" s="141"/>
    </row>
    <row r="9" spans="1:6" ht="18">
      <c r="A9" s="80" t="s">
        <v>220</v>
      </c>
      <c r="B9" s="139">
        <v>7.0000000000000007E-2</v>
      </c>
      <c r="C9" s="81" t="s">
        <v>243</v>
      </c>
      <c r="E9" s="141"/>
      <c r="F9" s="141"/>
    </row>
  </sheetData>
  <sheetProtection formatColumns="0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A1A6E1-B441-4996-836E-81D290B2B96B}">
  <sheetPr>
    <tabColor rgb="FF7030A0"/>
  </sheetPr>
  <dimension ref="A1:J91"/>
  <sheetViews>
    <sheetView topLeftCell="B1" workbookViewId="0">
      <selection activeCell="F4" sqref="F4"/>
    </sheetView>
  </sheetViews>
  <sheetFormatPr defaultColWidth="11.5546875" defaultRowHeight="14.4" outlineLevelCol="1"/>
  <cols>
    <col min="1" max="1" width="27.109375" style="37" hidden="1" customWidth="1" outlineLevel="1"/>
    <col min="2" max="2" width="44.5546875" bestFit="1" customWidth="1" collapsed="1"/>
    <col min="3" max="3" width="7.6640625" customWidth="1"/>
    <col min="4" max="4" width="6" bestFit="1" customWidth="1"/>
    <col min="5" max="5" width="9.44140625" bestFit="1" customWidth="1"/>
    <col min="6" max="6" width="11.44140625" style="133"/>
    <col min="7" max="8" width="15.33203125" bestFit="1" customWidth="1"/>
  </cols>
  <sheetData>
    <row r="1" spans="1:10">
      <c r="A1" s="37" t="s">
        <v>135</v>
      </c>
      <c r="B1" s="38" t="s">
        <v>35</v>
      </c>
      <c r="C1" s="37" t="s">
        <v>176</v>
      </c>
      <c r="D1" s="38" t="s">
        <v>17</v>
      </c>
      <c r="E1" s="38" t="s">
        <v>229</v>
      </c>
      <c r="F1" s="131" t="s">
        <v>228</v>
      </c>
      <c r="G1" s="40">
        <f>GESTION!B6</f>
        <v>0</v>
      </c>
      <c r="H1" s="39">
        <f>GESTION!B3</f>
        <v>0.1</v>
      </c>
    </row>
    <row r="2" spans="1:10">
      <c r="A2" s="37" t="str" cm="1">
        <f t="array" ref="A2:A16">_xlfn.UNIQUE(_xlfn._xlws.FILTER(B2:B1000,NOT(ISBLANK(B2:B1000))))</f>
        <v>Etude Loftwood Construction</v>
      </c>
      <c r="B2" s="37" t="s">
        <v>26</v>
      </c>
      <c r="C2" s="37"/>
      <c r="D2" s="37" t="s">
        <v>387</v>
      </c>
      <c r="E2" s="132">
        <f>IFERROR(F2+G2+H2,"")</f>
        <v>660</v>
      </c>
      <c r="F2" s="132">
        <v>600</v>
      </c>
      <c r="G2" s="132">
        <f t="shared" ref="G2:G65" si="0">IF(B2="","",F2*$G$1)</f>
        <v>0</v>
      </c>
      <c r="H2" s="132">
        <f t="shared" ref="H2" si="1">IFERROR((F2+G2)*$H$1,"")</f>
        <v>60</v>
      </c>
    </row>
    <row r="3" spans="1:10">
      <c r="A3" s="37" t="str">
        <v>Transport Camion standard</v>
      </c>
      <c r="B3" s="37" t="s">
        <v>226</v>
      </c>
      <c r="C3" s="37"/>
      <c r="D3" s="37" t="s">
        <v>28</v>
      </c>
      <c r="E3" s="132">
        <f t="shared" ref="E3:E66" si="2">IFERROR(F3+G3+H3,"")</f>
        <v>3850</v>
      </c>
      <c r="F3" s="227">
        <v>3500</v>
      </c>
      <c r="G3" s="132">
        <f t="shared" ref="G3:G14" si="3">IF(B3="","",F3*$G$1)</f>
        <v>0</v>
      </c>
      <c r="H3" s="132">
        <f t="shared" ref="H3:H14" si="4">IFERROR((F3+G3)*$H$1,"")</f>
        <v>350</v>
      </c>
    </row>
    <row r="4" spans="1:10">
      <c r="A4" s="37" t="str">
        <v>Transport Camion Mega</v>
      </c>
      <c r="B4" s="37" t="s">
        <v>227</v>
      </c>
      <c r="C4" s="37"/>
      <c r="D4" s="37" t="s">
        <v>28</v>
      </c>
      <c r="E4" s="132">
        <f t="shared" si="2"/>
        <v>4235.0000000000009</v>
      </c>
      <c r="F4" s="227">
        <f>F3*1.1</f>
        <v>3850.0000000000005</v>
      </c>
      <c r="G4" s="132">
        <f t="shared" si="3"/>
        <v>0</v>
      </c>
      <c r="H4" s="132">
        <f t="shared" si="4"/>
        <v>385.00000000000006</v>
      </c>
    </row>
    <row r="5" spans="1:10">
      <c r="A5" s="37" t="str">
        <v>Charpente industrielle</v>
      </c>
      <c r="B5" s="37" t="s">
        <v>237</v>
      </c>
      <c r="C5" s="37"/>
      <c r="D5" s="37" t="s">
        <v>21</v>
      </c>
      <c r="E5" s="132">
        <f t="shared" si="2"/>
        <v>38.5</v>
      </c>
      <c r="F5" s="132">
        <v>35</v>
      </c>
      <c r="G5" s="132">
        <f t="shared" si="3"/>
        <v>0</v>
      </c>
      <c r="H5" s="132">
        <f t="shared" si="4"/>
        <v>3.5</v>
      </c>
    </row>
    <row r="6" spans="1:10">
      <c r="A6" s="37" t="str">
        <v>Forfait quincaillerie</v>
      </c>
      <c r="B6" s="37" t="s">
        <v>258</v>
      </c>
      <c r="C6" s="37"/>
      <c r="D6" s="37" t="s">
        <v>28</v>
      </c>
      <c r="E6" s="132">
        <f t="shared" si="2"/>
        <v>1100</v>
      </c>
      <c r="F6" s="132">
        <v>1000</v>
      </c>
      <c r="G6" s="132">
        <f t="shared" si="3"/>
        <v>0</v>
      </c>
      <c r="H6" s="132">
        <f t="shared" si="4"/>
        <v>100</v>
      </c>
    </row>
    <row r="7" spans="1:10" ht="15" thickBot="1">
      <c r="A7" s="37" t="str">
        <v>PSE CHANTIER</v>
      </c>
      <c r="B7" s="230" t="s">
        <v>262</v>
      </c>
      <c r="C7" s="230"/>
      <c r="D7" s="230" t="s">
        <v>21</v>
      </c>
      <c r="E7" s="231">
        <f t="shared" si="2"/>
        <v>27.753</v>
      </c>
      <c r="F7" s="231">
        <v>25.23</v>
      </c>
      <c r="G7" s="231">
        <f t="shared" si="3"/>
        <v>0</v>
      </c>
      <c r="H7" s="231">
        <f t="shared" si="4"/>
        <v>2.5230000000000001</v>
      </c>
    </row>
    <row r="8" spans="1:10" ht="14.4" customHeight="1">
      <c r="A8" s="229" t="str">
        <v>Transport camion tandem VAR (83)</v>
      </c>
      <c r="B8" s="232" t="s">
        <v>347</v>
      </c>
      <c r="C8" s="233"/>
      <c r="D8" s="233" t="s">
        <v>28</v>
      </c>
      <c r="E8" s="234">
        <f t="shared" si="2"/>
        <v>2530</v>
      </c>
      <c r="F8" s="235">
        <v>2300</v>
      </c>
      <c r="G8" s="234">
        <f t="shared" si="3"/>
        <v>0</v>
      </c>
      <c r="H8" s="240">
        <f t="shared" si="4"/>
        <v>230</v>
      </c>
      <c r="I8" s="376" t="s">
        <v>360</v>
      </c>
      <c r="J8" s="377"/>
    </row>
    <row r="9" spans="1:10">
      <c r="A9" s="229" t="str">
        <v>Transport camion standard BOUCHE-DU-RHONE (13)</v>
      </c>
      <c r="B9" s="86" t="s">
        <v>348</v>
      </c>
      <c r="C9" s="37"/>
      <c r="D9" s="37" t="s">
        <v>28</v>
      </c>
      <c r="E9" s="132">
        <f t="shared" si="2"/>
        <v>2200</v>
      </c>
      <c r="F9" s="228">
        <v>2000</v>
      </c>
      <c r="G9" s="132">
        <f t="shared" si="3"/>
        <v>0</v>
      </c>
      <c r="H9" s="241">
        <f t="shared" si="4"/>
        <v>200</v>
      </c>
      <c r="I9" s="378"/>
      <c r="J9" s="379"/>
    </row>
    <row r="10" spans="1:10" ht="15" thickBot="1">
      <c r="A10" s="229" t="str">
        <v>Transport camion standard ISERE (38)</v>
      </c>
      <c r="B10" s="236" t="s">
        <v>349</v>
      </c>
      <c r="C10" s="237"/>
      <c r="D10" s="237" t="s">
        <v>28</v>
      </c>
      <c r="E10" s="238">
        <f t="shared" si="2"/>
        <v>2530</v>
      </c>
      <c r="F10" s="239">
        <v>2300</v>
      </c>
      <c r="G10" s="238">
        <f t="shared" si="3"/>
        <v>0</v>
      </c>
      <c r="H10" s="242">
        <f t="shared" si="4"/>
        <v>230</v>
      </c>
      <c r="I10" s="380"/>
      <c r="J10" s="381"/>
    </row>
    <row r="11" spans="1:10">
      <c r="A11" s="37" t="str">
        <v>Déplacement</v>
      </c>
      <c r="B11" s="92" t="s">
        <v>350</v>
      </c>
      <c r="C11" s="92"/>
      <c r="D11" s="92" t="s">
        <v>28</v>
      </c>
      <c r="E11" s="218">
        <f t="shared" si="2"/>
        <v>1430</v>
      </c>
      <c r="F11" s="218">
        <v>1300</v>
      </c>
      <c r="G11" s="218">
        <f t="shared" si="3"/>
        <v>0</v>
      </c>
      <c r="H11" s="218">
        <f t="shared" si="4"/>
        <v>130</v>
      </c>
    </row>
    <row r="12" spans="1:10">
      <c r="A12" s="37" t="str">
        <v>Logement</v>
      </c>
      <c r="B12" s="37" t="s">
        <v>351</v>
      </c>
      <c r="C12" s="37"/>
      <c r="D12" s="37" t="s">
        <v>27</v>
      </c>
      <c r="E12" s="132">
        <f t="shared" si="2"/>
        <v>165</v>
      </c>
      <c r="F12" s="132">
        <f>50*3</f>
        <v>150</v>
      </c>
      <c r="G12" s="132">
        <f t="shared" si="3"/>
        <v>0</v>
      </c>
      <c r="H12" s="132">
        <f t="shared" si="4"/>
        <v>15</v>
      </c>
    </row>
    <row r="13" spans="1:10">
      <c r="A13" s="37" t="str">
        <v>Montage chantier</v>
      </c>
      <c r="B13" s="37" t="s">
        <v>352</v>
      </c>
      <c r="C13" s="37"/>
      <c r="D13" s="37" t="s">
        <v>27</v>
      </c>
      <c r="E13" s="132">
        <f t="shared" si="2"/>
        <v>997.92</v>
      </c>
      <c r="F13" s="132">
        <f>37.8*3*8</f>
        <v>907.19999999999993</v>
      </c>
      <c r="G13" s="132">
        <f t="shared" si="3"/>
        <v>0</v>
      </c>
      <c r="H13" s="132">
        <f t="shared" si="4"/>
        <v>90.72</v>
      </c>
    </row>
    <row r="14" spans="1:10">
      <c r="A14" s="37" t="str">
        <v>Engin de levage</v>
      </c>
      <c r="B14" s="37" t="s">
        <v>353</v>
      </c>
      <c r="C14" s="37"/>
      <c r="D14" s="37" t="s">
        <v>387</v>
      </c>
      <c r="E14" s="132">
        <f t="shared" si="2"/>
        <v>5720</v>
      </c>
      <c r="F14" s="132">
        <f>130*8*5</f>
        <v>5200</v>
      </c>
      <c r="G14" s="132">
        <f t="shared" si="3"/>
        <v>0</v>
      </c>
      <c r="H14" s="132">
        <f t="shared" si="4"/>
        <v>520</v>
      </c>
    </row>
    <row r="15" spans="1:10">
      <c r="A15" s="37" t="str">
        <v>Transport standard (75)</v>
      </c>
      <c r="B15" s="37" t="s">
        <v>385</v>
      </c>
      <c r="C15" s="37"/>
      <c r="D15" s="37" t="s">
        <v>28</v>
      </c>
      <c r="E15" s="132">
        <f t="shared" si="2"/>
        <v>3146</v>
      </c>
      <c r="F15" s="132">
        <f>1.3*2200</f>
        <v>2860</v>
      </c>
      <c r="G15" s="132">
        <f t="shared" si="0"/>
        <v>0</v>
      </c>
      <c r="H15" s="132">
        <f t="shared" ref="H15:H70" si="5">IFERROR((F15+G15)*$H$1,"")</f>
        <v>286</v>
      </c>
    </row>
    <row r="16" spans="1:10">
      <c r="A16" s="37" t="str">
        <v>Déplacement (75)</v>
      </c>
      <c r="B16" s="37" t="s">
        <v>384</v>
      </c>
      <c r="C16" s="37"/>
      <c r="D16" s="37" t="s">
        <v>28</v>
      </c>
      <c r="E16" s="132">
        <f t="shared" si="2"/>
        <v>2347.8399999999997</v>
      </c>
      <c r="F16" s="132">
        <f>2*(160+37.8*3*8)</f>
        <v>2134.3999999999996</v>
      </c>
      <c r="G16" s="132">
        <f t="shared" si="0"/>
        <v>0</v>
      </c>
      <c r="H16" s="132">
        <f t="shared" si="5"/>
        <v>213.43999999999997</v>
      </c>
    </row>
    <row r="17" spans="2:8">
      <c r="B17" s="37"/>
      <c r="C17" s="37"/>
      <c r="D17" s="37" t="str">
        <f>IFERROR(VLOOKUP(A17,'MATRICE COMPO'!$A:$H,3,FALSE),"")</f>
        <v/>
      </c>
      <c r="E17" s="132" t="str">
        <f t="shared" si="2"/>
        <v/>
      </c>
      <c r="F17" s="132"/>
      <c r="G17" s="132" t="str">
        <f t="shared" si="0"/>
        <v/>
      </c>
      <c r="H17" s="132" t="str">
        <f t="shared" si="5"/>
        <v/>
      </c>
    </row>
    <row r="18" spans="2:8">
      <c r="B18" s="37"/>
      <c r="C18" s="37"/>
      <c r="D18" s="37" t="str">
        <f>IFERROR(VLOOKUP(A18,'MATRICE COMPO'!$A:$H,3,FALSE),"")</f>
        <v/>
      </c>
      <c r="E18" s="132" t="str">
        <f t="shared" si="2"/>
        <v/>
      </c>
      <c r="F18" s="132"/>
      <c r="G18" s="132" t="str">
        <f t="shared" si="0"/>
        <v/>
      </c>
      <c r="H18" s="132" t="str">
        <f t="shared" si="5"/>
        <v/>
      </c>
    </row>
    <row r="19" spans="2:8">
      <c r="B19" s="37"/>
      <c r="C19" s="37"/>
      <c r="D19" s="37" t="str">
        <f>IFERROR(VLOOKUP(A19,'MATRICE COMPO'!$A:$H,3,FALSE),"")</f>
        <v/>
      </c>
      <c r="E19" s="132" t="str">
        <f t="shared" si="2"/>
        <v/>
      </c>
      <c r="F19" s="132"/>
      <c r="G19" s="132" t="str">
        <f t="shared" si="0"/>
        <v/>
      </c>
      <c r="H19" s="132" t="str">
        <f t="shared" si="5"/>
        <v/>
      </c>
    </row>
    <row r="20" spans="2:8">
      <c r="B20" s="37"/>
      <c r="C20" s="37"/>
      <c r="D20" s="37" t="str">
        <f>IFERROR(VLOOKUP(A20,'MATRICE COMPO'!$A:$H,3,FALSE),"")</f>
        <v/>
      </c>
      <c r="E20" s="132" t="str">
        <f t="shared" si="2"/>
        <v/>
      </c>
      <c r="F20" s="132"/>
      <c r="G20" s="132" t="str">
        <f t="shared" si="0"/>
        <v/>
      </c>
      <c r="H20" s="132" t="str">
        <f t="shared" si="5"/>
        <v/>
      </c>
    </row>
    <row r="21" spans="2:8">
      <c r="B21" s="37"/>
      <c r="C21" s="37"/>
      <c r="D21" s="37" t="str">
        <f>IFERROR(VLOOKUP(A21,'MATRICE COMPO'!$A:$H,3,FALSE),"")</f>
        <v/>
      </c>
      <c r="E21" s="132" t="str">
        <f t="shared" si="2"/>
        <v/>
      </c>
      <c r="F21" s="132"/>
      <c r="G21" s="132" t="str">
        <f t="shared" si="0"/>
        <v/>
      </c>
      <c r="H21" s="132" t="str">
        <f t="shared" si="5"/>
        <v/>
      </c>
    </row>
    <row r="22" spans="2:8">
      <c r="B22" s="37"/>
      <c r="C22" s="37"/>
      <c r="D22" s="37" t="str">
        <f>IFERROR(VLOOKUP(A22,'MATRICE COMPO'!$A:$H,3,FALSE),"")</f>
        <v/>
      </c>
      <c r="E22" s="132" t="str">
        <f t="shared" si="2"/>
        <v/>
      </c>
      <c r="F22" s="132"/>
      <c r="G22" s="132" t="str">
        <f t="shared" si="0"/>
        <v/>
      </c>
      <c r="H22" s="132" t="str">
        <f t="shared" si="5"/>
        <v/>
      </c>
    </row>
    <row r="23" spans="2:8">
      <c r="B23" s="37"/>
      <c r="C23" s="37"/>
      <c r="D23" s="37" t="str">
        <f>IFERROR(VLOOKUP(A23,'MATRICE COMPO'!$A:$H,3,FALSE),"")</f>
        <v/>
      </c>
      <c r="E23" s="132" t="str">
        <f t="shared" si="2"/>
        <v/>
      </c>
      <c r="F23" s="132"/>
      <c r="G23" s="132" t="str">
        <f t="shared" si="0"/>
        <v/>
      </c>
      <c r="H23" s="132" t="str">
        <f t="shared" si="5"/>
        <v/>
      </c>
    </row>
    <row r="24" spans="2:8">
      <c r="B24" s="37"/>
      <c r="C24" s="37"/>
      <c r="D24" s="37" t="str">
        <f>IFERROR(VLOOKUP(A24,'MATRICE COMPO'!$A:$H,3,FALSE),"")</f>
        <v/>
      </c>
      <c r="E24" s="132" t="str">
        <f t="shared" si="2"/>
        <v/>
      </c>
      <c r="F24" s="132"/>
      <c r="G24" s="132" t="str">
        <f t="shared" si="0"/>
        <v/>
      </c>
      <c r="H24" s="132" t="str">
        <f t="shared" si="5"/>
        <v/>
      </c>
    </row>
    <row r="25" spans="2:8">
      <c r="B25" s="37"/>
      <c r="C25" s="37"/>
      <c r="D25" s="37" t="str">
        <f>IFERROR(VLOOKUP(A25,'MATRICE COMPO'!$A:$H,3,FALSE),"")</f>
        <v/>
      </c>
      <c r="E25" s="132" t="str">
        <f t="shared" si="2"/>
        <v/>
      </c>
      <c r="F25" s="132"/>
      <c r="G25" s="132" t="str">
        <f t="shared" si="0"/>
        <v/>
      </c>
      <c r="H25" s="132" t="str">
        <f t="shared" si="5"/>
        <v/>
      </c>
    </row>
    <row r="26" spans="2:8">
      <c r="B26" s="37"/>
      <c r="C26" s="37"/>
      <c r="D26" s="37" t="str">
        <f>IFERROR(VLOOKUP(A26,'MATRICE COMPO'!$A:$H,3,FALSE),"")</f>
        <v/>
      </c>
      <c r="E26" s="132" t="str">
        <f t="shared" si="2"/>
        <v/>
      </c>
      <c r="F26" s="132"/>
      <c r="G26" s="132" t="str">
        <f t="shared" si="0"/>
        <v/>
      </c>
      <c r="H26" s="132" t="str">
        <f t="shared" si="5"/>
        <v/>
      </c>
    </row>
    <row r="27" spans="2:8">
      <c r="B27" s="37"/>
      <c r="C27" s="37"/>
      <c r="D27" s="37" t="str">
        <f>IFERROR(VLOOKUP(A27,'MATRICE COMPO'!$A:$H,3,FALSE),"")</f>
        <v/>
      </c>
      <c r="E27" s="132" t="str">
        <f t="shared" si="2"/>
        <v/>
      </c>
      <c r="F27" s="132"/>
      <c r="G27" s="132" t="str">
        <f t="shared" si="0"/>
        <v/>
      </c>
      <c r="H27" s="132" t="str">
        <f t="shared" si="5"/>
        <v/>
      </c>
    </row>
    <row r="28" spans="2:8">
      <c r="B28" s="37"/>
      <c r="C28" s="37"/>
      <c r="D28" s="37" t="str">
        <f>IFERROR(VLOOKUP(A28,'MATRICE COMPO'!$A:$H,3,FALSE),"")</f>
        <v/>
      </c>
      <c r="E28" s="132" t="str">
        <f t="shared" si="2"/>
        <v/>
      </c>
      <c r="F28" s="132"/>
      <c r="G28" s="132" t="str">
        <f t="shared" si="0"/>
        <v/>
      </c>
      <c r="H28" s="132" t="str">
        <f t="shared" si="5"/>
        <v/>
      </c>
    </row>
    <row r="29" spans="2:8">
      <c r="B29" s="37"/>
      <c r="C29" s="37"/>
      <c r="D29" s="37" t="str">
        <f>IFERROR(VLOOKUP(A29,'MATRICE COMPO'!$A:$H,3,FALSE),"")</f>
        <v/>
      </c>
      <c r="E29" s="132" t="str">
        <f t="shared" si="2"/>
        <v/>
      </c>
      <c r="F29" s="132"/>
      <c r="G29" s="132" t="str">
        <f t="shared" si="0"/>
        <v/>
      </c>
      <c r="H29" s="132" t="str">
        <f t="shared" si="5"/>
        <v/>
      </c>
    </row>
    <row r="30" spans="2:8">
      <c r="B30" s="37"/>
      <c r="C30" s="37"/>
      <c r="D30" s="37" t="str">
        <f>IFERROR(VLOOKUP(A30,'MATRICE COMPO'!$A:$H,3,FALSE),"")</f>
        <v/>
      </c>
      <c r="E30" s="132" t="str">
        <f t="shared" si="2"/>
        <v/>
      </c>
      <c r="F30" s="132"/>
      <c r="G30" s="132" t="str">
        <f t="shared" si="0"/>
        <v/>
      </c>
      <c r="H30" s="132" t="str">
        <f t="shared" si="5"/>
        <v/>
      </c>
    </row>
    <row r="31" spans="2:8">
      <c r="B31" s="37"/>
      <c r="C31" s="37"/>
      <c r="D31" s="37" t="str">
        <f>IFERROR(VLOOKUP(A31,'MATRICE COMPO'!$A:$H,3,FALSE),"")</f>
        <v/>
      </c>
      <c r="E31" s="132" t="str">
        <f t="shared" si="2"/>
        <v/>
      </c>
      <c r="F31" s="132"/>
      <c r="G31" s="132" t="str">
        <f t="shared" si="0"/>
        <v/>
      </c>
      <c r="H31" s="132" t="str">
        <f t="shared" si="5"/>
        <v/>
      </c>
    </row>
    <row r="32" spans="2:8">
      <c r="B32" s="37"/>
      <c r="C32" s="37"/>
      <c r="D32" s="37" t="str">
        <f>IFERROR(VLOOKUP(A32,'MATRICE COMPO'!$A:$H,3,FALSE),"")</f>
        <v/>
      </c>
      <c r="E32" s="132" t="str">
        <f t="shared" si="2"/>
        <v/>
      </c>
      <c r="F32" s="132"/>
      <c r="G32" s="132" t="str">
        <f t="shared" si="0"/>
        <v/>
      </c>
      <c r="H32" s="132" t="str">
        <f t="shared" si="5"/>
        <v/>
      </c>
    </row>
    <row r="33" spans="2:8">
      <c r="B33" s="37"/>
      <c r="C33" s="37"/>
      <c r="D33" s="37" t="str">
        <f>IFERROR(VLOOKUP(A33,'MATRICE COMPO'!$A:$H,3,FALSE),"")</f>
        <v/>
      </c>
      <c r="E33" s="132" t="str">
        <f t="shared" si="2"/>
        <v/>
      </c>
      <c r="F33" s="132"/>
      <c r="G33" s="132" t="str">
        <f t="shared" si="0"/>
        <v/>
      </c>
      <c r="H33" s="132" t="str">
        <f t="shared" si="5"/>
        <v/>
      </c>
    </row>
    <row r="34" spans="2:8">
      <c r="B34" s="37"/>
      <c r="C34" s="37"/>
      <c r="D34" s="37" t="str">
        <f>IFERROR(VLOOKUP(A34,'MATRICE COMPO'!$A:$H,3,FALSE),"")</f>
        <v/>
      </c>
      <c r="E34" s="132" t="str">
        <f t="shared" si="2"/>
        <v/>
      </c>
      <c r="F34" s="132"/>
      <c r="G34" s="132" t="str">
        <f t="shared" si="0"/>
        <v/>
      </c>
      <c r="H34" s="132" t="str">
        <f t="shared" si="5"/>
        <v/>
      </c>
    </row>
    <row r="35" spans="2:8">
      <c r="B35" s="37"/>
      <c r="C35" s="37"/>
      <c r="D35" s="37" t="str">
        <f>IFERROR(VLOOKUP(A35,'MATRICE COMPO'!$A:$H,3,FALSE),"")</f>
        <v/>
      </c>
      <c r="E35" s="132" t="str">
        <f t="shared" si="2"/>
        <v/>
      </c>
      <c r="F35" s="132"/>
      <c r="G35" s="132" t="str">
        <f t="shared" si="0"/>
        <v/>
      </c>
      <c r="H35" s="132" t="str">
        <f t="shared" si="5"/>
        <v/>
      </c>
    </row>
    <row r="36" spans="2:8">
      <c r="B36" s="37"/>
      <c r="C36" s="37"/>
      <c r="D36" s="37" t="str">
        <f>IFERROR(VLOOKUP(A36,'MATRICE COMPO'!$A:$H,3,FALSE),"")</f>
        <v/>
      </c>
      <c r="E36" s="132" t="str">
        <f t="shared" si="2"/>
        <v/>
      </c>
      <c r="F36" s="132"/>
      <c r="G36" s="132" t="str">
        <f t="shared" si="0"/>
        <v/>
      </c>
      <c r="H36" s="132" t="str">
        <f t="shared" si="5"/>
        <v/>
      </c>
    </row>
    <row r="37" spans="2:8">
      <c r="B37" s="37"/>
      <c r="C37" s="37"/>
      <c r="D37" s="37" t="str">
        <f>IFERROR(VLOOKUP(A37,'MATRICE COMPO'!$A:$H,3,FALSE),"")</f>
        <v/>
      </c>
      <c r="E37" s="132" t="str">
        <f t="shared" si="2"/>
        <v/>
      </c>
      <c r="F37" s="132"/>
      <c r="G37" s="132" t="str">
        <f t="shared" si="0"/>
        <v/>
      </c>
      <c r="H37" s="132" t="str">
        <f t="shared" si="5"/>
        <v/>
      </c>
    </row>
    <row r="38" spans="2:8">
      <c r="B38" s="37"/>
      <c r="C38" s="37"/>
      <c r="D38" s="37" t="str">
        <f>IFERROR(VLOOKUP(A38,'MATRICE COMPO'!$A:$H,3,FALSE),"")</f>
        <v/>
      </c>
      <c r="E38" s="132" t="str">
        <f t="shared" si="2"/>
        <v/>
      </c>
      <c r="F38" s="132"/>
      <c r="G38" s="132" t="str">
        <f t="shared" si="0"/>
        <v/>
      </c>
      <c r="H38" s="132" t="str">
        <f t="shared" si="5"/>
        <v/>
      </c>
    </row>
    <row r="39" spans="2:8">
      <c r="B39" s="37"/>
      <c r="C39" s="37"/>
      <c r="D39" s="37" t="str">
        <f>IFERROR(VLOOKUP(A39,'MATRICE COMPO'!$A:$H,3,FALSE),"")</f>
        <v/>
      </c>
      <c r="E39" s="132" t="str">
        <f t="shared" si="2"/>
        <v/>
      </c>
      <c r="F39" s="132"/>
      <c r="G39" s="132" t="str">
        <f t="shared" si="0"/>
        <v/>
      </c>
      <c r="H39" s="132" t="str">
        <f t="shared" si="5"/>
        <v/>
      </c>
    </row>
    <row r="40" spans="2:8">
      <c r="B40" s="37"/>
      <c r="C40" s="37"/>
      <c r="D40" s="37" t="str">
        <f>IFERROR(VLOOKUP(A40,'MATRICE COMPO'!$A:$H,3,FALSE),"")</f>
        <v/>
      </c>
      <c r="E40" s="132" t="str">
        <f t="shared" si="2"/>
        <v/>
      </c>
      <c r="F40" s="132"/>
      <c r="G40" s="132" t="str">
        <f t="shared" si="0"/>
        <v/>
      </c>
      <c r="H40" s="132" t="str">
        <f t="shared" si="5"/>
        <v/>
      </c>
    </row>
    <row r="41" spans="2:8">
      <c r="B41" s="37"/>
      <c r="C41" s="37"/>
      <c r="D41" s="37" t="str">
        <f>IFERROR(VLOOKUP(A41,'MATRICE COMPO'!$A:$H,3,FALSE),"")</f>
        <v/>
      </c>
      <c r="E41" s="132" t="str">
        <f t="shared" si="2"/>
        <v/>
      </c>
      <c r="F41" s="132"/>
      <c r="G41" s="132" t="str">
        <f t="shared" si="0"/>
        <v/>
      </c>
      <c r="H41" s="132" t="str">
        <f t="shared" si="5"/>
        <v/>
      </c>
    </row>
    <row r="42" spans="2:8">
      <c r="B42" s="37"/>
      <c r="C42" s="37"/>
      <c r="D42" s="37" t="str">
        <f>IFERROR(VLOOKUP(A42,'MATRICE COMPO'!$A:$H,3,FALSE),"")</f>
        <v/>
      </c>
      <c r="E42" s="132" t="str">
        <f t="shared" si="2"/>
        <v/>
      </c>
      <c r="F42" s="132"/>
      <c r="G42" s="132" t="str">
        <f t="shared" si="0"/>
        <v/>
      </c>
      <c r="H42" s="132" t="str">
        <f t="shared" si="5"/>
        <v/>
      </c>
    </row>
    <row r="43" spans="2:8">
      <c r="B43" s="37"/>
      <c r="C43" s="37"/>
      <c r="D43" s="37" t="str">
        <f>IFERROR(VLOOKUP(A43,'MATRICE COMPO'!$A:$H,3,FALSE),"")</f>
        <v/>
      </c>
      <c r="E43" s="132" t="str">
        <f t="shared" si="2"/>
        <v/>
      </c>
      <c r="F43" s="132"/>
      <c r="G43" s="132" t="str">
        <f t="shared" si="0"/>
        <v/>
      </c>
      <c r="H43" s="132" t="str">
        <f t="shared" si="5"/>
        <v/>
      </c>
    </row>
    <row r="44" spans="2:8">
      <c r="B44" s="37"/>
      <c r="C44" s="37"/>
      <c r="D44" s="37" t="str">
        <f>IFERROR(VLOOKUP(A44,'MATRICE COMPO'!$A:$H,3,FALSE),"")</f>
        <v/>
      </c>
      <c r="E44" s="132" t="str">
        <f t="shared" si="2"/>
        <v/>
      </c>
      <c r="F44" s="132"/>
      <c r="G44" s="132" t="str">
        <f t="shared" si="0"/>
        <v/>
      </c>
      <c r="H44" s="132" t="str">
        <f t="shared" si="5"/>
        <v/>
      </c>
    </row>
    <row r="45" spans="2:8">
      <c r="B45" s="37"/>
      <c r="C45" s="37"/>
      <c r="D45" s="37" t="str">
        <f>IFERROR(VLOOKUP(A45,'MATRICE COMPO'!$A:$H,3,FALSE),"")</f>
        <v/>
      </c>
      <c r="E45" s="132" t="str">
        <f t="shared" si="2"/>
        <v/>
      </c>
      <c r="F45" s="132"/>
      <c r="G45" s="132" t="str">
        <f t="shared" si="0"/>
        <v/>
      </c>
      <c r="H45" s="132" t="str">
        <f t="shared" si="5"/>
        <v/>
      </c>
    </row>
    <row r="46" spans="2:8">
      <c r="B46" s="37"/>
      <c r="C46" s="37"/>
      <c r="D46" s="37" t="str">
        <f>IFERROR(VLOOKUP(A46,'MATRICE COMPO'!$A:$H,3,FALSE),"")</f>
        <v/>
      </c>
      <c r="E46" s="132" t="str">
        <f t="shared" si="2"/>
        <v/>
      </c>
      <c r="F46" s="132"/>
      <c r="G46" s="132" t="str">
        <f t="shared" si="0"/>
        <v/>
      </c>
      <c r="H46" s="132" t="str">
        <f t="shared" si="5"/>
        <v/>
      </c>
    </row>
    <row r="47" spans="2:8">
      <c r="B47" s="37"/>
      <c r="C47" s="37"/>
      <c r="D47" s="37" t="str">
        <f>IFERROR(VLOOKUP(A47,'MATRICE COMPO'!$A:$H,3,FALSE),"")</f>
        <v/>
      </c>
      <c r="E47" s="132" t="str">
        <f t="shared" si="2"/>
        <v/>
      </c>
      <c r="F47" s="132"/>
      <c r="G47" s="132" t="str">
        <f t="shared" si="0"/>
        <v/>
      </c>
      <c r="H47" s="132" t="str">
        <f t="shared" si="5"/>
        <v/>
      </c>
    </row>
    <row r="48" spans="2:8">
      <c r="B48" s="37"/>
      <c r="C48" s="37"/>
      <c r="D48" s="37" t="str">
        <f>IFERROR(VLOOKUP(A48,'MATRICE COMPO'!$A:$H,3,FALSE),"")</f>
        <v/>
      </c>
      <c r="E48" s="132" t="str">
        <f t="shared" si="2"/>
        <v/>
      </c>
      <c r="F48" s="132"/>
      <c r="G48" s="132" t="str">
        <f t="shared" si="0"/>
        <v/>
      </c>
      <c r="H48" s="132" t="str">
        <f t="shared" si="5"/>
        <v/>
      </c>
    </row>
    <row r="49" spans="2:8">
      <c r="B49" s="37"/>
      <c r="C49" s="37"/>
      <c r="D49" s="37" t="str">
        <f>IFERROR(VLOOKUP(A49,'MATRICE COMPO'!$A:$H,3,FALSE),"")</f>
        <v/>
      </c>
      <c r="E49" s="132" t="str">
        <f t="shared" si="2"/>
        <v/>
      </c>
      <c r="F49" s="132"/>
      <c r="G49" s="132" t="str">
        <f t="shared" si="0"/>
        <v/>
      </c>
      <c r="H49" s="132" t="str">
        <f t="shared" si="5"/>
        <v/>
      </c>
    </row>
    <row r="50" spans="2:8">
      <c r="B50" s="37"/>
      <c r="C50" s="37"/>
      <c r="D50" s="37" t="str">
        <f>IFERROR(VLOOKUP(A50,'MATRICE COMPO'!$A:$H,3,FALSE),"")</f>
        <v/>
      </c>
      <c r="E50" s="132" t="str">
        <f t="shared" si="2"/>
        <v/>
      </c>
      <c r="F50" s="132"/>
      <c r="G50" s="132" t="str">
        <f t="shared" si="0"/>
        <v/>
      </c>
      <c r="H50" s="132" t="str">
        <f t="shared" si="5"/>
        <v/>
      </c>
    </row>
    <row r="51" spans="2:8">
      <c r="B51" s="37"/>
      <c r="C51" s="37"/>
      <c r="D51" s="37" t="str">
        <f>IFERROR(VLOOKUP(A51,'MATRICE COMPO'!$A:$H,3,FALSE),"")</f>
        <v/>
      </c>
      <c r="E51" s="132" t="str">
        <f t="shared" si="2"/>
        <v/>
      </c>
      <c r="F51" s="132"/>
      <c r="G51" s="132" t="str">
        <f t="shared" si="0"/>
        <v/>
      </c>
      <c r="H51" s="132" t="str">
        <f t="shared" si="5"/>
        <v/>
      </c>
    </row>
    <row r="52" spans="2:8">
      <c r="B52" s="37"/>
      <c r="C52" s="37"/>
      <c r="D52" s="37" t="str">
        <f>IFERROR(VLOOKUP(A52,'MATRICE COMPO'!$A:$H,3,FALSE),"")</f>
        <v/>
      </c>
      <c r="E52" s="132" t="str">
        <f t="shared" si="2"/>
        <v/>
      </c>
      <c r="F52" s="132"/>
      <c r="G52" s="132" t="str">
        <f t="shared" si="0"/>
        <v/>
      </c>
      <c r="H52" s="132" t="str">
        <f t="shared" si="5"/>
        <v/>
      </c>
    </row>
    <row r="53" spans="2:8">
      <c r="B53" s="37"/>
      <c r="C53" s="37"/>
      <c r="D53" s="37" t="str">
        <f>IFERROR(VLOOKUP(A53,'MATRICE COMPO'!$A:$H,3,FALSE),"")</f>
        <v/>
      </c>
      <c r="E53" s="132" t="str">
        <f t="shared" si="2"/>
        <v/>
      </c>
      <c r="F53" s="132"/>
      <c r="G53" s="132" t="str">
        <f t="shared" si="0"/>
        <v/>
      </c>
      <c r="H53" s="132" t="str">
        <f t="shared" si="5"/>
        <v/>
      </c>
    </row>
    <row r="54" spans="2:8">
      <c r="B54" s="37"/>
      <c r="C54" s="37"/>
      <c r="D54" s="37" t="str">
        <f>IFERROR(VLOOKUP(A54,'MATRICE COMPO'!$A:$H,3,FALSE),"")</f>
        <v/>
      </c>
      <c r="E54" s="132" t="str">
        <f t="shared" si="2"/>
        <v/>
      </c>
      <c r="F54" s="132"/>
      <c r="G54" s="132" t="str">
        <f t="shared" si="0"/>
        <v/>
      </c>
      <c r="H54" s="132" t="str">
        <f t="shared" si="5"/>
        <v/>
      </c>
    </row>
    <row r="55" spans="2:8">
      <c r="B55" s="37"/>
      <c r="C55" s="37"/>
      <c r="D55" s="37" t="str">
        <f>IFERROR(VLOOKUP(A55,'MATRICE COMPO'!$A:$H,3,FALSE),"")</f>
        <v/>
      </c>
      <c r="E55" s="132" t="str">
        <f t="shared" si="2"/>
        <v/>
      </c>
      <c r="F55" s="132"/>
      <c r="G55" s="132" t="str">
        <f t="shared" si="0"/>
        <v/>
      </c>
      <c r="H55" s="132" t="str">
        <f t="shared" si="5"/>
        <v/>
      </c>
    </row>
    <row r="56" spans="2:8">
      <c r="B56" s="37"/>
      <c r="C56" s="37"/>
      <c r="D56" s="37" t="str">
        <f>IFERROR(VLOOKUP(A56,'MATRICE COMPO'!$A:$H,3,FALSE),"")</f>
        <v/>
      </c>
      <c r="E56" s="132" t="str">
        <f t="shared" si="2"/>
        <v/>
      </c>
      <c r="F56" s="132"/>
      <c r="G56" s="132" t="str">
        <f t="shared" si="0"/>
        <v/>
      </c>
      <c r="H56" s="132" t="str">
        <f t="shared" si="5"/>
        <v/>
      </c>
    </row>
    <row r="57" spans="2:8">
      <c r="B57" s="37"/>
      <c r="C57" s="37"/>
      <c r="D57" s="37" t="str">
        <f>IFERROR(VLOOKUP(A57,'MATRICE COMPO'!$A:$H,3,FALSE),"")</f>
        <v/>
      </c>
      <c r="E57" s="132" t="str">
        <f t="shared" si="2"/>
        <v/>
      </c>
      <c r="F57" s="132"/>
      <c r="G57" s="132" t="str">
        <f t="shared" si="0"/>
        <v/>
      </c>
      <c r="H57" s="132" t="str">
        <f t="shared" si="5"/>
        <v/>
      </c>
    </row>
    <row r="58" spans="2:8">
      <c r="B58" s="37"/>
      <c r="C58" s="37"/>
      <c r="D58" s="37" t="str">
        <f>IFERROR(VLOOKUP(A58,'MATRICE COMPO'!$A:$H,3,FALSE),"")</f>
        <v/>
      </c>
      <c r="E58" s="132" t="str">
        <f t="shared" si="2"/>
        <v/>
      </c>
      <c r="F58" s="132"/>
      <c r="G58" s="132" t="str">
        <f t="shared" si="0"/>
        <v/>
      </c>
      <c r="H58" s="132" t="str">
        <f t="shared" si="5"/>
        <v/>
      </c>
    </row>
    <row r="59" spans="2:8">
      <c r="B59" s="37"/>
      <c r="C59" s="37"/>
      <c r="D59" s="37" t="str">
        <f>IFERROR(VLOOKUP(A59,'MATRICE COMPO'!$A:$H,3,FALSE),"")</f>
        <v/>
      </c>
      <c r="E59" s="132" t="str">
        <f t="shared" si="2"/>
        <v/>
      </c>
      <c r="F59" s="132"/>
      <c r="G59" s="132" t="str">
        <f t="shared" si="0"/>
        <v/>
      </c>
      <c r="H59" s="132" t="str">
        <f t="shared" si="5"/>
        <v/>
      </c>
    </row>
    <row r="60" spans="2:8">
      <c r="B60" s="37"/>
      <c r="C60" s="37"/>
      <c r="D60" s="37" t="str">
        <f>IFERROR(VLOOKUP(A60,'MATRICE COMPO'!$A:$H,3,FALSE),"")</f>
        <v/>
      </c>
      <c r="E60" s="132" t="str">
        <f t="shared" si="2"/>
        <v/>
      </c>
      <c r="F60" s="132"/>
      <c r="G60" s="132" t="str">
        <f t="shared" si="0"/>
        <v/>
      </c>
      <c r="H60" s="132" t="str">
        <f t="shared" si="5"/>
        <v/>
      </c>
    </row>
    <row r="61" spans="2:8">
      <c r="B61" s="37"/>
      <c r="C61" s="37"/>
      <c r="D61" s="37" t="str">
        <f>IFERROR(VLOOKUP(A61,'MATRICE COMPO'!$A:$H,3,FALSE),"")</f>
        <v/>
      </c>
      <c r="E61" s="132" t="str">
        <f t="shared" si="2"/>
        <v/>
      </c>
      <c r="F61" s="132"/>
      <c r="G61" s="132" t="str">
        <f t="shared" si="0"/>
        <v/>
      </c>
      <c r="H61" s="132" t="str">
        <f t="shared" si="5"/>
        <v/>
      </c>
    </row>
    <row r="62" spans="2:8">
      <c r="B62" s="37"/>
      <c r="C62" s="37"/>
      <c r="D62" s="37" t="str">
        <f>IFERROR(VLOOKUP(A62,'MATRICE COMPO'!$A:$H,3,FALSE),"")</f>
        <v/>
      </c>
      <c r="E62" s="132" t="str">
        <f t="shared" si="2"/>
        <v/>
      </c>
      <c r="F62" s="132"/>
      <c r="G62" s="132" t="str">
        <f t="shared" si="0"/>
        <v/>
      </c>
      <c r="H62" s="132" t="str">
        <f t="shared" si="5"/>
        <v/>
      </c>
    </row>
    <row r="63" spans="2:8">
      <c r="B63" s="37"/>
      <c r="C63" s="37"/>
      <c r="D63" s="37" t="str">
        <f>IFERROR(VLOOKUP(A63,'MATRICE COMPO'!$A:$H,3,FALSE),"")</f>
        <v/>
      </c>
      <c r="E63" s="132" t="str">
        <f t="shared" si="2"/>
        <v/>
      </c>
      <c r="F63" s="132"/>
      <c r="G63" s="132" t="str">
        <f t="shared" si="0"/>
        <v/>
      </c>
      <c r="H63" s="132" t="str">
        <f t="shared" si="5"/>
        <v/>
      </c>
    </row>
    <row r="64" spans="2:8">
      <c r="B64" s="37"/>
      <c r="C64" s="37"/>
      <c r="D64" s="37" t="str">
        <f>IFERROR(VLOOKUP(A64,'MATRICE COMPO'!$A:$H,3,FALSE),"")</f>
        <v/>
      </c>
      <c r="E64" s="132" t="str">
        <f t="shared" si="2"/>
        <v/>
      </c>
      <c r="F64" s="132"/>
      <c r="G64" s="132" t="str">
        <f t="shared" si="0"/>
        <v/>
      </c>
      <c r="H64" s="132" t="str">
        <f t="shared" si="5"/>
        <v/>
      </c>
    </row>
    <row r="65" spans="2:8">
      <c r="B65" s="37"/>
      <c r="C65" s="37"/>
      <c r="D65" s="37" t="str">
        <f>IFERROR(VLOOKUP(A65,'MATRICE COMPO'!$A:$H,3,FALSE),"")</f>
        <v/>
      </c>
      <c r="E65" s="132" t="str">
        <f t="shared" si="2"/>
        <v/>
      </c>
      <c r="F65" s="132"/>
      <c r="G65" s="132" t="str">
        <f t="shared" si="0"/>
        <v/>
      </c>
      <c r="H65" s="132" t="str">
        <f t="shared" si="5"/>
        <v/>
      </c>
    </row>
    <row r="66" spans="2:8">
      <c r="B66" s="37"/>
      <c r="C66" s="37"/>
      <c r="D66" s="37" t="str">
        <f>IFERROR(VLOOKUP(A66,'MATRICE COMPO'!$A:$H,3,FALSE),"")</f>
        <v/>
      </c>
      <c r="E66" s="132" t="str">
        <f t="shared" si="2"/>
        <v/>
      </c>
      <c r="F66" s="132"/>
      <c r="G66" s="132" t="str">
        <f t="shared" ref="G66:G91" si="6">IF(B66="","",F66*$G$1)</f>
        <v/>
      </c>
      <c r="H66" s="132" t="str">
        <f t="shared" si="5"/>
        <v/>
      </c>
    </row>
    <row r="67" spans="2:8">
      <c r="B67" s="37"/>
      <c r="C67" s="37"/>
      <c r="D67" s="37" t="str">
        <f>IFERROR(VLOOKUP(A67,'MATRICE COMPO'!$A:$H,3,FALSE),"")</f>
        <v/>
      </c>
      <c r="E67" s="132" t="str">
        <f t="shared" ref="E67:E91" si="7">IFERROR(F67+G67+H67,"")</f>
        <v/>
      </c>
      <c r="F67" s="132"/>
      <c r="G67" s="132" t="str">
        <f t="shared" si="6"/>
        <v/>
      </c>
      <c r="H67" s="132" t="str">
        <f t="shared" si="5"/>
        <v/>
      </c>
    </row>
    <row r="68" spans="2:8">
      <c r="B68" s="37"/>
      <c r="C68" s="37"/>
      <c r="D68" s="37" t="str">
        <f>IFERROR(VLOOKUP(A68,'MATRICE COMPO'!$A:$H,3,FALSE),"")</f>
        <v/>
      </c>
      <c r="E68" s="132" t="str">
        <f t="shared" si="7"/>
        <v/>
      </c>
      <c r="F68" s="132"/>
      <c r="G68" s="132" t="str">
        <f t="shared" si="6"/>
        <v/>
      </c>
      <c r="H68" s="132" t="str">
        <f t="shared" si="5"/>
        <v/>
      </c>
    </row>
    <row r="69" spans="2:8">
      <c r="B69" s="37"/>
      <c r="C69" s="37"/>
      <c r="D69" s="37" t="str">
        <f>IFERROR(VLOOKUP(A69,'MATRICE COMPO'!$A:$H,3,FALSE),"")</f>
        <v/>
      </c>
      <c r="E69" s="132" t="str">
        <f t="shared" si="7"/>
        <v/>
      </c>
      <c r="F69" s="132"/>
      <c r="G69" s="132" t="str">
        <f t="shared" si="6"/>
        <v/>
      </c>
      <c r="H69" s="132" t="str">
        <f t="shared" si="5"/>
        <v/>
      </c>
    </row>
    <row r="70" spans="2:8">
      <c r="B70" s="37"/>
      <c r="C70" s="37"/>
      <c r="D70" s="37" t="str">
        <f>IFERROR(VLOOKUP(A70,'MATRICE COMPO'!$A:$H,3,FALSE),"")</f>
        <v/>
      </c>
      <c r="E70" s="132" t="str">
        <f t="shared" si="7"/>
        <v/>
      </c>
      <c r="F70" s="132"/>
      <c r="G70" s="132" t="str">
        <f t="shared" si="6"/>
        <v/>
      </c>
      <c r="H70" s="132" t="str">
        <f t="shared" si="5"/>
        <v/>
      </c>
    </row>
    <row r="71" spans="2:8">
      <c r="B71" s="37"/>
      <c r="C71" s="37"/>
      <c r="D71" s="37" t="str">
        <f>IFERROR(VLOOKUP(A71,'MATRICE COMPO'!$A:$H,3,FALSE),"")</f>
        <v/>
      </c>
      <c r="E71" s="132" t="str">
        <f t="shared" si="7"/>
        <v/>
      </c>
      <c r="F71" s="132"/>
      <c r="G71" s="132" t="str">
        <f t="shared" si="6"/>
        <v/>
      </c>
      <c r="H71" s="132" t="str">
        <f t="shared" ref="H71:H91" si="8">IFERROR((F71+G71)*$H$1,"")</f>
        <v/>
      </c>
    </row>
    <row r="72" spans="2:8">
      <c r="B72" s="37"/>
      <c r="C72" s="37"/>
      <c r="D72" s="37" t="str">
        <f>IFERROR(VLOOKUP(A72,'MATRICE COMPO'!$A:$H,3,FALSE),"")</f>
        <v/>
      </c>
      <c r="E72" s="132" t="str">
        <f t="shared" si="7"/>
        <v/>
      </c>
      <c r="F72" s="132"/>
      <c r="G72" s="132" t="str">
        <f t="shared" si="6"/>
        <v/>
      </c>
      <c r="H72" s="132" t="str">
        <f t="shared" si="8"/>
        <v/>
      </c>
    </row>
    <row r="73" spans="2:8">
      <c r="B73" s="37"/>
      <c r="C73" s="37"/>
      <c r="D73" s="37" t="str">
        <f>IFERROR(VLOOKUP(A73,'MATRICE COMPO'!$A:$H,3,FALSE),"")</f>
        <v/>
      </c>
      <c r="E73" s="132" t="str">
        <f t="shared" si="7"/>
        <v/>
      </c>
      <c r="F73" s="132"/>
      <c r="G73" s="132" t="str">
        <f t="shared" si="6"/>
        <v/>
      </c>
      <c r="H73" s="132" t="str">
        <f t="shared" si="8"/>
        <v/>
      </c>
    </row>
    <row r="74" spans="2:8">
      <c r="B74" s="37"/>
      <c r="C74" s="37"/>
      <c r="D74" s="37" t="str">
        <f>IFERROR(VLOOKUP(A74,'MATRICE COMPO'!$A:$H,3,FALSE),"")</f>
        <v/>
      </c>
      <c r="E74" s="132" t="str">
        <f t="shared" si="7"/>
        <v/>
      </c>
      <c r="F74" s="132"/>
      <c r="G74" s="132" t="str">
        <f t="shared" si="6"/>
        <v/>
      </c>
      <c r="H74" s="132" t="str">
        <f t="shared" si="8"/>
        <v/>
      </c>
    </row>
    <row r="75" spans="2:8">
      <c r="B75" s="37"/>
      <c r="C75" s="37"/>
      <c r="D75" s="37" t="str">
        <f>IFERROR(VLOOKUP(A75,'MATRICE COMPO'!$A:$H,3,FALSE),"")</f>
        <v/>
      </c>
      <c r="E75" s="132" t="str">
        <f t="shared" si="7"/>
        <v/>
      </c>
      <c r="F75" s="132"/>
      <c r="G75" s="132" t="str">
        <f t="shared" si="6"/>
        <v/>
      </c>
      <c r="H75" s="132" t="str">
        <f t="shared" si="8"/>
        <v/>
      </c>
    </row>
    <row r="76" spans="2:8">
      <c r="B76" s="37"/>
      <c r="C76" s="37"/>
      <c r="D76" s="37" t="str">
        <f>IFERROR(VLOOKUP(A76,'MATRICE COMPO'!$A:$H,3,FALSE),"")</f>
        <v/>
      </c>
      <c r="E76" s="132" t="str">
        <f t="shared" si="7"/>
        <v/>
      </c>
      <c r="F76" s="132"/>
      <c r="G76" s="132" t="str">
        <f t="shared" si="6"/>
        <v/>
      </c>
      <c r="H76" s="132" t="str">
        <f t="shared" si="8"/>
        <v/>
      </c>
    </row>
    <row r="77" spans="2:8">
      <c r="B77" s="37"/>
      <c r="C77" s="37"/>
      <c r="D77" s="37" t="str">
        <f>IFERROR(VLOOKUP(A77,'MATRICE COMPO'!$A:$H,3,FALSE),"")</f>
        <v/>
      </c>
      <c r="E77" s="132" t="str">
        <f t="shared" si="7"/>
        <v/>
      </c>
      <c r="F77" s="132"/>
      <c r="G77" s="132" t="str">
        <f t="shared" si="6"/>
        <v/>
      </c>
      <c r="H77" s="132" t="str">
        <f t="shared" si="8"/>
        <v/>
      </c>
    </row>
    <row r="78" spans="2:8">
      <c r="B78" s="37"/>
      <c r="C78" s="37"/>
      <c r="D78" s="37" t="str">
        <f>IFERROR(VLOOKUP(A78,'MATRICE COMPO'!$A:$H,3,FALSE),"")</f>
        <v/>
      </c>
      <c r="E78" s="132" t="str">
        <f t="shared" si="7"/>
        <v/>
      </c>
      <c r="F78" s="132"/>
      <c r="G78" s="132" t="str">
        <f t="shared" si="6"/>
        <v/>
      </c>
      <c r="H78" s="132" t="str">
        <f t="shared" si="8"/>
        <v/>
      </c>
    </row>
    <row r="79" spans="2:8">
      <c r="B79" s="37"/>
      <c r="C79" s="37"/>
      <c r="D79" s="37" t="str">
        <f>IFERROR(VLOOKUP(A79,'MATRICE COMPO'!$A:$H,3,FALSE),"")</f>
        <v/>
      </c>
      <c r="E79" s="132" t="str">
        <f t="shared" si="7"/>
        <v/>
      </c>
      <c r="F79" s="132"/>
      <c r="G79" s="132" t="str">
        <f t="shared" si="6"/>
        <v/>
      </c>
      <c r="H79" s="132" t="str">
        <f t="shared" si="8"/>
        <v/>
      </c>
    </row>
    <row r="80" spans="2:8">
      <c r="B80" s="37"/>
      <c r="C80" s="37"/>
      <c r="D80" s="37" t="str">
        <f>IFERROR(VLOOKUP(A80,'MATRICE COMPO'!$A:$H,3,FALSE),"")</f>
        <v/>
      </c>
      <c r="E80" s="132" t="str">
        <f t="shared" si="7"/>
        <v/>
      </c>
      <c r="F80" s="132"/>
      <c r="G80" s="132" t="str">
        <f t="shared" si="6"/>
        <v/>
      </c>
      <c r="H80" s="132" t="str">
        <f t="shared" si="8"/>
        <v/>
      </c>
    </row>
    <row r="81" spans="2:8">
      <c r="B81" s="37"/>
      <c r="C81" s="37"/>
      <c r="D81" s="37" t="str">
        <f>IFERROR(VLOOKUP(A81,'MATRICE COMPO'!$A:$H,3,FALSE),"")</f>
        <v/>
      </c>
      <c r="E81" s="132" t="str">
        <f t="shared" si="7"/>
        <v/>
      </c>
      <c r="F81" s="132"/>
      <c r="G81" s="132" t="str">
        <f t="shared" si="6"/>
        <v/>
      </c>
      <c r="H81" s="132" t="str">
        <f t="shared" si="8"/>
        <v/>
      </c>
    </row>
    <row r="82" spans="2:8">
      <c r="B82" s="37"/>
      <c r="C82" s="37"/>
      <c r="D82" s="37" t="str">
        <f>IFERROR(VLOOKUP(A82,'MATRICE COMPO'!$A:$H,3,FALSE),"")</f>
        <v/>
      </c>
      <c r="E82" s="132" t="str">
        <f t="shared" si="7"/>
        <v/>
      </c>
      <c r="F82" s="132"/>
      <c r="G82" s="132" t="str">
        <f t="shared" si="6"/>
        <v/>
      </c>
      <c r="H82" s="132" t="str">
        <f t="shared" si="8"/>
        <v/>
      </c>
    </row>
    <row r="83" spans="2:8">
      <c r="B83" s="37"/>
      <c r="C83" s="37"/>
      <c r="D83" s="37" t="str">
        <f>IFERROR(VLOOKUP(A83,'MATRICE COMPO'!$A:$H,3,FALSE),"")</f>
        <v/>
      </c>
      <c r="E83" s="132" t="str">
        <f t="shared" si="7"/>
        <v/>
      </c>
      <c r="F83" s="132"/>
      <c r="G83" s="132" t="str">
        <f t="shared" si="6"/>
        <v/>
      </c>
      <c r="H83" s="132" t="str">
        <f t="shared" si="8"/>
        <v/>
      </c>
    </row>
    <row r="84" spans="2:8">
      <c r="B84" s="37"/>
      <c r="C84" s="37"/>
      <c r="D84" s="37" t="str">
        <f>IFERROR(VLOOKUP(A84,'MATRICE COMPO'!$A:$H,3,FALSE),"")</f>
        <v/>
      </c>
      <c r="E84" s="132" t="str">
        <f t="shared" si="7"/>
        <v/>
      </c>
      <c r="F84" s="132"/>
      <c r="G84" s="132" t="str">
        <f t="shared" si="6"/>
        <v/>
      </c>
      <c r="H84" s="132" t="str">
        <f t="shared" si="8"/>
        <v/>
      </c>
    </row>
    <row r="85" spans="2:8">
      <c r="B85" s="37"/>
      <c r="C85" s="37"/>
      <c r="D85" s="37" t="str">
        <f>IFERROR(VLOOKUP(A85,'MATRICE COMPO'!$A:$H,3,FALSE),"")</f>
        <v/>
      </c>
      <c r="E85" s="132" t="str">
        <f t="shared" si="7"/>
        <v/>
      </c>
      <c r="F85" s="132"/>
      <c r="G85" s="132" t="str">
        <f t="shared" si="6"/>
        <v/>
      </c>
      <c r="H85" s="132" t="str">
        <f t="shared" si="8"/>
        <v/>
      </c>
    </row>
    <row r="86" spans="2:8">
      <c r="B86" s="37"/>
      <c r="C86" s="37"/>
      <c r="D86" s="37" t="str">
        <f>IFERROR(VLOOKUP(A86,'MATRICE COMPO'!$A:$H,3,FALSE),"")</f>
        <v/>
      </c>
      <c r="E86" s="132" t="str">
        <f t="shared" si="7"/>
        <v/>
      </c>
      <c r="F86" s="132"/>
      <c r="G86" s="132" t="str">
        <f t="shared" si="6"/>
        <v/>
      </c>
      <c r="H86" s="132" t="str">
        <f t="shared" si="8"/>
        <v/>
      </c>
    </row>
    <row r="87" spans="2:8">
      <c r="B87" s="37"/>
      <c r="C87" s="37"/>
      <c r="D87" s="37" t="str">
        <f>IFERROR(VLOOKUP(A87,'MATRICE COMPO'!$A:$H,3,FALSE),"")</f>
        <v/>
      </c>
      <c r="E87" s="132" t="str">
        <f t="shared" si="7"/>
        <v/>
      </c>
      <c r="F87" s="132"/>
      <c r="G87" s="132" t="str">
        <f t="shared" si="6"/>
        <v/>
      </c>
      <c r="H87" s="132" t="str">
        <f t="shared" si="8"/>
        <v/>
      </c>
    </row>
    <row r="88" spans="2:8">
      <c r="B88" s="37"/>
      <c r="C88" s="37"/>
      <c r="D88" s="37" t="str">
        <f>IFERROR(VLOOKUP(A88,'MATRICE COMPO'!$A:$H,3,FALSE),"")</f>
        <v/>
      </c>
      <c r="E88" s="132" t="str">
        <f t="shared" si="7"/>
        <v/>
      </c>
      <c r="F88" s="132"/>
      <c r="G88" s="132" t="str">
        <f t="shared" si="6"/>
        <v/>
      </c>
      <c r="H88" s="132" t="str">
        <f t="shared" si="8"/>
        <v/>
      </c>
    </row>
    <row r="89" spans="2:8">
      <c r="B89" s="37"/>
      <c r="C89" s="37"/>
      <c r="D89" s="37" t="str">
        <f>IFERROR(VLOOKUP(A89,'MATRICE COMPO'!$A:$H,3,FALSE),"")</f>
        <v/>
      </c>
      <c r="E89" s="132" t="str">
        <f t="shared" si="7"/>
        <v/>
      </c>
      <c r="F89" s="132"/>
      <c r="G89" s="132" t="str">
        <f t="shared" si="6"/>
        <v/>
      </c>
      <c r="H89" s="132" t="str">
        <f t="shared" si="8"/>
        <v/>
      </c>
    </row>
    <row r="90" spans="2:8">
      <c r="B90" s="37"/>
      <c r="C90" s="37"/>
      <c r="D90" s="37" t="str">
        <f>IFERROR(VLOOKUP(A90,'MATRICE COMPO'!$A:$H,3,FALSE),"")</f>
        <v/>
      </c>
      <c r="E90" s="132" t="str">
        <f t="shared" si="7"/>
        <v/>
      </c>
      <c r="F90" s="132"/>
      <c r="G90" s="132" t="str">
        <f t="shared" si="6"/>
        <v/>
      </c>
      <c r="H90" s="132" t="str">
        <f t="shared" si="8"/>
        <v/>
      </c>
    </row>
    <row r="91" spans="2:8">
      <c r="B91" s="37"/>
      <c r="C91" s="37"/>
      <c r="D91" s="37" t="str">
        <f>IFERROR(VLOOKUP(A91,'MATRICE COMPO'!$A:$H,3,FALSE),"")</f>
        <v/>
      </c>
      <c r="E91" s="132" t="str">
        <f t="shared" si="7"/>
        <v/>
      </c>
      <c r="F91" s="132"/>
      <c r="G91" s="132" t="str">
        <f t="shared" si="6"/>
        <v/>
      </c>
      <c r="H91" s="132" t="str">
        <f t="shared" si="8"/>
        <v/>
      </c>
    </row>
  </sheetData>
  <sheetProtection formatColumns="0"/>
  <protectedRanges>
    <protectedRange sqref="B1:F1048576" name="SERVICE"/>
  </protectedRanges>
  <mergeCells count="1">
    <mergeCell ref="I8:J10"/>
  </mergeCells>
  <phoneticPr fontId="12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48A875-9F3A-4EA5-86B2-BE22CC7B2AC8}">
  <sheetPr>
    <tabColor theme="8"/>
  </sheetPr>
  <dimension ref="A1:I91"/>
  <sheetViews>
    <sheetView showGridLines="0" topLeftCell="C1" workbookViewId="0">
      <pane ySplit="1" topLeftCell="A2" activePane="bottomLeft" state="frozen"/>
      <selection activeCell="M369" sqref="M369"/>
      <selection pane="bottomLeft" activeCell="B2" sqref="B2:I4"/>
    </sheetView>
  </sheetViews>
  <sheetFormatPr defaultColWidth="11.5546875" defaultRowHeight="14.4" outlineLevelCol="1"/>
  <cols>
    <col min="1" max="1" width="135" style="37" hidden="1" customWidth="1" outlineLevel="1"/>
    <col min="2" max="2" width="135" bestFit="1" customWidth="1" collapsed="1"/>
    <col min="3" max="3" width="11.44140625" style="130"/>
    <col min="4" max="4" width="6" bestFit="1" customWidth="1"/>
    <col min="5" max="5" width="11.44140625" style="133"/>
    <col min="7" max="7" width="14.109375" bestFit="1" customWidth="1"/>
    <col min="8" max="9" width="15.33203125" bestFit="1" customWidth="1"/>
  </cols>
  <sheetData>
    <row r="1" spans="1:9">
      <c r="A1" s="37" t="s">
        <v>135</v>
      </c>
      <c r="B1" s="38" t="s">
        <v>35</v>
      </c>
      <c r="C1" s="134" t="s">
        <v>176</v>
      </c>
      <c r="D1" s="38" t="s">
        <v>17</v>
      </c>
      <c r="E1" s="131" t="s">
        <v>223</v>
      </c>
      <c r="F1" s="38" t="s">
        <v>36</v>
      </c>
      <c r="G1" s="38" t="s">
        <v>37</v>
      </c>
      <c r="H1" s="40">
        <f>GESTION!B4</f>
        <v>0.3</v>
      </c>
      <c r="I1" s="39">
        <f>GESTION!B3</f>
        <v>0.1</v>
      </c>
    </row>
    <row r="2" spans="1:9">
      <c r="A2" s="37" t="str" cm="1">
        <f t="array" ref="A2:A8">_xlfn.UNIQUE(_xlfn._xlws.FILTER('MATRICE COMPO'!A2:A199,NOT(ISBLANK('MATRICE COMPO'!A2:A199))))</f>
        <v>Pare-vapeur SD 90 / Structure 145 mm / Laine minérale 150 mm / OSB 12 / Bache de protection provisoire</v>
      </c>
      <c r="B2" s="37" t="str">
        <f>IF(A2=0,"",A2)</f>
        <v>Pare-vapeur SD 90 / Structure 145 mm / Laine minérale 150 mm / OSB 12 / Bache de protection provisoire</v>
      </c>
      <c r="C2" s="135" t="str">
        <f>IF($B2="","",VLOOKUP($B2,'MATRICE COMPO'!$A:$I,9,FALSE))</f>
        <v>PE-15</v>
      </c>
      <c r="D2" s="37" t="str">
        <f>IFERROR(VLOOKUP(A2,'MATRICE COMPO'!$A:$H,3,FALSE),"")</f>
        <v>m2</v>
      </c>
      <c r="E2" s="132">
        <f>IF(B2="","",VLOOKUP(B2,'MATRICE COMPO'!$A:$H,4,FALSE))</f>
        <v>83.133938237246369</v>
      </c>
      <c r="F2" s="37">
        <f>IF(B2="","",VLOOKUP($B2,'MATRICE COMPO'!$A:$H,5,FALSE))</f>
        <v>50.215621144927532</v>
      </c>
      <c r="G2" s="37">
        <f>IF($B2="","",VLOOKUP($B2,'MATRICE COMPO'!$A:$H,6,FALSE))</f>
        <v>7.9200000000000008</v>
      </c>
      <c r="H2" s="37">
        <f>IF($B2="","",VLOOKUP($B2,'MATRICE COMPO'!$A:$H,7,FALSE))</f>
        <v>17.440686343478259</v>
      </c>
      <c r="I2" s="37">
        <f>IF($B2="","",VLOOKUP($B2,'MATRICE COMPO'!$A:$H,8,FALSE))</f>
        <v>7.5576307488405794</v>
      </c>
    </row>
    <row r="3" spans="1:9">
      <c r="A3" s="37" t="str">
        <v>Structure 100 mm / OSB 12 / Bache de protection provisoire / Pignon</v>
      </c>
      <c r="B3" s="37" t="str">
        <f t="shared" ref="B3:B66" si="0">IF(A3=0,"",A3)</f>
        <v>Structure 100 mm / OSB 12 / Bache de protection provisoire / Pignon</v>
      </c>
      <c r="C3" s="135" t="str">
        <f>IF($B3="","",VLOOKUP($B3,'MATRICE COMPO'!$A:$I,9,FALSE))</f>
        <v>PEST-10</v>
      </c>
      <c r="D3" s="37" t="str">
        <f>IFERROR(VLOOKUP(A3,'MATRICE COMPO'!$A:$H,3,FALSE),"")</f>
        <v>m2</v>
      </c>
      <c r="E3" s="132">
        <f>IF(B3="","",VLOOKUP(B3,'MATRICE COMPO'!$A:$H,4,FALSE))</f>
        <v>63.852747530000002</v>
      </c>
      <c r="F3" s="37">
        <f>IF(B3="","",VLOOKUP($B3,'MATRICE COMPO'!$A:$H,5,FALSE))</f>
        <v>27.002271</v>
      </c>
      <c r="G3" s="37">
        <f>IF($B3="","",VLOOKUP($B3,'MATRICE COMPO'!$A:$H,6,FALSE))</f>
        <v>17.650000000000002</v>
      </c>
      <c r="H3" s="37">
        <f>IF($B3="","",VLOOKUP($B3,'MATRICE COMPO'!$A:$H,7,FALSE))</f>
        <v>13.395681299999998</v>
      </c>
      <c r="I3" s="37">
        <f>IF($B3="","",VLOOKUP($B3,'MATRICE COMPO'!$A:$H,8,FALSE))</f>
        <v>5.8047952299999999</v>
      </c>
    </row>
    <row r="4" spans="1:9">
      <c r="A4" s="37" t="str">
        <v>Structure 100 mm / Bardage horizontal cl4</v>
      </c>
      <c r="B4" s="37" t="str">
        <f t="shared" si="0"/>
        <v>Structure 100 mm / Bardage horizontal cl4</v>
      </c>
      <c r="C4" s="135" t="str">
        <f>IF($B4="","",VLOOKUP($B4,'MATRICE COMPO'!$A:$I,9,FALSE))</f>
        <v>PEST-10-BARDAGE</v>
      </c>
      <c r="D4" s="37" t="str">
        <f>IFERROR(VLOOKUP(A4,'MATRICE COMPO'!$A:$H,3,FALSE),"")</f>
        <v>m2</v>
      </c>
      <c r="E4" s="132">
        <f>IF(B4="","",VLOOKUP(B4,'MATRICE COMPO'!$A:$H,4,FALSE))</f>
        <v>61.764947529999993</v>
      </c>
      <c r="F4" s="37">
        <f>IF(B4="","",VLOOKUP($B4,'MATRICE COMPO'!$A:$H,5,FALSE))</f>
        <v>36.342270999999997</v>
      </c>
      <c r="G4" s="37">
        <f>IF($B4="","",VLOOKUP($B4,'MATRICE COMPO'!$A:$H,6,FALSE))</f>
        <v>6.85</v>
      </c>
      <c r="H4" s="37">
        <f>IF($B4="","",VLOOKUP($B4,'MATRICE COMPO'!$A:$H,7,FALSE))</f>
        <v>12.957681299999999</v>
      </c>
      <c r="I4" s="37">
        <f>IF($B4="","",VLOOKUP($B4,'MATRICE COMPO'!$A:$H,8,FALSE))</f>
        <v>5.6149952299999999</v>
      </c>
    </row>
    <row r="5" spans="1:9">
      <c r="A5" s="37" t="str">
        <v>Structure 100 mm / Bardage horizontal cl4 / Pignon</v>
      </c>
      <c r="B5" s="37" t="str">
        <f t="shared" si="0"/>
        <v>Structure 100 mm / Bardage horizontal cl4 / Pignon</v>
      </c>
      <c r="C5" s="135" t="str">
        <f>IF($B5="","",VLOOKUP($B5,'MATRICE COMPO'!$A:$I,9,FALSE))</f>
        <v>PEST-10-BARDAGE PIGNON</v>
      </c>
      <c r="D5" s="37" t="str">
        <f>IFERROR(VLOOKUP(A5,'MATRICE COMPO'!$A:$H,3,FALSE),"")</f>
        <v>m2</v>
      </c>
      <c r="E5" s="132">
        <f>IF(B5="","",VLOOKUP(B5,'MATRICE COMPO'!$A:$H,4,FALSE))</f>
        <v>79.468347530000003</v>
      </c>
      <c r="F5" s="37">
        <f>IF(B5="","",VLOOKUP($B5,'MATRICE COMPO'!$A:$H,5,FALSE))</f>
        <v>36.342270999999997</v>
      </c>
      <c r="G5" s="37">
        <f>IF($B5="","",VLOOKUP($B5,'MATRICE COMPO'!$A:$H,6,FALSE))</f>
        <v>19.23</v>
      </c>
      <c r="H5" s="37">
        <f>IF($B5="","",VLOOKUP($B5,'MATRICE COMPO'!$A:$H,7,FALSE))</f>
        <v>16.671681299999999</v>
      </c>
      <c r="I5" s="37">
        <f>IF($B5="","",VLOOKUP($B5,'MATRICE COMPO'!$A:$H,8,FALSE))</f>
        <v>7.2243952299999998</v>
      </c>
    </row>
    <row r="6" spans="1:9">
      <c r="A6" s="37" t="str">
        <v>OSB 22 / Structure PP 260-625</v>
      </c>
      <c r="B6" s="37" t="str">
        <f t="shared" si="0"/>
        <v>OSB 22 / Structure PP 260-625</v>
      </c>
      <c r="C6" s="135" t="str">
        <f>IF($B6="","",VLOOKUP($B6,'MATRICE COMPO'!$A:$I,9,FALSE))</f>
        <v>PP-625</v>
      </c>
      <c r="D6" s="37" t="str">
        <f>IFERROR(VLOOKUP(A6,'MATRICE COMPO'!$A:$H,3,FALSE),"")</f>
        <v>m2</v>
      </c>
      <c r="E6" s="132">
        <f>IF(B6="","",VLOOKUP(B6,'MATRICE COMPO'!$A:$H,4,FALSE))</f>
        <v>62.557922570000002</v>
      </c>
      <c r="F6" s="37">
        <f>IF(B6="","",VLOOKUP($B6,'MATRICE COMPO'!$A:$H,5,FALSE))</f>
        <v>36.636799000000003</v>
      </c>
      <c r="G6" s="37">
        <f>IF($B6="","",VLOOKUP($B6,'MATRICE COMPO'!$A:$H,6,FALSE))</f>
        <v>7.11</v>
      </c>
      <c r="H6" s="37">
        <f>IF($B6="","",VLOOKUP($B6,'MATRICE COMPO'!$A:$H,7,FALSE))</f>
        <v>13.124039699999999</v>
      </c>
      <c r="I6" s="37">
        <f>IF($B6="","",VLOOKUP($B6,'MATRICE COMPO'!$A:$H,8,FALSE))</f>
        <v>5.6870838700000004</v>
      </c>
    </row>
    <row r="7" spans="1:9">
      <c r="A7" s="37" t="str">
        <v>OSB 22 / Structure PP 260-313</v>
      </c>
      <c r="B7" s="37" t="str">
        <f t="shared" si="0"/>
        <v>OSB 22 / Structure PP 260-313</v>
      </c>
      <c r="C7" s="135" t="str">
        <f>IF($B7="","",VLOOKUP($B7,'MATRICE COMPO'!$A:$I,9,FALSE))</f>
        <v>PP-313</v>
      </c>
      <c r="D7" s="37" t="str">
        <f>IFERROR(VLOOKUP(A7,'MATRICE COMPO'!$A:$H,3,FALSE),"")</f>
        <v>m2</v>
      </c>
      <c r="E7" s="132">
        <f>IF(B7="","",VLOOKUP(B7,'MATRICE COMPO'!$A:$H,4,FALSE))</f>
        <v>81.405737270000003</v>
      </c>
      <c r="F7" s="37">
        <f>IF(B7="","",VLOOKUP($B7,'MATRICE COMPO'!$A:$H,5,FALSE))</f>
        <v>46.887089000000003</v>
      </c>
      <c r="G7" s="37">
        <f>IF($B7="","",VLOOKUP($B7,'MATRICE COMPO'!$A:$H,6,FALSE))</f>
        <v>10.039999999999999</v>
      </c>
      <c r="H7" s="37">
        <f>IF($B7="","",VLOOKUP($B7,'MATRICE COMPO'!$A:$H,7,FALSE))</f>
        <v>17.078126700000002</v>
      </c>
      <c r="I7" s="37">
        <f>IF($B7="","",VLOOKUP($B7,'MATRICE COMPO'!$A:$H,8,FALSE))</f>
        <v>7.4005215700000004</v>
      </c>
    </row>
    <row r="8" spans="1:9">
      <c r="A8" s="37" t="str">
        <v/>
      </c>
      <c r="B8" s="37" t="str">
        <f t="shared" si="0"/>
        <v/>
      </c>
      <c r="C8" s="135" t="str">
        <f>IF($B8="","",VLOOKUP($B8,'MATRICE COMPO'!$A:$I,9,FALSE))</f>
        <v/>
      </c>
      <c r="D8" s="37" t="str">
        <f>IFERROR(VLOOKUP(A8,'MATRICE COMPO'!$A:$H,3,FALSE),"")</f>
        <v/>
      </c>
      <c r="E8" s="132" t="str">
        <f>IF(B8="","",VLOOKUP(B8,'MATRICE COMPO'!$A:$H,4,FALSE))</f>
        <v/>
      </c>
      <c r="F8" s="37" t="str">
        <f>IF(B8="","",VLOOKUP($B8,'MATRICE COMPO'!$A:$H,5,FALSE))</f>
        <v/>
      </c>
      <c r="G8" s="37" t="str">
        <f>IF($B8="","",VLOOKUP($B8,'MATRICE COMPO'!$A:$H,6,FALSE))</f>
        <v/>
      </c>
      <c r="H8" s="37" t="str">
        <f>IF($B8="","",VLOOKUP($B8,'MATRICE COMPO'!$A:$H,7,FALSE))</f>
        <v/>
      </c>
      <c r="I8" s="37" t="str">
        <f>IF($B8="","",VLOOKUP($B8,'MATRICE COMPO'!$A:$H,8,FALSE))</f>
        <v/>
      </c>
    </row>
    <row r="9" spans="1:9">
      <c r="B9" s="37" t="str">
        <f t="shared" si="0"/>
        <v/>
      </c>
      <c r="C9" s="135" t="str">
        <f>IF($B9="","",VLOOKUP($B9,'MATRICE COMPO'!$A:$I,9,FALSE))</f>
        <v/>
      </c>
      <c r="D9" s="37" t="str">
        <f>IFERROR(VLOOKUP(A9,'MATRICE COMPO'!$A:$H,3,FALSE),"")</f>
        <v/>
      </c>
      <c r="E9" s="132" t="str">
        <f>IF(B9="","",VLOOKUP(B9,'MATRICE COMPO'!$A:$H,4,FALSE))</f>
        <v/>
      </c>
      <c r="F9" s="37" t="str">
        <f>IF(B9="","",VLOOKUP($B9,'MATRICE COMPO'!$A:$H,5,FALSE))</f>
        <v/>
      </c>
      <c r="G9" s="37" t="str">
        <f>IF($B9="","",VLOOKUP($B9,'MATRICE COMPO'!$A:$H,6,FALSE))</f>
        <v/>
      </c>
      <c r="H9" s="37" t="str">
        <f>IF($B9="","",VLOOKUP($B9,'MATRICE COMPO'!$A:$H,7,FALSE))</f>
        <v/>
      </c>
      <c r="I9" s="37" t="str">
        <f>IF($B9="","",VLOOKUP($B9,'MATRICE COMPO'!$A:$H,8,FALSE))</f>
        <v/>
      </c>
    </row>
    <row r="10" spans="1:9">
      <c r="B10" s="37" t="str">
        <f t="shared" si="0"/>
        <v/>
      </c>
      <c r="C10" s="135" t="str">
        <f>IF($B10="","",VLOOKUP($B10,'MATRICE COMPO'!$A:$I,9,FALSE))</f>
        <v/>
      </c>
      <c r="D10" s="37" t="str">
        <f>IFERROR(VLOOKUP(A10,'MATRICE COMPO'!$A:$H,3,FALSE),"")</f>
        <v/>
      </c>
      <c r="E10" s="132" t="str">
        <f>IF(B10="","",VLOOKUP(B10,'MATRICE COMPO'!$A:$H,4,FALSE))</f>
        <v/>
      </c>
      <c r="F10" s="37" t="str">
        <f>IF(B10="","",VLOOKUP($B10,'MATRICE COMPO'!$A:$H,5,FALSE))</f>
        <v/>
      </c>
      <c r="G10" s="37" t="str">
        <f>IF($B10="","",VLOOKUP($B10,'MATRICE COMPO'!$A:$H,6,FALSE))</f>
        <v/>
      </c>
      <c r="H10" s="37" t="str">
        <f>IF($B10="","",VLOOKUP($B10,'MATRICE COMPO'!$A:$H,7,FALSE))</f>
        <v/>
      </c>
      <c r="I10" s="37" t="str">
        <f>IF($B10="","",VLOOKUP($B10,'MATRICE COMPO'!$A:$H,8,FALSE))</f>
        <v/>
      </c>
    </row>
    <row r="11" spans="1:9">
      <c r="B11" s="37" t="str">
        <f t="shared" si="0"/>
        <v/>
      </c>
      <c r="C11" s="135" t="str">
        <f>IF($B11="","",VLOOKUP($B11,'MATRICE COMPO'!$A:$I,9,FALSE))</f>
        <v/>
      </c>
      <c r="D11" s="37" t="str">
        <f>IFERROR(VLOOKUP(A11,'MATRICE COMPO'!$A:$H,3,FALSE),"")</f>
        <v/>
      </c>
      <c r="E11" s="132" t="str">
        <f>IF(B11="","",VLOOKUP(B11,'MATRICE COMPO'!$A:$H,4,FALSE))</f>
        <v/>
      </c>
      <c r="F11" s="37" t="str">
        <f>IF(B11="","",VLOOKUP($B11,'MATRICE COMPO'!$A:$H,5,FALSE))</f>
        <v/>
      </c>
      <c r="G11" s="37" t="str">
        <f>IF($B11="","",VLOOKUP($B11,'MATRICE COMPO'!$A:$H,6,FALSE))</f>
        <v/>
      </c>
      <c r="H11" s="37" t="str">
        <f>IF($B11="","",VLOOKUP($B11,'MATRICE COMPO'!$A:$H,7,FALSE))</f>
        <v/>
      </c>
      <c r="I11" s="37" t="str">
        <f>IF($B11="","",VLOOKUP($B11,'MATRICE COMPO'!$A:$H,8,FALSE))</f>
        <v/>
      </c>
    </row>
    <row r="12" spans="1:9">
      <c r="B12" s="37" t="str">
        <f t="shared" si="0"/>
        <v/>
      </c>
      <c r="C12" s="135" t="str">
        <f>IF($B12="","",VLOOKUP($B12,'MATRICE COMPO'!$A:$I,9,FALSE))</f>
        <v/>
      </c>
      <c r="D12" s="37" t="str">
        <f>IFERROR(VLOOKUP(A12,'MATRICE COMPO'!$A:$H,3,FALSE),"")</f>
        <v/>
      </c>
      <c r="E12" s="132" t="str">
        <f>IF(B12="","",VLOOKUP(B12,'MATRICE COMPO'!$A:$H,4,FALSE))</f>
        <v/>
      </c>
      <c r="F12" s="37" t="str">
        <f>IF(B12="","",VLOOKUP($B12,'MATRICE COMPO'!$A:$H,5,FALSE))</f>
        <v/>
      </c>
      <c r="G12" s="37" t="str">
        <f>IF($B12="","",VLOOKUP($B12,'MATRICE COMPO'!$A:$H,6,FALSE))</f>
        <v/>
      </c>
      <c r="H12" s="37" t="str">
        <f>IF($B12="","",VLOOKUP($B12,'MATRICE COMPO'!$A:$H,7,FALSE))</f>
        <v/>
      </c>
      <c r="I12" s="37" t="str">
        <f>IF($B12="","",VLOOKUP($B12,'MATRICE COMPO'!$A:$H,8,FALSE))</f>
        <v/>
      </c>
    </row>
    <row r="13" spans="1:9">
      <c r="B13" s="37" t="str">
        <f t="shared" si="0"/>
        <v/>
      </c>
      <c r="C13" s="135" t="str">
        <f>IF($B13="","",VLOOKUP($B13,'MATRICE COMPO'!$A:$I,9,FALSE))</f>
        <v/>
      </c>
      <c r="D13" s="37" t="str">
        <f>IFERROR(VLOOKUP(A13,'MATRICE COMPO'!$A:$H,3,FALSE),"")</f>
        <v/>
      </c>
      <c r="E13" s="132" t="str">
        <f>IF(B13="","",VLOOKUP(B13,'MATRICE COMPO'!$A:$H,4,FALSE))</f>
        <v/>
      </c>
      <c r="F13" s="37" t="str">
        <f>IF(B13="","",VLOOKUP($B13,'MATRICE COMPO'!$A:$H,5,FALSE))</f>
        <v/>
      </c>
      <c r="G13" s="37" t="str">
        <f>IF($B13="","",VLOOKUP($B13,'MATRICE COMPO'!$A:$H,6,FALSE))</f>
        <v/>
      </c>
      <c r="H13" s="37" t="str">
        <f>IF($B13="","",VLOOKUP($B13,'MATRICE COMPO'!$A:$H,7,FALSE))</f>
        <v/>
      </c>
      <c r="I13" s="37" t="str">
        <f>IF($B13="","",VLOOKUP($B13,'MATRICE COMPO'!$A:$H,8,FALSE))</f>
        <v/>
      </c>
    </row>
    <row r="14" spans="1:9">
      <c r="B14" s="37" t="str">
        <f t="shared" si="0"/>
        <v/>
      </c>
      <c r="C14" s="135" t="str">
        <f>IF($B14="","",VLOOKUP($B14,'MATRICE COMPO'!$A:$I,9,FALSE))</f>
        <v/>
      </c>
      <c r="D14" s="37" t="str">
        <f>IFERROR(VLOOKUP(A14,'MATRICE COMPO'!$A:$H,3,FALSE),"")</f>
        <v/>
      </c>
      <c r="E14" s="132" t="str">
        <f>IF(B14="","",VLOOKUP(B14,'MATRICE COMPO'!$A:$H,4,FALSE))</f>
        <v/>
      </c>
      <c r="F14" s="37" t="str">
        <f>IF(B14="","",VLOOKUP($B14,'MATRICE COMPO'!$A:$H,5,FALSE))</f>
        <v/>
      </c>
      <c r="G14" s="37" t="str">
        <f>IF($B14="","",VLOOKUP($B14,'MATRICE COMPO'!$A:$H,6,FALSE))</f>
        <v/>
      </c>
      <c r="H14" s="37" t="str">
        <f>IF($B14="","",VLOOKUP($B14,'MATRICE COMPO'!$A:$H,7,FALSE))</f>
        <v/>
      </c>
      <c r="I14" s="37" t="str">
        <f>IF($B14="","",VLOOKUP($B14,'MATRICE COMPO'!$A:$H,8,FALSE))</f>
        <v/>
      </c>
    </row>
    <row r="15" spans="1:9">
      <c r="B15" s="37" t="str">
        <f t="shared" si="0"/>
        <v/>
      </c>
      <c r="C15" s="135" t="str">
        <f>IF($B15="","",VLOOKUP($B15,'MATRICE COMPO'!$A:$I,9,FALSE))</f>
        <v/>
      </c>
      <c r="D15" s="37" t="str">
        <f>IFERROR(VLOOKUP(A15,'MATRICE COMPO'!$A:$H,3,FALSE),"")</f>
        <v/>
      </c>
      <c r="E15" s="132" t="str">
        <f>IF(B15="","",VLOOKUP(B15,'MATRICE COMPO'!$A:$H,4,FALSE))</f>
        <v/>
      </c>
      <c r="F15" s="37" t="str">
        <f>IF(B15="","",VLOOKUP($B15,'MATRICE COMPO'!$A:$H,5,FALSE))</f>
        <v/>
      </c>
      <c r="G15" s="37" t="str">
        <f>IF($B15="","",VLOOKUP($B15,'MATRICE COMPO'!$A:$H,6,FALSE))</f>
        <v/>
      </c>
      <c r="H15" s="37" t="str">
        <f>IF($B15="","",VLOOKUP($B15,'MATRICE COMPO'!$A:$H,7,FALSE))</f>
        <v/>
      </c>
      <c r="I15" s="37" t="str">
        <f>IF($B15="","",VLOOKUP($B15,'MATRICE COMPO'!$A:$H,8,FALSE))</f>
        <v/>
      </c>
    </row>
    <row r="16" spans="1:9">
      <c r="B16" s="37" t="str">
        <f t="shared" si="0"/>
        <v/>
      </c>
      <c r="C16" s="135" t="str">
        <f>IF($B16="","",VLOOKUP($B16,'MATRICE COMPO'!$A:$I,9,FALSE))</f>
        <v/>
      </c>
      <c r="D16" s="37" t="str">
        <f>IFERROR(VLOOKUP(A16,'MATRICE COMPO'!$A:$H,3,FALSE),"")</f>
        <v/>
      </c>
      <c r="E16" s="132" t="str">
        <f>IF(B16="","",VLOOKUP(B16,'MATRICE COMPO'!$A:$H,4,FALSE))</f>
        <v/>
      </c>
      <c r="F16" s="37" t="str">
        <f>IF(B16="","",VLOOKUP($B16,'MATRICE COMPO'!$A:$H,5,FALSE))</f>
        <v/>
      </c>
      <c r="G16" s="37" t="str">
        <f>IF($B16="","",VLOOKUP($B16,'MATRICE COMPO'!$A:$H,6,FALSE))</f>
        <v/>
      </c>
      <c r="H16" s="37" t="str">
        <f>IF($B16="","",VLOOKUP($B16,'MATRICE COMPO'!$A:$H,7,FALSE))</f>
        <v/>
      </c>
      <c r="I16" s="37" t="str">
        <f>IF($B16="","",VLOOKUP($B16,'MATRICE COMPO'!$A:$H,8,FALSE))</f>
        <v/>
      </c>
    </row>
    <row r="17" spans="2:9">
      <c r="B17" s="37" t="str">
        <f t="shared" si="0"/>
        <v/>
      </c>
      <c r="C17" s="135" t="str">
        <f>IF($B17="","",VLOOKUP($B17,'MATRICE COMPO'!$A:$I,9,FALSE))</f>
        <v/>
      </c>
      <c r="D17" s="37" t="str">
        <f>IFERROR(VLOOKUP(A17,'MATRICE COMPO'!$A:$H,3,FALSE),"")</f>
        <v/>
      </c>
      <c r="E17" s="132" t="str">
        <f>IF(B17="","",VLOOKUP(B17,'MATRICE COMPO'!$A:$H,4,FALSE))</f>
        <v/>
      </c>
      <c r="F17" s="37" t="str">
        <f>IF(B17="","",VLOOKUP($B17,'MATRICE COMPO'!$A:$H,5,FALSE))</f>
        <v/>
      </c>
      <c r="G17" s="37" t="str">
        <f>IF($B17="","",VLOOKUP($B17,'MATRICE COMPO'!$A:$H,6,FALSE))</f>
        <v/>
      </c>
      <c r="H17" s="37" t="str">
        <f>IF($B17="","",VLOOKUP($B17,'MATRICE COMPO'!$A:$H,7,FALSE))</f>
        <v/>
      </c>
      <c r="I17" s="37" t="str">
        <f>IF($B17="","",VLOOKUP($B17,'MATRICE COMPO'!$A:$H,8,FALSE))</f>
        <v/>
      </c>
    </row>
    <row r="18" spans="2:9">
      <c r="B18" s="37" t="str">
        <f t="shared" si="0"/>
        <v/>
      </c>
      <c r="C18" s="135" t="str">
        <f>IF($B18="","",VLOOKUP($B18,'MATRICE COMPO'!$A:$I,9,FALSE))</f>
        <v/>
      </c>
      <c r="D18" s="37" t="str">
        <f>IFERROR(VLOOKUP(A18,'MATRICE COMPO'!$A:$H,3,FALSE),"")</f>
        <v/>
      </c>
      <c r="E18" s="132" t="str">
        <f>IF(B18="","",VLOOKUP(B18,'MATRICE COMPO'!$A:$H,4,FALSE))</f>
        <v/>
      </c>
      <c r="F18" s="37" t="str">
        <f>IF(B18="","",VLOOKUP($B18,'MATRICE COMPO'!$A:$H,5,FALSE))</f>
        <v/>
      </c>
      <c r="G18" s="37" t="str">
        <f>IF($B18="","",VLOOKUP($B18,'MATRICE COMPO'!$A:$H,6,FALSE))</f>
        <v/>
      </c>
      <c r="H18" s="37" t="str">
        <f>IF($B18="","",VLOOKUP($B18,'MATRICE COMPO'!$A:$H,7,FALSE))</f>
        <v/>
      </c>
      <c r="I18" s="37" t="str">
        <f>IF($B18="","",VLOOKUP($B18,'MATRICE COMPO'!$A:$H,8,FALSE))</f>
        <v/>
      </c>
    </row>
    <row r="19" spans="2:9">
      <c r="B19" s="37" t="str">
        <f t="shared" si="0"/>
        <v/>
      </c>
      <c r="C19" s="135" t="str">
        <f>IF($B19="","",VLOOKUP($B19,'MATRICE COMPO'!$A:$I,9,FALSE))</f>
        <v/>
      </c>
      <c r="D19" s="37" t="str">
        <f>IFERROR(VLOOKUP(A19,'MATRICE COMPO'!$A:$H,3,FALSE),"")</f>
        <v/>
      </c>
      <c r="E19" s="132" t="str">
        <f>IF(B19="","",VLOOKUP(B19,'MATRICE COMPO'!$A:$H,4,FALSE))</f>
        <v/>
      </c>
      <c r="F19" s="37" t="str">
        <f>IF(B19="","",VLOOKUP($B19,'MATRICE COMPO'!$A:$H,5,FALSE))</f>
        <v/>
      </c>
      <c r="G19" s="37" t="str">
        <f>IF($B19="","",VLOOKUP($B19,'MATRICE COMPO'!$A:$H,6,FALSE))</f>
        <v/>
      </c>
      <c r="H19" s="37" t="str">
        <f>IF($B19="","",VLOOKUP($B19,'MATRICE COMPO'!$A:$H,7,FALSE))</f>
        <v/>
      </c>
      <c r="I19" s="37" t="str">
        <f>IF($B19="","",VLOOKUP($B19,'MATRICE COMPO'!$A:$H,8,FALSE))</f>
        <v/>
      </c>
    </row>
    <row r="20" spans="2:9">
      <c r="B20" s="37" t="str">
        <f t="shared" si="0"/>
        <v/>
      </c>
      <c r="C20" s="135" t="str">
        <f>IF($B20="","",VLOOKUP($B20,'MATRICE COMPO'!$A:$I,9,FALSE))</f>
        <v/>
      </c>
      <c r="D20" s="37" t="str">
        <f>IFERROR(VLOOKUP(A20,'MATRICE COMPO'!$A:$H,3,FALSE),"")</f>
        <v/>
      </c>
      <c r="E20" s="132" t="str">
        <f>IF(B20="","",VLOOKUP(B20,'MATRICE COMPO'!$A:$H,4,FALSE))</f>
        <v/>
      </c>
      <c r="F20" s="37" t="str">
        <f>IF(B20="","",VLOOKUP($B20,'MATRICE COMPO'!$A:$H,5,FALSE))</f>
        <v/>
      </c>
      <c r="G20" s="37" t="str">
        <f>IF($B20="","",VLOOKUP($B20,'MATRICE COMPO'!$A:$H,6,FALSE))</f>
        <v/>
      </c>
      <c r="H20" s="37" t="str">
        <f>IF($B20="","",VLOOKUP($B20,'MATRICE COMPO'!$A:$H,7,FALSE))</f>
        <v/>
      </c>
      <c r="I20" s="37" t="str">
        <f>IF($B20="","",VLOOKUP($B20,'MATRICE COMPO'!$A:$H,8,FALSE))</f>
        <v/>
      </c>
    </row>
    <row r="21" spans="2:9">
      <c r="B21" s="37" t="str">
        <f t="shared" si="0"/>
        <v/>
      </c>
      <c r="C21" s="135" t="str">
        <f>IF($B21="","",VLOOKUP($B21,'MATRICE COMPO'!$A:$I,9,FALSE))</f>
        <v/>
      </c>
      <c r="D21" s="37" t="str">
        <f>IFERROR(VLOOKUP(A21,'MATRICE COMPO'!$A:$H,3,FALSE),"")</f>
        <v/>
      </c>
      <c r="E21" s="132" t="str">
        <f>IF(B21="","",VLOOKUP(B21,'MATRICE COMPO'!$A:$H,4,FALSE))</f>
        <v/>
      </c>
      <c r="F21" s="37" t="str">
        <f>IF(B21="","",VLOOKUP($B21,'MATRICE COMPO'!$A:$H,5,FALSE))</f>
        <v/>
      </c>
      <c r="G21" s="37" t="str">
        <f>IF($B21="","",VLOOKUP($B21,'MATRICE COMPO'!$A:$H,6,FALSE))</f>
        <v/>
      </c>
      <c r="H21" s="37" t="str">
        <f>IF($B21="","",VLOOKUP($B21,'MATRICE COMPO'!$A:$H,7,FALSE))</f>
        <v/>
      </c>
      <c r="I21" s="37" t="str">
        <f>IF($B21="","",VLOOKUP($B21,'MATRICE COMPO'!$A:$H,8,FALSE))</f>
        <v/>
      </c>
    </row>
    <row r="22" spans="2:9">
      <c r="B22" s="37" t="str">
        <f t="shared" si="0"/>
        <v/>
      </c>
      <c r="C22" s="135" t="str">
        <f>IF($B22="","",VLOOKUP($B22,'MATRICE COMPO'!$A:$I,9,FALSE))</f>
        <v/>
      </c>
      <c r="D22" s="37" t="str">
        <f>IFERROR(VLOOKUP(A22,'MATRICE COMPO'!$A:$H,3,FALSE),"")</f>
        <v/>
      </c>
      <c r="E22" s="132" t="str">
        <f>IF(B22="","",VLOOKUP(B22,'MATRICE COMPO'!$A:$H,4,FALSE))</f>
        <v/>
      </c>
      <c r="F22" s="37" t="str">
        <f>IF(B22="","",VLOOKUP($B22,'MATRICE COMPO'!$A:$H,5,FALSE))</f>
        <v/>
      </c>
      <c r="G22" s="37" t="str">
        <f>IF($B22="","",VLOOKUP($B22,'MATRICE COMPO'!$A:$H,6,FALSE))</f>
        <v/>
      </c>
      <c r="H22" s="37" t="str">
        <f>IF($B22="","",VLOOKUP($B22,'MATRICE COMPO'!$A:$H,7,FALSE))</f>
        <v/>
      </c>
      <c r="I22" s="37" t="str">
        <f>IF($B22="","",VLOOKUP($B22,'MATRICE COMPO'!$A:$H,8,FALSE))</f>
        <v/>
      </c>
    </row>
    <row r="23" spans="2:9">
      <c r="B23" s="37" t="str">
        <f t="shared" si="0"/>
        <v/>
      </c>
      <c r="C23" s="135" t="str">
        <f>IF($B23="","",VLOOKUP($B23,'MATRICE COMPO'!$A:$I,9,FALSE))</f>
        <v/>
      </c>
      <c r="D23" s="37" t="str">
        <f>IFERROR(VLOOKUP(A23,'MATRICE COMPO'!$A:$H,3,FALSE),"")</f>
        <v/>
      </c>
      <c r="E23" s="132" t="str">
        <f>IF(B23="","",VLOOKUP(B23,'MATRICE COMPO'!$A:$H,4,FALSE))</f>
        <v/>
      </c>
      <c r="F23" s="37" t="str">
        <f>IF(B23="","",VLOOKUP($B23,'MATRICE COMPO'!$A:$H,5,FALSE))</f>
        <v/>
      </c>
      <c r="G23" s="37" t="str">
        <f>IF($B23="","",VLOOKUP($B23,'MATRICE COMPO'!$A:$H,6,FALSE))</f>
        <v/>
      </c>
      <c r="H23" s="37" t="str">
        <f>IF($B23="","",VLOOKUP($B23,'MATRICE COMPO'!$A:$H,7,FALSE))</f>
        <v/>
      </c>
      <c r="I23" s="37" t="str">
        <f>IF($B23="","",VLOOKUP($B23,'MATRICE COMPO'!$A:$H,8,FALSE))</f>
        <v/>
      </c>
    </row>
    <row r="24" spans="2:9">
      <c r="B24" s="37" t="str">
        <f t="shared" si="0"/>
        <v/>
      </c>
      <c r="C24" s="135" t="str">
        <f>IF($B24="","",VLOOKUP($B24,'MATRICE COMPO'!$A:$I,9,FALSE))</f>
        <v/>
      </c>
      <c r="D24" s="37" t="str">
        <f>IFERROR(VLOOKUP(A24,'MATRICE COMPO'!$A:$H,3,FALSE),"")</f>
        <v/>
      </c>
      <c r="E24" s="132" t="str">
        <f>IF(B24="","",VLOOKUP(B24,'MATRICE COMPO'!$A:$H,4,FALSE))</f>
        <v/>
      </c>
      <c r="F24" s="37" t="str">
        <f>IF(B24="","",VLOOKUP($B24,'MATRICE COMPO'!$A:$H,5,FALSE))</f>
        <v/>
      </c>
      <c r="G24" s="37" t="str">
        <f>IF($B24="","",VLOOKUP($B24,'MATRICE COMPO'!$A:$H,6,FALSE))</f>
        <v/>
      </c>
      <c r="H24" s="37" t="str">
        <f>IF($B24="","",VLOOKUP($B24,'MATRICE COMPO'!$A:$H,7,FALSE))</f>
        <v/>
      </c>
      <c r="I24" s="37" t="str">
        <f>IF($B24="","",VLOOKUP($B24,'MATRICE COMPO'!$A:$H,8,FALSE))</f>
        <v/>
      </c>
    </row>
    <row r="25" spans="2:9">
      <c r="B25" s="37" t="str">
        <f t="shared" si="0"/>
        <v/>
      </c>
      <c r="C25" s="135" t="str">
        <f>IF($B25="","",VLOOKUP($B25,'MATRICE COMPO'!$A:$I,9,FALSE))</f>
        <v/>
      </c>
      <c r="D25" s="37" t="str">
        <f>IFERROR(VLOOKUP(A25,'MATRICE COMPO'!$A:$H,3,FALSE),"")</f>
        <v/>
      </c>
      <c r="E25" s="132" t="str">
        <f>IF(B25="","",VLOOKUP(B25,'MATRICE COMPO'!$A:$H,4,FALSE))</f>
        <v/>
      </c>
      <c r="F25" s="37" t="str">
        <f>IF(B25="","",VLOOKUP($B25,'MATRICE COMPO'!$A:$H,5,FALSE))</f>
        <v/>
      </c>
      <c r="G25" s="37" t="str">
        <f>IF($B25="","",VLOOKUP($B25,'MATRICE COMPO'!$A:$H,6,FALSE))</f>
        <v/>
      </c>
      <c r="H25" s="37" t="str">
        <f>IF($B25="","",VLOOKUP($B25,'MATRICE COMPO'!$A:$H,7,FALSE))</f>
        <v/>
      </c>
      <c r="I25" s="37" t="str">
        <f>IF($B25="","",VLOOKUP($B25,'MATRICE COMPO'!$A:$H,8,FALSE))</f>
        <v/>
      </c>
    </row>
    <row r="26" spans="2:9">
      <c r="B26" s="37" t="str">
        <f t="shared" si="0"/>
        <v/>
      </c>
      <c r="C26" s="135" t="str">
        <f>IF($B26="","",VLOOKUP($B26,'MATRICE COMPO'!$A:$I,9,FALSE))</f>
        <v/>
      </c>
      <c r="D26" s="37" t="str">
        <f>IFERROR(VLOOKUP(A26,'MATRICE COMPO'!$A:$H,3,FALSE),"")</f>
        <v/>
      </c>
      <c r="E26" s="132" t="str">
        <f>IF(B26="","",VLOOKUP(B26,'MATRICE COMPO'!$A:$H,4,FALSE))</f>
        <v/>
      </c>
      <c r="F26" s="37" t="str">
        <f>IF(B26="","",VLOOKUP($B26,'MATRICE COMPO'!$A:$H,5,FALSE))</f>
        <v/>
      </c>
      <c r="G26" s="37" t="str">
        <f>IF($B26="","",VLOOKUP($B26,'MATRICE COMPO'!$A:$H,6,FALSE))</f>
        <v/>
      </c>
      <c r="H26" s="37" t="str">
        <f>IF($B26="","",VLOOKUP($B26,'MATRICE COMPO'!$A:$H,7,FALSE))</f>
        <v/>
      </c>
      <c r="I26" s="37" t="str">
        <f>IF($B26="","",VLOOKUP($B26,'MATRICE COMPO'!$A:$H,8,FALSE))</f>
        <v/>
      </c>
    </row>
    <row r="27" spans="2:9">
      <c r="B27" s="37" t="str">
        <f t="shared" si="0"/>
        <v/>
      </c>
      <c r="C27" s="135" t="str">
        <f>IF($B27="","",VLOOKUP($B27,'MATRICE COMPO'!$A:$I,9,FALSE))</f>
        <v/>
      </c>
      <c r="D27" s="37" t="str">
        <f>IFERROR(VLOOKUP(A27,'MATRICE COMPO'!$A:$H,3,FALSE),"")</f>
        <v/>
      </c>
      <c r="E27" s="132" t="str">
        <f>IF(B27="","",VLOOKUP(B27,'MATRICE COMPO'!$A:$H,4,FALSE))</f>
        <v/>
      </c>
      <c r="F27" s="37" t="str">
        <f>IF(B27="","",VLOOKUP($B27,'MATRICE COMPO'!$A:$H,5,FALSE))</f>
        <v/>
      </c>
      <c r="G27" s="37" t="str">
        <f>IF($B27="","",VLOOKUP($B27,'MATRICE COMPO'!$A:$H,6,FALSE))</f>
        <v/>
      </c>
      <c r="H27" s="37" t="str">
        <f>IF($B27="","",VLOOKUP($B27,'MATRICE COMPO'!$A:$H,7,FALSE))</f>
        <v/>
      </c>
      <c r="I27" s="37" t="str">
        <f>IF($B27="","",VLOOKUP($B27,'MATRICE COMPO'!$A:$H,8,FALSE))</f>
        <v/>
      </c>
    </row>
    <row r="28" spans="2:9">
      <c r="B28" s="37" t="str">
        <f t="shared" si="0"/>
        <v/>
      </c>
      <c r="C28" s="135" t="str">
        <f>IF($B28="","",VLOOKUP($B28,'MATRICE COMPO'!$A:$I,9,FALSE))</f>
        <v/>
      </c>
      <c r="D28" s="37" t="str">
        <f>IFERROR(VLOOKUP(A28,'MATRICE COMPO'!$A:$H,3,FALSE),"")</f>
        <v/>
      </c>
      <c r="E28" s="132" t="str">
        <f>IF(B28="","",VLOOKUP(B28,'MATRICE COMPO'!$A:$H,4,FALSE))</f>
        <v/>
      </c>
      <c r="F28" s="37" t="str">
        <f>IF(B28="","",VLOOKUP($B28,'MATRICE COMPO'!$A:$H,5,FALSE))</f>
        <v/>
      </c>
      <c r="G28" s="37" t="str">
        <f>IF($B28="","",VLOOKUP($B28,'MATRICE COMPO'!$A:$H,6,FALSE))</f>
        <v/>
      </c>
      <c r="H28" s="37" t="str">
        <f>IF($B28="","",VLOOKUP($B28,'MATRICE COMPO'!$A:$H,7,FALSE))</f>
        <v/>
      </c>
      <c r="I28" s="37" t="str">
        <f>IF($B28="","",VLOOKUP($B28,'MATRICE COMPO'!$A:$H,8,FALSE))</f>
        <v/>
      </c>
    </row>
    <row r="29" spans="2:9">
      <c r="B29" s="37" t="str">
        <f t="shared" si="0"/>
        <v/>
      </c>
      <c r="C29" s="135" t="str">
        <f>IF($B29="","",VLOOKUP($B29,'MATRICE COMPO'!$A:$I,9,FALSE))</f>
        <v/>
      </c>
      <c r="D29" s="37" t="str">
        <f>IFERROR(VLOOKUP(A29,'MATRICE COMPO'!$A:$H,3,FALSE),"")</f>
        <v/>
      </c>
      <c r="E29" s="132" t="str">
        <f>IF(B29="","",VLOOKUP(B29,'MATRICE COMPO'!$A:$H,4,FALSE))</f>
        <v/>
      </c>
      <c r="F29" s="37" t="str">
        <f>IF(B29="","",VLOOKUP($B29,'MATRICE COMPO'!$A:$H,5,FALSE))</f>
        <v/>
      </c>
      <c r="G29" s="37" t="str">
        <f>IF($B29="","",VLOOKUP($B29,'MATRICE COMPO'!$A:$H,6,FALSE))</f>
        <v/>
      </c>
      <c r="H29" s="37" t="str">
        <f>IF($B29="","",VLOOKUP($B29,'MATRICE COMPO'!$A:$H,7,FALSE))</f>
        <v/>
      </c>
      <c r="I29" s="37" t="str">
        <f>IF($B29="","",VLOOKUP($B29,'MATRICE COMPO'!$A:$H,8,FALSE))</f>
        <v/>
      </c>
    </row>
    <row r="30" spans="2:9">
      <c r="B30" s="37" t="str">
        <f t="shared" si="0"/>
        <v/>
      </c>
      <c r="C30" s="135" t="str">
        <f>IF($B30="","",VLOOKUP($B30,'MATRICE COMPO'!$A:$I,9,FALSE))</f>
        <v/>
      </c>
      <c r="D30" s="37" t="str">
        <f>IFERROR(VLOOKUP(A30,'MATRICE COMPO'!$A:$H,3,FALSE),"")</f>
        <v/>
      </c>
      <c r="E30" s="132" t="str">
        <f>IF(B30="","",VLOOKUP(B30,'MATRICE COMPO'!$A:$H,4,FALSE))</f>
        <v/>
      </c>
      <c r="F30" s="37" t="str">
        <f>IF(B30="","",VLOOKUP($B30,'MATRICE COMPO'!$A:$H,5,FALSE))</f>
        <v/>
      </c>
      <c r="G30" s="37" t="str">
        <f>IF($B30="","",VLOOKUP($B30,'MATRICE COMPO'!$A:$H,6,FALSE))</f>
        <v/>
      </c>
      <c r="H30" s="37" t="str">
        <f>IF($B30="","",VLOOKUP($B30,'MATRICE COMPO'!$A:$H,7,FALSE))</f>
        <v/>
      </c>
      <c r="I30" s="37" t="str">
        <f>IF($B30="","",VLOOKUP($B30,'MATRICE COMPO'!$A:$H,8,FALSE))</f>
        <v/>
      </c>
    </row>
    <row r="31" spans="2:9">
      <c r="B31" s="37" t="str">
        <f t="shared" si="0"/>
        <v/>
      </c>
      <c r="C31" s="135" t="str">
        <f>IF($B31="","",VLOOKUP($B31,'MATRICE COMPO'!$A:$I,9,FALSE))</f>
        <v/>
      </c>
      <c r="D31" s="37" t="str">
        <f>IFERROR(VLOOKUP(A31,'MATRICE COMPO'!$A:$H,3,FALSE),"")</f>
        <v/>
      </c>
      <c r="E31" s="132" t="str">
        <f>IF(B31="","",VLOOKUP(B31,'MATRICE COMPO'!$A:$H,4,FALSE))</f>
        <v/>
      </c>
      <c r="F31" s="37" t="str">
        <f>IF(B31="","",VLOOKUP($B31,'MATRICE COMPO'!$A:$H,5,FALSE))</f>
        <v/>
      </c>
      <c r="G31" s="37" t="str">
        <f>IF($B31="","",VLOOKUP($B31,'MATRICE COMPO'!$A:$H,6,FALSE))</f>
        <v/>
      </c>
      <c r="H31" s="37" t="str">
        <f>IF($B31="","",VLOOKUP($B31,'MATRICE COMPO'!$A:$H,7,FALSE))</f>
        <v/>
      </c>
      <c r="I31" s="37" t="str">
        <f>IF($B31="","",VLOOKUP($B31,'MATRICE COMPO'!$A:$H,8,FALSE))</f>
        <v/>
      </c>
    </row>
    <row r="32" spans="2:9">
      <c r="B32" s="37" t="str">
        <f t="shared" si="0"/>
        <v/>
      </c>
      <c r="C32" s="135" t="str">
        <f>IF($B32="","",VLOOKUP($B32,'MATRICE COMPO'!$A:$I,9,FALSE))</f>
        <v/>
      </c>
      <c r="D32" s="37" t="str">
        <f>IFERROR(VLOOKUP(A32,'MATRICE COMPO'!$A:$H,3,FALSE),"")</f>
        <v/>
      </c>
      <c r="E32" s="132" t="str">
        <f>IF(B32="","",VLOOKUP(B32,'MATRICE COMPO'!$A:$H,4,FALSE))</f>
        <v/>
      </c>
      <c r="F32" s="37" t="str">
        <f>IF(B32="","",VLOOKUP($B32,'MATRICE COMPO'!$A:$H,5,FALSE))</f>
        <v/>
      </c>
      <c r="G32" s="37" t="str">
        <f>IF($B32="","",VLOOKUP($B32,'MATRICE COMPO'!$A:$H,6,FALSE))</f>
        <v/>
      </c>
      <c r="H32" s="37" t="str">
        <f>IF($B32="","",VLOOKUP($B32,'MATRICE COMPO'!$A:$H,7,FALSE))</f>
        <v/>
      </c>
      <c r="I32" s="37" t="str">
        <f>IF($B32="","",VLOOKUP($B32,'MATRICE COMPO'!$A:$H,8,FALSE))</f>
        <v/>
      </c>
    </row>
    <row r="33" spans="2:9">
      <c r="B33" s="37" t="str">
        <f t="shared" si="0"/>
        <v/>
      </c>
      <c r="C33" s="135" t="str">
        <f>IF($B33="","",VLOOKUP($B33,'MATRICE COMPO'!$A:$I,9,FALSE))</f>
        <v/>
      </c>
      <c r="D33" s="37" t="str">
        <f>IFERROR(VLOOKUP(A33,'MATRICE COMPO'!$A:$H,3,FALSE),"")</f>
        <v/>
      </c>
      <c r="E33" s="132" t="str">
        <f>IF(B33="","",VLOOKUP(B33,'MATRICE COMPO'!$A:$H,4,FALSE))</f>
        <v/>
      </c>
      <c r="F33" s="37" t="str">
        <f>IF(B33="","",VLOOKUP($B33,'MATRICE COMPO'!$A:$H,5,FALSE))</f>
        <v/>
      </c>
      <c r="G33" s="37" t="str">
        <f>IF($B33="","",VLOOKUP($B33,'MATRICE COMPO'!$A:$H,6,FALSE))</f>
        <v/>
      </c>
      <c r="H33" s="37" t="str">
        <f>IF($B33="","",VLOOKUP($B33,'MATRICE COMPO'!$A:$H,7,FALSE))</f>
        <v/>
      </c>
      <c r="I33" s="37" t="str">
        <f>IF($B33="","",VLOOKUP($B33,'MATRICE COMPO'!$A:$H,8,FALSE))</f>
        <v/>
      </c>
    </row>
    <row r="34" spans="2:9">
      <c r="B34" s="37" t="str">
        <f t="shared" si="0"/>
        <v/>
      </c>
      <c r="C34" s="135" t="str">
        <f>IF($B34="","",VLOOKUP($B34,'MATRICE COMPO'!$A:$I,9,FALSE))</f>
        <v/>
      </c>
      <c r="D34" s="37" t="str">
        <f>IFERROR(VLOOKUP(A34,'MATRICE COMPO'!$A:$H,3,FALSE),"")</f>
        <v/>
      </c>
      <c r="E34" s="132" t="str">
        <f>IF(B34="","",VLOOKUP(B34,'MATRICE COMPO'!$A:$H,4,FALSE))</f>
        <v/>
      </c>
      <c r="F34" s="37" t="str">
        <f>IF(B34="","",VLOOKUP($B34,'MATRICE COMPO'!$A:$H,5,FALSE))</f>
        <v/>
      </c>
      <c r="G34" s="37" t="str">
        <f>IF($B34="","",VLOOKUP($B34,'MATRICE COMPO'!$A:$H,6,FALSE))</f>
        <v/>
      </c>
      <c r="H34" s="37" t="str">
        <f>IF($B34="","",VLOOKUP($B34,'MATRICE COMPO'!$A:$H,7,FALSE))</f>
        <v/>
      </c>
      <c r="I34" s="37" t="str">
        <f>IF($B34="","",VLOOKUP($B34,'MATRICE COMPO'!$A:$H,8,FALSE))</f>
        <v/>
      </c>
    </row>
    <row r="35" spans="2:9">
      <c r="B35" s="37" t="str">
        <f t="shared" si="0"/>
        <v/>
      </c>
      <c r="C35" s="135" t="str">
        <f>IF($B35="","",VLOOKUP($B35,'MATRICE COMPO'!$A:$I,9,FALSE))</f>
        <v/>
      </c>
      <c r="D35" s="37" t="str">
        <f>IFERROR(VLOOKUP(A35,'MATRICE COMPO'!$A:$H,3,FALSE),"")</f>
        <v/>
      </c>
      <c r="E35" s="132" t="str">
        <f>IF(B35="","",VLOOKUP(B35,'MATRICE COMPO'!$A:$H,4,FALSE))</f>
        <v/>
      </c>
      <c r="F35" s="37" t="str">
        <f>IF(B35="","",VLOOKUP($B35,'MATRICE COMPO'!$A:$H,5,FALSE))</f>
        <v/>
      </c>
      <c r="G35" s="37" t="str">
        <f>IF($B35="","",VLOOKUP($B35,'MATRICE COMPO'!$A:$H,6,FALSE))</f>
        <v/>
      </c>
      <c r="H35" s="37" t="str">
        <f>IF($B35="","",VLOOKUP($B35,'MATRICE COMPO'!$A:$H,7,FALSE))</f>
        <v/>
      </c>
      <c r="I35" s="37" t="str">
        <f>IF($B35="","",VLOOKUP($B35,'MATRICE COMPO'!$A:$H,8,FALSE))</f>
        <v/>
      </c>
    </row>
    <row r="36" spans="2:9">
      <c r="B36" s="37" t="str">
        <f t="shared" si="0"/>
        <v/>
      </c>
      <c r="C36" s="135" t="str">
        <f>IF($B36="","",VLOOKUP($B36,'MATRICE COMPO'!$A:$I,9,FALSE))</f>
        <v/>
      </c>
      <c r="D36" s="37" t="str">
        <f>IFERROR(VLOOKUP(A36,'MATRICE COMPO'!$A:$H,3,FALSE),"")</f>
        <v/>
      </c>
      <c r="E36" s="132" t="str">
        <f>IF(B36="","",VLOOKUP(B36,'MATRICE COMPO'!$A:$H,4,FALSE))</f>
        <v/>
      </c>
      <c r="F36" s="37" t="str">
        <f>IF(B36="","",VLOOKUP($B36,'MATRICE COMPO'!$A:$H,5,FALSE))</f>
        <v/>
      </c>
      <c r="G36" s="37" t="str">
        <f>IF($B36="","",VLOOKUP($B36,'MATRICE COMPO'!$A:$H,6,FALSE))</f>
        <v/>
      </c>
      <c r="H36" s="37" t="str">
        <f>IF($B36="","",VLOOKUP($B36,'MATRICE COMPO'!$A:$H,7,FALSE))</f>
        <v/>
      </c>
      <c r="I36" s="37" t="str">
        <f>IF($B36="","",VLOOKUP($B36,'MATRICE COMPO'!$A:$H,8,FALSE))</f>
        <v/>
      </c>
    </row>
    <row r="37" spans="2:9">
      <c r="B37" s="37" t="str">
        <f t="shared" si="0"/>
        <v/>
      </c>
      <c r="C37" s="135" t="str">
        <f>IF($B37="","",VLOOKUP($B37,'MATRICE COMPO'!$A:$I,9,FALSE))</f>
        <v/>
      </c>
      <c r="D37" s="37" t="str">
        <f>IFERROR(VLOOKUP(A37,'MATRICE COMPO'!$A:$H,3,FALSE),"")</f>
        <v/>
      </c>
      <c r="E37" s="132" t="str">
        <f>IF(B37="","",VLOOKUP(B37,'MATRICE COMPO'!$A:$H,4,FALSE))</f>
        <v/>
      </c>
      <c r="F37" s="37" t="str">
        <f>IF(B37="","",VLOOKUP($B37,'MATRICE COMPO'!$A:$H,5,FALSE))</f>
        <v/>
      </c>
      <c r="G37" s="37" t="str">
        <f>IF($B37="","",VLOOKUP($B37,'MATRICE COMPO'!$A:$H,6,FALSE))</f>
        <v/>
      </c>
      <c r="H37" s="37" t="str">
        <f>IF($B37="","",VLOOKUP($B37,'MATRICE COMPO'!$A:$H,7,FALSE))</f>
        <v/>
      </c>
      <c r="I37" s="37" t="str">
        <f>IF($B37="","",VLOOKUP($B37,'MATRICE COMPO'!$A:$H,8,FALSE))</f>
        <v/>
      </c>
    </row>
    <row r="38" spans="2:9">
      <c r="B38" s="37" t="str">
        <f t="shared" si="0"/>
        <v/>
      </c>
      <c r="C38" s="135" t="str">
        <f>IF($B38="","",VLOOKUP($B38,'MATRICE COMPO'!$A:$I,9,FALSE))</f>
        <v/>
      </c>
      <c r="D38" s="37" t="str">
        <f>IFERROR(VLOOKUP(A38,'MATRICE COMPO'!$A:$H,3,FALSE),"")</f>
        <v/>
      </c>
      <c r="E38" s="132" t="str">
        <f>IF(B38="","",VLOOKUP(B38,'MATRICE COMPO'!$A:$H,4,FALSE))</f>
        <v/>
      </c>
      <c r="F38" s="37" t="str">
        <f>IF(B38="","",VLOOKUP($B38,'MATRICE COMPO'!$A:$H,5,FALSE))</f>
        <v/>
      </c>
      <c r="G38" s="37" t="str">
        <f>IF($B38="","",VLOOKUP($B38,'MATRICE COMPO'!$A:$H,6,FALSE))</f>
        <v/>
      </c>
      <c r="H38" s="37" t="str">
        <f>IF($B38="","",VLOOKUP($B38,'MATRICE COMPO'!$A:$H,7,FALSE))</f>
        <v/>
      </c>
      <c r="I38" s="37" t="str">
        <f>IF($B38="","",VLOOKUP($B38,'MATRICE COMPO'!$A:$H,8,FALSE))</f>
        <v/>
      </c>
    </row>
    <row r="39" spans="2:9">
      <c r="B39" s="37" t="str">
        <f t="shared" si="0"/>
        <v/>
      </c>
      <c r="C39" s="135" t="str">
        <f>IF($B39="","",VLOOKUP($B39,'MATRICE COMPO'!$A:$I,9,FALSE))</f>
        <v/>
      </c>
      <c r="D39" s="37" t="str">
        <f>IFERROR(VLOOKUP(A39,'MATRICE COMPO'!$A:$H,3,FALSE),"")</f>
        <v/>
      </c>
      <c r="E39" s="132" t="str">
        <f>IF(B39="","",VLOOKUP(B39,'MATRICE COMPO'!$A:$H,4,FALSE))</f>
        <v/>
      </c>
      <c r="F39" s="37" t="str">
        <f>IF(B39="","",VLOOKUP($B39,'MATRICE COMPO'!$A:$H,5,FALSE))</f>
        <v/>
      </c>
      <c r="G39" s="37" t="str">
        <f>IF($B39="","",VLOOKUP($B39,'MATRICE COMPO'!$A:$H,6,FALSE))</f>
        <v/>
      </c>
      <c r="H39" s="37" t="str">
        <f>IF($B39="","",VLOOKUP($B39,'MATRICE COMPO'!$A:$H,7,FALSE))</f>
        <v/>
      </c>
      <c r="I39" s="37" t="str">
        <f>IF($B39="","",VLOOKUP($B39,'MATRICE COMPO'!$A:$H,8,FALSE))</f>
        <v/>
      </c>
    </row>
    <row r="40" spans="2:9">
      <c r="B40" s="37" t="str">
        <f t="shared" si="0"/>
        <v/>
      </c>
      <c r="C40" s="135" t="str">
        <f>IF($B40="","",VLOOKUP($B40,'MATRICE COMPO'!$A:$I,9,FALSE))</f>
        <v/>
      </c>
      <c r="D40" s="37" t="str">
        <f>IFERROR(VLOOKUP(A40,'MATRICE COMPO'!$A:$H,3,FALSE),"")</f>
        <v/>
      </c>
      <c r="E40" s="132" t="str">
        <f>IF(B40="","",VLOOKUP(B40,'MATRICE COMPO'!$A:$H,4,FALSE))</f>
        <v/>
      </c>
      <c r="F40" s="37" t="str">
        <f>IF(B40="","",VLOOKUP($B40,'MATRICE COMPO'!$A:$H,5,FALSE))</f>
        <v/>
      </c>
      <c r="G40" s="37" t="str">
        <f>IF($B40="","",VLOOKUP($B40,'MATRICE COMPO'!$A:$H,6,FALSE))</f>
        <v/>
      </c>
      <c r="H40" s="37" t="str">
        <f>IF($B40="","",VLOOKUP($B40,'MATRICE COMPO'!$A:$H,7,FALSE))</f>
        <v/>
      </c>
      <c r="I40" s="37" t="str">
        <f>IF($B40="","",VLOOKUP($B40,'MATRICE COMPO'!$A:$H,8,FALSE))</f>
        <v/>
      </c>
    </row>
    <row r="41" spans="2:9">
      <c r="B41" s="37" t="str">
        <f t="shared" si="0"/>
        <v/>
      </c>
      <c r="C41" s="135" t="str">
        <f>IF($B41="","",VLOOKUP($B41,'MATRICE COMPO'!$A:$I,9,FALSE))</f>
        <v/>
      </c>
      <c r="D41" s="37" t="str">
        <f>IFERROR(VLOOKUP(A41,'MATRICE COMPO'!$A:$H,3,FALSE),"")</f>
        <v/>
      </c>
      <c r="E41" s="132" t="str">
        <f>IF(B41="","",VLOOKUP(B41,'MATRICE COMPO'!$A:$H,4,FALSE))</f>
        <v/>
      </c>
      <c r="F41" s="37" t="str">
        <f>IF(B41="","",VLOOKUP($B41,'MATRICE COMPO'!$A:$H,5,FALSE))</f>
        <v/>
      </c>
      <c r="G41" s="37" t="str">
        <f>IF($B41="","",VLOOKUP($B41,'MATRICE COMPO'!$A:$H,6,FALSE))</f>
        <v/>
      </c>
      <c r="H41" s="37" t="str">
        <f>IF($B41="","",VLOOKUP($B41,'MATRICE COMPO'!$A:$H,7,FALSE))</f>
        <v/>
      </c>
      <c r="I41" s="37" t="str">
        <f>IF($B41="","",VLOOKUP($B41,'MATRICE COMPO'!$A:$H,8,FALSE))</f>
        <v/>
      </c>
    </row>
    <row r="42" spans="2:9">
      <c r="B42" s="37" t="str">
        <f t="shared" si="0"/>
        <v/>
      </c>
      <c r="C42" s="135" t="str">
        <f>IF($B42="","",VLOOKUP($B42,'MATRICE COMPO'!$A:$I,9,FALSE))</f>
        <v/>
      </c>
      <c r="D42" s="37" t="str">
        <f>IFERROR(VLOOKUP(A42,'MATRICE COMPO'!$A:$H,3,FALSE),"")</f>
        <v/>
      </c>
      <c r="E42" s="132" t="str">
        <f>IF(B42="","",VLOOKUP(B42,'MATRICE COMPO'!$A:$H,4,FALSE))</f>
        <v/>
      </c>
      <c r="F42" s="37" t="str">
        <f>IF(B42="","",VLOOKUP($B42,'MATRICE COMPO'!$A:$H,5,FALSE))</f>
        <v/>
      </c>
      <c r="G42" s="37" t="str">
        <f>IF($B42="","",VLOOKUP($B42,'MATRICE COMPO'!$A:$H,6,FALSE))</f>
        <v/>
      </c>
      <c r="H42" s="37" t="str">
        <f>IF($B42="","",VLOOKUP($B42,'MATRICE COMPO'!$A:$H,7,FALSE))</f>
        <v/>
      </c>
      <c r="I42" s="37" t="str">
        <f>IF($B42="","",VLOOKUP($B42,'MATRICE COMPO'!$A:$H,8,FALSE))</f>
        <v/>
      </c>
    </row>
    <row r="43" spans="2:9">
      <c r="B43" s="37" t="str">
        <f t="shared" si="0"/>
        <v/>
      </c>
      <c r="C43" s="135" t="str">
        <f>IF($B43="","",VLOOKUP($B43,'MATRICE COMPO'!$A:$I,9,FALSE))</f>
        <v/>
      </c>
      <c r="D43" s="37" t="str">
        <f>IFERROR(VLOOKUP(A43,'MATRICE COMPO'!$A:$H,3,FALSE),"")</f>
        <v/>
      </c>
      <c r="E43" s="132" t="str">
        <f>IF(B43="","",VLOOKUP(B43,'MATRICE COMPO'!$A:$H,4,FALSE))</f>
        <v/>
      </c>
      <c r="F43" s="37" t="str">
        <f>IF(B43="","",VLOOKUP($B43,'MATRICE COMPO'!$A:$H,5,FALSE))</f>
        <v/>
      </c>
      <c r="G43" s="37" t="str">
        <f>IF($B43="","",VLOOKUP($B43,'MATRICE COMPO'!$A:$H,6,FALSE))</f>
        <v/>
      </c>
      <c r="H43" s="37" t="str">
        <f>IF($B43="","",VLOOKUP($B43,'MATRICE COMPO'!$A:$H,7,FALSE))</f>
        <v/>
      </c>
      <c r="I43" s="37" t="str">
        <f>IF($B43="","",VLOOKUP($B43,'MATRICE COMPO'!$A:$H,8,FALSE))</f>
        <v/>
      </c>
    </row>
    <row r="44" spans="2:9">
      <c r="B44" s="37" t="str">
        <f t="shared" si="0"/>
        <v/>
      </c>
      <c r="C44" s="135" t="str">
        <f>IF($B44="","",VLOOKUP($B44,'MATRICE COMPO'!$A:$I,9,FALSE))</f>
        <v/>
      </c>
      <c r="D44" s="37" t="str">
        <f>IFERROR(VLOOKUP(A44,'MATRICE COMPO'!$A:$H,3,FALSE),"")</f>
        <v/>
      </c>
      <c r="E44" s="132" t="str">
        <f>IF(B44="","",VLOOKUP(B44,'MATRICE COMPO'!$A:$H,4,FALSE))</f>
        <v/>
      </c>
      <c r="F44" s="37" t="str">
        <f>IF(B44="","",VLOOKUP($B44,'MATRICE COMPO'!$A:$H,5,FALSE))</f>
        <v/>
      </c>
      <c r="G44" s="37" t="str">
        <f>IF($B44="","",VLOOKUP($B44,'MATRICE COMPO'!$A:$H,6,FALSE))</f>
        <v/>
      </c>
      <c r="H44" s="37" t="str">
        <f>IF($B44="","",VLOOKUP($B44,'MATRICE COMPO'!$A:$H,7,FALSE))</f>
        <v/>
      </c>
      <c r="I44" s="37" t="str">
        <f>IF($B44="","",VLOOKUP($B44,'MATRICE COMPO'!$A:$H,8,FALSE))</f>
        <v/>
      </c>
    </row>
    <row r="45" spans="2:9">
      <c r="B45" s="37" t="str">
        <f t="shared" si="0"/>
        <v/>
      </c>
      <c r="C45" s="135" t="str">
        <f>IF($B45="","",VLOOKUP($B45,'MATRICE COMPO'!$A:$I,9,FALSE))</f>
        <v/>
      </c>
      <c r="D45" s="37" t="str">
        <f>IFERROR(VLOOKUP(A45,'MATRICE COMPO'!$A:$H,3,FALSE),"")</f>
        <v/>
      </c>
      <c r="E45" s="132" t="str">
        <f>IF(B45="","",VLOOKUP(B45,'MATRICE COMPO'!$A:$H,4,FALSE))</f>
        <v/>
      </c>
      <c r="F45" s="37" t="str">
        <f>IF(B45="","",VLOOKUP($B45,'MATRICE COMPO'!$A:$H,5,FALSE))</f>
        <v/>
      </c>
      <c r="G45" s="37" t="str">
        <f>IF($B45="","",VLOOKUP($B45,'MATRICE COMPO'!$A:$H,6,FALSE))</f>
        <v/>
      </c>
      <c r="H45" s="37" t="str">
        <f>IF($B45="","",VLOOKUP($B45,'MATRICE COMPO'!$A:$H,7,FALSE))</f>
        <v/>
      </c>
      <c r="I45" s="37" t="str">
        <f>IF($B45="","",VLOOKUP($B45,'MATRICE COMPO'!$A:$H,8,FALSE))</f>
        <v/>
      </c>
    </row>
    <row r="46" spans="2:9">
      <c r="B46" s="37" t="str">
        <f t="shared" si="0"/>
        <v/>
      </c>
      <c r="C46" s="135" t="str">
        <f>IF($B46="","",VLOOKUP($B46,'MATRICE COMPO'!$A:$I,9,FALSE))</f>
        <v/>
      </c>
      <c r="D46" s="37" t="str">
        <f>IFERROR(VLOOKUP(A46,'MATRICE COMPO'!$A:$H,3,FALSE),"")</f>
        <v/>
      </c>
      <c r="E46" s="132" t="str">
        <f>IF(B46="","",VLOOKUP(B46,'MATRICE COMPO'!$A:$H,4,FALSE))</f>
        <v/>
      </c>
      <c r="F46" s="37" t="str">
        <f>IF(B46="","",VLOOKUP($B46,'MATRICE COMPO'!$A:$H,5,FALSE))</f>
        <v/>
      </c>
      <c r="G46" s="37" t="str">
        <f>IF($B46="","",VLOOKUP($B46,'MATRICE COMPO'!$A:$H,6,FALSE))</f>
        <v/>
      </c>
      <c r="H46" s="37" t="str">
        <f>IF($B46="","",VLOOKUP($B46,'MATRICE COMPO'!$A:$H,7,FALSE))</f>
        <v/>
      </c>
      <c r="I46" s="37" t="str">
        <f>IF($B46="","",VLOOKUP($B46,'MATRICE COMPO'!$A:$H,8,FALSE))</f>
        <v/>
      </c>
    </row>
    <row r="47" spans="2:9">
      <c r="B47" s="37" t="str">
        <f t="shared" si="0"/>
        <v/>
      </c>
      <c r="C47" s="135" t="str">
        <f>IF($B47="","",VLOOKUP($B47,'MATRICE COMPO'!$A:$I,9,FALSE))</f>
        <v/>
      </c>
      <c r="D47" s="37" t="str">
        <f>IFERROR(VLOOKUP(A47,'MATRICE COMPO'!$A:$H,3,FALSE),"")</f>
        <v/>
      </c>
      <c r="E47" s="132" t="str">
        <f>IF(B47="","",VLOOKUP(B47,'MATRICE COMPO'!$A:$H,4,FALSE))</f>
        <v/>
      </c>
      <c r="F47" s="37" t="str">
        <f>IF(B47="","",VLOOKUP($B47,'MATRICE COMPO'!$A:$H,5,FALSE))</f>
        <v/>
      </c>
      <c r="G47" s="37" t="str">
        <f>IF($B47="","",VLOOKUP($B47,'MATRICE COMPO'!$A:$H,6,FALSE))</f>
        <v/>
      </c>
      <c r="H47" s="37" t="str">
        <f>IF($B47="","",VLOOKUP($B47,'MATRICE COMPO'!$A:$H,7,FALSE))</f>
        <v/>
      </c>
      <c r="I47" s="37" t="str">
        <f>IF($B47="","",VLOOKUP($B47,'MATRICE COMPO'!$A:$H,8,FALSE))</f>
        <v/>
      </c>
    </row>
    <row r="48" spans="2:9">
      <c r="B48" s="37" t="str">
        <f t="shared" si="0"/>
        <v/>
      </c>
      <c r="C48" s="135" t="str">
        <f>IF($B48="","",VLOOKUP($B48,'MATRICE COMPO'!$A:$I,9,FALSE))</f>
        <v/>
      </c>
      <c r="D48" s="37" t="str">
        <f>IFERROR(VLOOKUP(A48,'MATRICE COMPO'!$A:$H,3,FALSE),"")</f>
        <v/>
      </c>
      <c r="E48" s="132" t="str">
        <f>IF(B48="","",VLOOKUP(B48,'MATRICE COMPO'!$A:$H,4,FALSE))</f>
        <v/>
      </c>
      <c r="F48" s="37" t="str">
        <f>IF(B48="","",VLOOKUP($B48,'MATRICE COMPO'!$A:$H,5,FALSE))</f>
        <v/>
      </c>
      <c r="G48" s="37" t="str">
        <f>IF($B48="","",VLOOKUP($B48,'MATRICE COMPO'!$A:$H,6,FALSE))</f>
        <v/>
      </c>
      <c r="H48" s="37" t="str">
        <f>IF($B48="","",VLOOKUP($B48,'MATRICE COMPO'!$A:$H,7,FALSE))</f>
        <v/>
      </c>
      <c r="I48" s="37" t="str">
        <f>IF($B48="","",VLOOKUP($B48,'MATRICE COMPO'!$A:$H,8,FALSE))</f>
        <v/>
      </c>
    </row>
    <row r="49" spans="2:9">
      <c r="B49" s="37" t="str">
        <f t="shared" si="0"/>
        <v/>
      </c>
      <c r="C49" s="135" t="str">
        <f>IF($B49="","",VLOOKUP($B49,'MATRICE COMPO'!$A:$I,9,FALSE))</f>
        <v/>
      </c>
      <c r="D49" s="37" t="str">
        <f>IFERROR(VLOOKUP(A49,'MATRICE COMPO'!$A:$H,3,FALSE),"")</f>
        <v/>
      </c>
      <c r="E49" s="132" t="str">
        <f>IF(B49="","",VLOOKUP(B49,'MATRICE COMPO'!$A:$H,4,FALSE))</f>
        <v/>
      </c>
      <c r="F49" s="37" t="str">
        <f>IF(B49="","",VLOOKUP($B49,'MATRICE COMPO'!$A:$H,5,FALSE))</f>
        <v/>
      </c>
      <c r="G49" s="37" t="str">
        <f>IF($B49="","",VLOOKUP($B49,'MATRICE COMPO'!$A:$H,6,FALSE))</f>
        <v/>
      </c>
      <c r="H49" s="37" t="str">
        <f>IF($B49="","",VLOOKUP($B49,'MATRICE COMPO'!$A:$H,7,FALSE))</f>
        <v/>
      </c>
      <c r="I49" s="37" t="str">
        <f>IF($B49="","",VLOOKUP($B49,'MATRICE COMPO'!$A:$H,8,FALSE))</f>
        <v/>
      </c>
    </row>
    <row r="50" spans="2:9">
      <c r="B50" s="37" t="str">
        <f t="shared" si="0"/>
        <v/>
      </c>
      <c r="C50" s="135" t="str">
        <f>IF($B50="","",VLOOKUP($B50,'MATRICE COMPO'!$A:$I,9,FALSE))</f>
        <v/>
      </c>
      <c r="D50" s="37" t="str">
        <f>IFERROR(VLOOKUP(A50,'MATRICE COMPO'!$A:$H,3,FALSE),"")</f>
        <v/>
      </c>
      <c r="E50" s="132" t="str">
        <f>IF(B50="","",VLOOKUP(B50,'MATRICE COMPO'!$A:$H,4,FALSE))</f>
        <v/>
      </c>
      <c r="F50" s="37" t="str">
        <f>IF(B50="","",VLOOKUP($B50,'MATRICE COMPO'!$A:$H,5,FALSE))</f>
        <v/>
      </c>
      <c r="G50" s="37" t="str">
        <f>IF($B50="","",VLOOKUP($B50,'MATRICE COMPO'!$A:$H,6,FALSE))</f>
        <v/>
      </c>
      <c r="H50" s="37" t="str">
        <f>IF($B50="","",VLOOKUP($B50,'MATRICE COMPO'!$A:$H,7,FALSE))</f>
        <v/>
      </c>
      <c r="I50" s="37" t="str">
        <f>IF($B50="","",VLOOKUP($B50,'MATRICE COMPO'!$A:$H,8,FALSE))</f>
        <v/>
      </c>
    </row>
    <row r="51" spans="2:9">
      <c r="B51" s="37" t="str">
        <f t="shared" si="0"/>
        <v/>
      </c>
      <c r="C51" s="135" t="str">
        <f>IF($B51="","",VLOOKUP($B51,'MATRICE COMPO'!$A:$I,9,FALSE))</f>
        <v/>
      </c>
      <c r="D51" s="37" t="str">
        <f>IFERROR(VLOOKUP(A51,'MATRICE COMPO'!$A:$H,3,FALSE),"")</f>
        <v/>
      </c>
      <c r="E51" s="132" t="str">
        <f>IF(B51="","",VLOOKUP(B51,'MATRICE COMPO'!$A:$H,4,FALSE))</f>
        <v/>
      </c>
      <c r="F51" s="37" t="str">
        <f>IF(B51="","",VLOOKUP($B51,'MATRICE COMPO'!$A:$H,5,FALSE))</f>
        <v/>
      </c>
      <c r="G51" s="37" t="str">
        <f>IF($B51="","",VLOOKUP($B51,'MATRICE COMPO'!$A:$H,6,FALSE))</f>
        <v/>
      </c>
      <c r="H51" s="37" t="str">
        <f>IF($B51="","",VLOOKUP($B51,'MATRICE COMPO'!$A:$H,7,FALSE))</f>
        <v/>
      </c>
      <c r="I51" s="37" t="str">
        <f>IF($B51="","",VLOOKUP($B51,'MATRICE COMPO'!$A:$H,8,FALSE))</f>
        <v/>
      </c>
    </row>
    <row r="52" spans="2:9">
      <c r="B52" s="37" t="str">
        <f t="shared" si="0"/>
        <v/>
      </c>
      <c r="C52" s="135" t="str">
        <f>IF($B52="","",VLOOKUP($B52,'MATRICE COMPO'!$A:$I,9,FALSE))</f>
        <v/>
      </c>
      <c r="D52" s="37" t="str">
        <f>IFERROR(VLOOKUP(A52,'MATRICE COMPO'!$A:$H,3,FALSE),"")</f>
        <v/>
      </c>
      <c r="E52" s="132" t="str">
        <f>IF(B52="","",VLOOKUP(B52,'MATRICE COMPO'!$A:$H,4,FALSE))</f>
        <v/>
      </c>
      <c r="F52" s="37" t="str">
        <f>IF(B52="","",VLOOKUP($B52,'MATRICE COMPO'!$A:$H,5,FALSE))</f>
        <v/>
      </c>
      <c r="G52" s="37" t="str">
        <f>IF($B52="","",VLOOKUP($B52,'MATRICE COMPO'!$A:$H,6,FALSE))</f>
        <v/>
      </c>
      <c r="H52" s="37" t="str">
        <f>IF($B52="","",VLOOKUP($B52,'MATRICE COMPO'!$A:$H,7,FALSE))</f>
        <v/>
      </c>
      <c r="I52" s="37" t="str">
        <f>IF($B52="","",VLOOKUP($B52,'MATRICE COMPO'!$A:$H,8,FALSE))</f>
        <v/>
      </c>
    </row>
    <row r="53" spans="2:9">
      <c r="B53" s="37" t="str">
        <f t="shared" si="0"/>
        <v/>
      </c>
      <c r="C53" s="135" t="str">
        <f>IF($B53="","",VLOOKUP($B53,'MATRICE COMPO'!$A:$I,9,FALSE))</f>
        <v/>
      </c>
      <c r="D53" s="37" t="str">
        <f>IFERROR(VLOOKUP(A53,'MATRICE COMPO'!$A:$H,3,FALSE),"")</f>
        <v/>
      </c>
      <c r="E53" s="132" t="str">
        <f>IF(B53="","",VLOOKUP(B53,'MATRICE COMPO'!$A:$H,4,FALSE))</f>
        <v/>
      </c>
      <c r="F53" s="37" t="str">
        <f>IF(B53="","",VLOOKUP($B53,'MATRICE COMPO'!$A:$H,5,FALSE))</f>
        <v/>
      </c>
      <c r="G53" s="37" t="str">
        <f>IF($B53="","",VLOOKUP($B53,'MATRICE COMPO'!$A:$H,6,FALSE))</f>
        <v/>
      </c>
      <c r="H53" s="37" t="str">
        <f>IF($B53="","",VLOOKUP($B53,'MATRICE COMPO'!$A:$H,7,FALSE))</f>
        <v/>
      </c>
      <c r="I53" s="37" t="str">
        <f>IF($B53="","",VLOOKUP($B53,'MATRICE COMPO'!$A:$H,8,FALSE))</f>
        <v/>
      </c>
    </row>
    <row r="54" spans="2:9">
      <c r="B54" s="37" t="str">
        <f t="shared" si="0"/>
        <v/>
      </c>
      <c r="C54" s="135" t="str">
        <f>IF($B54="","",VLOOKUP($B54,'MATRICE COMPO'!$A:$I,9,FALSE))</f>
        <v/>
      </c>
      <c r="D54" s="37" t="str">
        <f>IFERROR(VLOOKUP(A54,'MATRICE COMPO'!$A:$H,3,FALSE),"")</f>
        <v/>
      </c>
      <c r="E54" s="132" t="str">
        <f>IF(B54="","",VLOOKUP(B54,'MATRICE COMPO'!$A:$H,4,FALSE))</f>
        <v/>
      </c>
      <c r="F54" s="37" t="str">
        <f>IF(B54="","",VLOOKUP($B54,'MATRICE COMPO'!$A:$H,5,FALSE))</f>
        <v/>
      </c>
      <c r="G54" s="37" t="str">
        <f>IF($B54="","",VLOOKUP($B54,'MATRICE COMPO'!$A:$H,6,FALSE))</f>
        <v/>
      </c>
      <c r="H54" s="37" t="str">
        <f>IF($B54="","",VLOOKUP($B54,'MATRICE COMPO'!$A:$H,7,FALSE))</f>
        <v/>
      </c>
      <c r="I54" s="37" t="str">
        <f>IF($B54="","",VLOOKUP($B54,'MATRICE COMPO'!$A:$H,8,FALSE))</f>
        <v/>
      </c>
    </row>
    <row r="55" spans="2:9">
      <c r="B55" s="37" t="str">
        <f t="shared" si="0"/>
        <v/>
      </c>
      <c r="C55" s="135" t="str">
        <f>IF($B55="","",VLOOKUP($B55,'MATRICE COMPO'!$A:$I,9,FALSE))</f>
        <v/>
      </c>
      <c r="D55" s="37" t="str">
        <f>IFERROR(VLOOKUP(A55,'MATRICE COMPO'!$A:$H,3,FALSE),"")</f>
        <v/>
      </c>
      <c r="E55" s="132" t="str">
        <f>IF(B55="","",VLOOKUP(B55,'MATRICE COMPO'!$A:$H,4,FALSE))</f>
        <v/>
      </c>
      <c r="F55" s="37" t="str">
        <f>IF(B55="","",VLOOKUP($B55,'MATRICE COMPO'!$A:$H,5,FALSE))</f>
        <v/>
      </c>
      <c r="G55" s="37" t="str">
        <f>IF($B55="","",VLOOKUP($B55,'MATRICE COMPO'!$A:$H,6,FALSE))</f>
        <v/>
      </c>
      <c r="H55" s="37" t="str">
        <f>IF($B55="","",VLOOKUP($B55,'MATRICE COMPO'!$A:$H,7,FALSE))</f>
        <v/>
      </c>
      <c r="I55" s="37" t="str">
        <f>IF($B55="","",VLOOKUP($B55,'MATRICE COMPO'!$A:$H,8,FALSE))</f>
        <v/>
      </c>
    </row>
    <row r="56" spans="2:9">
      <c r="B56" s="37" t="str">
        <f t="shared" si="0"/>
        <v/>
      </c>
      <c r="C56" s="135" t="str">
        <f>IF($B56="","",VLOOKUP($B56,'MATRICE COMPO'!$A:$I,9,FALSE))</f>
        <v/>
      </c>
      <c r="D56" s="37" t="str">
        <f>IFERROR(VLOOKUP(A56,'MATRICE COMPO'!$A:$H,3,FALSE),"")</f>
        <v/>
      </c>
      <c r="E56" s="132" t="str">
        <f>IF(B56="","",VLOOKUP(B56,'MATRICE COMPO'!$A:$H,4,FALSE))</f>
        <v/>
      </c>
      <c r="F56" s="37" t="str">
        <f>IF(B56="","",VLOOKUP($B56,'MATRICE COMPO'!$A:$H,5,FALSE))</f>
        <v/>
      </c>
      <c r="G56" s="37" t="str">
        <f>IF($B56="","",VLOOKUP($B56,'MATRICE COMPO'!$A:$H,6,FALSE))</f>
        <v/>
      </c>
      <c r="H56" s="37" t="str">
        <f>IF($B56="","",VLOOKUP($B56,'MATRICE COMPO'!$A:$H,7,FALSE))</f>
        <v/>
      </c>
      <c r="I56" s="37" t="str">
        <f>IF($B56="","",VLOOKUP($B56,'MATRICE COMPO'!$A:$H,8,FALSE))</f>
        <v/>
      </c>
    </row>
    <row r="57" spans="2:9">
      <c r="B57" s="37" t="str">
        <f t="shared" si="0"/>
        <v/>
      </c>
      <c r="C57" s="135" t="str">
        <f>IF($B57="","",VLOOKUP($B57,'MATRICE COMPO'!$A:$I,9,FALSE))</f>
        <v/>
      </c>
      <c r="D57" s="37" t="str">
        <f>IFERROR(VLOOKUP(A57,'MATRICE COMPO'!$A:$H,3,FALSE),"")</f>
        <v/>
      </c>
      <c r="E57" s="132" t="str">
        <f>IF(B57="","",VLOOKUP(B57,'MATRICE COMPO'!$A:$H,4,FALSE))</f>
        <v/>
      </c>
      <c r="F57" s="37" t="str">
        <f>IF(B57="","",VLOOKUP($B57,'MATRICE COMPO'!$A:$H,5,FALSE))</f>
        <v/>
      </c>
      <c r="G57" s="37" t="str">
        <f>IF($B57="","",VLOOKUP($B57,'MATRICE COMPO'!$A:$H,6,FALSE))</f>
        <v/>
      </c>
      <c r="H57" s="37" t="str">
        <f>IF($B57="","",VLOOKUP($B57,'MATRICE COMPO'!$A:$H,7,FALSE))</f>
        <v/>
      </c>
      <c r="I57" s="37" t="str">
        <f>IF($B57="","",VLOOKUP($B57,'MATRICE COMPO'!$A:$H,8,FALSE))</f>
        <v/>
      </c>
    </row>
    <row r="58" spans="2:9">
      <c r="B58" s="37" t="str">
        <f t="shared" si="0"/>
        <v/>
      </c>
      <c r="C58" s="135" t="str">
        <f>IF($B58="","",VLOOKUP($B58,'MATRICE COMPO'!$A:$I,9,FALSE))</f>
        <v/>
      </c>
      <c r="D58" s="37" t="str">
        <f>IFERROR(VLOOKUP(A58,'MATRICE COMPO'!$A:$H,3,FALSE),"")</f>
        <v/>
      </c>
      <c r="E58" s="132" t="str">
        <f>IF(B58="","",VLOOKUP(B58,'MATRICE COMPO'!$A:$H,4,FALSE))</f>
        <v/>
      </c>
      <c r="F58" s="37" t="str">
        <f>IF(B58="","",VLOOKUP($B58,'MATRICE COMPO'!$A:$H,5,FALSE))</f>
        <v/>
      </c>
      <c r="G58" s="37" t="str">
        <f>IF($B58="","",VLOOKUP($B58,'MATRICE COMPO'!$A:$H,6,FALSE))</f>
        <v/>
      </c>
      <c r="H58" s="37" t="str">
        <f>IF($B58="","",VLOOKUP($B58,'MATRICE COMPO'!$A:$H,7,FALSE))</f>
        <v/>
      </c>
      <c r="I58" s="37" t="str">
        <f>IF($B58="","",VLOOKUP($B58,'MATRICE COMPO'!$A:$H,8,FALSE))</f>
        <v/>
      </c>
    </row>
    <row r="59" spans="2:9">
      <c r="B59" s="37" t="str">
        <f t="shared" si="0"/>
        <v/>
      </c>
      <c r="C59" s="135" t="str">
        <f>IF($B59="","",VLOOKUP($B59,'MATRICE COMPO'!$A:$I,9,FALSE))</f>
        <v/>
      </c>
      <c r="D59" s="37" t="str">
        <f>IFERROR(VLOOKUP(A59,'MATRICE COMPO'!$A:$H,3,FALSE),"")</f>
        <v/>
      </c>
      <c r="E59" s="132" t="str">
        <f>IF(B59="","",VLOOKUP(B59,'MATRICE COMPO'!$A:$H,4,FALSE))</f>
        <v/>
      </c>
      <c r="F59" s="37" t="str">
        <f>IF(B59="","",VLOOKUP($B59,'MATRICE COMPO'!$A:$H,5,FALSE))</f>
        <v/>
      </c>
      <c r="G59" s="37" t="str">
        <f>IF($B59="","",VLOOKUP($B59,'MATRICE COMPO'!$A:$H,6,FALSE))</f>
        <v/>
      </c>
      <c r="H59" s="37" t="str">
        <f>IF($B59="","",VLOOKUP($B59,'MATRICE COMPO'!$A:$H,7,FALSE))</f>
        <v/>
      </c>
      <c r="I59" s="37" t="str">
        <f>IF($B59="","",VLOOKUP($B59,'MATRICE COMPO'!$A:$H,8,FALSE))</f>
        <v/>
      </c>
    </row>
    <row r="60" spans="2:9">
      <c r="B60" s="37" t="str">
        <f t="shared" si="0"/>
        <v/>
      </c>
      <c r="C60" s="135" t="str">
        <f>IF($B60="","",VLOOKUP($B60,'MATRICE COMPO'!$A:$I,9,FALSE))</f>
        <v/>
      </c>
      <c r="D60" s="37" t="str">
        <f>IFERROR(VLOOKUP(A60,'MATRICE COMPO'!$A:$H,3,FALSE),"")</f>
        <v/>
      </c>
      <c r="E60" s="132" t="str">
        <f>IF(B60="","",VLOOKUP(B60,'MATRICE COMPO'!$A:$H,4,FALSE))</f>
        <v/>
      </c>
      <c r="F60" s="37" t="str">
        <f>IF(B60="","",VLOOKUP($B60,'MATRICE COMPO'!$A:$H,5,FALSE))</f>
        <v/>
      </c>
      <c r="G60" s="37" t="str">
        <f>IF($B60="","",VLOOKUP($B60,'MATRICE COMPO'!$A:$H,6,FALSE))</f>
        <v/>
      </c>
      <c r="H60" s="37" t="str">
        <f>IF($B60="","",VLOOKUP($B60,'MATRICE COMPO'!$A:$H,7,FALSE))</f>
        <v/>
      </c>
      <c r="I60" s="37" t="str">
        <f>IF($B60="","",VLOOKUP($B60,'MATRICE COMPO'!$A:$H,8,FALSE))</f>
        <v/>
      </c>
    </row>
    <row r="61" spans="2:9">
      <c r="B61" s="37" t="str">
        <f t="shared" si="0"/>
        <v/>
      </c>
      <c r="C61" s="135" t="str">
        <f>IF($B61="","",VLOOKUP($B61,'MATRICE COMPO'!$A:$I,9,FALSE))</f>
        <v/>
      </c>
      <c r="D61" s="37" t="str">
        <f>IFERROR(VLOOKUP(A61,'MATRICE COMPO'!$A:$H,3,FALSE),"")</f>
        <v/>
      </c>
      <c r="E61" s="132" t="str">
        <f>IF(B61="","",VLOOKUP(B61,'MATRICE COMPO'!$A:$H,4,FALSE))</f>
        <v/>
      </c>
      <c r="F61" s="37" t="str">
        <f>IF(B61="","",VLOOKUP($B61,'MATRICE COMPO'!$A:$H,5,FALSE))</f>
        <v/>
      </c>
      <c r="G61" s="37" t="str">
        <f>IF($B61="","",VLOOKUP($B61,'MATRICE COMPO'!$A:$H,6,FALSE))</f>
        <v/>
      </c>
      <c r="H61" s="37" t="str">
        <f>IF($B61="","",VLOOKUP($B61,'MATRICE COMPO'!$A:$H,7,FALSE))</f>
        <v/>
      </c>
      <c r="I61" s="37" t="str">
        <f>IF($B61="","",VLOOKUP($B61,'MATRICE COMPO'!$A:$H,8,FALSE))</f>
        <v/>
      </c>
    </row>
    <row r="62" spans="2:9">
      <c r="B62" s="37" t="str">
        <f t="shared" si="0"/>
        <v/>
      </c>
      <c r="C62" s="135" t="str">
        <f>IF($B62="","",VLOOKUP($B62,'MATRICE COMPO'!$A:$I,9,FALSE))</f>
        <v/>
      </c>
      <c r="D62" s="37" t="str">
        <f>IFERROR(VLOOKUP(A62,'MATRICE COMPO'!$A:$H,3,FALSE),"")</f>
        <v/>
      </c>
      <c r="E62" s="132" t="str">
        <f>IF(B62="","",VLOOKUP(B62,'MATRICE COMPO'!$A:$H,4,FALSE))</f>
        <v/>
      </c>
      <c r="F62" s="37" t="str">
        <f>IF(B62="","",VLOOKUP($B62,'MATRICE COMPO'!$A:$H,5,FALSE))</f>
        <v/>
      </c>
      <c r="G62" s="37" t="str">
        <f>IF($B62="","",VLOOKUP($B62,'MATRICE COMPO'!$A:$H,6,FALSE))</f>
        <v/>
      </c>
      <c r="H62" s="37" t="str">
        <f>IF($B62="","",VLOOKUP($B62,'MATRICE COMPO'!$A:$H,7,FALSE))</f>
        <v/>
      </c>
      <c r="I62" s="37" t="str">
        <f>IF($B62="","",VLOOKUP($B62,'MATRICE COMPO'!$A:$H,8,FALSE))</f>
        <v/>
      </c>
    </row>
    <row r="63" spans="2:9">
      <c r="B63" s="37" t="str">
        <f t="shared" si="0"/>
        <v/>
      </c>
      <c r="C63" s="135" t="str">
        <f>IF($B63="","",VLOOKUP($B63,'MATRICE COMPO'!$A:$I,9,FALSE))</f>
        <v/>
      </c>
      <c r="D63" s="37" t="str">
        <f>IFERROR(VLOOKUP(A63,'MATRICE COMPO'!$A:$H,3,FALSE),"")</f>
        <v/>
      </c>
      <c r="E63" s="132" t="str">
        <f>IF(B63="","",VLOOKUP(B63,'MATRICE COMPO'!$A:$H,4,FALSE))</f>
        <v/>
      </c>
      <c r="F63" s="37" t="str">
        <f>IF(B63="","",VLOOKUP($B63,'MATRICE COMPO'!$A:$H,5,FALSE))</f>
        <v/>
      </c>
      <c r="G63" s="37" t="str">
        <f>IF($B63="","",VLOOKUP($B63,'MATRICE COMPO'!$A:$H,6,FALSE))</f>
        <v/>
      </c>
      <c r="H63" s="37" t="str">
        <f>IF($B63="","",VLOOKUP($B63,'MATRICE COMPO'!$A:$H,7,FALSE))</f>
        <v/>
      </c>
      <c r="I63" s="37" t="str">
        <f>IF($B63="","",VLOOKUP($B63,'MATRICE COMPO'!$A:$H,8,FALSE))</f>
        <v/>
      </c>
    </row>
    <row r="64" spans="2:9">
      <c r="B64" s="37" t="str">
        <f t="shared" si="0"/>
        <v/>
      </c>
      <c r="C64" s="135" t="str">
        <f>IF($B64="","",VLOOKUP($B64,'MATRICE COMPO'!$A:$I,9,FALSE))</f>
        <v/>
      </c>
      <c r="D64" s="37" t="str">
        <f>IFERROR(VLOOKUP(A64,'MATRICE COMPO'!$A:$H,3,FALSE),"")</f>
        <v/>
      </c>
      <c r="E64" s="132" t="str">
        <f>IF(B64="","",VLOOKUP(B64,'MATRICE COMPO'!$A:$H,4,FALSE))</f>
        <v/>
      </c>
      <c r="F64" s="37" t="str">
        <f>IF(B64="","",VLOOKUP($B64,'MATRICE COMPO'!$A:$H,5,FALSE))</f>
        <v/>
      </c>
      <c r="G64" s="37" t="str">
        <f>IF($B64="","",VLOOKUP($B64,'MATRICE COMPO'!$A:$H,6,FALSE))</f>
        <v/>
      </c>
      <c r="H64" s="37" t="str">
        <f>IF($B64="","",VLOOKUP($B64,'MATRICE COMPO'!$A:$H,7,FALSE))</f>
        <v/>
      </c>
      <c r="I64" s="37" t="str">
        <f>IF($B64="","",VLOOKUP($B64,'MATRICE COMPO'!$A:$H,8,FALSE))</f>
        <v/>
      </c>
    </row>
    <row r="65" spans="2:9">
      <c r="B65" s="37" t="str">
        <f t="shared" si="0"/>
        <v/>
      </c>
      <c r="C65" s="135" t="str">
        <f>IF($B65="","",VLOOKUP($B65,'MATRICE COMPO'!$A:$I,9,FALSE))</f>
        <v/>
      </c>
      <c r="D65" s="37" t="str">
        <f>IFERROR(VLOOKUP(A65,'MATRICE COMPO'!$A:$H,3,FALSE),"")</f>
        <v/>
      </c>
      <c r="E65" s="132" t="str">
        <f>IF(B65="","",VLOOKUP(B65,'MATRICE COMPO'!$A:$H,4,FALSE))</f>
        <v/>
      </c>
      <c r="F65" s="37" t="str">
        <f>IF(B65="","",VLOOKUP($B65,'MATRICE COMPO'!$A:$H,5,FALSE))</f>
        <v/>
      </c>
      <c r="G65" s="37" t="str">
        <f>IF($B65="","",VLOOKUP($B65,'MATRICE COMPO'!$A:$H,6,FALSE))</f>
        <v/>
      </c>
      <c r="H65" s="37" t="str">
        <f>IF($B65="","",VLOOKUP($B65,'MATRICE COMPO'!$A:$H,7,FALSE))</f>
        <v/>
      </c>
      <c r="I65" s="37" t="str">
        <f>IF($B65="","",VLOOKUP($B65,'MATRICE COMPO'!$A:$H,8,FALSE))</f>
        <v/>
      </c>
    </row>
    <row r="66" spans="2:9">
      <c r="B66" s="37" t="str">
        <f t="shared" si="0"/>
        <v/>
      </c>
      <c r="C66" s="135" t="str">
        <f>IF($B66="","",VLOOKUP($B66,'MATRICE COMPO'!$A:$I,9,FALSE))</f>
        <v/>
      </c>
      <c r="D66" s="37" t="str">
        <f>IFERROR(VLOOKUP(A66,'MATRICE COMPO'!$A:$H,3,FALSE),"")</f>
        <v/>
      </c>
      <c r="E66" s="132" t="str">
        <f>IF(B66="","",VLOOKUP(B66,'MATRICE COMPO'!$A:$H,4,FALSE))</f>
        <v/>
      </c>
      <c r="F66" s="37" t="str">
        <f>IF(B66="","",VLOOKUP($B66,'MATRICE COMPO'!$A:$H,5,FALSE))</f>
        <v/>
      </c>
      <c r="G66" s="37" t="str">
        <f>IF($B66="","",VLOOKUP($B66,'MATRICE COMPO'!$A:$H,6,FALSE))</f>
        <v/>
      </c>
      <c r="H66" s="37" t="str">
        <f>IF($B66="","",VLOOKUP($B66,'MATRICE COMPO'!$A:$H,7,FALSE))</f>
        <v/>
      </c>
      <c r="I66" s="37" t="str">
        <f>IF($B66="","",VLOOKUP($B66,'MATRICE COMPO'!$A:$H,8,FALSE))</f>
        <v/>
      </c>
    </row>
    <row r="67" spans="2:9">
      <c r="B67" s="37" t="str">
        <f t="shared" ref="B67:B91" si="1">IF(A67=0,"",A67)</f>
        <v/>
      </c>
      <c r="C67" s="135" t="str">
        <f>IF($B67="","",VLOOKUP($B67,'MATRICE COMPO'!$A:$I,9,FALSE))</f>
        <v/>
      </c>
      <c r="D67" s="37" t="str">
        <f>IFERROR(VLOOKUP(A67,'MATRICE COMPO'!$A:$H,3,FALSE),"")</f>
        <v/>
      </c>
      <c r="E67" s="132" t="str">
        <f>IF(B67="","",VLOOKUP(B67,'MATRICE COMPO'!$A:$H,4,FALSE))</f>
        <v/>
      </c>
      <c r="F67" s="37" t="str">
        <f>IF(B67="","",VLOOKUP($B67,'MATRICE COMPO'!$A:$H,5,FALSE))</f>
        <v/>
      </c>
      <c r="G67" s="37" t="str">
        <f>IF($B67="","",VLOOKUP($B67,'MATRICE COMPO'!$A:$H,6,FALSE))</f>
        <v/>
      </c>
      <c r="H67" s="37" t="str">
        <f>IF($B67="","",VLOOKUP($B67,'MATRICE COMPO'!$A:$H,7,FALSE))</f>
        <v/>
      </c>
      <c r="I67" s="37" t="str">
        <f>IF($B67="","",VLOOKUP($B67,'MATRICE COMPO'!$A:$H,8,FALSE))</f>
        <v/>
      </c>
    </row>
    <row r="68" spans="2:9">
      <c r="B68" s="37" t="str">
        <f t="shared" si="1"/>
        <v/>
      </c>
      <c r="C68" s="135" t="str">
        <f>IF($B68="","",VLOOKUP($B68,'MATRICE COMPO'!$A:$I,9,FALSE))</f>
        <v/>
      </c>
      <c r="D68" s="37" t="str">
        <f>IFERROR(VLOOKUP(A68,'MATRICE COMPO'!$A:$H,3,FALSE),"")</f>
        <v/>
      </c>
      <c r="E68" s="132" t="str">
        <f>IF(B68="","",VLOOKUP(B68,'MATRICE COMPO'!$A:$H,4,FALSE))</f>
        <v/>
      </c>
      <c r="F68" s="37" t="str">
        <f>IF(B68="","",VLOOKUP($B68,'MATRICE COMPO'!$A:$H,5,FALSE))</f>
        <v/>
      </c>
      <c r="G68" s="37" t="str">
        <f>IF($B68="","",VLOOKUP($B68,'MATRICE COMPO'!$A:$H,6,FALSE))</f>
        <v/>
      </c>
      <c r="H68" s="37" t="str">
        <f>IF($B68="","",VLOOKUP($B68,'MATRICE COMPO'!$A:$H,7,FALSE))</f>
        <v/>
      </c>
      <c r="I68" s="37" t="str">
        <f>IF($B68="","",VLOOKUP($B68,'MATRICE COMPO'!$A:$H,8,FALSE))</f>
        <v/>
      </c>
    </row>
    <row r="69" spans="2:9">
      <c r="B69" s="37" t="str">
        <f t="shared" si="1"/>
        <v/>
      </c>
      <c r="C69" s="135" t="str">
        <f>IF($B69="","",VLOOKUP($B69,'MATRICE COMPO'!$A:$I,9,FALSE))</f>
        <v/>
      </c>
      <c r="D69" s="37" t="str">
        <f>IFERROR(VLOOKUP(A69,'MATRICE COMPO'!$A:$H,3,FALSE),"")</f>
        <v/>
      </c>
      <c r="E69" s="132" t="str">
        <f>IF(B69="","",VLOOKUP(B69,'MATRICE COMPO'!$A:$H,4,FALSE))</f>
        <v/>
      </c>
      <c r="F69" s="37" t="str">
        <f>IF(B69="","",VLOOKUP($B69,'MATRICE COMPO'!$A:$H,5,FALSE))</f>
        <v/>
      </c>
      <c r="G69" s="37" t="str">
        <f>IF($B69="","",VLOOKUP($B69,'MATRICE COMPO'!$A:$H,6,FALSE))</f>
        <v/>
      </c>
      <c r="H69" s="37" t="str">
        <f>IF($B69="","",VLOOKUP($B69,'MATRICE COMPO'!$A:$H,7,FALSE))</f>
        <v/>
      </c>
      <c r="I69" s="37" t="str">
        <f>IF($B69="","",VLOOKUP($B69,'MATRICE COMPO'!$A:$H,8,FALSE))</f>
        <v/>
      </c>
    </row>
    <row r="70" spans="2:9">
      <c r="B70" s="37" t="str">
        <f t="shared" si="1"/>
        <v/>
      </c>
      <c r="C70" s="135" t="str">
        <f>IF($B70="","",VLOOKUP($B70,'MATRICE COMPO'!$A:$I,9,FALSE))</f>
        <v/>
      </c>
      <c r="D70" s="37" t="str">
        <f>IFERROR(VLOOKUP(A70,'MATRICE COMPO'!$A:$H,3,FALSE),"")</f>
        <v/>
      </c>
      <c r="E70" s="132" t="str">
        <f>IF(B70="","",VLOOKUP(B70,'MATRICE COMPO'!$A:$H,4,FALSE))</f>
        <v/>
      </c>
      <c r="F70" s="37" t="str">
        <f>IF(B70="","",VLOOKUP($B70,'MATRICE COMPO'!$A:$H,5,FALSE))</f>
        <v/>
      </c>
      <c r="G70" s="37" t="str">
        <f>IF($B70="","",VLOOKUP($B70,'MATRICE COMPO'!$A:$H,6,FALSE))</f>
        <v/>
      </c>
      <c r="H70" s="37" t="str">
        <f>IF($B70="","",VLOOKUP($B70,'MATRICE COMPO'!$A:$H,7,FALSE))</f>
        <v/>
      </c>
      <c r="I70" s="37" t="str">
        <f>IF($B70="","",VLOOKUP($B70,'MATRICE COMPO'!$A:$H,8,FALSE))</f>
        <v/>
      </c>
    </row>
    <row r="71" spans="2:9">
      <c r="B71" s="37" t="str">
        <f t="shared" si="1"/>
        <v/>
      </c>
      <c r="C71" s="135" t="str">
        <f>IF($B71="","",VLOOKUP($B71,'MATRICE COMPO'!$A:$I,9,FALSE))</f>
        <v/>
      </c>
      <c r="D71" s="37" t="str">
        <f>IFERROR(VLOOKUP(A71,'MATRICE COMPO'!$A:$H,3,FALSE),"")</f>
        <v/>
      </c>
      <c r="E71" s="132" t="str">
        <f>IF(B71="","",VLOOKUP(B71,'MATRICE COMPO'!$A:$H,4,FALSE))</f>
        <v/>
      </c>
      <c r="F71" s="37" t="str">
        <f>IF(B71="","",VLOOKUP($B71,'MATRICE COMPO'!$A:$H,5,FALSE))</f>
        <v/>
      </c>
      <c r="G71" s="37" t="str">
        <f>IF($B71="","",VLOOKUP($B71,'MATRICE COMPO'!$A:$H,6,FALSE))</f>
        <v/>
      </c>
      <c r="H71" s="37" t="str">
        <f>IF($B71="","",VLOOKUP($B71,'MATRICE COMPO'!$A:$H,7,FALSE))</f>
        <v/>
      </c>
      <c r="I71" s="37" t="str">
        <f>IF($B71="","",VLOOKUP($B71,'MATRICE COMPO'!$A:$H,8,FALSE))</f>
        <v/>
      </c>
    </row>
    <row r="72" spans="2:9">
      <c r="B72" s="37" t="str">
        <f t="shared" si="1"/>
        <v/>
      </c>
      <c r="C72" s="135" t="str">
        <f>IF($B72="","",VLOOKUP($B72,'MATRICE COMPO'!$A:$I,9,FALSE))</f>
        <v/>
      </c>
      <c r="D72" s="37" t="str">
        <f>IFERROR(VLOOKUP(A72,'MATRICE COMPO'!$A:$H,3,FALSE),"")</f>
        <v/>
      </c>
      <c r="E72" s="132" t="str">
        <f>IF(B72="","",VLOOKUP(B72,'MATRICE COMPO'!$A:$H,4,FALSE))</f>
        <v/>
      </c>
      <c r="F72" s="37" t="str">
        <f>IF(B72="","",VLOOKUP($B72,'MATRICE COMPO'!$A:$H,5,FALSE))</f>
        <v/>
      </c>
      <c r="G72" s="37" t="str">
        <f>IF($B72="","",VLOOKUP($B72,'MATRICE COMPO'!$A:$H,6,FALSE))</f>
        <v/>
      </c>
      <c r="H72" s="37" t="str">
        <f>IF($B72="","",VLOOKUP($B72,'MATRICE COMPO'!$A:$H,7,FALSE))</f>
        <v/>
      </c>
      <c r="I72" s="37" t="str">
        <f>IF($B72="","",VLOOKUP($B72,'MATRICE COMPO'!$A:$H,8,FALSE))</f>
        <v/>
      </c>
    </row>
    <row r="73" spans="2:9">
      <c r="B73" s="37" t="str">
        <f t="shared" si="1"/>
        <v/>
      </c>
      <c r="C73" s="135" t="str">
        <f>IF($B73="","",VLOOKUP($B73,'MATRICE COMPO'!$A:$I,9,FALSE))</f>
        <v/>
      </c>
      <c r="D73" s="37" t="str">
        <f>IFERROR(VLOOKUP(A73,'MATRICE COMPO'!$A:$H,3,FALSE),"")</f>
        <v/>
      </c>
      <c r="E73" s="132" t="str">
        <f>IF(B73="","",VLOOKUP(B73,'MATRICE COMPO'!$A:$H,4,FALSE))</f>
        <v/>
      </c>
      <c r="F73" s="37" t="str">
        <f>IF(B73="","",VLOOKUP($B73,'MATRICE COMPO'!$A:$H,5,FALSE))</f>
        <v/>
      </c>
      <c r="G73" s="37" t="str">
        <f>IF($B73="","",VLOOKUP($B73,'MATRICE COMPO'!$A:$H,6,FALSE))</f>
        <v/>
      </c>
      <c r="H73" s="37" t="str">
        <f>IF($B73="","",VLOOKUP($B73,'MATRICE COMPO'!$A:$H,7,FALSE))</f>
        <v/>
      </c>
      <c r="I73" s="37" t="str">
        <f>IF($B73="","",VLOOKUP($B73,'MATRICE COMPO'!$A:$H,8,FALSE))</f>
        <v/>
      </c>
    </row>
    <row r="74" spans="2:9">
      <c r="B74" s="37" t="str">
        <f t="shared" si="1"/>
        <v/>
      </c>
      <c r="C74" s="135" t="str">
        <f>IF($B74="","",VLOOKUP($B74,'MATRICE COMPO'!$A:$I,9,FALSE))</f>
        <v/>
      </c>
      <c r="D74" s="37" t="str">
        <f>IFERROR(VLOOKUP(A74,'MATRICE COMPO'!$A:$H,3,FALSE),"")</f>
        <v/>
      </c>
      <c r="E74" s="132" t="str">
        <f>IF(B74="","",VLOOKUP(B74,'MATRICE COMPO'!$A:$H,4,FALSE))</f>
        <v/>
      </c>
      <c r="F74" s="37" t="str">
        <f>IF(B74="","",VLOOKUP($B74,'MATRICE COMPO'!$A:$H,5,FALSE))</f>
        <v/>
      </c>
      <c r="G74" s="37" t="str">
        <f>IF($B74="","",VLOOKUP($B74,'MATRICE COMPO'!$A:$H,6,FALSE))</f>
        <v/>
      </c>
      <c r="H74" s="37" t="str">
        <f>IF($B74="","",VLOOKUP($B74,'MATRICE COMPO'!$A:$H,7,FALSE))</f>
        <v/>
      </c>
      <c r="I74" s="37" t="str">
        <f>IF($B74="","",VLOOKUP($B74,'MATRICE COMPO'!$A:$H,8,FALSE))</f>
        <v/>
      </c>
    </row>
    <row r="75" spans="2:9">
      <c r="B75" s="37" t="str">
        <f t="shared" si="1"/>
        <v/>
      </c>
      <c r="C75" s="135" t="str">
        <f>IF($B75="","",VLOOKUP($B75,'MATRICE COMPO'!$A:$I,9,FALSE))</f>
        <v/>
      </c>
      <c r="D75" s="37" t="str">
        <f>IFERROR(VLOOKUP(A75,'MATRICE COMPO'!$A:$H,3,FALSE),"")</f>
        <v/>
      </c>
      <c r="E75" s="132" t="str">
        <f>IF(B75="","",VLOOKUP(B75,'MATRICE COMPO'!$A:$H,4,FALSE))</f>
        <v/>
      </c>
      <c r="F75" s="37" t="str">
        <f>IF(B75="","",VLOOKUP($B75,'MATRICE COMPO'!$A:$H,5,FALSE))</f>
        <v/>
      </c>
      <c r="G75" s="37" t="str">
        <f>IF($B75="","",VLOOKUP($B75,'MATRICE COMPO'!$A:$H,6,FALSE))</f>
        <v/>
      </c>
      <c r="H75" s="37" t="str">
        <f>IF($B75="","",VLOOKUP($B75,'MATRICE COMPO'!$A:$H,7,FALSE))</f>
        <v/>
      </c>
      <c r="I75" s="37" t="str">
        <f>IF($B75="","",VLOOKUP($B75,'MATRICE COMPO'!$A:$H,8,FALSE))</f>
        <v/>
      </c>
    </row>
    <row r="76" spans="2:9">
      <c r="B76" s="37" t="str">
        <f t="shared" si="1"/>
        <v/>
      </c>
      <c r="C76" s="135" t="str">
        <f>IF($B76="","",VLOOKUP($B76,'MATRICE COMPO'!$A:$I,9,FALSE))</f>
        <v/>
      </c>
      <c r="D76" s="37" t="str">
        <f>IFERROR(VLOOKUP(A76,'MATRICE COMPO'!$A:$H,3,FALSE),"")</f>
        <v/>
      </c>
      <c r="E76" s="132" t="str">
        <f>IF(B76="","",VLOOKUP(B76,'MATRICE COMPO'!$A:$H,4,FALSE))</f>
        <v/>
      </c>
      <c r="F76" s="37" t="str">
        <f>IF(B76="","",VLOOKUP($B76,'MATRICE COMPO'!$A:$H,5,FALSE))</f>
        <v/>
      </c>
      <c r="G76" s="37" t="str">
        <f>IF($B76="","",VLOOKUP($B76,'MATRICE COMPO'!$A:$H,6,FALSE))</f>
        <v/>
      </c>
      <c r="H76" s="37" t="str">
        <f>IF($B76="","",VLOOKUP($B76,'MATRICE COMPO'!$A:$H,7,FALSE))</f>
        <v/>
      </c>
      <c r="I76" s="37" t="str">
        <f>IF($B76="","",VLOOKUP($B76,'MATRICE COMPO'!$A:$H,8,FALSE))</f>
        <v/>
      </c>
    </row>
    <row r="77" spans="2:9">
      <c r="B77" s="37" t="str">
        <f t="shared" si="1"/>
        <v/>
      </c>
      <c r="C77" s="135" t="str">
        <f>IF($B77="","",VLOOKUP($B77,'MATRICE COMPO'!$A:$I,9,FALSE))</f>
        <v/>
      </c>
      <c r="D77" s="37" t="str">
        <f>IFERROR(VLOOKUP(A77,'MATRICE COMPO'!$A:$H,3,FALSE),"")</f>
        <v/>
      </c>
      <c r="E77" s="132" t="str">
        <f>IF(B77="","",VLOOKUP(B77,'MATRICE COMPO'!$A:$H,4,FALSE))</f>
        <v/>
      </c>
      <c r="F77" s="37" t="str">
        <f>IF(B77="","",VLOOKUP($B77,'MATRICE COMPO'!$A:$H,5,FALSE))</f>
        <v/>
      </c>
      <c r="G77" s="37" t="str">
        <f>IF($B77="","",VLOOKUP($B77,'MATRICE COMPO'!$A:$H,6,FALSE))</f>
        <v/>
      </c>
      <c r="H77" s="37" t="str">
        <f>IF($B77="","",VLOOKUP($B77,'MATRICE COMPO'!$A:$H,7,FALSE))</f>
        <v/>
      </c>
      <c r="I77" s="37" t="str">
        <f>IF($B77="","",VLOOKUP($B77,'MATRICE COMPO'!$A:$H,8,FALSE))</f>
        <v/>
      </c>
    </row>
    <row r="78" spans="2:9">
      <c r="B78" s="37" t="str">
        <f t="shared" si="1"/>
        <v/>
      </c>
      <c r="C78" s="135" t="str">
        <f>IF($B78="","",VLOOKUP($B78,'MATRICE COMPO'!$A:$I,9,FALSE))</f>
        <v/>
      </c>
      <c r="D78" s="37" t="str">
        <f>IFERROR(VLOOKUP(A78,'MATRICE COMPO'!$A:$H,3,FALSE),"")</f>
        <v/>
      </c>
      <c r="E78" s="132" t="str">
        <f>IF(B78="","",VLOOKUP(B78,'MATRICE COMPO'!$A:$H,4,FALSE))</f>
        <v/>
      </c>
      <c r="F78" s="37" t="str">
        <f>IF(B78="","",VLOOKUP($B78,'MATRICE COMPO'!$A:$H,5,FALSE))</f>
        <v/>
      </c>
      <c r="G78" s="37" t="str">
        <f>IF($B78="","",VLOOKUP($B78,'MATRICE COMPO'!$A:$H,6,FALSE))</f>
        <v/>
      </c>
      <c r="H78" s="37" t="str">
        <f>IF($B78="","",VLOOKUP($B78,'MATRICE COMPO'!$A:$H,7,FALSE))</f>
        <v/>
      </c>
      <c r="I78" s="37" t="str">
        <f>IF($B78="","",VLOOKUP($B78,'MATRICE COMPO'!$A:$H,8,FALSE))</f>
        <v/>
      </c>
    </row>
    <row r="79" spans="2:9">
      <c r="B79" s="37" t="str">
        <f t="shared" si="1"/>
        <v/>
      </c>
      <c r="C79" s="135" t="str">
        <f>IF($B79="","",VLOOKUP($B79,'MATRICE COMPO'!$A:$I,9,FALSE))</f>
        <v/>
      </c>
      <c r="D79" s="37" t="str">
        <f>IFERROR(VLOOKUP(A79,'MATRICE COMPO'!$A:$H,3,FALSE),"")</f>
        <v/>
      </c>
      <c r="E79" s="132" t="str">
        <f>IF(B79="","",VLOOKUP(B79,'MATRICE COMPO'!$A:$H,4,FALSE))</f>
        <v/>
      </c>
      <c r="F79" s="37" t="str">
        <f>IF(B79="","",VLOOKUP($B79,'MATRICE COMPO'!$A:$H,5,FALSE))</f>
        <v/>
      </c>
      <c r="G79" s="37" t="str">
        <f>IF($B79="","",VLOOKUP($B79,'MATRICE COMPO'!$A:$H,6,FALSE))</f>
        <v/>
      </c>
      <c r="H79" s="37" t="str">
        <f>IF($B79="","",VLOOKUP($B79,'MATRICE COMPO'!$A:$H,7,FALSE))</f>
        <v/>
      </c>
      <c r="I79" s="37" t="str">
        <f>IF($B79="","",VLOOKUP($B79,'MATRICE COMPO'!$A:$H,8,FALSE))</f>
        <v/>
      </c>
    </row>
    <row r="80" spans="2:9">
      <c r="B80" s="37" t="str">
        <f t="shared" si="1"/>
        <v/>
      </c>
      <c r="C80" s="135" t="str">
        <f>IF($B80="","",VLOOKUP($B80,'MATRICE COMPO'!$A:$I,9,FALSE))</f>
        <v/>
      </c>
      <c r="D80" s="37" t="str">
        <f>IFERROR(VLOOKUP(A80,'MATRICE COMPO'!$A:$H,3,FALSE),"")</f>
        <v/>
      </c>
      <c r="E80" s="132" t="str">
        <f>IF(B80="","",VLOOKUP(B80,'MATRICE COMPO'!$A:$H,4,FALSE))</f>
        <v/>
      </c>
      <c r="F80" s="37" t="str">
        <f>IF(B80="","",VLOOKUP($B80,'MATRICE COMPO'!$A:$H,5,FALSE))</f>
        <v/>
      </c>
      <c r="G80" s="37" t="str">
        <f>IF($B80="","",VLOOKUP($B80,'MATRICE COMPO'!$A:$H,6,FALSE))</f>
        <v/>
      </c>
      <c r="H80" s="37" t="str">
        <f>IF($B80="","",VLOOKUP($B80,'MATRICE COMPO'!$A:$H,7,FALSE))</f>
        <v/>
      </c>
      <c r="I80" s="37" t="str">
        <f>IF($B80="","",VLOOKUP($B80,'MATRICE COMPO'!$A:$H,8,FALSE))</f>
        <v/>
      </c>
    </row>
    <row r="81" spans="2:9">
      <c r="B81" s="37" t="str">
        <f t="shared" si="1"/>
        <v/>
      </c>
      <c r="C81" s="135" t="str">
        <f>IF($B81="","",VLOOKUP($B81,'MATRICE COMPO'!$A:$I,9,FALSE))</f>
        <v/>
      </c>
      <c r="D81" s="37" t="str">
        <f>IFERROR(VLOOKUP(A81,'MATRICE COMPO'!$A:$H,3,FALSE),"")</f>
        <v/>
      </c>
      <c r="E81" s="132" t="str">
        <f>IF(B81="","",VLOOKUP(B81,'MATRICE COMPO'!$A:$H,4,FALSE))</f>
        <v/>
      </c>
      <c r="F81" s="37" t="str">
        <f>IF(B81="","",VLOOKUP($B81,'MATRICE COMPO'!$A:$H,5,FALSE))</f>
        <v/>
      </c>
      <c r="G81" s="37" t="str">
        <f>IF($B81="","",VLOOKUP($B81,'MATRICE COMPO'!$A:$H,6,FALSE))</f>
        <v/>
      </c>
      <c r="H81" s="37" t="str">
        <f>IF($B81="","",VLOOKUP($B81,'MATRICE COMPO'!$A:$H,7,FALSE))</f>
        <v/>
      </c>
      <c r="I81" s="37" t="str">
        <f>IF($B81="","",VLOOKUP($B81,'MATRICE COMPO'!$A:$H,8,FALSE))</f>
        <v/>
      </c>
    </row>
    <row r="82" spans="2:9">
      <c r="B82" s="37" t="str">
        <f t="shared" si="1"/>
        <v/>
      </c>
      <c r="C82" s="135" t="str">
        <f>IF($B82="","",VLOOKUP($B82,'MATRICE COMPO'!$A:$I,9,FALSE))</f>
        <v/>
      </c>
      <c r="D82" s="37" t="str">
        <f>IFERROR(VLOOKUP(A82,'MATRICE COMPO'!$A:$H,3,FALSE),"")</f>
        <v/>
      </c>
      <c r="E82" s="132" t="str">
        <f>IF(B82="","",VLOOKUP(B82,'MATRICE COMPO'!$A:$H,4,FALSE))</f>
        <v/>
      </c>
      <c r="F82" s="37" t="str">
        <f>IF(B82="","",VLOOKUP($B82,'MATRICE COMPO'!$A:$H,5,FALSE))</f>
        <v/>
      </c>
      <c r="G82" s="37" t="str">
        <f>IF($B82="","",VLOOKUP($B82,'MATRICE COMPO'!$A:$H,6,FALSE))</f>
        <v/>
      </c>
      <c r="H82" s="37" t="str">
        <f>IF($B82="","",VLOOKUP($B82,'MATRICE COMPO'!$A:$H,7,FALSE))</f>
        <v/>
      </c>
      <c r="I82" s="37" t="str">
        <f>IF($B82="","",VLOOKUP($B82,'MATRICE COMPO'!$A:$H,8,FALSE))</f>
        <v/>
      </c>
    </row>
    <row r="83" spans="2:9">
      <c r="B83" s="37" t="str">
        <f t="shared" si="1"/>
        <v/>
      </c>
      <c r="C83" s="135" t="str">
        <f>IF($B83="","",VLOOKUP($B83,'MATRICE COMPO'!$A:$I,9,FALSE))</f>
        <v/>
      </c>
      <c r="D83" s="37" t="str">
        <f>IFERROR(VLOOKUP(A83,'MATRICE COMPO'!$A:$H,3,FALSE),"")</f>
        <v/>
      </c>
      <c r="E83" s="132" t="str">
        <f>IF(B83="","",VLOOKUP(B83,'MATRICE COMPO'!$A:$H,4,FALSE))</f>
        <v/>
      </c>
      <c r="F83" s="37" t="str">
        <f>IF(B83="","",VLOOKUP($B83,'MATRICE COMPO'!$A:$H,5,FALSE))</f>
        <v/>
      </c>
      <c r="G83" s="37" t="str">
        <f>IF($B83="","",VLOOKUP($B83,'MATRICE COMPO'!$A:$H,6,FALSE))</f>
        <v/>
      </c>
      <c r="H83" s="37" t="str">
        <f>IF($B83="","",VLOOKUP($B83,'MATRICE COMPO'!$A:$H,7,FALSE))</f>
        <v/>
      </c>
      <c r="I83" s="37" t="str">
        <f>IF($B83="","",VLOOKUP($B83,'MATRICE COMPO'!$A:$H,8,FALSE))</f>
        <v/>
      </c>
    </row>
    <row r="84" spans="2:9">
      <c r="B84" s="37" t="str">
        <f t="shared" si="1"/>
        <v/>
      </c>
      <c r="C84" s="135" t="str">
        <f>IF($B84="","",VLOOKUP($B84,'MATRICE COMPO'!$A:$I,9,FALSE))</f>
        <v/>
      </c>
      <c r="D84" s="37" t="str">
        <f>IFERROR(VLOOKUP(A84,'MATRICE COMPO'!$A:$H,3,FALSE),"")</f>
        <v/>
      </c>
      <c r="E84" s="132" t="str">
        <f>IF(B84="","",VLOOKUP(B84,'MATRICE COMPO'!$A:$H,4,FALSE))</f>
        <v/>
      </c>
      <c r="F84" s="37" t="str">
        <f>IF(B84="","",VLOOKUP($B84,'MATRICE COMPO'!$A:$H,5,FALSE))</f>
        <v/>
      </c>
      <c r="G84" s="37" t="str">
        <f>IF($B84="","",VLOOKUP($B84,'MATRICE COMPO'!$A:$H,6,FALSE))</f>
        <v/>
      </c>
      <c r="H84" s="37" t="str">
        <f>IF($B84="","",VLOOKUP($B84,'MATRICE COMPO'!$A:$H,7,FALSE))</f>
        <v/>
      </c>
      <c r="I84" s="37" t="str">
        <f>IF($B84="","",VLOOKUP($B84,'MATRICE COMPO'!$A:$H,8,FALSE))</f>
        <v/>
      </c>
    </row>
    <row r="85" spans="2:9">
      <c r="B85" s="37" t="str">
        <f t="shared" si="1"/>
        <v/>
      </c>
      <c r="C85" s="135" t="str">
        <f>IF($B85="","",VLOOKUP($B85,'MATRICE COMPO'!$A:$I,9,FALSE))</f>
        <v/>
      </c>
      <c r="D85" s="37" t="str">
        <f>IFERROR(VLOOKUP(A85,'MATRICE COMPO'!$A:$H,3,FALSE),"")</f>
        <v/>
      </c>
      <c r="E85" s="132" t="str">
        <f>IF(B85="","",VLOOKUP(B85,'MATRICE COMPO'!$A:$H,4,FALSE))</f>
        <v/>
      </c>
      <c r="F85" s="37" t="str">
        <f>IF(B85="","",VLOOKUP($B85,'MATRICE COMPO'!$A:$H,5,FALSE))</f>
        <v/>
      </c>
      <c r="G85" s="37" t="str">
        <f>IF($B85="","",VLOOKUP($B85,'MATRICE COMPO'!$A:$H,6,FALSE))</f>
        <v/>
      </c>
      <c r="H85" s="37" t="str">
        <f>IF($B85="","",VLOOKUP($B85,'MATRICE COMPO'!$A:$H,7,FALSE))</f>
        <v/>
      </c>
      <c r="I85" s="37" t="str">
        <f>IF($B85="","",VLOOKUP($B85,'MATRICE COMPO'!$A:$H,8,FALSE))</f>
        <v/>
      </c>
    </row>
    <row r="86" spans="2:9">
      <c r="B86" s="37" t="str">
        <f t="shared" si="1"/>
        <v/>
      </c>
      <c r="C86" s="135" t="str">
        <f>IF($B86="","",VLOOKUP($B86,'MATRICE COMPO'!$A:$I,9,FALSE))</f>
        <v/>
      </c>
      <c r="D86" s="37" t="str">
        <f>IFERROR(VLOOKUP(A86,'MATRICE COMPO'!$A:$H,3,FALSE),"")</f>
        <v/>
      </c>
      <c r="E86" s="132" t="str">
        <f>IF(B86="","",VLOOKUP(B86,'MATRICE COMPO'!$A:$H,4,FALSE))</f>
        <v/>
      </c>
      <c r="F86" s="37" t="str">
        <f>IF(B86="","",VLOOKUP($B86,'MATRICE COMPO'!$A:$H,5,FALSE))</f>
        <v/>
      </c>
      <c r="G86" s="37" t="str">
        <f>IF($B86="","",VLOOKUP($B86,'MATRICE COMPO'!$A:$H,6,FALSE))</f>
        <v/>
      </c>
      <c r="H86" s="37" t="str">
        <f>IF($B86="","",VLOOKUP($B86,'MATRICE COMPO'!$A:$H,7,FALSE))</f>
        <v/>
      </c>
      <c r="I86" s="37" t="str">
        <f>IF($B86="","",VLOOKUP($B86,'MATRICE COMPO'!$A:$H,8,FALSE))</f>
        <v/>
      </c>
    </row>
    <row r="87" spans="2:9">
      <c r="B87" s="37" t="str">
        <f t="shared" si="1"/>
        <v/>
      </c>
      <c r="C87" s="135" t="str">
        <f>IF($B87="","",VLOOKUP($B87,'MATRICE COMPO'!$A:$I,9,FALSE))</f>
        <v/>
      </c>
      <c r="D87" s="37" t="str">
        <f>IFERROR(VLOOKUP(A87,'MATRICE COMPO'!$A:$H,3,FALSE),"")</f>
        <v/>
      </c>
      <c r="E87" s="132" t="str">
        <f>IF(B87="","",VLOOKUP(B87,'MATRICE COMPO'!$A:$H,4,FALSE))</f>
        <v/>
      </c>
      <c r="F87" s="37" t="str">
        <f>IF(B87="","",VLOOKUP($B87,'MATRICE COMPO'!$A:$H,5,FALSE))</f>
        <v/>
      </c>
      <c r="G87" s="37" t="str">
        <f>IF($B87="","",VLOOKUP($B87,'MATRICE COMPO'!$A:$H,6,FALSE))</f>
        <v/>
      </c>
      <c r="H87" s="37" t="str">
        <f>IF($B87="","",VLOOKUP($B87,'MATRICE COMPO'!$A:$H,7,FALSE))</f>
        <v/>
      </c>
      <c r="I87" s="37" t="str">
        <f>IF($B87="","",VLOOKUP($B87,'MATRICE COMPO'!$A:$H,8,FALSE))</f>
        <v/>
      </c>
    </row>
    <row r="88" spans="2:9">
      <c r="B88" s="37" t="str">
        <f t="shared" si="1"/>
        <v/>
      </c>
      <c r="C88" s="135" t="str">
        <f>IF($B88="","",VLOOKUP($B88,'MATRICE COMPO'!$A:$I,9,FALSE))</f>
        <v/>
      </c>
      <c r="D88" s="37" t="str">
        <f>IFERROR(VLOOKUP(A88,'MATRICE COMPO'!$A:$H,3,FALSE),"")</f>
        <v/>
      </c>
      <c r="E88" s="132" t="str">
        <f>IF(B88="","",VLOOKUP(B88,'MATRICE COMPO'!$A:$H,4,FALSE))</f>
        <v/>
      </c>
      <c r="F88" s="37" t="str">
        <f>IF(B88="","",VLOOKUP($B88,'MATRICE COMPO'!$A:$H,5,FALSE))</f>
        <v/>
      </c>
      <c r="G88" s="37" t="str">
        <f>IF($B88="","",VLOOKUP($B88,'MATRICE COMPO'!$A:$H,6,FALSE))</f>
        <v/>
      </c>
      <c r="H88" s="37" t="str">
        <f>IF($B88="","",VLOOKUP($B88,'MATRICE COMPO'!$A:$H,7,FALSE))</f>
        <v/>
      </c>
      <c r="I88" s="37" t="str">
        <f>IF($B88="","",VLOOKUP($B88,'MATRICE COMPO'!$A:$H,8,FALSE))</f>
        <v/>
      </c>
    </row>
    <row r="89" spans="2:9">
      <c r="B89" s="37" t="str">
        <f t="shared" si="1"/>
        <v/>
      </c>
      <c r="C89" s="135" t="str">
        <f>IF($B89="","",VLOOKUP($B89,'MATRICE COMPO'!$A:$I,9,FALSE))</f>
        <v/>
      </c>
      <c r="D89" s="37" t="str">
        <f>IFERROR(VLOOKUP(A89,'MATRICE COMPO'!$A:$H,3,FALSE),"")</f>
        <v/>
      </c>
      <c r="E89" s="132" t="str">
        <f>IF(B89="","",VLOOKUP(B89,'MATRICE COMPO'!$A:$H,4,FALSE))</f>
        <v/>
      </c>
      <c r="F89" s="37" t="str">
        <f>IF(B89="","",VLOOKUP($B89,'MATRICE COMPO'!$A:$H,5,FALSE))</f>
        <v/>
      </c>
      <c r="G89" s="37" t="str">
        <f>IF($B89="","",VLOOKUP($B89,'MATRICE COMPO'!$A:$H,6,FALSE))</f>
        <v/>
      </c>
      <c r="H89" s="37" t="str">
        <f>IF($B89="","",VLOOKUP($B89,'MATRICE COMPO'!$A:$H,7,FALSE))</f>
        <v/>
      </c>
      <c r="I89" s="37" t="str">
        <f>IF($B89="","",VLOOKUP($B89,'MATRICE COMPO'!$A:$H,8,FALSE))</f>
        <v/>
      </c>
    </row>
    <row r="90" spans="2:9">
      <c r="B90" s="37" t="str">
        <f t="shared" si="1"/>
        <v/>
      </c>
      <c r="C90" s="135" t="str">
        <f>IF($B90="","",VLOOKUP($B90,'MATRICE COMPO'!$A:$I,9,FALSE))</f>
        <v/>
      </c>
      <c r="D90" s="37" t="str">
        <f>IFERROR(VLOOKUP(A90,'MATRICE COMPO'!$A:$H,3,FALSE),"")</f>
        <v/>
      </c>
      <c r="E90" s="132" t="str">
        <f>IF(B90="","",VLOOKUP(B90,'MATRICE COMPO'!$A:$H,4,FALSE))</f>
        <v/>
      </c>
      <c r="F90" s="37" t="str">
        <f>IF(B90="","",VLOOKUP($B90,'MATRICE COMPO'!$A:$H,5,FALSE))</f>
        <v/>
      </c>
      <c r="G90" s="37" t="str">
        <f>IF($B90="","",VLOOKUP($B90,'MATRICE COMPO'!$A:$H,6,FALSE))</f>
        <v/>
      </c>
      <c r="H90" s="37" t="str">
        <f>IF($B90="","",VLOOKUP($B90,'MATRICE COMPO'!$A:$H,7,FALSE))</f>
        <v/>
      </c>
      <c r="I90" s="37" t="str">
        <f>IF($B90="","",VLOOKUP($B90,'MATRICE COMPO'!$A:$H,8,FALSE))</f>
        <v/>
      </c>
    </row>
    <row r="91" spans="2:9">
      <c r="B91" s="37" t="str">
        <f t="shared" si="1"/>
        <v/>
      </c>
      <c r="C91" s="135" t="str">
        <f>IF($B91="","",VLOOKUP($B91,'MATRICE COMPO'!$A:$I,9,FALSE))</f>
        <v/>
      </c>
      <c r="D91" s="37" t="str">
        <f>IFERROR(VLOOKUP(A91,'MATRICE COMPO'!$A:$H,3,FALSE),"")</f>
        <v/>
      </c>
      <c r="E91" s="132" t="str">
        <f>IF(B91="","",VLOOKUP(B91,'MATRICE COMPO'!$A:$H,4,FALSE))</f>
        <v/>
      </c>
      <c r="F91" s="37" t="str">
        <f>IF(B91="","",VLOOKUP($B91,'MATRICE COMPO'!$A:$H,5,FALSE))</f>
        <v/>
      </c>
      <c r="G91" s="37" t="str">
        <f>IF($B91="","",VLOOKUP($B91,'MATRICE COMPO'!$A:$H,6,FALSE))</f>
        <v/>
      </c>
      <c r="H91" s="37" t="str">
        <f>IF($B91="","",VLOOKUP($B91,'MATRICE COMPO'!$A:$H,7,FALSE))</f>
        <v/>
      </c>
      <c r="I91" s="37" t="str">
        <f>IF($B91="","",VLOOKUP($B91,'MATRICE COMPO'!$A:$H,8,FALSE))</f>
        <v/>
      </c>
    </row>
  </sheetData>
  <sheetProtection formatColumns="0"/>
  <customSheetViews>
    <customSheetView guid="{4C05D42E-3E5C-4FA0-B17F-90B6C7E70693}" hiddenColumns="1" topLeftCell="B1">
      <selection activeCell="H1" sqref="H1"/>
      <pageMargins left="0.7" right="0.7" top="0.75" bottom="0.75" header="0.3" footer="0.3"/>
      <pageSetup paperSize="9" orientation="portrait" r:id="rId1"/>
    </customSheetView>
  </customSheetViews>
  <phoneticPr fontId="12" type="noConversion"/>
  <pageMargins left="0.7" right="0.7" top="0.75" bottom="0.75" header="0.3" footer="0.3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4613D9-3CAE-44A1-BFB8-86BA688E36D6}">
  <sheetPr>
    <tabColor theme="8"/>
    <pageSetUpPr fitToPage="1"/>
  </sheetPr>
  <dimension ref="A1:S207"/>
  <sheetViews>
    <sheetView showGridLines="0" topLeftCell="B1" zoomScale="80" zoomScaleNormal="80" workbookViewId="0">
      <pane ySplit="1" topLeftCell="A20" activePane="bottomLeft" state="frozen"/>
      <selection activeCell="B1" sqref="B1"/>
      <selection pane="bottomLeft" activeCell="B39" sqref="B39"/>
    </sheetView>
  </sheetViews>
  <sheetFormatPr defaultColWidth="11.5546875" defaultRowHeight="14.4" outlineLevelRow="1" outlineLevelCol="1"/>
  <cols>
    <col min="1" max="1" width="77.5546875" hidden="1" customWidth="1" outlineLevel="1"/>
    <col min="2" max="2" width="111.88671875" customWidth="1" collapsed="1"/>
    <col min="3" max="3" width="6" customWidth="1"/>
    <col min="4" max="8" width="15.6640625" customWidth="1"/>
    <col min="9" max="9" width="16.109375" style="129" customWidth="1"/>
    <col min="10" max="19" width="11.5546875" style="130"/>
  </cols>
  <sheetData>
    <row r="1" spans="1:19">
      <c r="A1" s="383" t="s">
        <v>35</v>
      </c>
      <c r="B1" s="383"/>
      <c r="C1" s="30" t="s">
        <v>17</v>
      </c>
      <c r="D1" s="30" t="s">
        <v>38</v>
      </c>
      <c r="E1" s="30" t="s">
        <v>36</v>
      </c>
      <c r="F1" s="30" t="s">
        <v>37</v>
      </c>
      <c r="G1" s="40">
        <f>GESTION!$B$4</f>
        <v>0.3</v>
      </c>
      <c r="H1" s="39">
        <f>GESTION!$B$3</f>
        <v>0.1</v>
      </c>
      <c r="I1" s="79" t="s">
        <v>176</v>
      </c>
      <c r="K1" s="130" t="s">
        <v>415</v>
      </c>
      <c r="L1" s="30" t="s">
        <v>36</v>
      </c>
      <c r="N1" s="30" t="s">
        <v>37</v>
      </c>
      <c r="P1" s="130" t="s">
        <v>411</v>
      </c>
      <c r="R1" s="130" t="s">
        <v>412</v>
      </c>
    </row>
    <row r="2" spans="1:19" outlineLevel="1">
      <c r="A2" s="382" t="str">
        <f>B2</f>
        <v>Pare-vapeur SD 90 / Structure 145 mm / Laine minérale 150 mm / OSB 12 / Bache de protection provisoire</v>
      </c>
      <c r="B2" s="349" t="str">
        <f>CONCATENATE(B3,IF(B4="",""," / "),B4,IF(B5="",""," / "),B5,IF(B6="",""," / "),B6,IF(B7="",""," / "),B7,IF(B8="",""," / "),B8,IF(B9="",""," / "),B9,B9,IF(B10="",""," / "),B10,IF(B11="",""," / "),B11,IF(B12="",""," / "),B12)</f>
        <v>Pare-vapeur SD 90 / Structure 145 mm / Laine minérale 150 mm / OSB 12 / Bache de protection provisoire</v>
      </c>
      <c r="C2" s="35" t="str">
        <f t="shared" ref="C2:C57" si="0">C3</f>
        <v>m2</v>
      </c>
      <c r="D2" s="35">
        <f t="shared" ref="D2" si="1">IF(SUM(E2:H2)=0,0,SUM(E2:H2))</f>
        <v>83.133938237246369</v>
      </c>
      <c r="E2" s="35">
        <f t="shared" ref="E2:E57" si="2">SUM(E3:E12)</f>
        <v>50.215621144927532</v>
      </c>
      <c r="F2" s="35">
        <f t="shared" ref="F2:H2" si="3">SUM(F3:F12)</f>
        <v>7.9200000000000008</v>
      </c>
      <c r="G2" s="35">
        <f t="shared" si="3"/>
        <v>17.440686343478259</v>
      </c>
      <c r="H2" s="36">
        <f t="shared" si="3"/>
        <v>7.5576307488405794</v>
      </c>
      <c r="I2" s="384" t="s">
        <v>443</v>
      </c>
      <c r="J2" s="130">
        <f>716+757</f>
        <v>1473</v>
      </c>
      <c r="K2" s="284">
        <f>ROUNDUP(D2,0)*J2</f>
        <v>123732</v>
      </c>
      <c r="L2" s="284">
        <f>ROUNDUP(J2*E2,0)</f>
        <v>73968</v>
      </c>
      <c r="M2" s="285">
        <f>L2/K2</f>
        <v>0.59780816603627196</v>
      </c>
      <c r="N2" s="284">
        <f>ROUNDUP(J2*F2,0)</f>
        <v>11667</v>
      </c>
      <c r="O2" s="285">
        <f>N2/K2</f>
        <v>9.4292503151973614E-2</v>
      </c>
      <c r="P2" s="284">
        <f>ROUNDUP(J2*G2,0)</f>
        <v>25691</v>
      </c>
      <c r="Q2" s="285">
        <f>P2/K2</f>
        <v>0.2076342417482947</v>
      </c>
      <c r="R2" s="284">
        <f>ROUNDUP(J2*H2,0)</f>
        <v>11133</v>
      </c>
      <c r="S2" s="285">
        <f>R2/K2</f>
        <v>8.9976723887110852E-2</v>
      </c>
    </row>
    <row r="3" spans="1:19" outlineLevel="1">
      <c r="A3" s="382"/>
      <c r="B3" t="s">
        <v>402</v>
      </c>
      <c r="C3" s="59" t="str">
        <f>IFERROR(IF(ISBLANK(VLOOKUP($B3,ARTICLE!$B$2:$J$200,3,FALSE)),"",VLOOKUP($B3,ARTICLE!$B$2:$J$200,3,FALSE)),"")</f>
        <v>m2</v>
      </c>
      <c r="D3" s="32">
        <f>IFERROR(IF(ISBLANK(VLOOKUP($B3,ARTICLE!$B$2:$J$200,4,FALSE)),"",VLOOKUP($B3,ARTICLE!$B$2:$J$200,4,FALSE)),"")</f>
        <v>3.8180999999999994</v>
      </c>
      <c r="E3" s="32">
        <f>IFERROR(IF(ISBLANK(VLOOKUP($B3,ARTICLE!$B$2:$J$200,5,FALSE)),"",VLOOKUP($B3,ARTICLE!$B$2:$J$200,5,FALSE)),"")</f>
        <v>2.0599999999999996</v>
      </c>
      <c r="F3" s="32">
        <f>IFERROR(IF(ISBLANK(VLOOKUP($B3,ARTICLE!$B$2:$J$200,6,FALSE)),"",VLOOKUP($B3,ARTICLE!$B$2:$J$200,6,FALSE)),"")</f>
        <v>0.61</v>
      </c>
      <c r="G3" s="32">
        <f>IFERROR(IF(ISBLANK(VLOOKUP($B3,ARTICLE!$B$2:$J$200,7,FALSE)),"",VLOOKUP($B3,ARTICLE!$B$2:$J$200,7,FALSE)),"")</f>
        <v>0.80099999999999982</v>
      </c>
      <c r="H3" s="32">
        <f>IFERROR(IF(ISBLANK(VLOOKUP($B3,ARTICLE!$B$2:$J$200,8,FALSE)),"",VLOOKUP($B3,ARTICLE!$B$2:$J$200,8,FALSE)),"")</f>
        <v>0.34709999999999996</v>
      </c>
      <c r="I3" s="385"/>
      <c r="J3"/>
      <c r="K3" s="29"/>
      <c r="L3"/>
      <c r="M3"/>
      <c r="N3"/>
      <c r="O3"/>
      <c r="P3"/>
      <c r="Q3"/>
      <c r="R3"/>
      <c r="S3"/>
    </row>
    <row r="4" spans="1:19" outlineLevel="1">
      <c r="A4" s="382"/>
      <c r="B4" t="s">
        <v>523</v>
      </c>
      <c r="C4" s="59" t="str">
        <f>IFERROR(IF(ISBLANK(VLOOKUP($B4,ARTICLE!$B$2:$J$200,3,FALSE)),"",VLOOKUP($B4,ARTICLE!$B$2:$J$200,3,FALSE)),"")</f>
        <v>m2</v>
      </c>
      <c r="D4" s="32">
        <f>IFERROR(IF(ISBLANK(VLOOKUP($B4,ARTICLE!$B$2:$J$200,4,FALSE)),"",VLOOKUP($B4,ARTICLE!$B$2:$J$200,4,FALSE)),"")</f>
        <v>48.442138237246368</v>
      </c>
      <c r="E4" s="32">
        <f>IFERROR(IF(ISBLANK(VLOOKUP($B4,ARTICLE!$B$2:$J$200,5,FALSE)),"",VLOOKUP($B4,ARTICLE!$B$2:$J$200,5,FALSE)),"")</f>
        <v>29.445621144927536</v>
      </c>
      <c r="F4" s="32">
        <f>IFERROR(IF(ISBLANK(VLOOKUP($B4,ARTICLE!$B$2:$J$200,6,FALSE)),"",VLOOKUP($B4,ARTICLE!$B$2:$J$200,6,FALSE)),"")</f>
        <v>4.43</v>
      </c>
      <c r="G4" s="32">
        <f>IFERROR(IF(ISBLANK(VLOOKUP($B4,ARTICLE!$B$2:$J$200,7,FALSE)),"",VLOOKUP($B4,ARTICLE!$B$2:$J$200,7,FALSE)),"")</f>
        <v>10.16268634347826</v>
      </c>
      <c r="H4" s="32">
        <f>IFERROR(IF(ISBLANK(VLOOKUP($B4,ARTICLE!$B$2:$J$200,8,FALSE)),"",VLOOKUP($B4,ARTICLE!$B$2:$J$200,8,FALSE)),"")</f>
        <v>4.403830748840579</v>
      </c>
      <c r="I4" s="385"/>
      <c r="J4"/>
      <c r="K4" s="29"/>
      <c r="L4"/>
      <c r="M4"/>
      <c r="N4"/>
      <c r="O4"/>
      <c r="P4"/>
      <c r="Q4"/>
      <c r="R4"/>
      <c r="S4"/>
    </row>
    <row r="5" spans="1:19" outlineLevel="1">
      <c r="A5" s="382"/>
      <c r="B5" t="s">
        <v>44</v>
      </c>
      <c r="C5" s="59" t="str">
        <f>IFERROR(IF(ISBLANK(VLOOKUP($B5,ARTICLE!$B$2:$J$200,3,FALSE)),"",VLOOKUP($B5,ARTICLE!$B$2:$J$200,3,FALSE)),"")</f>
        <v>m2</v>
      </c>
      <c r="D5" s="32">
        <f>IFERROR(IF(ISBLANK(VLOOKUP($B5,ARTICLE!$B$2:$J$200,4,FALSE)),"",VLOOKUP($B5,ARTICLE!$B$2:$J$200,4,FALSE)),"")</f>
        <v>17.117099999999997</v>
      </c>
      <c r="E5" s="32">
        <f>IFERROR(IF(ISBLANK(VLOOKUP($B5,ARTICLE!$B$2:$J$200,5,FALSE)),"",VLOOKUP($B5,ARTICLE!$B$2:$J$200,5,FALSE)),"")</f>
        <v>10.53</v>
      </c>
      <c r="F5" s="32">
        <f>IFERROR(IF(ISBLANK(VLOOKUP($B5,ARTICLE!$B$2:$J$200,6,FALSE)),"",VLOOKUP($B5,ARTICLE!$B$2:$J$200,6,FALSE)),"")</f>
        <v>1.44</v>
      </c>
      <c r="G5" s="32">
        <f>IFERROR(IF(ISBLANK(VLOOKUP($B5,ARTICLE!$B$2:$J$200,7,FALSE)),"",VLOOKUP($B5,ARTICLE!$B$2:$J$200,7,FALSE)),"")</f>
        <v>3.5909999999999997</v>
      </c>
      <c r="H5" s="32">
        <f>IFERROR(IF(ISBLANK(VLOOKUP($B5,ARTICLE!$B$2:$J$200,8,FALSE)),"",VLOOKUP($B5,ARTICLE!$B$2:$J$200,8,FALSE)),"")</f>
        <v>1.5560999999999998</v>
      </c>
      <c r="I5" s="385"/>
      <c r="J5"/>
      <c r="K5" s="29"/>
      <c r="L5"/>
      <c r="M5"/>
      <c r="N5"/>
      <c r="O5"/>
      <c r="P5"/>
      <c r="Q5"/>
      <c r="R5"/>
      <c r="S5"/>
    </row>
    <row r="6" spans="1:19" outlineLevel="1">
      <c r="A6" s="382"/>
      <c r="B6" s="31" t="s">
        <v>2</v>
      </c>
      <c r="C6" s="59" t="str">
        <f>IFERROR(IF(ISBLANK(VLOOKUP($B6,ARTICLE!$B$2:$J$200,3,FALSE)),"",VLOOKUP($B6,ARTICLE!$B$2:$J$200,3,FALSE)),"")</f>
        <v>m2</v>
      </c>
      <c r="D6" s="32">
        <f>IFERROR(IF(ISBLANK(VLOOKUP($B6,ARTICLE!$B$2:$J$200,4,FALSE)),"",VLOOKUP($B6,ARTICLE!$B$2:$J$200,4,FALSE)),"")</f>
        <v>11.840399999999999</v>
      </c>
      <c r="E6" s="32">
        <f>IFERROR(IF(ISBLANK(VLOOKUP($B6,ARTICLE!$B$2:$J$200,5,FALSE)),"",VLOOKUP($B6,ARTICLE!$B$2:$J$200,5,FALSE)),"")</f>
        <v>7.4499999999999993</v>
      </c>
      <c r="F6" s="32">
        <f>IFERROR(IF(ISBLANK(VLOOKUP($B6,ARTICLE!$B$2:$J$200,6,FALSE)),"",VLOOKUP($B6,ARTICLE!$B$2:$J$200,6,FALSE)),"")</f>
        <v>0.83</v>
      </c>
      <c r="G6" s="32">
        <f>IFERROR(IF(ISBLANK(VLOOKUP($B6,ARTICLE!$B$2:$J$200,7,FALSE)),"",VLOOKUP($B6,ARTICLE!$B$2:$J$200,7,FALSE)),"")</f>
        <v>2.4839999999999995</v>
      </c>
      <c r="H6" s="32">
        <f>IFERROR(IF(ISBLANK(VLOOKUP($B6,ARTICLE!$B$2:$J$200,8,FALSE)),"",VLOOKUP($B6,ARTICLE!$B$2:$J$200,8,FALSE)),"")</f>
        <v>1.0764</v>
      </c>
      <c r="I6" s="385"/>
      <c r="J6"/>
      <c r="K6" s="29"/>
      <c r="L6"/>
      <c r="M6"/>
      <c r="N6"/>
      <c r="O6"/>
      <c r="P6"/>
      <c r="Q6"/>
      <c r="R6"/>
      <c r="S6"/>
    </row>
    <row r="7" spans="1:19" outlineLevel="1">
      <c r="A7" s="382"/>
      <c r="B7" t="s">
        <v>403</v>
      </c>
      <c r="C7" s="59" t="str">
        <f>IFERROR(IF(ISBLANK(VLOOKUP($B7,ARTICLE!$B$2:$J$200,3,FALSE)),"",VLOOKUP($B7,ARTICLE!$B$2:$J$200,3,FALSE)),"")</f>
        <v>m2</v>
      </c>
      <c r="D7" s="32">
        <f>IFERROR(IF(ISBLANK(VLOOKUP($B7,ARTICLE!$B$2:$J$200,4,FALSE)),"",VLOOKUP($B7,ARTICLE!$B$2:$J$200,4,FALSE)),"")</f>
        <v>1.9161999999999999</v>
      </c>
      <c r="E7" s="32">
        <f>IFERROR(IF(ISBLANK(VLOOKUP($B7,ARTICLE!$B$2:$J$200,5,FALSE)),"",VLOOKUP($B7,ARTICLE!$B$2:$J$200,5,FALSE)),"")</f>
        <v>0.73000000000000009</v>
      </c>
      <c r="F7" s="32">
        <f>IFERROR(IF(ISBLANK(VLOOKUP($B7,ARTICLE!$B$2:$J$200,6,FALSE)),"",VLOOKUP($B7,ARTICLE!$B$2:$J$200,6,FALSE)),"")</f>
        <v>0.61</v>
      </c>
      <c r="G7" s="32">
        <f>IFERROR(IF(ISBLANK(VLOOKUP($B7,ARTICLE!$B$2:$J$200,7,FALSE)),"",VLOOKUP($B7,ARTICLE!$B$2:$J$200,7,FALSE)),"")</f>
        <v>0.40200000000000002</v>
      </c>
      <c r="H7" s="32">
        <f>IFERROR(IF(ISBLANK(VLOOKUP($B7,ARTICLE!$B$2:$J$200,8,FALSE)),"",VLOOKUP($B7,ARTICLE!$B$2:$J$200,8,FALSE)),"")</f>
        <v>0.17420000000000002</v>
      </c>
      <c r="I7" s="385"/>
      <c r="J7"/>
      <c r="K7" s="29"/>
      <c r="L7"/>
      <c r="M7"/>
      <c r="N7"/>
      <c r="O7"/>
      <c r="P7"/>
      <c r="Q7"/>
      <c r="R7"/>
      <c r="S7"/>
    </row>
    <row r="8" spans="1:19" outlineLevel="1">
      <c r="A8" s="382"/>
      <c r="C8" s="59" t="str">
        <f>IFERROR(IF(ISBLANK(VLOOKUP($B8,ARTICLE!$B$2:$J$200,3,FALSE)),"",VLOOKUP($B8,ARTICLE!$B$2:$J$200,3,FALSE)),"")</f>
        <v/>
      </c>
      <c r="D8" s="32" t="str">
        <f>IFERROR(IF(ISBLANK(VLOOKUP($B8,ARTICLE!$B$2:$J$200,4,FALSE)),"",VLOOKUP($B8,ARTICLE!$B$2:$J$200,4,FALSE)),"")</f>
        <v/>
      </c>
      <c r="E8" s="32" t="str">
        <f>IFERROR(IF(ISBLANK(VLOOKUP($B8,ARTICLE!$B$2:$J$200,5,FALSE)),"",VLOOKUP($B8,ARTICLE!$B$2:$J$200,5,FALSE)),"")</f>
        <v/>
      </c>
      <c r="F8" s="32" t="str">
        <f>IFERROR(IF(ISBLANK(VLOOKUP($B8,ARTICLE!$B$2:$J$200,6,FALSE)),"",VLOOKUP($B8,ARTICLE!$B$2:$J$200,6,FALSE)),"")</f>
        <v/>
      </c>
      <c r="G8" s="32" t="str">
        <f>IFERROR(IF(ISBLANK(VLOOKUP($B8,ARTICLE!$B$2:$J$200,7,FALSE)),"",VLOOKUP($B8,ARTICLE!$B$2:$J$200,7,FALSE)),"")</f>
        <v/>
      </c>
      <c r="H8" s="32" t="str">
        <f>IFERROR(IF(ISBLANK(VLOOKUP($B8,ARTICLE!$B$2:$J$200,8,FALSE)),"",VLOOKUP($B8,ARTICLE!$B$2:$J$200,8,FALSE)),"")</f>
        <v/>
      </c>
      <c r="I8" s="385"/>
      <c r="J8"/>
      <c r="K8" s="29"/>
      <c r="L8"/>
      <c r="M8"/>
      <c r="N8"/>
      <c r="O8"/>
      <c r="P8"/>
      <c r="Q8"/>
      <c r="R8"/>
      <c r="S8"/>
    </row>
    <row r="9" spans="1:19" outlineLevel="1">
      <c r="A9" s="382"/>
      <c r="B9" s="31"/>
      <c r="C9" s="59" t="str">
        <f>IFERROR(IF(ISBLANK(VLOOKUP($B9,ARTICLE!$B$2:$J$200,3,FALSE)),"",VLOOKUP($B9,ARTICLE!$B$2:$J$200,3,FALSE)),"")</f>
        <v/>
      </c>
      <c r="D9" s="32" t="str">
        <f>IFERROR(IF(ISBLANK(VLOOKUP($B9,ARTICLE!$B$2:$J$200,4,FALSE)),"",VLOOKUP($B9,ARTICLE!$B$2:$J$200,4,FALSE)),"")</f>
        <v/>
      </c>
      <c r="E9" s="32" t="str">
        <f>IFERROR(IF(ISBLANK(VLOOKUP($B9,ARTICLE!$B$2:$J$200,5,FALSE)),"",VLOOKUP($B9,ARTICLE!$B$2:$J$200,5,FALSE)),"")</f>
        <v/>
      </c>
      <c r="F9" s="32" t="str">
        <f>IFERROR(IF(ISBLANK(VLOOKUP($B9,ARTICLE!$B$2:$J$200,6,FALSE)),"",VLOOKUP($B9,ARTICLE!$B$2:$J$200,6,FALSE)),"")</f>
        <v/>
      </c>
      <c r="G9" s="32" t="str">
        <f>IFERROR(IF(ISBLANK(VLOOKUP($B9,ARTICLE!$B$2:$J$200,7,FALSE)),"",VLOOKUP($B9,ARTICLE!$B$2:$J$200,7,FALSE)),"")</f>
        <v/>
      </c>
      <c r="H9" s="32" t="str">
        <f>IFERROR(IF(ISBLANK(VLOOKUP($B9,ARTICLE!$B$2:$J$200,8,FALSE)),"",VLOOKUP($B9,ARTICLE!$B$2:$J$200,8,FALSE)),"")</f>
        <v/>
      </c>
      <c r="I9" s="385"/>
      <c r="J9"/>
      <c r="K9" s="29"/>
      <c r="L9"/>
      <c r="M9"/>
      <c r="N9"/>
      <c r="O9"/>
      <c r="P9"/>
      <c r="Q9"/>
      <c r="R9"/>
      <c r="S9"/>
    </row>
    <row r="10" spans="1:19" outlineLevel="1">
      <c r="A10" s="382"/>
      <c r="B10" s="31"/>
      <c r="C10" s="59" t="str">
        <f>IFERROR(IF(ISBLANK(VLOOKUP($B10,ARTICLE!$B$2:$J$200,3,FALSE)),"",VLOOKUP($B10,ARTICLE!$B$2:$J$200,3,FALSE)),"")</f>
        <v/>
      </c>
      <c r="D10" s="32" t="str">
        <f>IFERROR(IF(ISBLANK(VLOOKUP($B10,ARTICLE!$B$2:$J$200,4,FALSE)),"",VLOOKUP($B10,ARTICLE!$B$2:$J$200,4,FALSE)),"")</f>
        <v/>
      </c>
      <c r="E10" s="32" t="str">
        <f>IFERROR(IF(ISBLANK(VLOOKUP($B10,ARTICLE!$B$2:$J$200,5,FALSE)),"",VLOOKUP($B10,ARTICLE!$B$2:$J$200,5,FALSE)),"")</f>
        <v/>
      </c>
      <c r="F10" s="32" t="str">
        <f>IFERROR(IF(ISBLANK(VLOOKUP($B10,ARTICLE!$B$2:$J$200,6,FALSE)),"",VLOOKUP($B10,ARTICLE!$B$2:$J$200,6,FALSE)),"")</f>
        <v/>
      </c>
      <c r="G10" s="32" t="str">
        <f>IFERROR(IF(ISBLANK(VLOOKUP($B10,ARTICLE!$B$2:$J$200,7,FALSE)),"",VLOOKUP($B10,ARTICLE!$B$2:$J$200,7,FALSE)),"")</f>
        <v/>
      </c>
      <c r="H10" s="32" t="str">
        <f>IFERROR(IF(ISBLANK(VLOOKUP($B10,ARTICLE!$B$2:$J$200,8,FALSE)),"",VLOOKUP($B10,ARTICLE!$B$2:$J$200,8,FALSE)),"")</f>
        <v/>
      </c>
      <c r="I10" s="385"/>
      <c r="J10"/>
      <c r="K10" s="29"/>
      <c r="L10"/>
      <c r="M10"/>
      <c r="N10"/>
      <c r="O10"/>
      <c r="P10"/>
      <c r="Q10"/>
      <c r="R10"/>
      <c r="S10"/>
    </row>
    <row r="11" spans="1:19" outlineLevel="1">
      <c r="A11" s="382"/>
      <c r="B11" s="31"/>
      <c r="C11" s="59" t="str">
        <f>IFERROR(IF(ISBLANK(VLOOKUP($B11,ARTICLE!$B$2:$J$200,3,FALSE)),"",VLOOKUP($B11,ARTICLE!$B$2:$J$200,3,FALSE)),"")</f>
        <v/>
      </c>
      <c r="D11" s="32" t="str">
        <f>IFERROR(IF(ISBLANK(VLOOKUP($B11,ARTICLE!$B$2:$J$200,4,FALSE)),"",VLOOKUP($B11,ARTICLE!$B$2:$J$200,4,FALSE)),"")</f>
        <v/>
      </c>
      <c r="E11" s="32" t="str">
        <f>IFERROR(IF(ISBLANK(VLOOKUP($B11,ARTICLE!$B$2:$J$200,5,FALSE)),"",VLOOKUP($B11,ARTICLE!$B$2:$J$200,5,FALSE)),"")</f>
        <v/>
      </c>
      <c r="F11" s="32" t="str">
        <f>IFERROR(IF(ISBLANK(VLOOKUP($B11,ARTICLE!$B$2:$J$200,6,FALSE)),"",VLOOKUP($B11,ARTICLE!$B$2:$J$200,6,FALSE)),"")</f>
        <v/>
      </c>
      <c r="G11" s="32" t="str">
        <f>IFERROR(IF(ISBLANK(VLOOKUP($B11,ARTICLE!$B$2:$J$200,7,FALSE)),"",VLOOKUP($B11,ARTICLE!$B$2:$J$200,7,FALSE)),"")</f>
        <v/>
      </c>
      <c r="H11" s="32" t="str">
        <f>IFERROR(IF(ISBLANK(VLOOKUP($B11,ARTICLE!$B$2:$J$200,8,FALSE)),"",VLOOKUP($B11,ARTICLE!$B$2:$J$200,8,FALSE)),"")</f>
        <v/>
      </c>
      <c r="I11" s="385"/>
      <c r="J11"/>
      <c r="K11"/>
      <c r="L11"/>
      <c r="M11"/>
      <c r="N11"/>
      <c r="O11"/>
      <c r="P11"/>
      <c r="Q11"/>
      <c r="R11"/>
      <c r="S11"/>
    </row>
    <row r="12" spans="1:19" outlineLevel="1">
      <c r="A12" s="382"/>
      <c r="C12" s="59" t="str">
        <f>IFERROR(IF(ISBLANK(VLOOKUP($B12,ARTICLE!$B$2:$J$200,3,FALSE)),"",VLOOKUP($B12,ARTICLE!$B$2:$J$200,3,FALSE)),"")</f>
        <v/>
      </c>
      <c r="D12" s="32" t="str">
        <f>IFERROR(IF(ISBLANK(VLOOKUP($B12,ARTICLE!$B$2:$J$200,4,FALSE)),"",VLOOKUP($B12,ARTICLE!$B$2:$J$200,4,FALSE)),"")</f>
        <v/>
      </c>
      <c r="E12" s="32" t="str">
        <f>IFERROR(IF(ISBLANK(VLOOKUP($B12,ARTICLE!$B$2:$J$200,5,FALSE)),"",VLOOKUP($B12,ARTICLE!$B$2:$J$200,5,FALSE)),"")</f>
        <v/>
      </c>
      <c r="F12" s="32" t="str">
        <f>IFERROR(IF(ISBLANK(VLOOKUP($B12,ARTICLE!$B$2:$J$200,6,FALSE)),"",VLOOKUP($B12,ARTICLE!$B$2:$J$200,6,FALSE)),"")</f>
        <v/>
      </c>
      <c r="G12" s="32" t="str">
        <f>IFERROR(IF(ISBLANK(VLOOKUP($B12,ARTICLE!$B$2:$J$200,7,FALSE)),"",VLOOKUP($B12,ARTICLE!$B$2:$J$200,7,FALSE)),"")</f>
        <v/>
      </c>
      <c r="H12" s="32" t="str">
        <f>IFERROR(IF(ISBLANK(VLOOKUP($B12,ARTICLE!$B$2:$J$200,8,FALSE)),"",VLOOKUP($B12,ARTICLE!$B$2:$J$200,8,FALSE)),"")</f>
        <v/>
      </c>
      <c r="I12" s="386"/>
      <c r="J12"/>
      <c r="K12"/>
      <c r="L12"/>
      <c r="M12"/>
      <c r="N12"/>
      <c r="O12"/>
      <c r="P12"/>
      <c r="Q12"/>
      <c r="R12"/>
      <c r="S12"/>
    </row>
    <row r="13" spans="1:19" outlineLevel="1">
      <c r="A13" s="382" t="str">
        <f t="shared" ref="A13" si="4">B13</f>
        <v>Structure 100 mm / OSB 12 / Bache de protection provisoire / Pignon</v>
      </c>
      <c r="B13" s="349" t="str">
        <f>CONCATENATE(B14,IF(B15="",""," / "),B15,IF(B16="",""," / "),B16,IF(B17="",""," / "),B17,IF(B18="",""," / "),B18,IF(B19="",""," / "),B19,IF(B20="",""," / "),B20,B20,IF(B21="",""," / "),B21)</f>
        <v>Structure 100 mm / OSB 12 / Bache de protection provisoire / Pignon</v>
      </c>
      <c r="C13" s="35" t="str">
        <f t="shared" si="0"/>
        <v>m2</v>
      </c>
      <c r="D13" s="35">
        <f>IF(SUM(E13:H13)=0,0,SUM(E13:H13))</f>
        <v>63.852747530000002</v>
      </c>
      <c r="E13" s="35">
        <f t="shared" si="2"/>
        <v>27.002271</v>
      </c>
      <c r="F13" s="35">
        <f t="shared" ref="F13:H13" si="5">SUM(F14:F23)</f>
        <v>17.650000000000002</v>
      </c>
      <c r="G13" s="35">
        <f t="shared" si="5"/>
        <v>13.395681299999998</v>
      </c>
      <c r="H13" s="36">
        <f t="shared" si="5"/>
        <v>5.8047952299999999</v>
      </c>
      <c r="I13" s="384" t="s">
        <v>534</v>
      </c>
      <c r="J13" s="130">
        <f>31+46</f>
        <v>77</v>
      </c>
      <c r="K13" s="284">
        <f>ROUNDUP(D13,0)*J13</f>
        <v>4928</v>
      </c>
      <c r="L13" s="284">
        <f>ROUNDUP(J13*E13,0)</f>
        <v>2080</v>
      </c>
      <c r="M13" s="285">
        <f>L13/K13</f>
        <v>0.42207792207792205</v>
      </c>
      <c r="N13" s="284">
        <f>ROUNDUP(J13*F13,0)</f>
        <v>1360</v>
      </c>
      <c r="O13" s="285">
        <f>N13/K13</f>
        <v>0.27597402597402598</v>
      </c>
      <c r="P13" s="284">
        <f>ROUNDUP(J13*G13,0)</f>
        <v>1032</v>
      </c>
      <c r="Q13" s="285">
        <f>P13/K13</f>
        <v>0.20941558441558442</v>
      </c>
      <c r="R13" s="284">
        <f>ROUNDUP(J13*H13,0)</f>
        <v>447</v>
      </c>
      <c r="S13" s="285">
        <f>R13/K13</f>
        <v>9.0706168831168832E-2</v>
      </c>
    </row>
    <row r="14" spans="1:19" outlineLevel="1">
      <c r="A14" s="382"/>
      <c r="B14" s="31" t="s">
        <v>40</v>
      </c>
      <c r="C14" s="59" t="str">
        <f>IFERROR(IF(ISBLANK(VLOOKUP($B14,ARTICLE!$B$2:$J$200,3,FALSE)),"",VLOOKUP($B14,ARTICLE!$B$2:$J$200,3,FALSE)),"")</f>
        <v>m2</v>
      </c>
      <c r="D14" s="32">
        <f>IFERROR(IF(ISBLANK(VLOOKUP($B14,ARTICLE!$B$2:$J$200,4,FALSE)),"",VLOOKUP($B14,ARTICLE!$B$2:$J$200,4,FALSE)),"")</f>
        <v>32.392747529999994</v>
      </c>
      <c r="E14" s="32">
        <f>IFERROR(IF(ISBLANK(VLOOKUP($B14,ARTICLE!$B$2:$J$200,5,FALSE)),"",VLOOKUP($B14,ARTICLE!$B$2:$J$200,5,FALSE)),"")</f>
        <v>18.822271000000001</v>
      </c>
      <c r="F14" s="32">
        <f>IFERROR(IF(ISBLANK(VLOOKUP($B14,ARTICLE!$B$2:$J$200,6,FALSE)),"",VLOOKUP($B14,ARTICLE!$B$2:$J$200,6,FALSE)),"")</f>
        <v>3.83</v>
      </c>
      <c r="G14" s="32">
        <f>IFERROR(IF(ISBLANK(VLOOKUP($B14,ARTICLE!$B$2:$J$200,7,FALSE)),"",VLOOKUP($B14,ARTICLE!$B$2:$J$200,7,FALSE)),"")</f>
        <v>6.7956812999999991</v>
      </c>
      <c r="H14" s="32">
        <f>IFERROR(IF(ISBLANK(VLOOKUP($B14,ARTICLE!$B$2:$J$200,8,FALSE)),"",VLOOKUP($B14,ARTICLE!$B$2:$J$200,8,FALSE)),"")</f>
        <v>2.94479523</v>
      </c>
      <c r="I14" s="385"/>
      <c r="J14"/>
      <c r="K14"/>
      <c r="L14"/>
      <c r="M14"/>
      <c r="N14"/>
      <c r="O14"/>
      <c r="P14"/>
      <c r="Q14"/>
      <c r="R14"/>
      <c r="S14"/>
    </row>
    <row r="15" spans="1:19" outlineLevel="1">
      <c r="A15" s="382"/>
      <c r="B15" s="31" t="s">
        <v>2</v>
      </c>
      <c r="C15" s="59" t="str">
        <f>IFERROR(IF(ISBLANK(VLOOKUP($B15,ARTICLE!$B$2:$J$200,3,FALSE)),"",VLOOKUP($B15,ARTICLE!$B$2:$J$200,3,FALSE)),"")</f>
        <v>m2</v>
      </c>
      <c r="D15" s="32">
        <f>IFERROR(IF(ISBLANK(VLOOKUP($B15,ARTICLE!$B$2:$J$200,4,FALSE)),"",VLOOKUP($B15,ARTICLE!$B$2:$J$200,4,FALSE)),"")</f>
        <v>11.840399999999999</v>
      </c>
      <c r="E15" s="32">
        <f>IFERROR(IF(ISBLANK(VLOOKUP($B15,ARTICLE!$B$2:$J$200,5,FALSE)),"",VLOOKUP($B15,ARTICLE!$B$2:$J$200,5,FALSE)),"")</f>
        <v>7.4499999999999993</v>
      </c>
      <c r="F15" s="32">
        <f>IFERROR(IF(ISBLANK(VLOOKUP($B15,ARTICLE!$B$2:$J$200,6,FALSE)),"",VLOOKUP($B15,ARTICLE!$B$2:$J$200,6,FALSE)),"")</f>
        <v>0.83</v>
      </c>
      <c r="G15" s="32">
        <f>IFERROR(IF(ISBLANK(VLOOKUP($B15,ARTICLE!$B$2:$J$200,7,FALSE)),"",VLOOKUP($B15,ARTICLE!$B$2:$J$200,7,FALSE)),"")</f>
        <v>2.4839999999999995</v>
      </c>
      <c r="H15" s="32">
        <f>IFERROR(IF(ISBLANK(VLOOKUP($B15,ARTICLE!$B$2:$J$200,8,FALSE)),"",VLOOKUP($B15,ARTICLE!$B$2:$J$200,8,FALSE)),"")</f>
        <v>1.0764</v>
      </c>
      <c r="I15" s="385"/>
      <c r="J15"/>
      <c r="K15"/>
      <c r="L15"/>
      <c r="M15"/>
      <c r="N15"/>
      <c r="O15"/>
      <c r="P15"/>
      <c r="Q15"/>
      <c r="R15"/>
      <c r="S15"/>
    </row>
    <row r="16" spans="1:19" outlineLevel="1">
      <c r="A16" s="382"/>
      <c r="B16" t="s">
        <v>403</v>
      </c>
      <c r="C16" s="59" t="str">
        <f>IFERROR(IF(ISBLANK(VLOOKUP($B16,ARTICLE!$B$2:$J$200,3,FALSE)),"",VLOOKUP($B16,ARTICLE!$B$2:$J$200,3,FALSE)),"")</f>
        <v>m2</v>
      </c>
      <c r="D16" s="32">
        <f>IFERROR(IF(ISBLANK(VLOOKUP($B16,ARTICLE!$B$2:$J$200,4,FALSE)),"",VLOOKUP($B16,ARTICLE!$B$2:$J$200,4,FALSE)),"")</f>
        <v>1.9161999999999999</v>
      </c>
      <c r="E16" s="32">
        <f>IFERROR(IF(ISBLANK(VLOOKUP($B16,ARTICLE!$B$2:$J$200,5,FALSE)),"",VLOOKUP($B16,ARTICLE!$B$2:$J$200,5,FALSE)),"")</f>
        <v>0.73000000000000009</v>
      </c>
      <c r="F16" s="32">
        <f>IFERROR(IF(ISBLANK(VLOOKUP($B16,ARTICLE!$B$2:$J$200,6,FALSE)),"",VLOOKUP($B16,ARTICLE!$B$2:$J$200,6,FALSE)),"")</f>
        <v>0.61</v>
      </c>
      <c r="G16" s="32">
        <f>IFERROR(IF(ISBLANK(VLOOKUP($B16,ARTICLE!$B$2:$J$200,7,FALSE)),"",VLOOKUP($B16,ARTICLE!$B$2:$J$200,7,FALSE)),"")</f>
        <v>0.40200000000000002</v>
      </c>
      <c r="H16" s="32">
        <f>IFERROR(IF(ISBLANK(VLOOKUP($B16,ARTICLE!$B$2:$J$200,8,FALSE)),"",VLOOKUP($B16,ARTICLE!$B$2:$J$200,8,FALSE)),"")</f>
        <v>0.17420000000000002</v>
      </c>
      <c r="I16" s="385"/>
      <c r="J16"/>
      <c r="K16"/>
      <c r="L16"/>
      <c r="M16"/>
      <c r="N16"/>
      <c r="O16"/>
      <c r="P16"/>
      <c r="Q16"/>
      <c r="R16"/>
      <c r="S16"/>
    </row>
    <row r="17" spans="1:19" outlineLevel="1">
      <c r="A17" s="382"/>
      <c r="B17" s="31" t="s">
        <v>516</v>
      </c>
      <c r="C17" s="59" t="str">
        <f>IFERROR(IF(ISBLANK(VLOOKUP($B17,ARTICLE!$B$2:$J$200,3,FALSE)),"",VLOOKUP($B17,ARTICLE!$B$2:$J$200,3,FALSE)),"")</f>
        <v>m2</v>
      </c>
      <c r="D17" s="32">
        <f>IFERROR(IF(ISBLANK(VLOOKUP($B17,ARTICLE!$B$2:$J$200,4,FALSE)),"",VLOOKUP($B17,ARTICLE!$B$2:$J$200,4,FALSE)),"")</f>
        <v>17.703400000000002</v>
      </c>
      <c r="E17" s="32">
        <f>IFERROR(IF(ISBLANK(VLOOKUP($B17,ARTICLE!$B$2:$J$200,5,FALSE)),"",VLOOKUP($B17,ARTICLE!$B$2:$J$200,5,FALSE)),"")</f>
        <v>0</v>
      </c>
      <c r="F17" s="32">
        <f>IFERROR(IF(ISBLANK(VLOOKUP($B17,ARTICLE!$B$2:$J$200,6,FALSE)),"",VLOOKUP($B17,ARTICLE!$B$2:$J$200,6,FALSE)),"")</f>
        <v>12.38</v>
      </c>
      <c r="G17" s="32">
        <f>IFERROR(IF(ISBLANK(VLOOKUP($B17,ARTICLE!$B$2:$J$200,7,FALSE)),"",VLOOKUP($B17,ARTICLE!$B$2:$J$200,7,FALSE)),"")</f>
        <v>3.714</v>
      </c>
      <c r="H17" s="32">
        <f>IFERROR(IF(ISBLANK(VLOOKUP($B17,ARTICLE!$B$2:$J$200,8,FALSE)),"",VLOOKUP($B17,ARTICLE!$B$2:$J$200,8,FALSE)),"")</f>
        <v>1.6094000000000002</v>
      </c>
      <c r="I17" s="385"/>
      <c r="J17"/>
      <c r="K17"/>
      <c r="L17"/>
      <c r="M17"/>
      <c r="N17"/>
      <c r="O17"/>
      <c r="P17"/>
      <c r="Q17"/>
      <c r="R17"/>
      <c r="S17"/>
    </row>
    <row r="18" spans="1:19" outlineLevel="1">
      <c r="A18" s="382"/>
      <c r="B18" s="31"/>
      <c r="C18" s="59" t="str">
        <f>IFERROR(IF(ISBLANK(VLOOKUP($B18,ARTICLE!$B$2:$J$200,3,FALSE)),"",VLOOKUP($B18,ARTICLE!$B$2:$J$200,3,FALSE)),"")</f>
        <v/>
      </c>
      <c r="D18" s="32" t="str">
        <f>IFERROR(IF(ISBLANK(VLOOKUP($B18,ARTICLE!$B$2:$J$200,4,FALSE)),"",VLOOKUP($B18,ARTICLE!$B$2:$J$200,4,FALSE)),"")</f>
        <v/>
      </c>
      <c r="E18" s="32" t="str">
        <f>IFERROR(IF(ISBLANK(VLOOKUP($B18,ARTICLE!$B$2:$J$200,5,FALSE)),"",VLOOKUP($B18,ARTICLE!$B$2:$J$200,5,FALSE)),"")</f>
        <v/>
      </c>
      <c r="F18" s="32" t="str">
        <f>IFERROR(IF(ISBLANK(VLOOKUP($B18,ARTICLE!$B$2:$J$200,6,FALSE)),"",VLOOKUP($B18,ARTICLE!$B$2:$J$200,6,FALSE)),"")</f>
        <v/>
      </c>
      <c r="G18" s="32" t="str">
        <f>IFERROR(IF(ISBLANK(VLOOKUP($B18,ARTICLE!$B$2:$J$200,7,FALSE)),"",VLOOKUP($B18,ARTICLE!$B$2:$J$200,7,FALSE)),"")</f>
        <v/>
      </c>
      <c r="H18" s="32" t="str">
        <f>IFERROR(IF(ISBLANK(VLOOKUP($B18,ARTICLE!$B$2:$J$200,8,FALSE)),"",VLOOKUP($B18,ARTICLE!$B$2:$J$200,8,FALSE)),"")</f>
        <v/>
      </c>
      <c r="I18" s="385"/>
      <c r="J18"/>
      <c r="K18"/>
      <c r="L18"/>
      <c r="M18"/>
      <c r="N18"/>
      <c r="O18"/>
      <c r="P18"/>
      <c r="Q18"/>
      <c r="R18"/>
      <c r="S18"/>
    </row>
    <row r="19" spans="1:19" outlineLevel="1">
      <c r="A19" s="382"/>
      <c r="C19" s="59" t="str">
        <f>IFERROR(IF(ISBLANK(VLOOKUP($B19,ARTICLE!$B$2:$J$200,3,FALSE)),"",VLOOKUP($B19,ARTICLE!$B$2:$J$200,3,FALSE)),"")</f>
        <v/>
      </c>
      <c r="D19" s="32" t="str">
        <f>IFERROR(IF(ISBLANK(VLOOKUP($B19,ARTICLE!$B$2:$J$200,4,FALSE)),"",VLOOKUP($B19,ARTICLE!$B$2:$J$200,4,FALSE)),"")</f>
        <v/>
      </c>
      <c r="E19" s="32" t="str">
        <f>IFERROR(IF(ISBLANK(VLOOKUP($B19,ARTICLE!$B$2:$J$200,5,FALSE)),"",VLOOKUP($B19,ARTICLE!$B$2:$J$200,5,FALSE)),"")</f>
        <v/>
      </c>
      <c r="F19" s="32" t="str">
        <f>IFERROR(IF(ISBLANK(VLOOKUP($B19,ARTICLE!$B$2:$J$200,6,FALSE)),"",VLOOKUP($B19,ARTICLE!$B$2:$J$200,6,FALSE)),"")</f>
        <v/>
      </c>
      <c r="G19" s="32" t="str">
        <f>IFERROR(IF(ISBLANK(VLOOKUP($B19,ARTICLE!$B$2:$J$200,7,FALSE)),"",VLOOKUP($B19,ARTICLE!$B$2:$J$200,7,FALSE)),"")</f>
        <v/>
      </c>
      <c r="H19" s="32" t="str">
        <f>IFERROR(IF(ISBLANK(VLOOKUP($B19,ARTICLE!$B$2:$J$200,8,FALSE)),"",VLOOKUP($B19,ARTICLE!$B$2:$J$200,8,FALSE)),"")</f>
        <v/>
      </c>
      <c r="I19" s="385"/>
      <c r="J19"/>
      <c r="K19"/>
      <c r="L19"/>
      <c r="M19"/>
      <c r="N19"/>
      <c r="O19"/>
      <c r="P19"/>
      <c r="Q19"/>
      <c r="R19"/>
      <c r="S19"/>
    </row>
    <row r="20" spans="1:19" outlineLevel="1">
      <c r="A20" s="382"/>
      <c r="B20" s="31"/>
      <c r="C20" s="59" t="str">
        <f>IFERROR(IF(ISBLANK(VLOOKUP($B20,ARTICLE!$B$2:$J$200,3,FALSE)),"",VLOOKUP($B20,ARTICLE!$B$2:$J$200,3,FALSE)),"")</f>
        <v/>
      </c>
      <c r="D20" s="32" t="str">
        <f>IFERROR(IF(ISBLANK(VLOOKUP($B20,ARTICLE!$B$2:$J$200,4,FALSE)),"",VLOOKUP($B20,ARTICLE!$B$2:$J$200,4,FALSE)),"")</f>
        <v/>
      </c>
      <c r="E20" s="32" t="str">
        <f>IFERROR(IF(ISBLANK(VLOOKUP($B20,ARTICLE!$B$2:$J$200,5,FALSE)),"",VLOOKUP($B20,ARTICLE!$B$2:$J$200,5,FALSE)),"")</f>
        <v/>
      </c>
      <c r="F20" s="32" t="str">
        <f>IFERROR(IF(ISBLANK(VLOOKUP($B20,ARTICLE!$B$2:$J$200,6,FALSE)),"",VLOOKUP($B20,ARTICLE!$B$2:$J$200,6,FALSE)),"")</f>
        <v/>
      </c>
      <c r="G20" s="32" t="str">
        <f>IFERROR(IF(ISBLANK(VLOOKUP($B20,ARTICLE!$B$2:$J$200,7,FALSE)),"",VLOOKUP($B20,ARTICLE!$B$2:$J$200,7,FALSE)),"")</f>
        <v/>
      </c>
      <c r="H20" s="32" t="str">
        <f>IFERROR(IF(ISBLANK(VLOOKUP($B20,ARTICLE!$B$2:$J$200,8,FALSE)),"",VLOOKUP($B20,ARTICLE!$B$2:$J$200,8,FALSE)),"")</f>
        <v/>
      </c>
      <c r="I20" s="385"/>
      <c r="J20"/>
      <c r="K20"/>
      <c r="L20"/>
      <c r="M20"/>
      <c r="N20"/>
      <c r="O20"/>
      <c r="P20"/>
      <c r="Q20"/>
      <c r="R20"/>
      <c r="S20"/>
    </row>
    <row r="21" spans="1:19" outlineLevel="1">
      <c r="A21" s="382"/>
      <c r="B21" s="31"/>
      <c r="C21" s="59" t="str">
        <f>IFERROR(IF(ISBLANK(VLOOKUP($B21,ARTICLE!$B$2:$J$200,3,FALSE)),"",VLOOKUP($B21,ARTICLE!$B$2:$J$200,3,FALSE)),"")</f>
        <v/>
      </c>
      <c r="D21" s="32" t="str">
        <f>IFERROR(IF(ISBLANK(VLOOKUP($B21,ARTICLE!$B$2:$J$200,4,FALSE)),"",VLOOKUP($B21,ARTICLE!$B$2:$J$200,4,FALSE)),"")</f>
        <v/>
      </c>
      <c r="E21" s="32" t="str">
        <f>IFERROR(IF(ISBLANK(VLOOKUP($B21,ARTICLE!$B$2:$J$200,5,FALSE)),"",VLOOKUP($B21,ARTICLE!$B$2:$J$200,5,FALSE)),"")</f>
        <v/>
      </c>
      <c r="F21" s="32" t="str">
        <f>IFERROR(IF(ISBLANK(VLOOKUP($B21,ARTICLE!$B$2:$J$200,6,FALSE)),"",VLOOKUP($B21,ARTICLE!$B$2:$J$200,6,FALSE)),"")</f>
        <v/>
      </c>
      <c r="G21" s="32" t="str">
        <f>IFERROR(IF(ISBLANK(VLOOKUP($B21,ARTICLE!$B$2:$J$200,7,FALSE)),"",VLOOKUP($B21,ARTICLE!$B$2:$J$200,7,FALSE)),"")</f>
        <v/>
      </c>
      <c r="H21" s="32" t="str">
        <f>IFERROR(IF(ISBLANK(VLOOKUP($B21,ARTICLE!$B$2:$J$200,8,FALSE)),"",VLOOKUP($B21,ARTICLE!$B$2:$J$200,8,FALSE)),"")</f>
        <v/>
      </c>
      <c r="I21" s="385"/>
      <c r="J21"/>
      <c r="K21"/>
      <c r="L21"/>
      <c r="M21"/>
      <c r="N21"/>
      <c r="O21"/>
      <c r="P21"/>
      <c r="Q21"/>
      <c r="R21"/>
      <c r="S21"/>
    </row>
    <row r="22" spans="1:19" outlineLevel="1">
      <c r="A22" s="382"/>
      <c r="B22" s="31"/>
      <c r="C22" s="59" t="str">
        <f>IFERROR(IF(ISBLANK(VLOOKUP($B22,ARTICLE!$B$2:$J$200,3,FALSE)),"",VLOOKUP($B22,ARTICLE!$B$2:$J$200,3,FALSE)),"")</f>
        <v/>
      </c>
      <c r="D22" s="32" t="str">
        <f>IFERROR(IF(ISBLANK(VLOOKUP($B22,ARTICLE!$B$2:$J$200,4,FALSE)),"",VLOOKUP($B22,ARTICLE!$B$2:$J$200,4,FALSE)),"")</f>
        <v/>
      </c>
      <c r="E22" s="32" t="str">
        <f>IFERROR(IF(ISBLANK(VLOOKUP($B22,ARTICLE!$B$2:$J$200,5,FALSE)),"",VLOOKUP($B22,ARTICLE!$B$2:$J$200,5,FALSE)),"")</f>
        <v/>
      </c>
      <c r="F22" s="32" t="str">
        <f>IFERROR(IF(ISBLANK(VLOOKUP($B22,ARTICLE!$B$2:$J$200,6,FALSE)),"",VLOOKUP($B22,ARTICLE!$B$2:$J$200,6,FALSE)),"")</f>
        <v/>
      </c>
      <c r="G22" s="32" t="str">
        <f>IFERROR(IF(ISBLANK(VLOOKUP($B22,ARTICLE!$B$2:$J$200,7,FALSE)),"",VLOOKUP($B22,ARTICLE!$B$2:$J$200,7,FALSE)),"")</f>
        <v/>
      </c>
      <c r="H22" s="32" t="str">
        <f>IFERROR(IF(ISBLANK(VLOOKUP($B22,ARTICLE!$B$2:$J$200,8,FALSE)),"",VLOOKUP($B22,ARTICLE!$B$2:$J$200,8,FALSE)),"")</f>
        <v/>
      </c>
      <c r="I22" s="385"/>
      <c r="J22"/>
      <c r="K22"/>
      <c r="L22"/>
      <c r="M22"/>
      <c r="N22"/>
      <c r="O22"/>
      <c r="P22"/>
      <c r="Q22"/>
      <c r="R22"/>
      <c r="S22"/>
    </row>
    <row r="23" spans="1:19" outlineLevel="1">
      <c r="A23" s="382"/>
      <c r="B23" s="33"/>
      <c r="C23" s="59" t="str">
        <f>IFERROR(IF(ISBLANK(VLOOKUP($B23,ARTICLE!$B$2:$J$200,3,FALSE)),"",VLOOKUP($B23,ARTICLE!$B$2:$J$200,3,FALSE)),"")</f>
        <v/>
      </c>
      <c r="D23" s="32" t="str">
        <f>IFERROR(IF(ISBLANK(VLOOKUP($B23,ARTICLE!$B$2:$J$200,4,FALSE)),"",VLOOKUP($B23,ARTICLE!$B$2:$J$200,4,FALSE)),"")</f>
        <v/>
      </c>
      <c r="E23" s="32" t="str">
        <f>IFERROR(IF(ISBLANK(VLOOKUP($B23,ARTICLE!$B$2:$J$200,5,FALSE)),"",VLOOKUP($B23,ARTICLE!$B$2:$J$200,5,FALSE)),"")</f>
        <v/>
      </c>
      <c r="F23" s="32" t="str">
        <f>IFERROR(IF(ISBLANK(VLOOKUP($B23,ARTICLE!$B$2:$J$200,6,FALSE)),"",VLOOKUP($B23,ARTICLE!$B$2:$J$200,6,FALSE)),"")</f>
        <v/>
      </c>
      <c r="G23" s="32" t="str">
        <f>IFERROR(IF(ISBLANK(VLOOKUP($B23,ARTICLE!$B$2:$J$200,7,FALSE)),"",VLOOKUP($B23,ARTICLE!$B$2:$J$200,7,FALSE)),"")</f>
        <v/>
      </c>
      <c r="H23" s="32" t="str">
        <f>IFERROR(IF(ISBLANK(VLOOKUP($B23,ARTICLE!$B$2:$J$200,8,FALSE)),"",VLOOKUP($B23,ARTICLE!$B$2:$J$200,8,FALSE)),"")</f>
        <v/>
      </c>
      <c r="I23" s="386"/>
      <c r="J23"/>
      <c r="K23"/>
      <c r="L23"/>
      <c r="M23"/>
      <c r="N23"/>
      <c r="O23"/>
      <c r="P23"/>
      <c r="Q23"/>
      <c r="R23"/>
      <c r="S23"/>
    </row>
    <row r="24" spans="1:19" outlineLevel="1">
      <c r="A24" s="382" t="str">
        <f t="shared" ref="A24" si="6">B24</f>
        <v>Structure 100 mm / Bardage horizontal cl4</v>
      </c>
      <c r="B24" s="349" t="str">
        <f>CONCATENATE(B25,IF(B26="",""," / "),B26,IF(B27="",""," / "),B27,IF(B28="",""," / "),B28,IF(B29="",""," / "),B29,IF(B30="",""," / "),B30,IF(B31="",""," / "),B31,B31,IF(B32="",""," / "),B32)</f>
        <v>Structure 100 mm / Bardage horizontal cl4</v>
      </c>
      <c r="C24" s="35" t="str">
        <f t="shared" si="0"/>
        <v>m2</v>
      </c>
      <c r="D24" s="35">
        <f t="shared" ref="D24" si="7">IF(SUM(E24:H24)=0,0,SUM(E24:H24))</f>
        <v>61.764947529999993</v>
      </c>
      <c r="E24" s="35">
        <f t="shared" si="2"/>
        <v>36.342270999999997</v>
      </c>
      <c r="F24" s="35">
        <f t="shared" ref="F24:H24" si="8">SUM(F25:F34)</f>
        <v>6.85</v>
      </c>
      <c r="G24" s="35">
        <f t="shared" si="8"/>
        <v>12.957681299999999</v>
      </c>
      <c r="H24" s="36">
        <f t="shared" si="8"/>
        <v>5.6149952299999999</v>
      </c>
      <c r="I24" s="384" t="s">
        <v>545</v>
      </c>
      <c r="J24" s="130">
        <f>'MODELE LAROX'!E31</f>
        <v>527</v>
      </c>
      <c r="K24" s="284">
        <f>ROUNDUP(D24,0)*J24</f>
        <v>32674</v>
      </c>
      <c r="L24" s="284">
        <f>ROUNDUP(J24*E24,0)</f>
        <v>19153</v>
      </c>
      <c r="M24" s="285">
        <f>L24/K24</f>
        <v>0.58618473403929727</v>
      </c>
      <c r="N24" s="284">
        <f>ROUNDUP(J24*F24,0)</f>
        <v>3610</v>
      </c>
      <c r="O24" s="285">
        <f>N24/K24</f>
        <v>0.11048540123645713</v>
      </c>
      <c r="P24" s="284">
        <f>ROUNDUP(J24*G24,0)</f>
        <v>6829</v>
      </c>
      <c r="Q24" s="285">
        <f>P24/K24</f>
        <v>0.20900410112015669</v>
      </c>
      <c r="R24" s="284">
        <f>ROUNDUP(J24*H24,0)</f>
        <v>2960</v>
      </c>
      <c r="S24" s="285">
        <f>R24/K24</f>
        <v>9.05919079390341E-2</v>
      </c>
    </row>
    <row r="25" spans="1:19" outlineLevel="1">
      <c r="A25" s="382"/>
      <c r="B25" s="31" t="s">
        <v>40</v>
      </c>
      <c r="C25" s="59" t="str">
        <f>IFERROR(IF(ISBLANK(VLOOKUP($B25,ARTICLE!$B$2:$J$200,3,FALSE)),"",VLOOKUP($B25,ARTICLE!$B$2:$J$200,3,FALSE)),"")</f>
        <v>m2</v>
      </c>
      <c r="D25" s="32">
        <f>IFERROR(IF(ISBLANK(VLOOKUP($B25,ARTICLE!$B$2:$J$200,4,FALSE)),"",VLOOKUP($B25,ARTICLE!$B$2:$J$200,4,FALSE)),"")</f>
        <v>32.392747529999994</v>
      </c>
      <c r="E25" s="32">
        <f>IFERROR(IF(ISBLANK(VLOOKUP($B25,ARTICLE!$B$2:$J$200,5,FALSE)),"",VLOOKUP($B25,ARTICLE!$B$2:$J$200,5,FALSE)),"")</f>
        <v>18.822271000000001</v>
      </c>
      <c r="F25" s="32">
        <f>IFERROR(IF(ISBLANK(VLOOKUP($B25,ARTICLE!$B$2:$J$200,6,FALSE)),"",VLOOKUP($B25,ARTICLE!$B$2:$J$200,6,FALSE)),"")</f>
        <v>3.83</v>
      </c>
      <c r="G25" s="32">
        <f>IFERROR(IF(ISBLANK(VLOOKUP($B25,ARTICLE!$B$2:$J$200,7,FALSE)),"",VLOOKUP($B25,ARTICLE!$B$2:$J$200,7,FALSE)),"")</f>
        <v>6.7956812999999991</v>
      </c>
      <c r="H25" s="32">
        <f>IFERROR(IF(ISBLANK(VLOOKUP($B25,ARTICLE!$B$2:$J$200,8,FALSE)),"",VLOOKUP($B25,ARTICLE!$B$2:$J$200,8,FALSE)),"")</f>
        <v>2.94479523</v>
      </c>
      <c r="I25" s="385"/>
      <c r="J25"/>
      <c r="K25"/>
      <c r="L25"/>
      <c r="M25"/>
      <c r="N25"/>
      <c r="O25"/>
      <c r="P25"/>
      <c r="Q25"/>
      <c r="R25"/>
      <c r="S25"/>
    </row>
    <row r="26" spans="1:19" outlineLevel="1">
      <c r="A26" s="382"/>
      <c r="B26" t="s">
        <v>556</v>
      </c>
      <c r="C26" s="59" t="str">
        <f>IFERROR(IF(ISBLANK(VLOOKUP($B26,ARTICLE!$B$2:$J$200,3,FALSE)),"",VLOOKUP($B26,ARTICLE!$B$2:$J$200,3,FALSE)),"")</f>
        <v>m2</v>
      </c>
      <c r="D26" s="32">
        <f>IFERROR(IF(ISBLANK(VLOOKUP($B26,ARTICLE!$B$2:$J$200,4,FALSE)),"",VLOOKUP($B26,ARTICLE!$B$2:$J$200,4,FALSE)),"")</f>
        <v>29.372199999999999</v>
      </c>
      <c r="E26" s="32">
        <f>IFERROR(IF(ISBLANK(VLOOKUP($B26,ARTICLE!$B$2:$J$200,5,FALSE)),"",VLOOKUP($B26,ARTICLE!$B$2:$J$200,5,FALSE)),"")</f>
        <v>17.52</v>
      </c>
      <c r="F26" s="32">
        <f>IFERROR(IF(ISBLANK(VLOOKUP($B26,ARTICLE!$B$2:$J$200,6,FALSE)),"",VLOOKUP($B26,ARTICLE!$B$2:$J$200,6,FALSE)),"")</f>
        <v>3.02</v>
      </c>
      <c r="G26" s="32">
        <f>IFERROR(IF(ISBLANK(VLOOKUP($B26,ARTICLE!$B$2:$J$200,7,FALSE)),"",VLOOKUP($B26,ARTICLE!$B$2:$J$200,7,FALSE)),"")</f>
        <v>6.1619999999999999</v>
      </c>
      <c r="H26" s="32">
        <f>IFERROR(IF(ISBLANK(VLOOKUP($B26,ARTICLE!$B$2:$J$200,8,FALSE)),"",VLOOKUP($B26,ARTICLE!$B$2:$J$200,8,FALSE)),"")</f>
        <v>2.6701999999999999</v>
      </c>
      <c r="I26" s="385"/>
      <c r="J26"/>
      <c r="K26"/>
      <c r="L26"/>
      <c r="M26"/>
      <c r="N26"/>
      <c r="O26"/>
      <c r="P26"/>
      <c r="Q26"/>
      <c r="R26"/>
      <c r="S26"/>
    </row>
    <row r="27" spans="1:19" outlineLevel="1">
      <c r="A27" s="382"/>
      <c r="C27" s="59" t="str">
        <f>IFERROR(IF(ISBLANK(VLOOKUP($B27,ARTICLE!$B$2:$J$200,3,FALSE)),"",VLOOKUP($B27,ARTICLE!$B$2:$J$200,3,FALSE)),"")</f>
        <v/>
      </c>
      <c r="D27" s="32" t="str">
        <f>IFERROR(IF(ISBLANK(VLOOKUP($B27,ARTICLE!$B$2:$J$200,4,FALSE)),"",VLOOKUP($B27,ARTICLE!$B$2:$J$200,4,FALSE)),"")</f>
        <v/>
      </c>
      <c r="E27" s="32" t="str">
        <f>IFERROR(IF(ISBLANK(VLOOKUP($B27,ARTICLE!$B$2:$J$200,5,FALSE)),"",VLOOKUP($B27,ARTICLE!$B$2:$J$200,5,FALSE)),"")</f>
        <v/>
      </c>
      <c r="F27" s="32" t="str">
        <f>IFERROR(IF(ISBLANK(VLOOKUP($B27,ARTICLE!$B$2:$J$200,6,FALSE)),"",VLOOKUP($B27,ARTICLE!$B$2:$J$200,6,FALSE)),"")</f>
        <v/>
      </c>
      <c r="G27" s="32" t="str">
        <f>IFERROR(IF(ISBLANK(VLOOKUP($B27,ARTICLE!$B$2:$J$200,7,FALSE)),"",VLOOKUP($B27,ARTICLE!$B$2:$J$200,7,FALSE)),"")</f>
        <v/>
      </c>
      <c r="H27" s="32" t="str">
        <f>IFERROR(IF(ISBLANK(VLOOKUP($B27,ARTICLE!$B$2:$J$200,8,FALSE)),"",VLOOKUP($B27,ARTICLE!$B$2:$J$200,8,FALSE)),"")</f>
        <v/>
      </c>
      <c r="I27" s="385"/>
      <c r="J27"/>
      <c r="K27"/>
      <c r="L27"/>
      <c r="M27"/>
      <c r="N27"/>
      <c r="O27"/>
      <c r="P27"/>
      <c r="Q27"/>
      <c r="R27"/>
      <c r="S27"/>
    </row>
    <row r="28" spans="1:19" outlineLevel="1">
      <c r="A28" s="382"/>
      <c r="B28" s="31"/>
      <c r="C28" s="59" t="str">
        <f>IFERROR(IF(ISBLANK(VLOOKUP($B28,ARTICLE!$B$2:$J$200,3,FALSE)),"",VLOOKUP($B28,ARTICLE!$B$2:$J$200,3,FALSE)),"")</f>
        <v/>
      </c>
      <c r="D28" s="32" t="str">
        <f>IFERROR(IF(ISBLANK(VLOOKUP($B28,ARTICLE!$B$2:$J$200,4,FALSE)),"",VLOOKUP($B28,ARTICLE!$B$2:$J$200,4,FALSE)),"")</f>
        <v/>
      </c>
      <c r="E28" s="32" t="str">
        <f>IFERROR(IF(ISBLANK(VLOOKUP($B28,ARTICLE!$B$2:$J$200,5,FALSE)),"",VLOOKUP($B28,ARTICLE!$B$2:$J$200,5,FALSE)),"")</f>
        <v/>
      </c>
      <c r="F28" s="32" t="str">
        <f>IFERROR(IF(ISBLANK(VLOOKUP($B28,ARTICLE!$B$2:$J$200,6,FALSE)),"",VLOOKUP($B28,ARTICLE!$B$2:$J$200,6,FALSE)),"")</f>
        <v/>
      </c>
      <c r="G28" s="32" t="str">
        <f>IFERROR(IF(ISBLANK(VLOOKUP($B28,ARTICLE!$B$2:$J$200,7,FALSE)),"",VLOOKUP($B28,ARTICLE!$B$2:$J$200,7,FALSE)),"")</f>
        <v/>
      </c>
      <c r="H28" s="32" t="str">
        <f>IFERROR(IF(ISBLANK(VLOOKUP($B28,ARTICLE!$B$2:$J$200,8,FALSE)),"",VLOOKUP($B28,ARTICLE!$B$2:$J$200,8,FALSE)),"")</f>
        <v/>
      </c>
      <c r="I28" s="385"/>
      <c r="J28"/>
      <c r="K28"/>
      <c r="L28"/>
      <c r="M28"/>
      <c r="N28"/>
      <c r="O28"/>
      <c r="P28"/>
      <c r="Q28"/>
      <c r="R28"/>
      <c r="S28"/>
    </row>
    <row r="29" spans="1:19" outlineLevel="1">
      <c r="A29" s="382"/>
      <c r="B29" s="31"/>
      <c r="C29" s="59" t="str">
        <f>IFERROR(IF(ISBLANK(VLOOKUP($B29,ARTICLE!$B$2:$J$200,3,FALSE)),"",VLOOKUP($B29,ARTICLE!$B$2:$J$200,3,FALSE)),"")</f>
        <v/>
      </c>
      <c r="D29" s="32" t="str">
        <f>IFERROR(IF(ISBLANK(VLOOKUP($B29,ARTICLE!$B$2:$J$200,4,FALSE)),"",VLOOKUP($B29,ARTICLE!$B$2:$J$200,4,FALSE)),"")</f>
        <v/>
      </c>
      <c r="E29" s="32" t="str">
        <f>IFERROR(IF(ISBLANK(VLOOKUP($B29,ARTICLE!$B$2:$J$200,5,FALSE)),"",VLOOKUP($B29,ARTICLE!$B$2:$J$200,5,FALSE)),"")</f>
        <v/>
      </c>
      <c r="F29" s="32" t="str">
        <f>IFERROR(IF(ISBLANK(VLOOKUP($B29,ARTICLE!$B$2:$J$200,6,FALSE)),"",VLOOKUP($B29,ARTICLE!$B$2:$J$200,6,FALSE)),"")</f>
        <v/>
      </c>
      <c r="G29" s="32" t="str">
        <f>IFERROR(IF(ISBLANK(VLOOKUP($B29,ARTICLE!$B$2:$J$200,7,FALSE)),"",VLOOKUP($B29,ARTICLE!$B$2:$J$200,7,FALSE)),"")</f>
        <v/>
      </c>
      <c r="H29" s="32" t="str">
        <f>IFERROR(IF(ISBLANK(VLOOKUP($B29,ARTICLE!$B$2:$J$200,8,FALSE)),"",VLOOKUP($B29,ARTICLE!$B$2:$J$200,8,FALSE)),"")</f>
        <v/>
      </c>
      <c r="I29" s="385"/>
      <c r="J29"/>
      <c r="K29"/>
      <c r="L29"/>
      <c r="M29"/>
      <c r="N29"/>
      <c r="O29"/>
      <c r="P29"/>
      <c r="Q29"/>
      <c r="R29"/>
      <c r="S29"/>
    </row>
    <row r="30" spans="1:19" outlineLevel="1">
      <c r="A30" s="382"/>
      <c r="B30" s="31"/>
      <c r="C30" s="59" t="str">
        <f>IFERROR(IF(ISBLANK(VLOOKUP($B30,ARTICLE!$B$2:$J$200,3,FALSE)),"",VLOOKUP($B30,ARTICLE!$B$2:$J$200,3,FALSE)),"")</f>
        <v/>
      </c>
      <c r="D30" s="32" t="str">
        <f>IFERROR(IF(ISBLANK(VLOOKUP($B30,ARTICLE!$B$2:$J$200,4,FALSE)),"",VLOOKUP($B30,ARTICLE!$B$2:$J$200,4,FALSE)),"")</f>
        <v/>
      </c>
      <c r="E30" s="32" t="str">
        <f>IFERROR(IF(ISBLANK(VLOOKUP($B30,ARTICLE!$B$2:$J$200,5,FALSE)),"",VLOOKUP($B30,ARTICLE!$B$2:$J$200,5,FALSE)),"")</f>
        <v/>
      </c>
      <c r="F30" s="32" t="str">
        <f>IFERROR(IF(ISBLANK(VLOOKUP($B30,ARTICLE!$B$2:$J$200,6,FALSE)),"",VLOOKUP($B30,ARTICLE!$B$2:$J$200,6,FALSE)),"")</f>
        <v/>
      </c>
      <c r="G30" s="32" t="str">
        <f>IFERROR(IF(ISBLANK(VLOOKUP($B30,ARTICLE!$B$2:$J$200,7,FALSE)),"",VLOOKUP($B30,ARTICLE!$B$2:$J$200,7,FALSE)),"")</f>
        <v/>
      </c>
      <c r="H30" s="32" t="str">
        <f>IFERROR(IF(ISBLANK(VLOOKUP($B30,ARTICLE!$B$2:$J$200,8,FALSE)),"",VLOOKUP($B30,ARTICLE!$B$2:$J$200,8,FALSE)),"")</f>
        <v/>
      </c>
      <c r="I30" s="385"/>
      <c r="J30"/>
      <c r="K30"/>
      <c r="L30"/>
      <c r="M30"/>
      <c r="N30"/>
      <c r="O30"/>
      <c r="P30"/>
      <c r="Q30"/>
      <c r="R30"/>
      <c r="S30"/>
    </row>
    <row r="31" spans="1:19" outlineLevel="1">
      <c r="A31" s="382"/>
      <c r="B31" s="31"/>
      <c r="C31" s="59" t="str">
        <f>IFERROR(IF(ISBLANK(VLOOKUP($B31,ARTICLE!$B$2:$J$200,3,FALSE)),"",VLOOKUP($B31,ARTICLE!$B$2:$J$200,3,FALSE)),"")</f>
        <v/>
      </c>
      <c r="D31" s="32" t="str">
        <f>IFERROR(IF(ISBLANK(VLOOKUP($B31,ARTICLE!$B$2:$J$200,4,FALSE)),"",VLOOKUP($B31,ARTICLE!$B$2:$J$200,4,FALSE)),"")</f>
        <v/>
      </c>
      <c r="E31" s="32" t="str">
        <f>IFERROR(IF(ISBLANK(VLOOKUP($B31,ARTICLE!$B$2:$J$200,5,FALSE)),"",VLOOKUP($B31,ARTICLE!$B$2:$J$200,5,FALSE)),"")</f>
        <v/>
      </c>
      <c r="F31" s="32" t="str">
        <f>IFERROR(IF(ISBLANK(VLOOKUP($B31,ARTICLE!$B$2:$J$200,6,FALSE)),"",VLOOKUP($B31,ARTICLE!$B$2:$J$200,6,FALSE)),"")</f>
        <v/>
      </c>
      <c r="G31" s="32" t="str">
        <f>IFERROR(IF(ISBLANK(VLOOKUP($B31,ARTICLE!$B$2:$J$200,7,FALSE)),"",VLOOKUP($B31,ARTICLE!$B$2:$J$200,7,FALSE)),"")</f>
        <v/>
      </c>
      <c r="H31" s="32" t="str">
        <f>IFERROR(IF(ISBLANK(VLOOKUP($B31,ARTICLE!$B$2:$J$200,8,FALSE)),"",VLOOKUP($B31,ARTICLE!$B$2:$J$200,8,FALSE)),"")</f>
        <v/>
      </c>
      <c r="I31" s="385"/>
      <c r="J31"/>
      <c r="K31"/>
      <c r="L31"/>
      <c r="M31"/>
      <c r="N31"/>
      <c r="O31"/>
      <c r="P31"/>
      <c r="Q31"/>
      <c r="R31"/>
      <c r="S31"/>
    </row>
    <row r="32" spans="1:19" outlineLevel="1">
      <c r="A32" s="382"/>
      <c r="B32" s="31"/>
      <c r="C32" s="59" t="str">
        <f>IFERROR(IF(ISBLANK(VLOOKUP($B32,ARTICLE!$B$2:$J$200,3,FALSE)),"",VLOOKUP($B32,ARTICLE!$B$2:$J$200,3,FALSE)),"")</f>
        <v/>
      </c>
      <c r="D32" s="32" t="str">
        <f>IFERROR(IF(ISBLANK(VLOOKUP($B32,ARTICLE!$B$2:$J$200,4,FALSE)),"",VLOOKUP($B32,ARTICLE!$B$2:$J$200,4,FALSE)),"")</f>
        <v/>
      </c>
      <c r="E32" s="32" t="str">
        <f>IFERROR(IF(ISBLANK(VLOOKUP($B32,ARTICLE!$B$2:$J$200,5,FALSE)),"",VLOOKUP($B32,ARTICLE!$B$2:$J$200,5,FALSE)),"")</f>
        <v/>
      </c>
      <c r="F32" s="32" t="str">
        <f>IFERROR(IF(ISBLANK(VLOOKUP($B32,ARTICLE!$B$2:$J$200,6,FALSE)),"",VLOOKUP($B32,ARTICLE!$B$2:$J$200,6,FALSE)),"")</f>
        <v/>
      </c>
      <c r="G32" s="32" t="str">
        <f>IFERROR(IF(ISBLANK(VLOOKUP($B32,ARTICLE!$B$2:$J$200,7,FALSE)),"",VLOOKUP($B32,ARTICLE!$B$2:$J$200,7,FALSE)),"")</f>
        <v/>
      </c>
      <c r="H32" s="32" t="str">
        <f>IFERROR(IF(ISBLANK(VLOOKUP($B32,ARTICLE!$B$2:$J$200,8,FALSE)),"",VLOOKUP($B32,ARTICLE!$B$2:$J$200,8,FALSE)),"")</f>
        <v/>
      </c>
      <c r="I32" s="385"/>
      <c r="J32"/>
      <c r="K32"/>
      <c r="L32"/>
      <c r="M32"/>
      <c r="N32"/>
      <c r="O32"/>
      <c r="P32"/>
      <c r="Q32"/>
      <c r="R32"/>
      <c r="S32"/>
    </row>
    <row r="33" spans="1:19" outlineLevel="1">
      <c r="A33" s="382"/>
      <c r="B33" s="31"/>
      <c r="C33" s="59" t="str">
        <f>IFERROR(IF(ISBLANK(VLOOKUP($B33,ARTICLE!$B$2:$J$200,3,FALSE)),"",VLOOKUP($B33,ARTICLE!$B$2:$J$200,3,FALSE)),"")</f>
        <v/>
      </c>
      <c r="D33" s="32" t="str">
        <f>IFERROR(IF(ISBLANK(VLOOKUP($B33,ARTICLE!$B$2:$J$200,4,FALSE)),"",VLOOKUP($B33,ARTICLE!$B$2:$J$200,4,FALSE)),"")</f>
        <v/>
      </c>
      <c r="E33" s="32" t="str">
        <f>IFERROR(IF(ISBLANK(VLOOKUP($B33,ARTICLE!$B$2:$J$200,5,FALSE)),"",VLOOKUP($B33,ARTICLE!$B$2:$J$200,5,FALSE)),"")</f>
        <v/>
      </c>
      <c r="F33" s="32" t="str">
        <f>IFERROR(IF(ISBLANK(VLOOKUP($B33,ARTICLE!$B$2:$J$200,6,FALSE)),"",VLOOKUP($B33,ARTICLE!$B$2:$J$200,6,FALSE)),"")</f>
        <v/>
      </c>
      <c r="G33" s="32" t="str">
        <f>IFERROR(IF(ISBLANK(VLOOKUP($B33,ARTICLE!$B$2:$J$200,7,FALSE)),"",VLOOKUP($B33,ARTICLE!$B$2:$J$200,7,FALSE)),"")</f>
        <v/>
      </c>
      <c r="H33" s="32" t="str">
        <f>IFERROR(IF(ISBLANK(VLOOKUP($B33,ARTICLE!$B$2:$J$200,8,FALSE)),"",VLOOKUP($B33,ARTICLE!$B$2:$J$200,8,FALSE)),"")</f>
        <v/>
      </c>
      <c r="I33" s="385"/>
      <c r="J33"/>
      <c r="K33"/>
      <c r="L33"/>
      <c r="M33"/>
      <c r="N33"/>
      <c r="O33"/>
      <c r="P33"/>
      <c r="Q33"/>
      <c r="R33"/>
      <c r="S33"/>
    </row>
    <row r="34" spans="1:19" outlineLevel="1">
      <c r="A34" s="382"/>
      <c r="B34" s="33"/>
      <c r="C34" s="59" t="str">
        <f>IFERROR(IF(ISBLANK(VLOOKUP($B34,ARTICLE!$B$2:$J$200,3,FALSE)),"",VLOOKUP($B34,ARTICLE!$B$2:$J$200,3,FALSE)),"")</f>
        <v/>
      </c>
      <c r="D34" s="32" t="str">
        <f>IFERROR(IF(ISBLANK(VLOOKUP($B34,ARTICLE!$B$2:$J$200,4,FALSE)),"",VLOOKUP($B34,ARTICLE!$B$2:$J$200,4,FALSE)),"")</f>
        <v/>
      </c>
      <c r="E34" s="32" t="str">
        <f>IFERROR(IF(ISBLANK(VLOOKUP($B34,ARTICLE!$B$2:$J$200,5,FALSE)),"",VLOOKUP($B34,ARTICLE!$B$2:$J$200,5,FALSE)),"")</f>
        <v/>
      </c>
      <c r="F34" s="32" t="str">
        <f>IFERROR(IF(ISBLANK(VLOOKUP($B34,ARTICLE!$B$2:$J$200,6,FALSE)),"",VLOOKUP($B34,ARTICLE!$B$2:$J$200,6,FALSE)),"")</f>
        <v/>
      </c>
      <c r="G34" s="32" t="str">
        <f>IFERROR(IF(ISBLANK(VLOOKUP($B34,ARTICLE!$B$2:$J$200,7,FALSE)),"",VLOOKUP($B34,ARTICLE!$B$2:$J$200,7,FALSE)),"")</f>
        <v/>
      </c>
      <c r="H34" s="32" t="str">
        <f>IFERROR(IF(ISBLANK(VLOOKUP($B34,ARTICLE!$B$2:$J$200,8,FALSE)),"",VLOOKUP($B34,ARTICLE!$B$2:$J$200,8,FALSE)),"")</f>
        <v/>
      </c>
      <c r="I34" s="386"/>
      <c r="J34"/>
      <c r="K34"/>
      <c r="L34"/>
      <c r="M34"/>
      <c r="N34"/>
      <c r="O34"/>
      <c r="P34"/>
      <c r="Q34"/>
      <c r="R34"/>
      <c r="S34"/>
    </row>
    <row r="35" spans="1:19" outlineLevel="1">
      <c r="A35" s="382" t="str">
        <f t="shared" ref="A35" si="9">B35</f>
        <v>Structure 100 mm / Bardage horizontal cl4 / Pignon</v>
      </c>
      <c r="B35" s="349" t="str">
        <f>CONCATENATE(B36,IF(B37="",""," / "),B37,IF(B38="",""," / "),B38,IF(B39="",""," / "),B39,IF(B40="",""," / "),B40,IF(B41="",""," / "),B41,IF(B42="",""," / "),B42,B42,IF(B43="",""," / "),B43)</f>
        <v>Structure 100 mm / Bardage horizontal cl4 / Pignon</v>
      </c>
      <c r="C35" s="35" t="str">
        <f t="shared" si="0"/>
        <v>m2</v>
      </c>
      <c r="D35" s="35">
        <f t="shared" ref="D35" si="10">IF(SUM(E35:H35)=0,0,SUM(E35:H35))</f>
        <v>79.468347530000003</v>
      </c>
      <c r="E35" s="35">
        <f t="shared" si="2"/>
        <v>36.342270999999997</v>
      </c>
      <c r="F35" s="35">
        <f t="shared" ref="F35:H35" si="11">SUM(F36:F45)</f>
        <v>19.23</v>
      </c>
      <c r="G35" s="35">
        <f t="shared" si="11"/>
        <v>16.671681299999999</v>
      </c>
      <c r="H35" s="36">
        <f t="shared" si="11"/>
        <v>7.2243952299999998</v>
      </c>
      <c r="I35" s="384" t="s">
        <v>555</v>
      </c>
      <c r="J35" s="130">
        <f>'MODELE LAROX'!E32</f>
        <v>100</v>
      </c>
      <c r="K35" s="284">
        <f>ROUNDUP(D35,0)*J35</f>
        <v>8000</v>
      </c>
      <c r="L35" s="284">
        <f>ROUNDUP(J35*E35,0)</f>
        <v>3635</v>
      </c>
      <c r="M35" s="285">
        <f>L35/K35</f>
        <v>0.45437499999999997</v>
      </c>
      <c r="N35" s="284">
        <f>ROUNDUP(J35*F35,0)</f>
        <v>1923</v>
      </c>
      <c r="O35" s="285">
        <f>N35/K35</f>
        <v>0.24037500000000001</v>
      </c>
      <c r="P35" s="284">
        <f>ROUNDUP(J35*G35,0)</f>
        <v>1668</v>
      </c>
      <c r="Q35" s="285">
        <f>P35/K35</f>
        <v>0.20849999999999999</v>
      </c>
      <c r="R35" s="284">
        <f>ROUNDUP(J35*H35,0)</f>
        <v>723</v>
      </c>
      <c r="S35" s="285">
        <f>R35/K35</f>
        <v>9.0374999999999997E-2</v>
      </c>
    </row>
    <row r="36" spans="1:19" outlineLevel="1">
      <c r="A36" s="382"/>
      <c r="B36" s="31" t="s">
        <v>40</v>
      </c>
      <c r="C36" s="59" t="str">
        <f>IFERROR(IF(ISBLANK(VLOOKUP($B36,ARTICLE!$B$2:$J$200,3,FALSE)),"",VLOOKUP($B36,ARTICLE!$B$2:$J$200,3,FALSE)),"")</f>
        <v>m2</v>
      </c>
      <c r="D36" s="32">
        <f>IFERROR(IF(ISBLANK(VLOOKUP($B36,ARTICLE!$B$2:$J$200,4,FALSE)),"",VLOOKUP($B36,ARTICLE!$B$2:$J$200,4,FALSE)),"")</f>
        <v>32.392747529999994</v>
      </c>
      <c r="E36" s="32">
        <f>IFERROR(IF(ISBLANK(VLOOKUP($B36,ARTICLE!$B$2:$J$200,5,FALSE)),"",VLOOKUP($B36,ARTICLE!$B$2:$J$200,5,FALSE)),"")</f>
        <v>18.822271000000001</v>
      </c>
      <c r="F36" s="32">
        <f>IFERROR(IF(ISBLANK(VLOOKUP($B36,ARTICLE!$B$2:$J$200,6,FALSE)),"",VLOOKUP($B36,ARTICLE!$B$2:$J$200,6,FALSE)),"")</f>
        <v>3.83</v>
      </c>
      <c r="G36" s="32">
        <f>IFERROR(IF(ISBLANK(VLOOKUP($B36,ARTICLE!$B$2:$J$200,7,FALSE)),"",VLOOKUP($B36,ARTICLE!$B$2:$J$200,7,FALSE)),"")</f>
        <v>6.7956812999999991</v>
      </c>
      <c r="H36" s="32">
        <f>IFERROR(IF(ISBLANK(VLOOKUP($B36,ARTICLE!$B$2:$J$200,8,FALSE)),"",VLOOKUP($B36,ARTICLE!$B$2:$J$200,8,FALSE)),"")</f>
        <v>2.94479523</v>
      </c>
      <c r="I36" s="385"/>
      <c r="J36"/>
      <c r="K36"/>
      <c r="L36"/>
      <c r="M36"/>
      <c r="N36"/>
      <c r="O36"/>
      <c r="P36"/>
      <c r="Q36"/>
      <c r="R36"/>
      <c r="S36"/>
    </row>
    <row r="37" spans="1:19" outlineLevel="1">
      <c r="A37" s="382"/>
      <c r="B37" t="s">
        <v>556</v>
      </c>
      <c r="C37" s="59" t="str">
        <f>IFERROR(IF(ISBLANK(VLOOKUP($B37,ARTICLE!$B$2:$J$200,3,FALSE)),"",VLOOKUP($B37,ARTICLE!$B$2:$J$200,3,FALSE)),"")</f>
        <v>m2</v>
      </c>
      <c r="D37" s="32">
        <f>IFERROR(IF(ISBLANK(VLOOKUP($B37,ARTICLE!$B$2:$J$200,4,FALSE)),"",VLOOKUP($B37,ARTICLE!$B$2:$J$200,4,FALSE)),"")</f>
        <v>29.372199999999999</v>
      </c>
      <c r="E37" s="32">
        <f>IFERROR(IF(ISBLANK(VLOOKUP($B37,ARTICLE!$B$2:$J$200,5,FALSE)),"",VLOOKUP($B37,ARTICLE!$B$2:$J$200,5,FALSE)),"")</f>
        <v>17.52</v>
      </c>
      <c r="F37" s="32">
        <f>IFERROR(IF(ISBLANK(VLOOKUP($B37,ARTICLE!$B$2:$J$200,6,FALSE)),"",VLOOKUP($B37,ARTICLE!$B$2:$J$200,6,FALSE)),"")</f>
        <v>3.02</v>
      </c>
      <c r="G37" s="32">
        <f>IFERROR(IF(ISBLANK(VLOOKUP($B37,ARTICLE!$B$2:$J$200,7,FALSE)),"",VLOOKUP($B37,ARTICLE!$B$2:$J$200,7,FALSE)),"")</f>
        <v>6.1619999999999999</v>
      </c>
      <c r="H37" s="32">
        <f>IFERROR(IF(ISBLANK(VLOOKUP($B37,ARTICLE!$B$2:$J$200,8,FALSE)),"",VLOOKUP($B37,ARTICLE!$B$2:$J$200,8,FALSE)),"")</f>
        <v>2.6701999999999999</v>
      </c>
      <c r="I37" s="385"/>
      <c r="J37"/>
      <c r="K37"/>
      <c r="L37"/>
      <c r="M37"/>
      <c r="N37"/>
      <c r="O37"/>
      <c r="P37"/>
      <c r="Q37"/>
      <c r="R37"/>
      <c r="S37"/>
    </row>
    <row r="38" spans="1:19" outlineLevel="1">
      <c r="A38" s="382"/>
      <c r="B38" s="31" t="s">
        <v>516</v>
      </c>
      <c r="C38" s="59" t="str">
        <f>IFERROR(IF(ISBLANK(VLOOKUP($B38,ARTICLE!$B$2:$J$200,3,FALSE)),"",VLOOKUP($B38,ARTICLE!$B$2:$J$200,3,FALSE)),"")</f>
        <v>m2</v>
      </c>
      <c r="D38" s="32">
        <f>IFERROR(IF(ISBLANK(VLOOKUP($B38,ARTICLE!$B$2:$J$200,4,FALSE)),"",VLOOKUP($B38,ARTICLE!$B$2:$J$200,4,FALSE)),"")</f>
        <v>17.703400000000002</v>
      </c>
      <c r="E38" s="32">
        <f>IFERROR(IF(ISBLANK(VLOOKUP($B38,ARTICLE!$B$2:$J$200,5,FALSE)),"",VLOOKUP($B38,ARTICLE!$B$2:$J$200,5,FALSE)),"")</f>
        <v>0</v>
      </c>
      <c r="F38" s="32">
        <f>IFERROR(IF(ISBLANK(VLOOKUP($B38,ARTICLE!$B$2:$J$200,6,FALSE)),"",VLOOKUP($B38,ARTICLE!$B$2:$J$200,6,FALSE)),"")</f>
        <v>12.38</v>
      </c>
      <c r="G38" s="32">
        <f>IFERROR(IF(ISBLANK(VLOOKUP($B38,ARTICLE!$B$2:$J$200,7,FALSE)),"",VLOOKUP($B38,ARTICLE!$B$2:$J$200,7,FALSE)),"")</f>
        <v>3.714</v>
      </c>
      <c r="H38" s="32">
        <f>IFERROR(IF(ISBLANK(VLOOKUP($B38,ARTICLE!$B$2:$J$200,8,FALSE)),"",VLOOKUP($B38,ARTICLE!$B$2:$J$200,8,FALSE)),"")</f>
        <v>1.6094000000000002</v>
      </c>
      <c r="I38" s="385"/>
      <c r="J38"/>
      <c r="K38"/>
      <c r="L38"/>
      <c r="M38"/>
      <c r="N38"/>
      <c r="O38"/>
      <c r="P38"/>
      <c r="Q38"/>
      <c r="R38"/>
      <c r="S38"/>
    </row>
    <row r="39" spans="1:19" outlineLevel="1">
      <c r="A39" s="382"/>
      <c r="B39" s="31"/>
      <c r="C39" s="59" t="str">
        <f>IFERROR(IF(ISBLANK(VLOOKUP($B39,ARTICLE!$B$2:$J$200,3,FALSE)),"",VLOOKUP($B39,ARTICLE!$B$2:$J$200,3,FALSE)),"")</f>
        <v/>
      </c>
      <c r="D39" s="32" t="str">
        <f>IFERROR(IF(ISBLANK(VLOOKUP($B39,ARTICLE!$B$2:$J$200,4,FALSE)),"",VLOOKUP($B39,ARTICLE!$B$2:$J$200,4,FALSE)),"")</f>
        <v/>
      </c>
      <c r="E39" s="32" t="str">
        <f>IFERROR(IF(ISBLANK(VLOOKUP($B39,ARTICLE!$B$2:$J$200,5,FALSE)),"",VLOOKUP($B39,ARTICLE!$B$2:$J$200,5,FALSE)),"")</f>
        <v/>
      </c>
      <c r="F39" s="32" t="str">
        <f>IFERROR(IF(ISBLANK(VLOOKUP($B39,ARTICLE!$B$2:$J$200,6,FALSE)),"",VLOOKUP($B39,ARTICLE!$B$2:$J$200,6,FALSE)),"")</f>
        <v/>
      </c>
      <c r="G39" s="32" t="str">
        <f>IFERROR(IF(ISBLANK(VLOOKUP($B39,ARTICLE!$B$2:$J$200,7,FALSE)),"",VLOOKUP($B39,ARTICLE!$B$2:$J$200,7,FALSE)),"")</f>
        <v/>
      </c>
      <c r="H39" s="32" t="str">
        <f>IFERROR(IF(ISBLANK(VLOOKUP($B39,ARTICLE!$B$2:$J$200,8,FALSE)),"",VLOOKUP($B39,ARTICLE!$B$2:$J$200,8,FALSE)),"")</f>
        <v/>
      </c>
      <c r="I39" s="385"/>
      <c r="J39"/>
      <c r="K39"/>
      <c r="L39"/>
      <c r="M39"/>
      <c r="N39"/>
      <c r="O39"/>
      <c r="P39"/>
      <c r="Q39"/>
      <c r="R39"/>
      <c r="S39"/>
    </row>
    <row r="40" spans="1:19" outlineLevel="1">
      <c r="A40" s="382"/>
      <c r="B40" s="31"/>
      <c r="C40" s="59" t="str">
        <f>IFERROR(IF(ISBLANK(VLOOKUP($B40,ARTICLE!$B$2:$J$200,3,FALSE)),"",VLOOKUP($B40,ARTICLE!$B$2:$J$200,3,FALSE)),"")</f>
        <v/>
      </c>
      <c r="D40" s="32" t="str">
        <f>IFERROR(IF(ISBLANK(VLOOKUP($B40,ARTICLE!$B$2:$J$200,4,FALSE)),"",VLOOKUP($B40,ARTICLE!$B$2:$J$200,4,FALSE)),"")</f>
        <v/>
      </c>
      <c r="E40" s="32" t="str">
        <f>IFERROR(IF(ISBLANK(VLOOKUP($B40,ARTICLE!$B$2:$J$200,5,FALSE)),"",VLOOKUP($B40,ARTICLE!$B$2:$J$200,5,FALSE)),"")</f>
        <v/>
      </c>
      <c r="F40" s="32" t="str">
        <f>IFERROR(IF(ISBLANK(VLOOKUP($B40,ARTICLE!$B$2:$J$200,6,FALSE)),"",VLOOKUP($B40,ARTICLE!$B$2:$J$200,6,FALSE)),"")</f>
        <v/>
      </c>
      <c r="G40" s="32" t="str">
        <f>IFERROR(IF(ISBLANK(VLOOKUP($B40,ARTICLE!$B$2:$J$200,7,FALSE)),"",VLOOKUP($B40,ARTICLE!$B$2:$J$200,7,FALSE)),"")</f>
        <v/>
      </c>
      <c r="H40" s="32" t="str">
        <f>IFERROR(IF(ISBLANK(VLOOKUP($B40,ARTICLE!$B$2:$J$200,8,FALSE)),"",VLOOKUP($B40,ARTICLE!$B$2:$J$200,8,FALSE)),"")</f>
        <v/>
      </c>
      <c r="I40" s="385"/>
      <c r="J40"/>
      <c r="K40"/>
      <c r="L40"/>
      <c r="M40"/>
      <c r="N40"/>
      <c r="O40"/>
      <c r="P40"/>
      <c r="Q40"/>
      <c r="R40"/>
      <c r="S40"/>
    </row>
    <row r="41" spans="1:19" outlineLevel="1">
      <c r="A41" s="382"/>
      <c r="B41" s="31"/>
      <c r="C41" s="59" t="str">
        <f>IFERROR(IF(ISBLANK(VLOOKUP($B41,ARTICLE!$B$2:$J$200,3,FALSE)),"",VLOOKUP($B41,ARTICLE!$B$2:$J$200,3,FALSE)),"")</f>
        <v/>
      </c>
      <c r="D41" s="32" t="str">
        <f>IFERROR(IF(ISBLANK(VLOOKUP($B41,ARTICLE!$B$2:$J$200,4,FALSE)),"",VLOOKUP($B41,ARTICLE!$B$2:$J$200,4,FALSE)),"")</f>
        <v/>
      </c>
      <c r="E41" s="32" t="str">
        <f>IFERROR(IF(ISBLANK(VLOOKUP($B41,ARTICLE!$B$2:$J$200,5,FALSE)),"",VLOOKUP($B41,ARTICLE!$B$2:$J$200,5,FALSE)),"")</f>
        <v/>
      </c>
      <c r="F41" s="32" t="str">
        <f>IFERROR(IF(ISBLANK(VLOOKUP($B41,ARTICLE!$B$2:$J$200,6,FALSE)),"",VLOOKUP($B41,ARTICLE!$B$2:$J$200,6,FALSE)),"")</f>
        <v/>
      </c>
      <c r="G41" s="32" t="str">
        <f>IFERROR(IF(ISBLANK(VLOOKUP($B41,ARTICLE!$B$2:$J$200,7,FALSE)),"",VLOOKUP($B41,ARTICLE!$B$2:$J$200,7,FALSE)),"")</f>
        <v/>
      </c>
      <c r="H41" s="32" t="str">
        <f>IFERROR(IF(ISBLANK(VLOOKUP($B41,ARTICLE!$B$2:$J$200,8,FALSE)),"",VLOOKUP($B41,ARTICLE!$B$2:$J$200,8,FALSE)),"")</f>
        <v/>
      </c>
      <c r="I41" s="385"/>
      <c r="J41"/>
      <c r="K41"/>
      <c r="L41"/>
      <c r="M41"/>
      <c r="N41"/>
      <c r="O41"/>
      <c r="P41"/>
      <c r="Q41"/>
      <c r="R41"/>
      <c r="S41"/>
    </row>
    <row r="42" spans="1:19" outlineLevel="1">
      <c r="A42" s="382"/>
      <c r="B42" s="31"/>
      <c r="C42" s="59" t="str">
        <f>IFERROR(IF(ISBLANK(VLOOKUP($B42,ARTICLE!$B$2:$J$200,3,FALSE)),"",VLOOKUP($B42,ARTICLE!$B$2:$J$200,3,FALSE)),"")</f>
        <v/>
      </c>
      <c r="D42" s="32" t="str">
        <f>IFERROR(IF(ISBLANK(VLOOKUP($B42,ARTICLE!$B$2:$J$200,4,FALSE)),"",VLOOKUP($B42,ARTICLE!$B$2:$J$200,4,FALSE)),"")</f>
        <v/>
      </c>
      <c r="E42" s="32" t="str">
        <f>IFERROR(IF(ISBLANK(VLOOKUP($B42,ARTICLE!$B$2:$J$200,5,FALSE)),"",VLOOKUP($B42,ARTICLE!$B$2:$J$200,5,FALSE)),"")</f>
        <v/>
      </c>
      <c r="F42" s="32" t="str">
        <f>IFERROR(IF(ISBLANK(VLOOKUP($B42,ARTICLE!$B$2:$J$200,6,FALSE)),"",VLOOKUP($B42,ARTICLE!$B$2:$J$200,6,FALSE)),"")</f>
        <v/>
      </c>
      <c r="G42" s="32" t="str">
        <f>IFERROR(IF(ISBLANK(VLOOKUP($B42,ARTICLE!$B$2:$J$200,7,FALSE)),"",VLOOKUP($B42,ARTICLE!$B$2:$J$200,7,FALSE)),"")</f>
        <v/>
      </c>
      <c r="H42" s="32" t="str">
        <f>IFERROR(IF(ISBLANK(VLOOKUP($B42,ARTICLE!$B$2:$J$200,8,FALSE)),"",VLOOKUP($B42,ARTICLE!$B$2:$J$200,8,FALSE)),"")</f>
        <v/>
      </c>
      <c r="I42" s="385"/>
      <c r="J42"/>
      <c r="K42"/>
      <c r="L42"/>
      <c r="M42"/>
      <c r="N42"/>
      <c r="O42"/>
      <c r="P42"/>
      <c r="Q42"/>
      <c r="R42"/>
      <c r="S42"/>
    </row>
    <row r="43" spans="1:19" outlineLevel="1">
      <c r="A43" s="382"/>
      <c r="B43" s="31"/>
      <c r="C43" s="59" t="str">
        <f>IFERROR(IF(ISBLANK(VLOOKUP($B43,ARTICLE!$B$2:$J$200,3,FALSE)),"",VLOOKUP($B43,ARTICLE!$B$2:$J$200,3,FALSE)),"")</f>
        <v/>
      </c>
      <c r="D43" s="32" t="str">
        <f>IFERROR(IF(ISBLANK(VLOOKUP($B43,ARTICLE!$B$2:$J$200,4,FALSE)),"",VLOOKUP($B43,ARTICLE!$B$2:$J$200,4,FALSE)),"")</f>
        <v/>
      </c>
      <c r="E43" s="32" t="str">
        <f>IFERROR(IF(ISBLANK(VLOOKUP($B43,ARTICLE!$B$2:$J$200,5,FALSE)),"",VLOOKUP($B43,ARTICLE!$B$2:$J$200,5,FALSE)),"")</f>
        <v/>
      </c>
      <c r="F43" s="32" t="str">
        <f>IFERROR(IF(ISBLANK(VLOOKUP($B43,ARTICLE!$B$2:$J$200,6,FALSE)),"",VLOOKUP($B43,ARTICLE!$B$2:$J$200,6,FALSE)),"")</f>
        <v/>
      </c>
      <c r="G43" s="32" t="str">
        <f>IFERROR(IF(ISBLANK(VLOOKUP($B43,ARTICLE!$B$2:$J$200,7,FALSE)),"",VLOOKUP($B43,ARTICLE!$B$2:$J$200,7,FALSE)),"")</f>
        <v/>
      </c>
      <c r="H43" s="32" t="str">
        <f>IFERROR(IF(ISBLANK(VLOOKUP($B43,ARTICLE!$B$2:$J$200,8,FALSE)),"",VLOOKUP($B43,ARTICLE!$B$2:$J$200,8,FALSE)),"")</f>
        <v/>
      </c>
      <c r="I43" s="385"/>
      <c r="J43"/>
      <c r="K43"/>
      <c r="L43"/>
      <c r="M43"/>
      <c r="N43"/>
      <c r="O43"/>
      <c r="P43"/>
      <c r="Q43"/>
      <c r="R43"/>
      <c r="S43"/>
    </row>
    <row r="44" spans="1:19" outlineLevel="1">
      <c r="A44" s="382"/>
      <c r="B44" s="31"/>
      <c r="C44" s="59" t="str">
        <f>IFERROR(IF(ISBLANK(VLOOKUP($B44,ARTICLE!$B$2:$J$200,3,FALSE)),"",VLOOKUP($B44,ARTICLE!$B$2:$J$200,3,FALSE)),"")</f>
        <v/>
      </c>
      <c r="D44" s="32" t="str">
        <f>IFERROR(IF(ISBLANK(VLOOKUP($B44,ARTICLE!$B$2:$J$200,4,FALSE)),"",VLOOKUP($B44,ARTICLE!$B$2:$J$200,4,FALSE)),"")</f>
        <v/>
      </c>
      <c r="E44" s="32" t="str">
        <f>IFERROR(IF(ISBLANK(VLOOKUP($B44,ARTICLE!$B$2:$J$200,5,FALSE)),"",VLOOKUP($B44,ARTICLE!$B$2:$J$200,5,FALSE)),"")</f>
        <v/>
      </c>
      <c r="F44" s="32" t="str">
        <f>IFERROR(IF(ISBLANK(VLOOKUP($B44,ARTICLE!$B$2:$J$200,6,FALSE)),"",VLOOKUP($B44,ARTICLE!$B$2:$J$200,6,FALSE)),"")</f>
        <v/>
      </c>
      <c r="G44" s="32" t="str">
        <f>IFERROR(IF(ISBLANK(VLOOKUP($B44,ARTICLE!$B$2:$J$200,7,FALSE)),"",VLOOKUP($B44,ARTICLE!$B$2:$J$200,7,FALSE)),"")</f>
        <v/>
      </c>
      <c r="H44" s="32" t="str">
        <f>IFERROR(IF(ISBLANK(VLOOKUP($B44,ARTICLE!$B$2:$J$200,8,FALSE)),"",VLOOKUP($B44,ARTICLE!$B$2:$J$200,8,FALSE)),"")</f>
        <v/>
      </c>
      <c r="I44" s="385"/>
      <c r="J44"/>
      <c r="K44"/>
      <c r="L44"/>
      <c r="M44"/>
      <c r="N44"/>
      <c r="O44"/>
      <c r="P44"/>
      <c r="Q44"/>
      <c r="R44"/>
      <c r="S44"/>
    </row>
    <row r="45" spans="1:19" outlineLevel="1">
      <c r="A45" s="382"/>
      <c r="B45" s="33"/>
      <c r="C45" s="59" t="str">
        <f>IFERROR(IF(ISBLANK(VLOOKUP($B45,ARTICLE!$B$2:$J$200,3,FALSE)),"",VLOOKUP($B45,ARTICLE!$B$2:$J$200,3,FALSE)),"")</f>
        <v/>
      </c>
      <c r="D45" s="32" t="str">
        <f>IFERROR(IF(ISBLANK(VLOOKUP($B45,ARTICLE!$B$2:$J$200,4,FALSE)),"",VLOOKUP($B45,ARTICLE!$B$2:$J$200,4,FALSE)),"")</f>
        <v/>
      </c>
      <c r="E45" s="32" t="str">
        <f>IFERROR(IF(ISBLANK(VLOOKUP($B45,ARTICLE!$B$2:$J$200,5,FALSE)),"",VLOOKUP($B45,ARTICLE!$B$2:$J$200,5,FALSE)),"")</f>
        <v/>
      </c>
      <c r="F45" s="32" t="str">
        <f>IFERROR(IF(ISBLANK(VLOOKUP($B45,ARTICLE!$B$2:$J$200,6,FALSE)),"",VLOOKUP($B45,ARTICLE!$B$2:$J$200,6,FALSE)),"")</f>
        <v/>
      </c>
      <c r="G45" s="32" t="str">
        <f>IFERROR(IF(ISBLANK(VLOOKUP($B45,ARTICLE!$B$2:$J$200,7,FALSE)),"",VLOOKUP($B45,ARTICLE!$B$2:$J$200,7,FALSE)),"")</f>
        <v/>
      </c>
      <c r="H45" s="32" t="str">
        <f>IFERROR(IF(ISBLANK(VLOOKUP($B45,ARTICLE!$B$2:$J$200,8,FALSE)),"",VLOOKUP($B45,ARTICLE!$B$2:$J$200,8,FALSE)),"")</f>
        <v/>
      </c>
      <c r="I45" s="386"/>
      <c r="J45"/>
      <c r="K45"/>
      <c r="L45"/>
      <c r="M45"/>
      <c r="N45"/>
      <c r="O45"/>
      <c r="P45"/>
      <c r="Q45"/>
      <c r="R45"/>
      <c r="S45"/>
    </row>
    <row r="46" spans="1:19" outlineLevel="1">
      <c r="A46" s="382" t="str">
        <f t="shared" ref="A46" si="12">B46</f>
        <v>OSB 22 / Structure PP 260-625</v>
      </c>
      <c r="B46" s="349" t="str">
        <f>CONCATENATE(B47,IF(B48="",""," / "),B48,IF(B49="",""," / "),B49,IF(B50="",""," / "),B50,IF(B51="",""," / "),B51,IF(B52="",""," / "),B52,IF(B53="",""," / "),B53,B53,IF(B54="",""," / "),B54)</f>
        <v>OSB 22 / Structure PP 260-625</v>
      </c>
      <c r="C46" s="35" t="str">
        <f t="shared" si="0"/>
        <v>m2</v>
      </c>
      <c r="D46" s="35">
        <f t="shared" ref="D46" si="13">IF(SUM(E46:H46)=0,0,SUM(E46:H46))</f>
        <v>62.557922570000002</v>
      </c>
      <c r="E46" s="35">
        <f t="shared" si="2"/>
        <v>36.636799000000003</v>
      </c>
      <c r="F46" s="35">
        <f t="shared" ref="F46:H46" si="14">SUM(F47:F56)</f>
        <v>7.11</v>
      </c>
      <c r="G46" s="35">
        <f t="shared" si="14"/>
        <v>13.124039699999999</v>
      </c>
      <c r="H46" s="36">
        <f t="shared" si="14"/>
        <v>5.6870838700000004</v>
      </c>
      <c r="I46" s="384" t="s">
        <v>625</v>
      </c>
      <c r="J46" s="130">
        <f>'MODELE LAROX'!E33</f>
        <v>96</v>
      </c>
      <c r="K46" s="284">
        <f>ROUNDUP(D46,0)*J46</f>
        <v>6048</v>
      </c>
      <c r="L46" s="284">
        <f>ROUNDUP(J46*E46,0)</f>
        <v>3518</v>
      </c>
      <c r="M46" s="285">
        <f>L46/K46</f>
        <v>0.58167989417989419</v>
      </c>
      <c r="N46" s="284">
        <f>ROUNDUP(J46*F46,0)</f>
        <v>683</v>
      </c>
      <c r="O46" s="285">
        <f>N46/K46</f>
        <v>0.11292989417989419</v>
      </c>
      <c r="P46" s="284">
        <f>ROUNDUP(J46*G46,0)</f>
        <v>1260</v>
      </c>
      <c r="Q46" s="285">
        <f>P46/K46</f>
        <v>0.20833333333333334</v>
      </c>
      <c r="R46" s="284">
        <f>ROUNDUP(J46*H46,0)</f>
        <v>546</v>
      </c>
      <c r="S46" s="285">
        <f>R46/K46</f>
        <v>9.0277777777777776E-2</v>
      </c>
    </row>
    <row r="47" spans="1:19" outlineLevel="1">
      <c r="A47" s="382"/>
      <c r="B47" s="31" t="s">
        <v>6</v>
      </c>
      <c r="C47" s="59" t="str">
        <f>IFERROR(IF(ISBLANK(VLOOKUP($B47,ARTICLE!$B$2:$J$200,3,FALSE)),"",VLOOKUP($B47,ARTICLE!$B$2:$J$200,3,FALSE)),"")</f>
        <v>m2</v>
      </c>
      <c r="D47" s="32">
        <f>IFERROR(IF(ISBLANK(VLOOKUP($B47,ARTICLE!$B$2:$J$200,4,FALSE)),"",VLOOKUP($B47,ARTICLE!$B$2:$J$200,4,FALSE)),"")</f>
        <v>14.657499999999999</v>
      </c>
      <c r="E47" s="32">
        <f>IFERROR(IF(ISBLANK(VLOOKUP($B47,ARTICLE!$B$2:$J$200,5,FALSE)),"",VLOOKUP($B47,ARTICLE!$B$2:$J$200,5,FALSE)),"")</f>
        <v>9.42</v>
      </c>
      <c r="F47" s="32">
        <f>IFERROR(IF(ISBLANK(VLOOKUP($B47,ARTICLE!$B$2:$J$200,6,FALSE)),"",VLOOKUP($B47,ARTICLE!$B$2:$J$200,6,FALSE)),"")</f>
        <v>0.83</v>
      </c>
      <c r="G47" s="32">
        <f>IFERROR(IF(ISBLANK(VLOOKUP($B47,ARTICLE!$B$2:$J$200,7,FALSE)),"",VLOOKUP($B47,ARTICLE!$B$2:$J$200,7,FALSE)),"")</f>
        <v>3.0749999999999997</v>
      </c>
      <c r="H47" s="32">
        <f>IFERROR(IF(ISBLANK(VLOOKUP($B47,ARTICLE!$B$2:$J$200,8,FALSE)),"",VLOOKUP($B47,ARTICLE!$B$2:$J$200,8,FALSE)),"")</f>
        <v>1.3325</v>
      </c>
      <c r="I47" s="385"/>
      <c r="J47"/>
      <c r="K47"/>
      <c r="L47"/>
      <c r="M47"/>
      <c r="N47"/>
      <c r="O47"/>
      <c r="P47"/>
      <c r="Q47"/>
      <c r="R47"/>
      <c r="S47"/>
    </row>
    <row r="48" spans="1:19" outlineLevel="1">
      <c r="A48" s="382"/>
      <c r="B48" t="s">
        <v>206</v>
      </c>
      <c r="C48" s="59" t="str">
        <f>IFERROR(IF(ISBLANK(VLOOKUP($B48,ARTICLE!$B$2:$J$200,3,FALSE)),"",VLOOKUP($B48,ARTICLE!$B$2:$J$200,3,FALSE)),"")</f>
        <v>m2</v>
      </c>
      <c r="D48" s="32">
        <f>IFERROR(IF(ISBLANK(VLOOKUP($B48,ARTICLE!$B$2:$J$200,4,FALSE)),"",VLOOKUP($B48,ARTICLE!$B$2:$J$200,4,FALSE)),"")</f>
        <v>47.900422570000003</v>
      </c>
      <c r="E48" s="32">
        <f>IFERROR(IF(ISBLANK(VLOOKUP($B48,ARTICLE!$B$2:$J$200,5,FALSE)),"",VLOOKUP($B48,ARTICLE!$B$2:$J$200,5,FALSE)),"")</f>
        <v>27.216799000000002</v>
      </c>
      <c r="F48" s="32">
        <f>IFERROR(IF(ISBLANK(VLOOKUP($B48,ARTICLE!$B$2:$J$200,6,FALSE)),"",VLOOKUP($B48,ARTICLE!$B$2:$J$200,6,FALSE)),"")</f>
        <v>6.28</v>
      </c>
      <c r="G48" s="32">
        <f>IFERROR(IF(ISBLANK(VLOOKUP($B48,ARTICLE!$B$2:$J$200,7,FALSE)),"",VLOOKUP($B48,ARTICLE!$B$2:$J$200,7,FALSE)),"")</f>
        <v>10.0490397</v>
      </c>
      <c r="H48" s="32">
        <f>IFERROR(IF(ISBLANK(VLOOKUP($B48,ARTICLE!$B$2:$J$200,8,FALSE)),"",VLOOKUP($B48,ARTICLE!$B$2:$J$200,8,FALSE)),"")</f>
        <v>4.3545838700000008</v>
      </c>
      <c r="I48" s="385"/>
      <c r="J48"/>
      <c r="K48"/>
      <c r="L48"/>
      <c r="M48"/>
      <c r="N48"/>
      <c r="O48"/>
      <c r="P48"/>
      <c r="Q48"/>
      <c r="R48"/>
      <c r="S48"/>
    </row>
    <row r="49" spans="1:19" outlineLevel="1">
      <c r="A49" s="382"/>
      <c r="B49" s="31"/>
      <c r="C49" s="59" t="str">
        <f>IFERROR(IF(ISBLANK(VLOOKUP($B49,ARTICLE!$B$2:$J$200,3,FALSE)),"",VLOOKUP($B49,ARTICLE!$B$2:$J$200,3,FALSE)),"")</f>
        <v/>
      </c>
      <c r="D49" s="32" t="str">
        <f>IFERROR(IF(ISBLANK(VLOOKUP($B49,ARTICLE!$B$2:$J$200,4,FALSE)),"",VLOOKUP($B49,ARTICLE!$B$2:$J$200,4,FALSE)),"")</f>
        <v/>
      </c>
      <c r="E49" s="32" t="str">
        <f>IFERROR(IF(ISBLANK(VLOOKUP($B49,ARTICLE!$B$2:$J$200,5,FALSE)),"",VLOOKUP($B49,ARTICLE!$B$2:$J$200,5,FALSE)),"")</f>
        <v/>
      </c>
      <c r="F49" s="32" t="str">
        <f>IFERROR(IF(ISBLANK(VLOOKUP($B49,ARTICLE!$B$2:$J$200,6,FALSE)),"",VLOOKUP($B49,ARTICLE!$B$2:$J$200,6,FALSE)),"")</f>
        <v/>
      </c>
      <c r="G49" s="32" t="str">
        <f>IFERROR(IF(ISBLANK(VLOOKUP($B49,ARTICLE!$B$2:$J$200,7,FALSE)),"",VLOOKUP($B49,ARTICLE!$B$2:$J$200,7,FALSE)),"")</f>
        <v/>
      </c>
      <c r="H49" s="32" t="str">
        <f>IFERROR(IF(ISBLANK(VLOOKUP($B49,ARTICLE!$B$2:$J$200,8,FALSE)),"",VLOOKUP($B49,ARTICLE!$B$2:$J$200,8,FALSE)),"")</f>
        <v/>
      </c>
      <c r="I49" s="385"/>
      <c r="J49"/>
      <c r="K49"/>
      <c r="L49"/>
      <c r="M49"/>
      <c r="N49"/>
      <c r="O49"/>
      <c r="P49"/>
      <c r="Q49"/>
      <c r="R49"/>
      <c r="S49"/>
    </row>
    <row r="50" spans="1:19" outlineLevel="1">
      <c r="A50" s="382"/>
      <c r="B50" s="31"/>
      <c r="C50" s="59" t="str">
        <f>IFERROR(IF(ISBLANK(VLOOKUP($B50,ARTICLE!$B$2:$J$200,3,FALSE)),"",VLOOKUP($B50,ARTICLE!$B$2:$J$200,3,FALSE)),"")</f>
        <v/>
      </c>
      <c r="D50" s="32" t="str">
        <f>IFERROR(IF(ISBLANK(VLOOKUP($B50,ARTICLE!$B$2:$J$200,4,FALSE)),"",VLOOKUP($B50,ARTICLE!$B$2:$J$200,4,FALSE)),"")</f>
        <v/>
      </c>
      <c r="E50" s="32" t="str">
        <f>IFERROR(IF(ISBLANK(VLOOKUP($B50,ARTICLE!$B$2:$J$200,5,FALSE)),"",VLOOKUP($B50,ARTICLE!$B$2:$J$200,5,FALSE)),"")</f>
        <v/>
      </c>
      <c r="F50" s="32" t="str">
        <f>IFERROR(IF(ISBLANK(VLOOKUP($B50,ARTICLE!$B$2:$J$200,6,FALSE)),"",VLOOKUP($B50,ARTICLE!$B$2:$J$200,6,FALSE)),"")</f>
        <v/>
      </c>
      <c r="G50" s="32" t="str">
        <f>IFERROR(IF(ISBLANK(VLOOKUP($B50,ARTICLE!$B$2:$J$200,7,FALSE)),"",VLOOKUP($B50,ARTICLE!$B$2:$J$200,7,FALSE)),"")</f>
        <v/>
      </c>
      <c r="H50" s="32" t="str">
        <f>IFERROR(IF(ISBLANK(VLOOKUP($B50,ARTICLE!$B$2:$J$200,8,FALSE)),"",VLOOKUP($B50,ARTICLE!$B$2:$J$200,8,FALSE)),"")</f>
        <v/>
      </c>
      <c r="I50" s="385"/>
      <c r="J50"/>
      <c r="K50"/>
      <c r="L50"/>
      <c r="M50"/>
      <c r="N50"/>
      <c r="O50"/>
      <c r="P50"/>
      <c r="Q50"/>
      <c r="R50"/>
      <c r="S50"/>
    </row>
    <row r="51" spans="1:19" outlineLevel="1">
      <c r="A51" s="382"/>
      <c r="B51" s="31"/>
      <c r="C51" s="59" t="str">
        <f>IFERROR(IF(ISBLANK(VLOOKUP($B51,ARTICLE!$B$2:$J$200,3,FALSE)),"",VLOOKUP($B51,ARTICLE!$B$2:$J$200,3,FALSE)),"")</f>
        <v/>
      </c>
      <c r="D51" s="32" t="str">
        <f>IFERROR(IF(ISBLANK(VLOOKUP($B51,ARTICLE!$B$2:$J$200,4,FALSE)),"",VLOOKUP($B51,ARTICLE!$B$2:$J$200,4,FALSE)),"")</f>
        <v/>
      </c>
      <c r="E51" s="32" t="str">
        <f>IFERROR(IF(ISBLANK(VLOOKUP($B51,ARTICLE!$B$2:$J$200,5,FALSE)),"",VLOOKUP($B51,ARTICLE!$B$2:$J$200,5,FALSE)),"")</f>
        <v/>
      </c>
      <c r="F51" s="32" t="str">
        <f>IFERROR(IF(ISBLANK(VLOOKUP($B51,ARTICLE!$B$2:$J$200,6,FALSE)),"",VLOOKUP($B51,ARTICLE!$B$2:$J$200,6,FALSE)),"")</f>
        <v/>
      </c>
      <c r="G51" s="32" t="str">
        <f>IFERROR(IF(ISBLANK(VLOOKUP($B51,ARTICLE!$B$2:$J$200,7,FALSE)),"",VLOOKUP($B51,ARTICLE!$B$2:$J$200,7,FALSE)),"")</f>
        <v/>
      </c>
      <c r="H51" s="32" t="str">
        <f>IFERROR(IF(ISBLANK(VLOOKUP($B51,ARTICLE!$B$2:$J$200,8,FALSE)),"",VLOOKUP($B51,ARTICLE!$B$2:$J$200,8,FALSE)),"")</f>
        <v/>
      </c>
      <c r="I51" s="385"/>
      <c r="J51"/>
      <c r="K51"/>
      <c r="L51"/>
      <c r="M51"/>
      <c r="N51"/>
      <c r="O51"/>
      <c r="P51"/>
      <c r="Q51"/>
      <c r="R51"/>
      <c r="S51"/>
    </row>
    <row r="52" spans="1:19" outlineLevel="1">
      <c r="A52" s="382"/>
      <c r="B52" s="31"/>
      <c r="C52" s="59" t="str">
        <f>IFERROR(IF(ISBLANK(VLOOKUP($B52,ARTICLE!$B$2:$J$200,3,FALSE)),"",VLOOKUP($B52,ARTICLE!$B$2:$J$200,3,FALSE)),"")</f>
        <v/>
      </c>
      <c r="D52" s="32" t="str">
        <f>IFERROR(IF(ISBLANK(VLOOKUP($B52,ARTICLE!$B$2:$J$200,4,FALSE)),"",VLOOKUP($B52,ARTICLE!$B$2:$J$200,4,FALSE)),"")</f>
        <v/>
      </c>
      <c r="E52" s="32" t="str">
        <f>IFERROR(IF(ISBLANK(VLOOKUP($B52,ARTICLE!$B$2:$J$200,5,FALSE)),"",VLOOKUP($B52,ARTICLE!$B$2:$J$200,5,FALSE)),"")</f>
        <v/>
      </c>
      <c r="F52" s="32" t="str">
        <f>IFERROR(IF(ISBLANK(VLOOKUP($B52,ARTICLE!$B$2:$J$200,6,FALSE)),"",VLOOKUP($B52,ARTICLE!$B$2:$J$200,6,FALSE)),"")</f>
        <v/>
      </c>
      <c r="G52" s="32" t="str">
        <f>IFERROR(IF(ISBLANK(VLOOKUP($B52,ARTICLE!$B$2:$J$200,7,FALSE)),"",VLOOKUP($B52,ARTICLE!$B$2:$J$200,7,FALSE)),"")</f>
        <v/>
      </c>
      <c r="H52" s="32" t="str">
        <f>IFERROR(IF(ISBLANK(VLOOKUP($B52,ARTICLE!$B$2:$J$200,8,FALSE)),"",VLOOKUP($B52,ARTICLE!$B$2:$J$200,8,FALSE)),"")</f>
        <v/>
      </c>
      <c r="I52" s="385"/>
      <c r="J52"/>
      <c r="K52"/>
      <c r="L52"/>
      <c r="M52"/>
      <c r="N52"/>
      <c r="O52"/>
      <c r="P52"/>
      <c r="Q52"/>
      <c r="R52"/>
      <c r="S52"/>
    </row>
    <row r="53" spans="1:19" outlineLevel="1">
      <c r="A53" s="382"/>
      <c r="B53" s="31"/>
      <c r="C53" s="59" t="str">
        <f>IFERROR(IF(ISBLANK(VLOOKUP($B53,ARTICLE!$B$2:$J$200,3,FALSE)),"",VLOOKUP($B53,ARTICLE!$B$2:$J$200,3,FALSE)),"")</f>
        <v/>
      </c>
      <c r="D53" s="32" t="str">
        <f>IFERROR(IF(ISBLANK(VLOOKUP($B53,ARTICLE!$B$2:$J$200,4,FALSE)),"",VLOOKUP($B53,ARTICLE!$B$2:$J$200,4,FALSE)),"")</f>
        <v/>
      </c>
      <c r="E53" s="32" t="str">
        <f>IFERROR(IF(ISBLANK(VLOOKUP($B53,ARTICLE!$B$2:$J$200,5,FALSE)),"",VLOOKUP($B53,ARTICLE!$B$2:$J$200,5,FALSE)),"")</f>
        <v/>
      </c>
      <c r="F53" s="32" t="str">
        <f>IFERROR(IF(ISBLANK(VLOOKUP($B53,ARTICLE!$B$2:$J$200,6,FALSE)),"",VLOOKUP($B53,ARTICLE!$B$2:$J$200,6,FALSE)),"")</f>
        <v/>
      </c>
      <c r="G53" s="32" t="str">
        <f>IFERROR(IF(ISBLANK(VLOOKUP($B53,ARTICLE!$B$2:$J$200,7,FALSE)),"",VLOOKUP($B53,ARTICLE!$B$2:$J$200,7,FALSE)),"")</f>
        <v/>
      </c>
      <c r="H53" s="32" t="str">
        <f>IFERROR(IF(ISBLANK(VLOOKUP($B53,ARTICLE!$B$2:$J$200,8,FALSE)),"",VLOOKUP($B53,ARTICLE!$B$2:$J$200,8,FALSE)),"")</f>
        <v/>
      </c>
      <c r="I53" s="385"/>
      <c r="J53"/>
      <c r="K53"/>
      <c r="L53"/>
      <c r="M53"/>
      <c r="N53"/>
      <c r="O53"/>
      <c r="P53"/>
      <c r="Q53"/>
      <c r="R53"/>
      <c r="S53"/>
    </row>
    <row r="54" spans="1:19" outlineLevel="1">
      <c r="A54" s="382"/>
      <c r="B54" s="31"/>
      <c r="C54" s="59" t="str">
        <f>IFERROR(IF(ISBLANK(VLOOKUP($B54,ARTICLE!$B$2:$J$200,3,FALSE)),"",VLOOKUP($B54,ARTICLE!$B$2:$J$200,3,FALSE)),"")</f>
        <v/>
      </c>
      <c r="D54" s="32" t="str">
        <f>IFERROR(IF(ISBLANK(VLOOKUP($B54,ARTICLE!$B$2:$J$200,4,FALSE)),"",VLOOKUP($B54,ARTICLE!$B$2:$J$200,4,FALSE)),"")</f>
        <v/>
      </c>
      <c r="E54" s="32" t="str">
        <f>IFERROR(IF(ISBLANK(VLOOKUP($B54,ARTICLE!$B$2:$J$200,5,FALSE)),"",VLOOKUP($B54,ARTICLE!$B$2:$J$200,5,FALSE)),"")</f>
        <v/>
      </c>
      <c r="F54" s="32" t="str">
        <f>IFERROR(IF(ISBLANK(VLOOKUP($B54,ARTICLE!$B$2:$J$200,6,FALSE)),"",VLOOKUP($B54,ARTICLE!$B$2:$J$200,6,FALSE)),"")</f>
        <v/>
      </c>
      <c r="G54" s="32" t="str">
        <f>IFERROR(IF(ISBLANK(VLOOKUP($B54,ARTICLE!$B$2:$J$200,7,FALSE)),"",VLOOKUP($B54,ARTICLE!$B$2:$J$200,7,FALSE)),"")</f>
        <v/>
      </c>
      <c r="H54" s="32" t="str">
        <f>IFERROR(IF(ISBLANK(VLOOKUP($B54,ARTICLE!$B$2:$J$200,8,FALSE)),"",VLOOKUP($B54,ARTICLE!$B$2:$J$200,8,FALSE)),"")</f>
        <v/>
      </c>
      <c r="I54" s="385"/>
      <c r="J54"/>
      <c r="K54"/>
      <c r="L54"/>
      <c r="M54"/>
      <c r="N54"/>
      <c r="O54"/>
      <c r="P54"/>
      <c r="Q54"/>
      <c r="R54"/>
      <c r="S54"/>
    </row>
    <row r="55" spans="1:19" outlineLevel="1">
      <c r="A55" s="382"/>
      <c r="B55" s="31"/>
      <c r="C55" s="59" t="str">
        <f>IFERROR(IF(ISBLANK(VLOOKUP($B55,ARTICLE!$B$2:$J$200,3,FALSE)),"",VLOOKUP($B55,ARTICLE!$B$2:$J$200,3,FALSE)),"")</f>
        <v/>
      </c>
      <c r="D55" s="32" t="str">
        <f>IFERROR(IF(ISBLANK(VLOOKUP($B55,ARTICLE!$B$2:$J$200,4,FALSE)),"",VLOOKUP($B55,ARTICLE!$B$2:$J$200,4,FALSE)),"")</f>
        <v/>
      </c>
      <c r="E55" s="32" t="str">
        <f>IFERROR(IF(ISBLANK(VLOOKUP($B55,ARTICLE!$B$2:$J$200,5,FALSE)),"",VLOOKUP($B55,ARTICLE!$B$2:$J$200,5,FALSE)),"")</f>
        <v/>
      </c>
      <c r="F55" s="32" t="str">
        <f>IFERROR(IF(ISBLANK(VLOOKUP($B55,ARTICLE!$B$2:$J$200,6,FALSE)),"",VLOOKUP($B55,ARTICLE!$B$2:$J$200,6,FALSE)),"")</f>
        <v/>
      </c>
      <c r="G55" s="32" t="str">
        <f>IFERROR(IF(ISBLANK(VLOOKUP($B55,ARTICLE!$B$2:$J$200,7,FALSE)),"",VLOOKUP($B55,ARTICLE!$B$2:$J$200,7,FALSE)),"")</f>
        <v/>
      </c>
      <c r="H55" s="32" t="str">
        <f>IFERROR(IF(ISBLANK(VLOOKUP($B55,ARTICLE!$B$2:$J$200,8,FALSE)),"",VLOOKUP($B55,ARTICLE!$B$2:$J$200,8,FALSE)),"")</f>
        <v/>
      </c>
      <c r="I55" s="385"/>
      <c r="J55"/>
      <c r="K55"/>
      <c r="L55"/>
      <c r="M55"/>
      <c r="N55"/>
      <c r="O55"/>
      <c r="P55"/>
      <c r="Q55"/>
      <c r="R55"/>
      <c r="S55"/>
    </row>
    <row r="56" spans="1:19" outlineLevel="1">
      <c r="A56" s="382"/>
      <c r="B56" s="33"/>
      <c r="C56" s="59" t="str">
        <f>IFERROR(IF(ISBLANK(VLOOKUP($B56,ARTICLE!$B$2:$J$200,3,FALSE)),"",VLOOKUP($B56,ARTICLE!$B$2:$J$200,3,FALSE)),"")</f>
        <v/>
      </c>
      <c r="D56" s="32" t="str">
        <f>IFERROR(IF(ISBLANK(VLOOKUP($B56,ARTICLE!$B$2:$J$200,4,FALSE)),"",VLOOKUP($B56,ARTICLE!$B$2:$J$200,4,FALSE)),"")</f>
        <v/>
      </c>
      <c r="E56" s="32" t="str">
        <f>IFERROR(IF(ISBLANK(VLOOKUP($B56,ARTICLE!$B$2:$J$200,5,FALSE)),"",VLOOKUP($B56,ARTICLE!$B$2:$J$200,5,FALSE)),"")</f>
        <v/>
      </c>
      <c r="F56" s="32" t="str">
        <f>IFERROR(IF(ISBLANK(VLOOKUP($B56,ARTICLE!$B$2:$J$200,6,FALSE)),"",VLOOKUP($B56,ARTICLE!$B$2:$J$200,6,FALSE)),"")</f>
        <v/>
      </c>
      <c r="G56" s="32" t="str">
        <f>IFERROR(IF(ISBLANK(VLOOKUP($B56,ARTICLE!$B$2:$J$200,7,FALSE)),"",VLOOKUP($B56,ARTICLE!$B$2:$J$200,7,FALSE)),"")</f>
        <v/>
      </c>
      <c r="H56" s="32" t="str">
        <f>IFERROR(IF(ISBLANK(VLOOKUP($B56,ARTICLE!$B$2:$J$200,8,FALSE)),"",VLOOKUP($B56,ARTICLE!$B$2:$J$200,8,FALSE)),"")</f>
        <v/>
      </c>
      <c r="I56" s="386"/>
      <c r="J56"/>
      <c r="K56"/>
      <c r="L56"/>
      <c r="M56"/>
      <c r="N56"/>
      <c r="O56"/>
      <c r="P56"/>
      <c r="Q56"/>
      <c r="R56"/>
      <c r="S56"/>
    </row>
    <row r="57" spans="1:19" outlineLevel="1">
      <c r="A57" s="382" t="str">
        <f t="shared" ref="A57" si="15">B57</f>
        <v>OSB 22 / Structure PP 260-313</v>
      </c>
      <c r="B57" s="349" t="str">
        <f>CONCATENATE(B58,IF(B59="",""," / "),B59,IF(B60="",""," / "),B60,IF(B61="",""," / "),B61,IF(B62="",""," / "),B62,IF(B63="",""," / "),B63,IF(B64="",""," / "),B64,B64,IF(B65="",""," / "),B65)</f>
        <v>OSB 22 / Structure PP 260-313</v>
      </c>
      <c r="C57" s="35" t="str">
        <f t="shared" si="0"/>
        <v>m2</v>
      </c>
      <c r="D57" s="35">
        <f t="shared" ref="D57" si="16">IF(SUM(E57:H57)=0,0,SUM(E57:H57))</f>
        <v>81.405737270000003</v>
      </c>
      <c r="E57" s="35">
        <f t="shared" si="2"/>
        <v>46.887089000000003</v>
      </c>
      <c r="F57" s="35">
        <f t="shared" ref="F57:H57" si="17">SUM(F58:F67)</f>
        <v>10.039999999999999</v>
      </c>
      <c r="G57" s="35">
        <f t="shared" si="17"/>
        <v>17.078126700000002</v>
      </c>
      <c r="H57" s="36">
        <f t="shared" si="17"/>
        <v>7.4005215700000004</v>
      </c>
      <c r="I57" s="384" t="s">
        <v>626</v>
      </c>
      <c r="K57" s="284">
        <f>ROUNDUP(D57,0)*J57</f>
        <v>0</v>
      </c>
      <c r="L57" s="284">
        <f>ROUNDUP(J57*E57,0)</f>
        <v>0</v>
      </c>
      <c r="M57" s="285" t="e">
        <f>L57/K57</f>
        <v>#DIV/0!</v>
      </c>
      <c r="N57" s="284">
        <f>ROUNDUP(J57*F57,0)</f>
        <v>0</v>
      </c>
      <c r="O57" s="285" t="e">
        <f>N57/K57</f>
        <v>#DIV/0!</v>
      </c>
      <c r="P57" s="284">
        <f>ROUNDUP(J57*G57,0)</f>
        <v>0</v>
      </c>
      <c r="Q57" s="285" t="e">
        <f>P57/K57</f>
        <v>#DIV/0!</v>
      </c>
      <c r="R57" s="284">
        <f>ROUNDUP(J57*H57,0)</f>
        <v>0</v>
      </c>
      <c r="S57" s="285" t="e">
        <f>R57/K57</f>
        <v>#DIV/0!</v>
      </c>
    </row>
    <row r="58" spans="1:19" outlineLevel="1">
      <c r="A58" s="382"/>
      <c r="B58" s="31" t="s">
        <v>6</v>
      </c>
      <c r="C58" s="59" t="str">
        <f>IFERROR(IF(ISBLANK(VLOOKUP($B58,ARTICLE!$B$2:$J$200,3,FALSE)),"",VLOOKUP($B58,ARTICLE!$B$2:$J$200,3,FALSE)),"")</f>
        <v>m2</v>
      </c>
      <c r="D58" s="32">
        <f>IFERROR(IF(ISBLANK(VLOOKUP($B58,ARTICLE!$B$2:$J$200,4,FALSE)),"",VLOOKUP($B58,ARTICLE!$B$2:$J$200,4,FALSE)),"")</f>
        <v>14.657499999999999</v>
      </c>
      <c r="E58" s="32">
        <f>IFERROR(IF(ISBLANK(VLOOKUP($B58,ARTICLE!$B$2:$J$200,5,FALSE)),"",VLOOKUP($B58,ARTICLE!$B$2:$J$200,5,FALSE)),"")</f>
        <v>9.42</v>
      </c>
      <c r="F58" s="32">
        <f>IFERROR(IF(ISBLANK(VLOOKUP($B58,ARTICLE!$B$2:$J$200,6,FALSE)),"",VLOOKUP($B58,ARTICLE!$B$2:$J$200,6,FALSE)),"")</f>
        <v>0.83</v>
      </c>
      <c r="G58" s="32">
        <f>IFERROR(IF(ISBLANK(VLOOKUP($B58,ARTICLE!$B$2:$J$200,7,FALSE)),"",VLOOKUP($B58,ARTICLE!$B$2:$J$200,7,FALSE)),"")</f>
        <v>3.0749999999999997</v>
      </c>
      <c r="H58" s="32">
        <f>IFERROR(IF(ISBLANK(VLOOKUP($B58,ARTICLE!$B$2:$J$200,8,FALSE)),"",VLOOKUP($B58,ARTICLE!$B$2:$J$200,8,FALSE)),"")</f>
        <v>1.3325</v>
      </c>
      <c r="I58" s="385"/>
      <c r="J58"/>
      <c r="K58"/>
      <c r="L58"/>
      <c r="M58"/>
      <c r="N58"/>
      <c r="O58"/>
      <c r="P58"/>
      <c r="Q58"/>
      <c r="R58"/>
      <c r="S58"/>
    </row>
    <row r="59" spans="1:19" outlineLevel="1">
      <c r="A59" s="382"/>
      <c r="B59" t="s">
        <v>204</v>
      </c>
      <c r="C59" s="59" t="str">
        <f>IFERROR(IF(ISBLANK(VLOOKUP($B59,ARTICLE!$B$2:$J$200,3,FALSE)),"",VLOOKUP($B59,ARTICLE!$B$2:$J$200,3,FALSE)),"")</f>
        <v>m2</v>
      </c>
      <c r="D59" s="32">
        <f>IFERROR(IF(ISBLANK(VLOOKUP($B59,ARTICLE!$B$2:$J$200,4,FALSE)),"",VLOOKUP($B59,ARTICLE!$B$2:$J$200,4,FALSE)),"")</f>
        <v>66.748237270000004</v>
      </c>
      <c r="E59" s="32">
        <f>IFERROR(IF(ISBLANK(VLOOKUP($B59,ARTICLE!$B$2:$J$200,5,FALSE)),"",VLOOKUP($B59,ARTICLE!$B$2:$J$200,5,FALSE)),"")</f>
        <v>37.467089000000001</v>
      </c>
      <c r="F59" s="32">
        <f>IFERROR(IF(ISBLANK(VLOOKUP($B59,ARTICLE!$B$2:$J$200,6,FALSE)),"",VLOOKUP($B59,ARTICLE!$B$2:$J$200,6,FALSE)),"")</f>
        <v>9.2099999999999991</v>
      </c>
      <c r="G59" s="32">
        <f>IFERROR(IF(ISBLANK(VLOOKUP($B59,ARTICLE!$B$2:$J$200,7,FALSE)),"",VLOOKUP($B59,ARTICLE!$B$2:$J$200,7,FALSE)),"")</f>
        <v>14.003126700000001</v>
      </c>
      <c r="H59" s="32">
        <f>IFERROR(IF(ISBLANK(VLOOKUP($B59,ARTICLE!$B$2:$J$200,8,FALSE)),"",VLOOKUP($B59,ARTICLE!$B$2:$J$200,8,FALSE)),"")</f>
        <v>6.0680215700000009</v>
      </c>
      <c r="I59" s="385"/>
      <c r="J59"/>
      <c r="K59"/>
      <c r="L59"/>
      <c r="M59"/>
      <c r="N59"/>
      <c r="O59"/>
      <c r="P59"/>
      <c r="Q59"/>
      <c r="R59"/>
      <c r="S59"/>
    </row>
    <row r="60" spans="1:19" outlineLevel="1">
      <c r="A60" s="382"/>
      <c r="C60" s="59" t="str">
        <f>IFERROR(IF(ISBLANK(VLOOKUP($B60,ARTICLE!$B$2:$J$200,3,FALSE)),"",VLOOKUP($B60,ARTICLE!$B$2:$J$200,3,FALSE)),"")</f>
        <v/>
      </c>
      <c r="D60" s="32" t="str">
        <f>IFERROR(IF(ISBLANK(VLOOKUP($B60,ARTICLE!$B$2:$J$200,4,FALSE)),"",VLOOKUP($B60,ARTICLE!$B$2:$J$200,4,FALSE)),"")</f>
        <v/>
      </c>
      <c r="E60" s="32" t="str">
        <f>IFERROR(IF(ISBLANK(VLOOKUP($B60,ARTICLE!$B$2:$J$200,5,FALSE)),"",VLOOKUP($B60,ARTICLE!$B$2:$J$200,5,FALSE)),"")</f>
        <v/>
      </c>
      <c r="F60" s="32" t="str">
        <f>IFERROR(IF(ISBLANK(VLOOKUP($B60,ARTICLE!$B$2:$J$200,6,FALSE)),"",VLOOKUP($B60,ARTICLE!$B$2:$J$200,6,FALSE)),"")</f>
        <v/>
      </c>
      <c r="G60" s="32" t="str">
        <f>IFERROR(IF(ISBLANK(VLOOKUP($B60,ARTICLE!$B$2:$J$200,7,FALSE)),"",VLOOKUP($B60,ARTICLE!$B$2:$J$200,7,FALSE)),"")</f>
        <v/>
      </c>
      <c r="H60" s="32" t="str">
        <f>IFERROR(IF(ISBLANK(VLOOKUP($B60,ARTICLE!$B$2:$J$200,8,FALSE)),"",VLOOKUP($B60,ARTICLE!$B$2:$J$200,8,FALSE)),"")</f>
        <v/>
      </c>
      <c r="I60" s="385"/>
      <c r="J60"/>
      <c r="K60"/>
      <c r="L60"/>
      <c r="M60"/>
      <c r="N60"/>
      <c r="O60"/>
      <c r="P60"/>
      <c r="Q60"/>
      <c r="R60"/>
      <c r="S60"/>
    </row>
    <row r="61" spans="1:19" outlineLevel="1">
      <c r="A61" s="382"/>
      <c r="C61" s="59" t="str">
        <f>IFERROR(IF(ISBLANK(VLOOKUP($B61,ARTICLE!$B$2:$J$200,3,FALSE)),"",VLOOKUP($B61,ARTICLE!$B$2:$J$200,3,FALSE)),"")</f>
        <v/>
      </c>
      <c r="D61" s="32" t="str">
        <f>IFERROR(IF(ISBLANK(VLOOKUP($B61,ARTICLE!$B$2:$J$200,4,FALSE)),"",VLOOKUP($B61,ARTICLE!$B$2:$J$200,4,FALSE)),"")</f>
        <v/>
      </c>
      <c r="E61" s="32" t="str">
        <f>IFERROR(IF(ISBLANK(VLOOKUP($B61,ARTICLE!$B$2:$J$200,5,FALSE)),"",VLOOKUP($B61,ARTICLE!$B$2:$J$200,5,FALSE)),"")</f>
        <v/>
      </c>
      <c r="F61" s="32" t="str">
        <f>IFERROR(IF(ISBLANK(VLOOKUP($B61,ARTICLE!$B$2:$J$200,6,FALSE)),"",VLOOKUP($B61,ARTICLE!$B$2:$J$200,6,FALSE)),"")</f>
        <v/>
      </c>
      <c r="G61" s="32" t="str">
        <f>IFERROR(IF(ISBLANK(VLOOKUP($B61,ARTICLE!$B$2:$J$200,7,FALSE)),"",VLOOKUP($B61,ARTICLE!$B$2:$J$200,7,FALSE)),"")</f>
        <v/>
      </c>
      <c r="H61" s="32" t="str">
        <f>IFERROR(IF(ISBLANK(VLOOKUP($B61,ARTICLE!$B$2:$J$200,8,FALSE)),"",VLOOKUP($B61,ARTICLE!$B$2:$J$200,8,FALSE)),"")</f>
        <v/>
      </c>
      <c r="I61" s="385"/>
      <c r="J61"/>
      <c r="K61"/>
      <c r="L61"/>
      <c r="M61"/>
      <c r="N61"/>
      <c r="O61"/>
      <c r="P61"/>
      <c r="Q61"/>
      <c r="R61"/>
      <c r="S61"/>
    </row>
    <row r="62" spans="1:19" outlineLevel="1">
      <c r="A62" s="382"/>
      <c r="C62" s="59" t="str">
        <f>IFERROR(IF(ISBLANK(VLOOKUP($B62,ARTICLE!$B$2:$J$200,3,FALSE)),"",VLOOKUP($B62,ARTICLE!$B$2:$J$200,3,FALSE)),"")</f>
        <v/>
      </c>
      <c r="D62" s="32" t="str">
        <f>IFERROR(IF(ISBLANK(VLOOKUP($B62,ARTICLE!$B$2:$J$200,4,FALSE)),"",VLOOKUP($B62,ARTICLE!$B$2:$J$200,4,FALSE)),"")</f>
        <v/>
      </c>
      <c r="E62" s="32" t="str">
        <f>IFERROR(IF(ISBLANK(VLOOKUP($B62,ARTICLE!$B$2:$J$200,5,FALSE)),"",VLOOKUP($B62,ARTICLE!$B$2:$J$200,5,FALSE)),"")</f>
        <v/>
      </c>
      <c r="F62" s="32" t="str">
        <f>IFERROR(IF(ISBLANK(VLOOKUP($B62,ARTICLE!$B$2:$J$200,6,FALSE)),"",VLOOKUP($B62,ARTICLE!$B$2:$J$200,6,FALSE)),"")</f>
        <v/>
      </c>
      <c r="G62" s="32" t="str">
        <f>IFERROR(IF(ISBLANK(VLOOKUP($B62,ARTICLE!$B$2:$J$200,7,FALSE)),"",VLOOKUP($B62,ARTICLE!$B$2:$J$200,7,FALSE)),"")</f>
        <v/>
      </c>
      <c r="H62" s="32" t="str">
        <f>IFERROR(IF(ISBLANK(VLOOKUP($B62,ARTICLE!$B$2:$J$200,8,FALSE)),"",VLOOKUP($B62,ARTICLE!$B$2:$J$200,8,FALSE)),"")</f>
        <v/>
      </c>
      <c r="I62" s="385"/>
      <c r="J62"/>
      <c r="K62"/>
      <c r="L62"/>
      <c r="M62"/>
      <c r="N62"/>
      <c r="O62"/>
      <c r="P62"/>
      <c r="Q62"/>
      <c r="R62"/>
      <c r="S62"/>
    </row>
    <row r="63" spans="1:19" outlineLevel="1">
      <c r="A63" s="382"/>
      <c r="B63" s="31"/>
      <c r="C63" s="59" t="str">
        <f>IFERROR(IF(ISBLANK(VLOOKUP($B63,ARTICLE!$B$2:$J$200,3,FALSE)),"",VLOOKUP($B63,ARTICLE!$B$2:$J$200,3,FALSE)),"")</f>
        <v/>
      </c>
      <c r="D63" s="32" t="str">
        <f>IFERROR(IF(ISBLANK(VLOOKUP($B63,ARTICLE!$B$2:$J$200,4,FALSE)),"",VLOOKUP($B63,ARTICLE!$B$2:$J$200,4,FALSE)),"")</f>
        <v/>
      </c>
      <c r="E63" s="32" t="str">
        <f>IFERROR(IF(ISBLANK(VLOOKUP($B63,ARTICLE!$B$2:$J$200,5,FALSE)),"",VLOOKUP($B63,ARTICLE!$B$2:$J$200,5,FALSE)),"")</f>
        <v/>
      </c>
      <c r="F63" s="32" t="str">
        <f>IFERROR(IF(ISBLANK(VLOOKUP($B63,ARTICLE!$B$2:$J$200,6,FALSE)),"",VLOOKUP($B63,ARTICLE!$B$2:$J$200,6,FALSE)),"")</f>
        <v/>
      </c>
      <c r="G63" s="32" t="str">
        <f>IFERROR(IF(ISBLANK(VLOOKUP($B63,ARTICLE!$B$2:$J$200,7,FALSE)),"",VLOOKUP($B63,ARTICLE!$B$2:$J$200,7,FALSE)),"")</f>
        <v/>
      </c>
      <c r="H63" s="32" t="str">
        <f>IFERROR(IF(ISBLANK(VLOOKUP($B63,ARTICLE!$B$2:$J$200,8,FALSE)),"",VLOOKUP($B63,ARTICLE!$B$2:$J$200,8,FALSE)),"")</f>
        <v/>
      </c>
      <c r="I63" s="385"/>
      <c r="J63"/>
      <c r="K63"/>
      <c r="L63"/>
      <c r="M63"/>
      <c r="N63"/>
      <c r="O63"/>
      <c r="P63"/>
      <c r="Q63"/>
      <c r="R63"/>
      <c r="S63"/>
    </row>
    <row r="64" spans="1:19" outlineLevel="1">
      <c r="A64" s="382"/>
      <c r="B64" s="31"/>
      <c r="C64" s="59" t="str">
        <f>IFERROR(IF(ISBLANK(VLOOKUP($B64,ARTICLE!$B$2:$J$200,3,FALSE)),"",VLOOKUP($B64,ARTICLE!$B$2:$J$200,3,FALSE)),"")</f>
        <v/>
      </c>
      <c r="D64" s="32" t="str">
        <f>IFERROR(IF(ISBLANK(VLOOKUP($B64,ARTICLE!$B$2:$J$200,4,FALSE)),"",VLOOKUP($B64,ARTICLE!$B$2:$J$200,4,FALSE)),"")</f>
        <v/>
      </c>
      <c r="E64" s="32" t="str">
        <f>IFERROR(IF(ISBLANK(VLOOKUP($B64,ARTICLE!$B$2:$J$200,5,FALSE)),"",VLOOKUP($B64,ARTICLE!$B$2:$J$200,5,FALSE)),"")</f>
        <v/>
      </c>
      <c r="F64" s="32" t="str">
        <f>IFERROR(IF(ISBLANK(VLOOKUP($B64,ARTICLE!$B$2:$J$200,6,FALSE)),"",VLOOKUP($B64,ARTICLE!$B$2:$J$200,6,FALSE)),"")</f>
        <v/>
      </c>
      <c r="G64" s="32" t="str">
        <f>IFERROR(IF(ISBLANK(VLOOKUP($B64,ARTICLE!$B$2:$J$200,7,FALSE)),"",VLOOKUP($B64,ARTICLE!$B$2:$J$200,7,FALSE)),"")</f>
        <v/>
      </c>
      <c r="H64" s="32" t="str">
        <f>IFERROR(IF(ISBLANK(VLOOKUP($B64,ARTICLE!$B$2:$J$200,8,FALSE)),"",VLOOKUP($B64,ARTICLE!$B$2:$J$200,8,FALSE)),"")</f>
        <v/>
      </c>
      <c r="I64" s="385"/>
      <c r="J64"/>
      <c r="K64"/>
      <c r="L64"/>
      <c r="M64"/>
      <c r="N64"/>
      <c r="O64"/>
      <c r="P64"/>
      <c r="Q64"/>
      <c r="R64"/>
      <c r="S64"/>
    </row>
    <row r="65" spans="1:19" outlineLevel="1">
      <c r="A65" s="382"/>
      <c r="B65" s="31"/>
      <c r="C65" s="59" t="str">
        <f>IFERROR(IF(ISBLANK(VLOOKUP($B65,ARTICLE!$B$2:$J$200,3,FALSE)),"",VLOOKUP($B65,ARTICLE!$B$2:$J$200,3,FALSE)),"")</f>
        <v/>
      </c>
      <c r="D65" s="32" t="str">
        <f>IFERROR(IF(ISBLANK(VLOOKUP($B65,ARTICLE!$B$2:$J$200,4,FALSE)),"",VLOOKUP($B65,ARTICLE!$B$2:$J$200,4,FALSE)),"")</f>
        <v/>
      </c>
      <c r="E65" s="32" t="str">
        <f>IFERROR(IF(ISBLANK(VLOOKUP($B65,ARTICLE!$B$2:$J$200,5,FALSE)),"",VLOOKUP($B65,ARTICLE!$B$2:$J$200,5,FALSE)),"")</f>
        <v/>
      </c>
      <c r="F65" s="32" t="str">
        <f>IFERROR(IF(ISBLANK(VLOOKUP($B65,ARTICLE!$B$2:$J$200,6,FALSE)),"",VLOOKUP($B65,ARTICLE!$B$2:$J$200,6,FALSE)),"")</f>
        <v/>
      </c>
      <c r="G65" s="32" t="str">
        <f>IFERROR(IF(ISBLANK(VLOOKUP($B65,ARTICLE!$B$2:$J$200,7,FALSE)),"",VLOOKUP($B65,ARTICLE!$B$2:$J$200,7,FALSE)),"")</f>
        <v/>
      </c>
      <c r="H65" s="32" t="str">
        <f>IFERROR(IF(ISBLANK(VLOOKUP($B65,ARTICLE!$B$2:$J$200,8,FALSE)),"",VLOOKUP($B65,ARTICLE!$B$2:$J$200,8,FALSE)),"")</f>
        <v/>
      </c>
      <c r="I65" s="385"/>
      <c r="J65"/>
      <c r="K65"/>
      <c r="L65"/>
      <c r="M65"/>
      <c r="N65"/>
      <c r="O65"/>
      <c r="P65"/>
      <c r="Q65"/>
      <c r="R65"/>
      <c r="S65"/>
    </row>
    <row r="66" spans="1:19" outlineLevel="1">
      <c r="A66" s="382"/>
      <c r="B66" s="31"/>
      <c r="C66" s="59" t="str">
        <f>IFERROR(IF(ISBLANK(VLOOKUP($B66,ARTICLE!$B$2:$J$200,3,FALSE)),"",VLOOKUP($B66,ARTICLE!$B$2:$J$200,3,FALSE)),"")</f>
        <v/>
      </c>
      <c r="D66" s="32" t="str">
        <f>IFERROR(IF(ISBLANK(VLOOKUP($B66,ARTICLE!$B$2:$J$200,4,FALSE)),"",VLOOKUP($B66,ARTICLE!$B$2:$J$200,4,FALSE)),"")</f>
        <v/>
      </c>
      <c r="E66" s="32" t="str">
        <f>IFERROR(IF(ISBLANK(VLOOKUP($B66,ARTICLE!$B$2:$J$200,5,FALSE)),"",VLOOKUP($B66,ARTICLE!$B$2:$J$200,5,FALSE)),"")</f>
        <v/>
      </c>
      <c r="F66" s="32" t="str">
        <f>IFERROR(IF(ISBLANK(VLOOKUP($B66,ARTICLE!$B$2:$J$200,6,FALSE)),"",VLOOKUP($B66,ARTICLE!$B$2:$J$200,6,FALSE)),"")</f>
        <v/>
      </c>
      <c r="G66" s="32" t="str">
        <f>IFERROR(IF(ISBLANK(VLOOKUP($B66,ARTICLE!$B$2:$J$200,7,FALSE)),"",VLOOKUP($B66,ARTICLE!$B$2:$J$200,7,FALSE)),"")</f>
        <v/>
      </c>
      <c r="H66" s="32" t="str">
        <f>IFERROR(IF(ISBLANK(VLOOKUP($B66,ARTICLE!$B$2:$J$200,8,FALSE)),"",VLOOKUP($B66,ARTICLE!$B$2:$J$200,8,FALSE)),"")</f>
        <v/>
      </c>
      <c r="I66" s="385"/>
      <c r="J66"/>
      <c r="K66"/>
      <c r="L66"/>
      <c r="M66"/>
      <c r="N66"/>
      <c r="O66"/>
      <c r="P66"/>
      <c r="Q66"/>
      <c r="R66"/>
      <c r="S66"/>
    </row>
    <row r="67" spans="1:19" outlineLevel="1">
      <c r="A67" s="382"/>
      <c r="B67" s="33"/>
      <c r="C67" s="59" t="str">
        <f>IFERROR(IF(ISBLANK(VLOOKUP($B67,ARTICLE!$B$2:$J$200,3,FALSE)),"",VLOOKUP($B67,ARTICLE!$B$2:$J$200,3,FALSE)),"")</f>
        <v/>
      </c>
      <c r="D67" s="32" t="str">
        <f>IFERROR(IF(ISBLANK(VLOOKUP($B67,ARTICLE!$B$2:$J$200,4,FALSE)),"",VLOOKUP($B67,ARTICLE!$B$2:$J$200,4,FALSE)),"")</f>
        <v/>
      </c>
      <c r="E67" s="32" t="str">
        <f>IFERROR(IF(ISBLANK(VLOOKUP($B67,ARTICLE!$B$2:$J$200,5,FALSE)),"",VLOOKUP($B67,ARTICLE!$B$2:$J$200,5,FALSE)),"")</f>
        <v/>
      </c>
      <c r="F67" s="32" t="str">
        <f>IFERROR(IF(ISBLANK(VLOOKUP($B67,ARTICLE!$B$2:$J$200,6,FALSE)),"",VLOOKUP($B67,ARTICLE!$B$2:$J$200,6,FALSE)),"")</f>
        <v/>
      </c>
      <c r="G67" s="32" t="str">
        <f>IFERROR(IF(ISBLANK(VLOOKUP($B67,ARTICLE!$B$2:$J$200,7,FALSE)),"",VLOOKUP($B67,ARTICLE!$B$2:$J$200,7,FALSE)),"")</f>
        <v/>
      </c>
      <c r="H67" s="32" t="str">
        <f>IFERROR(IF(ISBLANK(VLOOKUP($B67,ARTICLE!$B$2:$J$200,8,FALSE)),"",VLOOKUP($B67,ARTICLE!$B$2:$J$200,8,FALSE)),"")</f>
        <v/>
      </c>
      <c r="I67" s="386"/>
      <c r="J67"/>
      <c r="K67"/>
      <c r="L67"/>
      <c r="M67"/>
      <c r="N67"/>
      <c r="O67"/>
      <c r="P67"/>
      <c r="Q67"/>
      <c r="R67"/>
      <c r="S67"/>
    </row>
    <row r="68" spans="1:19" outlineLevel="1">
      <c r="A68" s="382" t="str">
        <f t="shared" ref="A68" si="18">B68</f>
        <v/>
      </c>
      <c r="B68" s="349" t="str">
        <f>CONCATENATE(B69,IF(B70="",""," / "),B70,IF(B71="",""," / "),B71,IF(B72="",""," / "),B72,IF(B73="",""," / "),B73,IF(B74="",""," / "),B74,IF(B75="",""," / "),B75,B75,IF(B76="",""," / "),B76)</f>
        <v/>
      </c>
      <c r="C68" s="35" t="str">
        <f t="shared" ref="C68:C123" si="19">C69</f>
        <v/>
      </c>
      <c r="D68" s="35">
        <f t="shared" ref="D68" si="20">IF(SUM(E68:H68)=0,0,SUM(E68:H68))</f>
        <v>0</v>
      </c>
      <c r="E68" s="35">
        <f t="shared" ref="E68:E123" si="21">SUM(E69:E78)</f>
        <v>0</v>
      </c>
      <c r="F68" s="35">
        <f t="shared" ref="F68:H68" si="22">SUM(F69:F78)</f>
        <v>0</v>
      </c>
      <c r="G68" s="35">
        <f t="shared" si="22"/>
        <v>0</v>
      </c>
      <c r="H68" s="36">
        <f t="shared" si="22"/>
        <v>0</v>
      </c>
      <c r="I68" s="384"/>
      <c r="K68" s="284">
        <f>ROUNDUP(D68,0)*J68</f>
        <v>0</v>
      </c>
      <c r="L68" s="284">
        <f>ROUNDUP(J68*E68,0)</f>
        <v>0</v>
      </c>
      <c r="M68" s="285" t="e">
        <f>L68/K68</f>
        <v>#DIV/0!</v>
      </c>
      <c r="N68" s="284">
        <f>ROUNDUP(J68*F68,0)</f>
        <v>0</v>
      </c>
      <c r="O68" s="285" t="e">
        <f>N68/K68</f>
        <v>#DIV/0!</v>
      </c>
      <c r="P68" s="284">
        <f>ROUNDUP(J68*G68,0)</f>
        <v>0</v>
      </c>
      <c r="Q68" s="285" t="e">
        <f>P68/K68</f>
        <v>#DIV/0!</v>
      </c>
      <c r="R68" s="284">
        <f>ROUNDUP(J68*H68,0)</f>
        <v>0</v>
      </c>
      <c r="S68" s="285" t="e">
        <f>R68/K68</f>
        <v>#DIV/0!</v>
      </c>
    </row>
    <row r="69" spans="1:19" outlineLevel="1">
      <c r="A69" s="382"/>
      <c r="B69" s="31"/>
      <c r="C69" s="59" t="str">
        <f>IFERROR(IF(ISBLANK(VLOOKUP($B69,ARTICLE!$B$2:$J$200,3,FALSE)),"",VLOOKUP($B69,ARTICLE!$B$2:$J$200,3,FALSE)),"")</f>
        <v/>
      </c>
      <c r="D69" s="32" t="str">
        <f>IFERROR(IF(ISBLANK(VLOOKUP($B69,ARTICLE!$B$2:$J$200,4,FALSE)),"",VLOOKUP($B69,ARTICLE!$B$2:$J$200,4,FALSE)),"")</f>
        <v/>
      </c>
      <c r="E69" s="32" t="str">
        <f>IFERROR(IF(ISBLANK(VLOOKUP($B69,ARTICLE!$B$2:$J$200,5,FALSE)),"",VLOOKUP($B69,ARTICLE!$B$2:$J$200,5,FALSE)),"")</f>
        <v/>
      </c>
      <c r="F69" s="32" t="str">
        <f>IFERROR(IF(ISBLANK(VLOOKUP($B69,ARTICLE!$B$2:$J$200,6,FALSE)),"",VLOOKUP($B69,ARTICLE!$B$2:$J$200,6,FALSE)),"")</f>
        <v/>
      </c>
      <c r="G69" s="32" t="str">
        <f>IFERROR(IF(ISBLANK(VLOOKUP($B69,ARTICLE!$B$2:$J$200,7,FALSE)),"",VLOOKUP($B69,ARTICLE!$B$2:$J$200,7,FALSE)),"")</f>
        <v/>
      </c>
      <c r="H69" s="32" t="str">
        <f>IFERROR(IF(ISBLANK(VLOOKUP($B69,ARTICLE!$B$2:$J$200,8,FALSE)),"",VLOOKUP($B69,ARTICLE!$B$2:$J$200,8,FALSE)),"")</f>
        <v/>
      </c>
      <c r="I69" s="385"/>
      <c r="J69"/>
      <c r="K69"/>
      <c r="L69"/>
      <c r="M69"/>
      <c r="N69"/>
      <c r="O69"/>
      <c r="P69"/>
      <c r="Q69"/>
      <c r="R69"/>
      <c r="S69"/>
    </row>
    <row r="70" spans="1:19" outlineLevel="1">
      <c r="A70" s="382"/>
      <c r="B70" s="31"/>
      <c r="C70" s="59" t="str">
        <f>IFERROR(IF(ISBLANK(VLOOKUP($B70,ARTICLE!$B$2:$J$200,3,FALSE)),"",VLOOKUP($B70,ARTICLE!$B$2:$J$200,3,FALSE)),"")</f>
        <v/>
      </c>
      <c r="D70" s="32" t="str">
        <f>IFERROR(IF(ISBLANK(VLOOKUP($B70,ARTICLE!$B$2:$J$200,4,FALSE)),"",VLOOKUP($B70,ARTICLE!$B$2:$J$200,4,FALSE)),"")</f>
        <v/>
      </c>
      <c r="E70" s="32" t="str">
        <f>IFERROR(IF(ISBLANK(VLOOKUP($B70,ARTICLE!$B$2:$J$200,5,FALSE)),"",VLOOKUP($B70,ARTICLE!$B$2:$J$200,5,FALSE)),"")</f>
        <v/>
      </c>
      <c r="F70" s="32" t="str">
        <f>IFERROR(IF(ISBLANK(VLOOKUP($B70,ARTICLE!$B$2:$J$200,6,FALSE)),"",VLOOKUP($B70,ARTICLE!$B$2:$J$200,6,FALSE)),"")</f>
        <v/>
      </c>
      <c r="G70" s="32" t="str">
        <f>IFERROR(IF(ISBLANK(VLOOKUP($B70,ARTICLE!$B$2:$J$200,7,FALSE)),"",VLOOKUP($B70,ARTICLE!$B$2:$J$200,7,FALSE)),"")</f>
        <v/>
      </c>
      <c r="H70" s="32" t="str">
        <f>IFERROR(IF(ISBLANK(VLOOKUP($B70,ARTICLE!$B$2:$J$200,8,FALSE)),"",VLOOKUP($B70,ARTICLE!$B$2:$J$200,8,FALSE)),"")</f>
        <v/>
      </c>
      <c r="I70" s="385"/>
      <c r="J70"/>
      <c r="K70"/>
      <c r="L70"/>
      <c r="M70"/>
      <c r="N70"/>
      <c r="O70"/>
      <c r="P70"/>
      <c r="Q70"/>
      <c r="R70"/>
      <c r="S70"/>
    </row>
    <row r="71" spans="1:19" outlineLevel="1">
      <c r="A71" s="382"/>
      <c r="B71" s="31"/>
      <c r="C71" s="59" t="str">
        <f>IFERROR(IF(ISBLANK(VLOOKUP($B71,ARTICLE!$B$2:$J$200,3,FALSE)),"",VLOOKUP($B71,ARTICLE!$B$2:$J$200,3,FALSE)),"")</f>
        <v/>
      </c>
      <c r="D71" s="32" t="str">
        <f>IFERROR(IF(ISBLANK(VLOOKUP($B71,ARTICLE!$B$2:$J$200,4,FALSE)),"",VLOOKUP($B71,ARTICLE!$B$2:$J$200,4,FALSE)),"")</f>
        <v/>
      </c>
      <c r="E71" s="32" t="str">
        <f>IFERROR(IF(ISBLANK(VLOOKUP($B71,ARTICLE!$B$2:$J$200,5,FALSE)),"",VLOOKUP($B71,ARTICLE!$B$2:$J$200,5,FALSE)),"")</f>
        <v/>
      </c>
      <c r="F71" s="32" t="str">
        <f>IFERROR(IF(ISBLANK(VLOOKUP($B71,ARTICLE!$B$2:$J$200,6,FALSE)),"",VLOOKUP($B71,ARTICLE!$B$2:$J$200,6,FALSE)),"")</f>
        <v/>
      </c>
      <c r="G71" s="32" t="str">
        <f>IFERROR(IF(ISBLANK(VLOOKUP($B71,ARTICLE!$B$2:$J$200,7,FALSE)),"",VLOOKUP($B71,ARTICLE!$B$2:$J$200,7,FALSE)),"")</f>
        <v/>
      </c>
      <c r="H71" s="32" t="str">
        <f>IFERROR(IF(ISBLANK(VLOOKUP($B71,ARTICLE!$B$2:$J$200,8,FALSE)),"",VLOOKUP($B71,ARTICLE!$B$2:$J$200,8,FALSE)),"")</f>
        <v/>
      </c>
      <c r="I71" s="385"/>
      <c r="J71"/>
      <c r="K71"/>
      <c r="L71"/>
      <c r="M71"/>
      <c r="N71"/>
      <c r="O71"/>
      <c r="P71"/>
      <c r="Q71"/>
      <c r="R71"/>
      <c r="S71"/>
    </row>
    <row r="72" spans="1:19" outlineLevel="1">
      <c r="A72" s="382"/>
      <c r="B72" s="31"/>
      <c r="C72" s="59" t="str">
        <f>IFERROR(IF(ISBLANK(VLOOKUP($B72,ARTICLE!$B$2:$J$200,3,FALSE)),"",VLOOKUP($B72,ARTICLE!$B$2:$J$200,3,FALSE)),"")</f>
        <v/>
      </c>
      <c r="D72" s="32" t="str">
        <f>IFERROR(IF(ISBLANK(VLOOKUP($B72,ARTICLE!$B$2:$J$200,4,FALSE)),"",VLOOKUP($B72,ARTICLE!$B$2:$J$200,4,FALSE)),"")</f>
        <v/>
      </c>
      <c r="E72" s="32" t="str">
        <f>IFERROR(IF(ISBLANK(VLOOKUP($B72,ARTICLE!$B$2:$J$200,5,FALSE)),"",VLOOKUP($B72,ARTICLE!$B$2:$J$200,5,FALSE)),"")</f>
        <v/>
      </c>
      <c r="F72" s="32" t="str">
        <f>IFERROR(IF(ISBLANK(VLOOKUP($B72,ARTICLE!$B$2:$J$200,6,FALSE)),"",VLOOKUP($B72,ARTICLE!$B$2:$J$200,6,FALSE)),"")</f>
        <v/>
      </c>
      <c r="G72" s="32" t="str">
        <f>IFERROR(IF(ISBLANK(VLOOKUP($B72,ARTICLE!$B$2:$J$200,7,FALSE)),"",VLOOKUP($B72,ARTICLE!$B$2:$J$200,7,FALSE)),"")</f>
        <v/>
      </c>
      <c r="H72" s="32" t="str">
        <f>IFERROR(IF(ISBLANK(VLOOKUP($B72,ARTICLE!$B$2:$J$200,8,FALSE)),"",VLOOKUP($B72,ARTICLE!$B$2:$J$200,8,FALSE)),"")</f>
        <v/>
      </c>
      <c r="I72" s="385"/>
      <c r="J72"/>
      <c r="K72"/>
      <c r="L72"/>
      <c r="M72"/>
      <c r="N72"/>
      <c r="O72"/>
      <c r="P72"/>
      <c r="Q72"/>
      <c r="R72"/>
      <c r="S72"/>
    </row>
    <row r="73" spans="1:19" outlineLevel="1">
      <c r="A73" s="382"/>
      <c r="B73" s="31"/>
      <c r="C73" s="59" t="str">
        <f>IFERROR(IF(ISBLANK(VLOOKUP($B73,ARTICLE!$B$2:$J$200,3,FALSE)),"",VLOOKUP($B73,ARTICLE!$B$2:$J$200,3,FALSE)),"")</f>
        <v/>
      </c>
      <c r="D73" s="32" t="str">
        <f>IFERROR(IF(ISBLANK(VLOOKUP($B73,ARTICLE!$B$2:$J$200,4,FALSE)),"",VLOOKUP($B73,ARTICLE!$B$2:$J$200,4,FALSE)),"")</f>
        <v/>
      </c>
      <c r="E73" s="32" t="str">
        <f>IFERROR(IF(ISBLANK(VLOOKUP($B73,ARTICLE!$B$2:$J$200,5,FALSE)),"",VLOOKUP($B73,ARTICLE!$B$2:$J$200,5,FALSE)),"")</f>
        <v/>
      </c>
      <c r="F73" s="32" t="str">
        <f>IFERROR(IF(ISBLANK(VLOOKUP($B73,ARTICLE!$B$2:$J$200,6,FALSE)),"",VLOOKUP($B73,ARTICLE!$B$2:$J$200,6,FALSE)),"")</f>
        <v/>
      </c>
      <c r="G73" s="32" t="str">
        <f>IFERROR(IF(ISBLANK(VLOOKUP($B73,ARTICLE!$B$2:$J$200,7,FALSE)),"",VLOOKUP($B73,ARTICLE!$B$2:$J$200,7,FALSE)),"")</f>
        <v/>
      </c>
      <c r="H73" s="32" t="str">
        <f>IFERROR(IF(ISBLANK(VLOOKUP($B73,ARTICLE!$B$2:$J$200,8,FALSE)),"",VLOOKUP($B73,ARTICLE!$B$2:$J$200,8,FALSE)),"")</f>
        <v/>
      </c>
      <c r="I73" s="385"/>
      <c r="J73"/>
      <c r="K73"/>
      <c r="L73"/>
      <c r="M73"/>
      <c r="N73"/>
      <c r="O73"/>
      <c r="P73"/>
      <c r="Q73"/>
      <c r="R73"/>
      <c r="S73"/>
    </row>
    <row r="74" spans="1:19" outlineLevel="1">
      <c r="A74" s="382"/>
      <c r="B74" s="31"/>
      <c r="C74" s="59" t="str">
        <f>IFERROR(IF(ISBLANK(VLOOKUP($B74,ARTICLE!$B$2:$J$200,3,FALSE)),"",VLOOKUP($B74,ARTICLE!$B$2:$J$200,3,FALSE)),"")</f>
        <v/>
      </c>
      <c r="D74" s="32" t="str">
        <f>IFERROR(IF(ISBLANK(VLOOKUP($B74,ARTICLE!$B$2:$J$200,4,FALSE)),"",VLOOKUP($B74,ARTICLE!$B$2:$J$200,4,FALSE)),"")</f>
        <v/>
      </c>
      <c r="E74" s="32" t="str">
        <f>IFERROR(IF(ISBLANK(VLOOKUP($B74,ARTICLE!$B$2:$J$200,5,FALSE)),"",VLOOKUP($B74,ARTICLE!$B$2:$J$200,5,FALSE)),"")</f>
        <v/>
      </c>
      <c r="F74" s="32" t="str">
        <f>IFERROR(IF(ISBLANK(VLOOKUP($B74,ARTICLE!$B$2:$J$200,6,FALSE)),"",VLOOKUP($B74,ARTICLE!$B$2:$J$200,6,FALSE)),"")</f>
        <v/>
      </c>
      <c r="G74" s="32" t="str">
        <f>IFERROR(IF(ISBLANK(VLOOKUP($B74,ARTICLE!$B$2:$J$200,7,FALSE)),"",VLOOKUP($B74,ARTICLE!$B$2:$J$200,7,FALSE)),"")</f>
        <v/>
      </c>
      <c r="H74" s="32" t="str">
        <f>IFERROR(IF(ISBLANK(VLOOKUP($B74,ARTICLE!$B$2:$J$200,8,FALSE)),"",VLOOKUP($B74,ARTICLE!$B$2:$J$200,8,FALSE)),"")</f>
        <v/>
      </c>
      <c r="I74" s="385"/>
      <c r="J74"/>
      <c r="K74"/>
      <c r="L74"/>
      <c r="M74"/>
      <c r="N74"/>
      <c r="O74"/>
      <c r="P74"/>
      <c r="Q74"/>
      <c r="R74"/>
      <c r="S74"/>
    </row>
    <row r="75" spans="1:19" outlineLevel="1">
      <c r="A75" s="382"/>
      <c r="B75" s="31"/>
      <c r="C75" s="59" t="str">
        <f>IFERROR(IF(ISBLANK(VLOOKUP($B75,ARTICLE!$B$2:$J$200,3,FALSE)),"",VLOOKUP($B75,ARTICLE!$B$2:$J$200,3,FALSE)),"")</f>
        <v/>
      </c>
      <c r="D75" s="32" t="str">
        <f>IFERROR(IF(ISBLANK(VLOOKUP($B75,ARTICLE!$B$2:$J$200,4,FALSE)),"",VLOOKUP($B75,ARTICLE!$B$2:$J$200,4,FALSE)),"")</f>
        <v/>
      </c>
      <c r="E75" s="32" t="str">
        <f>IFERROR(IF(ISBLANK(VLOOKUP($B75,ARTICLE!$B$2:$J$200,5,FALSE)),"",VLOOKUP($B75,ARTICLE!$B$2:$J$200,5,FALSE)),"")</f>
        <v/>
      </c>
      <c r="F75" s="32" t="str">
        <f>IFERROR(IF(ISBLANK(VLOOKUP($B75,ARTICLE!$B$2:$J$200,6,FALSE)),"",VLOOKUP($B75,ARTICLE!$B$2:$J$200,6,FALSE)),"")</f>
        <v/>
      </c>
      <c r="G75" s="32" t="str">
        <f>IFERROR(IF(ISBLANK(VLOOKUP($B75,ARTICLE!$B$2:$J$200,7,FALSE)),"",VLOOKUP($B75,ARTICLE!$B$2:$J$200,7,FALSE)),"")</f>
        <v/>
      </c>
      <c r="H75" s="32" t="str">
        <f>IFERROR(IF(ISBLANK(VLOOKUP($B75,ARTICLE!$B$2:$J$200,8,FALSE)),"",VLOOKUP($B75,ARTICLE!$B$2:$J$200,8,FALSE)),"")</f>
        <v/>
      </c>
      <c r="I75" s="385"/>
      <c r="J75"/>
      <c r="K75"/>
      <c r="L75"/>
      <c r="M75"/>
      <c r="N75"/>
      <c r="O75"/>
      <c r="P75"/>
      <c r="Q75"/>
      <c r="R75"/>
      <c r="S75"/>
    </row>
    <row r="76" spans="1:19" outlineLevel="1">
      <c r="A76" s="382"/>
      <c r="B76" s="31"/>
      <c r="C76" s="59" t="str">
        <f>IFERROR(IF(ISBLANK(VLOOKUP($B76,ARTICLE!$B$2:$J$200,3,FALSE)),"",VLOOKUP($B76,ARTICLE!$B$2:$J$200,3,FALSE)),"")</f>
        <v/>
      </c>
      <c r="D76" s="32" t="str">
        <f>IFERROR(IF(ISBLANK(VLOOKUP($B76,ARTICLE!$B$2:$J$200,4,FALSE)),"",VLOOKUP($B76,ARTICLE!$B$2:$J$200,4,FALSE)),"")</f>
        <v/>
      </c>
      <c r="E76" s="32" t="str">
        <f>IFERROR(IF(ISBLANK(VLOOKUP($B76,ARTICLE!$B$2:$J$200,5,FALSE)),"",VLOOKUP($B76,ARTICLE!$B$2:$J$200,5,FALSE)),"")</f>
        <v/>
      </c>
      <c r="F76" s="32" t="str">
        <f>IFERROR(IF(ISBLANK(VLOOKUP($B76,ARTICLE!$B$2:$J$200,6,FALSE)),"",VLOOKUP($B76,ARTICLE!$B$2:$J$200,6,FALSE)),"")</f>
        <v/>
      </c>
      <c r="G76" s="32" t="str">
        <f>IFERROR(IF(ISBLANK(VLOOKUP($B76,ARTICLE!$B$2:$J$200,7,FALSE)),"",VLOOKUP($B76,ARTICLE!$B$2:$J$200,7,FALSE)),"")</f>
        <v/>
      </c>
      <c r="H76" s="32" t="str">
        <f>IFERROR(IF(ISBLANK(VLOOKUP($B76,ARTICLE!$B$2:$J$200,8,FALSE)),"",VLOOKUP($B76,ARTICLE!$B$2:$J$200,8,FALSE)),"")</f>
        <v/>
      </c>
      <c r="I76" s="385"/>
      <c r="J76"/>
      <c r="K76"/>
      <c r="L76"/>
      <c r="M76"/>
      <c r="N76"/>
      <c r="O76"/>
      <c r="P76"/>
      <c r="Q76"/>
      <c r="R76"/>
      <c r="S76"/>
    </row>
    <row r="77" spans="1:19" outlineLevel="1">
      <c r="A77" s="382"/>
      <c r="B77" s="31"/>
      <c r="C77" s="59" t="str">
        <f>IFERROR(IF(ISBLANK(VLOOKUP($B77,ARTICLE!$B$2:$J$200,3,FALSE)),"",VLOOKUP($B77,ARTICLE!$B$2:$J$200,3,FALSE)),"")</f>
        <v/>
      </c>
      <c r="D77" s="32" t="str">
        <f>IFERROR(IF(ISBLANK(VLOOKUP($B77,ARTICLE!$B$2:$J$200,4,FALSE)),"",VLOOKUP($B77,ARTICLE!$B$2:$J$200,4,FALSE)),"")</f>
        <v/>
      </c>
      <c r="E77" s="32" t="str">
        <f>IFERROR(IF(ISBLANK(VLOOKUP($B77,ARTICLE!$B$2:$J$200,5,FALSE)),"",VLOOKUP($B77,ARTICLE!$B$2:$J$200,5,FALSE)),"")</f>
        <v/>
      </c>
      <c r="F77" s="32" t="str">
        <f>IFERROR(IF(ISBLANK(VLOOKUP($B77,ARTICLE!$B$2:$J$200,6,FALSE)),"",VLOOKUP($B77,ARTICLE!$B$2:$J$200,6,FALSE)),"")</f>
        <v/>
      </c>
      <c r="G77" s="32" t="str">
        <f>IFERROR(IF(ISBLANK(VLOOKUP($B77,ARTICLE!$B$2:$J$200,7,FALSE)),"",VLOOKUP($B77,ARTICLE!$B$2:$J$200,7,FALSE)),"")</f>
        <v/>
      </c>
      <c r="H77" s="32" t="str">
        <f>IFERROR(IF(ISBLANK(VLOOKUP($B77,ARTICLE!$B$2:$J$200,8,FALSE)),"",VLOOKUP($B77,ARTICLE!$B$2:$J$200,8,FALSE)),"")</f>
        <v/>
      </c>
      <c r="I77" s="385"/>
      <c r="J77"/>
      <c r="K77"/>
      <c r="L77"/>
      <c r="M77"/>
      <c r="N77"/>
      <c r="O77"/>
      <c r="P77"/>
      <c r="Q77"/>
      <c r="R77"/>
      <c r="S77"/>
    </row>
    <row r="78" spans="1:19" outlineLevel="1">
      <c r="A78" s="382"/>
      <c r="B78" s="33"/>
      <c r="C78" s="59" t="str">
        <f>IFERROR(IF(ISBLANK(VLOOKUP($B78,ARTICLE!$B$2:$J$200,3,FALSE)),"",VLOOKUP($B78,ARTICLE!$B$2:$J$200,3,FALSE)),"")</f>
        <v/>
      </c>
      <c r="D78" s="32" t="str">
        <f>IFERROR(IF(ISBLANK(VLOOKUP($B78,ARTICLE!$B$2:$J$200,4,FALSE)),"",VLOOKUP($B78,ARTICLE!$B$2:$J$200,4,FALSE)),"")</f>
        <v/>
      </c>
      <c r="E78" s="32" t="str">
        <f>IFERROR(IF(ISBLANK(VLOOKUP($B78,ARTICLE!$B$2:$J$200,5,FALSE)),"",VLOOKUP($B78,ARTICLE!$B$2:$J$200,5,FALSE)),"")</f>
        <v/>
      </c>
      <c r="F78" s="32" t="str">
        <f>IFERROR(IF(ISBLANK(VLOOKUP($B78,ARTICLE!$B$2:$J$200,6,FALSE)),"",VLOOKUP($B78,ARTICLE!$B$2:$J$200,6,FALSE)),"")</f>
        <v/>
      </c>
      <c r="G78" s="32" t="str">
        <f>IFERROR(IF(ISBLANK(VLOOKUP($B78,ARTICLE!$B$2:$J$200,7,FALSE)),"",VLOOKUP($B78,ARTICLE!$B$2:$J$200,7,FALSE)),"")</f>
        <v/>
      </c>
      <c r="H78" s="32" t="str">
        <f>IFERROR(IF(ISBLANK(VLOOKUP($B78,ARTICLE!$B$2:$J$200,8,FALSE)),"",VLOOKUP($B78,ARTICLE!$B$2:$J$200,8,FALSE)),"")</f>
        <v/>
      </c>
      <c r="I78" s="386"/>
      <c r="J78"/>
      <c r="K78"/>
      <c r="L78"/>
      <c r="M78"/>
      <c r="N78"/>
      <c r="O78"/>
      <c r="P78"/>
      <c r="Q78"/>
      <c r="R78"/>
      <c r="S78"/>
    </row>
    <row r="79" spans="1:19" outlineLevel="1">
      <c r="A79" s="382" t="str">
        <f t="shared" ref="A79" si="23">B79</f>
        <v/>
      </c>
      <c r="B79" s="349" t="str">
        <f>CONCATENATE(B80,IF(B81="",""," / "),B81,IF(B82="",""," / "),B82,IF(B83="",""," / "),B83,IF(B84="",""," / "),B84,IF(B85="",""," / "),B85,IF(B86="",""," / "),B86,B86,IF(B87="",""," / "),B87)</f>
        <v/>
      </c>
      <c r="C79" s="35" t="str">
        <f t="shared" si="19"/>
        <v/>
      </c>
      <c r="D79" s="35">
        <f t="shared" ref="D79" si="24">IF(SUM(E79:H79)=0,0,SUM(E79:H79))</f>
        <v>0</v>
      </c>
      <c r="E79" s="35">
        <f t="shared" si="21"/>
        <v>0</v>
      </c>
      <c r="F79" s="35">
        <f t="shared" ref="F79:H79" si="25">SUM(F80:F89)</f>
        <v>0</v>
      </c>
      <c r="G79" s="35">
        <f t="shared" si="25"/>
        <v>0</v>
      </c>
      <c r="H79" s="36">
        <f t="shared" si="25"/>
        <v>0</v>
      </c>
      <c r="I79" s="384"/>
      <c r="K79" s="284">
        <f>ROUNDUP(D79,0)*J79</f>
        <v>0</v>
      </c>
      <c r="L79" s="284">
        <f>ROUNDUP(J79*E79,0)</f>
        <v>0</v>
      </c>
      <c r="M79" s="285" t="e">
        <f>L79/K79</f>
        <v>#DIV/0!</v>
      </c>
      <c r="N79" s="284">
        <f>ROUNDUP(J79*F79,0)</f>
        <v>0</v>
      </c>
      <c r="O79" s="285" t="e">
        <f>N79/K79</f>
        <v>#DIV/0!</v>
      </c>
      <c r="P79" s="284">
        <f>ROUNDUP(J79*G79,0)</f>
        <v>0</v>
      </c>
      <c r="Q79" s="285" t="e">
        <f>P79/K79</f>
        <v>#DIV/0!</v>
      </c>
      <c r="R79" s="284">
        <f>ROUNDUP(J79*H79,0)</f>
        <v>0</v>
      </c>
      <c r="S79" s="285" t="e">
        <f>R79/K79</f>
        <v>#DIV/0!</v>
      </c>
    </row>
    <row r="80" spans="1:19" outlineLevel="1">
      <c r="A80" s="382"/>
      <c r="B80" s="31"/>
      <c r="C80" s="59" t="str">
        <f>IFERROR(IF(ISBLANK(VLOOKUP($B80,ARTICLE!$B$2:$J$200,3,FALSE)),"",VLOOKUP($B80,ARTICLE!$B$2:$J$200,3,FALSE)),"")</f>
        <v/>
      </c>
      <c r="D80" s="32" t="str">
        <f>IFERROR(IF(ISBLANK(VLOOKUP($B80,ARTICLE!$B$2:$J$200,4,FALSE)),"",VLOOKUP($B80,ARTICLE!$B$2:$J$200,4,FALSE)),"")</f>
        <v/>
      </c>
      <c r="E80" s="32" t="str">
        <f>IFERROR(IF(ISBLANK(VLOOKUP($B80,ARTICLE!$B$2:$J$200,5,FALSE)),"",VLOOKUP($B80,ARTICLE!$B$2:$J$200,5,FALSE)),"")</f>
        <v/>
      </c>
      <c r="F80" s="32" t="str">
        <f>IFERROR(IF(ISBLANK(VLOOKUP($B80,ARTICLE!$B$2:$J$200,6,FALSE)),"",VLOOKUP($B80,ARTICLE!$B$2:$J$200,6,FALSE)),"")</f>
        <v/>
      </c>
      <c r="G80" s="32" t="str">
        <f>IFERROR(IF(ISBLANK(VLOOKUP($B80,ARTICLE!$B$2:$J$200,7,FALSE)),"",VLOOKUP($B80,ARTICLE!$B$2:$J$200,7,FALSE)),"")</f>
        <v/>
      </c>
      <c r="H80" s="32" t="str">
        <f>IFERROR(IF(ISBLANK(VLOOKUP($B80,ARTICLE!$B$2:$J$200,8,FALSE)),"",VLOOKUP($B80,ARTICLE!$B$2:$J$200,8,FALSE)),"")</f>
        <v/>
      </c>
      <c r="I80" s="385"/>
      <c r="J80"/>
      <c r="K80"/>
      <c r="L80"/>
      <c r="M80"/>
      <c r="N80"/>
      <c r="O80"/>
      <c r="P80"/>
      <c r="Q80"/>
      <c r="R80"/>
      <c r="S80"/>
    </row>
    <row r="81" spans="1:19" outlineLevel="1">
      <c r="A81" s="382"/>
      <c r="B81" s="31"/>
      <c r="C81" s="59" t="str">
        <f>IFERROR(IF(ISBLANK(VLOOKUP($B81,ARTICLE!$B$2:$J$200,3,FALSE)),"",VLOOKUP($B81,ARTICLE!$B$2:$J$200,3,FALSE)),"")</f>
        <v/>
      </c>
      <c r="D81" s="32" t="str">
        <f>IFERROR(IF(ISBLANK(VLOOKUP($B81,ARTICLE!$B$2:$J$200,4,FALSE)),"",VLOOKUP($B81,ARTICLE!$B$2:$J$200,4,FALSE)),"")</f>
        <v/>
      </c>
      <c r="E81" s="32" t="str">
        <f>IFERROR(IF(ISBLANK(VLOOKUP($B81,ARTICLE!$B$2:$J$200,5,FALSE)),"",VLOOKUP($B81,ARTICLE!$B$2:$J$200,5,FALSE)),"")</f>
        <v/>
      </c>
      <c r="F81" s="32" t="str">
        <f>IFERROR(IF(ISBLANK(VLOOKUP($B81,ARTICLE!$B$2:$J$200,6,FALSE)),"",VLOOKUP($B81,ARTICLE!$B$2:$J$200,6,FALSE)),"")</f>
        <v/>
      </c>
      <c r="G81" s="32" t="str">
        <f>IFERROR(IF(ISBLANK(VLOOKUP($B81,ARTICLE!$B$2:$J$200,7,FALSE)),"",VLOOKUP($B81,ARTICLE!$B$2:$J$200,7,FALSE)),"")</f>
        <v/>
      </c>
      <c r="H81" s="32" t="str">
        <f>IFERROR(IF(ISBLANK(VLOOKUP($B81,ARTICLE!$B$2:$J$200,8,FALSE)),"",VLOOKUP($B81,ARTICLE!$B$2:$J$200,8,FALSE)),"")</f>
        <v/>
      </c>
      <c r="I81" s="385"/>
      <c r="J81"/>
      <c r="K81"/>
      <c r="L81"/>
      <c r="M81"/>
      <c r="N81"/>
      <c r="O81"/>
      <c r="P81"/>
      <c r="Q81"/>
      <c r="R81"/>
      <c r="S81"/>
    </row>
    <row r="82" spans="1:19" outlineLevel="1">
      <c r="A82" s="382"/>
      <c r="B82" s="31"/>
      <c r="C82" s="59" t="str">
        <f>IFERROR(IF(ISBLANK(VLOOKUP($B82,ARTICLE!$B$2:$J$200,3,FALSE)),"",VLOOKUP($B82,ARTICLE!$B$2:$J$200,3,FALSE)),"")</f>
        <v/>
      </c>
      <c r="D82" s="32" t="str">
        <f>IFERROR(IF(ISBLANK(VLOOKUP($B82,ARTICLE!$B$2:$J$200,4,FALSE)),"",VLOOKUP($B82,ARTICLE!$B$2:$J$200,4,FALSE)),"")</f>
        <v/>
      </c>
      <c r="E82" s="32" t="str">
        <f>IFERROR(IF(ISBLANK(VLOOKUP($B82,ARTICLE!$B$2:$J$200,5,FALSE)),"",VLOOKUP($B82,ARTICLE!$B$2:$J$200,5,FALSE)),"")</f>
        <v/>
      </c>
      <c r="F82" s="32" t="str">
        <f>IFERROR(IF(ISBLANK(VLOOKUP($B82,ARTICLE!$B$2:$J$200,6,FALSE)),"",VLOOKUP($B82,ARTICLE!$B$2:$J$200,6,FALSE)),"")</f>
        <v/>
      </c>
      <c r="G82" s="32" t="str">
        <f>IFERROR(IF(ISBLANK(VLOOKUP($B82,ARTICLE!$B$2:$J$200,7,FALSE)),"",VLOOKUP($B82,ARTICLE!$B$2:$J$200,7,FALSE)),"")</f>
        <v/>
      </c>
      <c r="H82" s="32" t="str">
        <f>IFERROR(IF(ISBLANK(VLOOKUP($B82,ARTICLE!$B$2:$J$200,8,FALSE)),"",VLOOKUP($B82,ARTICLE!$B$2:$J$200,8,FALSE)),"")</f>
        <v/>
      </c>
      <c r="I82" s="385"/>
      <c r="J82"/>
      <c r="K82"/>
      <c r="L82"/>
      <c r="M82"/>
      <c r="N82"/>
      <c r="O82"/>
      <c r="P82"/>
      <c r="Q82"/>
      <c r="R82"/>
      <c r="S82"/>
    </row>
    <row r="83" spans="1:19" outlineLevel="1">
      <c r="A83" s="382"/>
      <c r="B83" s="31"/>
      <c r="C83" s="59" t="str">
        <f>IFERROR(IF(ISBLANK(VLOOKUP($B83,ARTICLE!$B$2:$J$200,3,FALSE)),"",VLOOKUP($B83,ARTICLE!$B$2:$J$200,3,FALSE)),"")</f>
        <v/>
      </c>
      <c r="D83" s="32" t="str">
        <f>IFERROR(IF(ISBLANK(VLOOKUP($B83,ARTICLE!$B$2:$J$200,4,FALSE)),"",VLOOKUP($B83,ARTICLE!$B$2:$J$200,4,FALSE)),"")</f>
        <v/>
      </c>
      <c r="E83" s="32" t="str">
        <f>IFERROR(IF(ISBLANK(VLOOKUP($B83,ARTICLE!$B$2:$J$200,5,FALSE)),"",VLOOKUP($B83,ARTICLE!$B$2:$J$200,5,FALSE)),"")</f>
        <v/>
      </c>
      <c r="F83" s="32" t="str">
        <f>IFERROR(IF(ISBLANK(VLOOKUP($B83,ARTICLE!$B$2:$J$200,6,FALSE)),"",VLOOKUP($B83,ARTICLE!$B$2:$J$200,6,FALSE)),"")</f>
        <v/>
      </c>
      <c r="G83" s="32" t="str">
        <f>IFERROR(IF(ISBLANK(VLOOKUP($B83,ARTICLE!$B$2:$J$200,7,FALSE)),"",VLOOKUP($B83,ARTICLE!$B$2:$J$200,7,FALSE)),"")</f>
        <v/>
      </c>
      <c r="H83" s="32" t="str">
        <f>IFERROR(IF(ISBLANK(VLOOKUP($B83,ARTICLE!$B$2:$J$200,8,FALSE)),"",VLOOKUP($B83,ARTICLE!$B$2:$J$200,8,FALSE)),"")</f>
        <v/>
      </c>
      <c r="I83" s="385"/>
      <c r="J83"/>
      <c r="K83"/>
      <c r="L83"/>
      <c r="M83"/>
      <c r="N83"/>
      <c r="O83"/>
      <c r="P83"/>
      <c r="Q83"/>
      <c r="R83"/>
      <c r="S83"/>
    </row>
    <row r="84" spans="1:19" outlineLevel="1">
      <c r="A84" s="382"/>
      <c r="B84" s="31"/>
      <c r="C84" s="59" t="str">
        <f>IFERROR(IF(ISBLANK(VLOOKUP($B84,ARTICLE!$B$2:$J$200,3,FALSE)),"",VLOOKUP($B84,ARTICLE!$B$2:$J$200,3,FALSE)),"")</f>
        <v/>
      </c>
      <c r="D84" s="32" t="str">
        <f>IFERROR(IF(ISBLANK(VLOOKUP($B84,ARTICLE!$B$2:$J$200,4,FALSE)),"",VLOOKUP($B84,ARTICLE!$B$2:$J$200,4,FALSE)),"")</f>
        <v/>
      </c>
      <c r="E84" s="32" t="str">
        <f>IFERROR(IF(ISBLANK(VLOOKUP($B84,ARTICLE!$B$2:$J$200,5,FALSE)),"",VLOOKUP($B84,ARTICLE!$B$2:$J$200,5,FALSE)),"")</f>
        <v/>
      </c>
      <c r="F84" s="32" t="str">
        <f>IFERROR(IF(ISBLANK(VLOOKUP($B84,ARTICLE!$B$2:$J$200,6,FALSE)),"",VLOOKUP($B84,ARTICLE!$B$2:$J$200,6,FALSE)),"")</f>
        <v/>
      </c>
      <c r="G84" s="32" t="str">
        <f>IFERROR(IF(ISBLANK(VLOOKUP($B84,ARTICLE!$B$2:$J$200,7,FALSE)),"",VLOOKUP($B84,ARTICLE!$B$2:$J$200,7,FALSE)),"")</f>
        <v/>
      </c>
      <c r="H84" s="32" t="str">
        <f>IFERROR(IF(ISBLANK(VLOOKUP($B84,ARTICLE!$B$2:$J$200,8,FALSE)),"",VLOOKUP($B84,ARTICLE!$B$2:$J$200,8,FALSE)),"")</f>
        <v/>
      </c>
      <c r="I84" s="385"/>
      <c r="J84"/>
      <c r="K84"/>
      <c r="L84"/>
      <c r="M84"/>
      <c r="N84"/>
      <c r="O84"/>
      <c r="P84"/>
      <c r="Q84"/>
      <c r="R84"/>
      <c r="S84"/>
    </row>
    <row r="85" spans="1:19" outlineLevel="1">
      <c r="A85" s="382"/>
      <c r="B85" s="31"/>
      <c r="C85" s="59" t="str">
        <f>IFERROR(IF(ISBLANK(VLOOKUP($B85,ARTICLE!$B$2:$J$200,3,FALSE)),"",VLOOKUP($B85,ARTICLE!$B$2:$J$200,3,FALSE)),"")</f>
        <v/>
      </c>
      <c r="D85" s="32" t="str">
        <f>IFERROR(IF(ISBLANK(VLOOKUP($B85,ARTICLE!$B$2:$J$200,4,FALSE)),"",VLOOKUP($B85,ARTICLE!$B$2:$J$200,4,FALSE)),"")</f>
        <v/>
      </c>
      <c r="E85" s="32" t="str">
        <f>IFERROR(IF(ISBLANK(VLOOKUP($B85,ARTICLE!$B$2:$J$200,5,FALSE)),"",VLOOKUP($B85,ARTICLE!$B$2:$J$200,5,FALSE)),"")</f>
        <v/>
      </c>
      <c r="F85" s="32" t="str">
        <f>IFERROR(IF(ISBLANK(VLOOKUP($B85,ARTICLE!$B$2:$J$200,6,FALSE)),"",VLOOKUP($B85,ARTICLE!$B$2:$J$200,6,FALSE)),"")</f>
        <v/>
      </c>
      <c r="G85" s="32" t="str">
        <f>IFERROR(IF(ISBLANK(VLOOKUP($B85,ARTICLE!$B$2:$J$200,7,FALSE)),"",VLOOKUP($B85,ARTICLE!$B$2:$J$200,7,FALSE)),"")</f>
        <v/>
      </c>
      <c r="H85" s="32" t="str">
        <f>IFERROR(IF(ISBLANK(VLOOKUP($B85,ARTICLE!$B$2:$J$200,8,FALSE)),"",VLOOKUP($B85,ARTICLE!$B$2:$J$200,8,FALSE)),"")</f>
        <v/>
      </c>
      <c r="I85" s="385"/>
      <c r="J85"/>
      <c r="K85"/>
      <c r="L85"/>
      <c r="M85"/>
      <c r="N85"/>
      <c r="O85"/>
      <c r="P85"/>
      <c r="Q85"/>
      <c r="R85"/>
      <c r="S85"/>
    </row>
    <row r="86" spans="1:19" outlineLevel="1">
      <c r="A86" s="382"/>
      <c r="B86" s="31"/>
      <c r="C86" s="59" t="str">
        <f>IFERROR(IF(ISBLANK(VLOOKUP($B86,ARTICLE!$B$2:$J$200,3,FALSE)),"",VLOOKUP($B86,ARTICLE!$B$2:$J$200,3,FALSE)),"")</f>
        <v/>
      </c>
      <c r="D86" s="32" t="str">
        <f>IFERROR(IF(ISBLANK(VLOOKUP($B86,ARTICLE!$B$2:$J$200,4,FALSE)),"",VLOOKUP($B86,ARTICLE!$B$2:$J$200,4,FALSE)),"")</f>
        <v/>
      </c>
      <c r="E86" s="32" t="str">
        <f>IFERROR(IF(ISBLANK(VLOOKUP($B86,ARTICLE!$B$2:$J$200,5,FALSE)),"",VLOOKUP($B86,ARTICLE!$B$2:$J$200,5,FALSE)),"")</f>
        <v/>
      </c>
      <c r="F86" s="32" t="str">
        <f>IFERROR(IF(ISBLANK(VLOOKUP($B86,ARTICLE!$B$2:$J$200,6,FALSE)),"",VLOOKUP($B86,ARTICLE!$B$2:$J$200,6,FALSE)),"")</f>
        <v/>
      </c>
      <c r="G86" s="32" t="str">
        <f>IFERROR(IF(ISBLANK(VLOOKUP($B86,ARTICLE!$B$2:$J$200,7,FALSE)),"",VLOOKUP($B86,ARTICLE!$B$2:$J$200,7,FALSE)),"")</f>
        <v/>
      </c>
      <c r="H86" s="32" t="str">
        <f>IFERROR(IF(ISBLANK(VLOOKUP($B86,ARTICLE!$B$2:$J$200,8,FALSE)),"",VLOOKUP($B86,ARTICLE!$B$2:$J$200,8,FALSE)),"")</f>
        <v/>
      </c>
      <c r="I86" s="385"/>
      <c r="J86"/>
      <c r="K86"/>
      <c r="L86"/>
      <c r="M86"/>
      <c r="N86"/>
      <c r="O86"/>
      <c r="P86"/>
      <c r="Q86"/>
      <c r="R86"/>
      <c r="S86"/>
    </row>
    <row r="87" spans="1:19" outlineLevel="1">
      <c r="A87" s="382"/>
      <c r="B87" s="31"/>
      <c r="C87" s="59" t="str">
        <f>IFERROR(IF(ISBLANK(VLOOKUP($B87,ARTICLE!$B$2:$J$200,3,FALSE)),"",VLOOKUP($B87,ARTICLE!$B$2:$J$200,3,FALSE)),"")</f>
        <v/>
      </c>
      <c r="D87" s="32" t="str">
        <f>IFERROR(IF(ISBLANK(VLOOKUP($B87,ARTICLE!$B$2:$J$200,4,FALSE)),"",VLOOKUP($B87,ARTICLE!$B$2:$J$200,4,FALSE)),"")</f>
        <v/>
      </c>
      <c r="E87" s="32" t="str">
        <f>IFERROR(IF(ISBLANK(VLOOKUP($B87,ARTICLE!$B$2:$J$200,5,FALSE)),"",VLOOKUP($B87,ARTICLE!$B$2:$J$200,5,FALSE)),"")</f>
        <v/>
      </c>
      <c r="F87" s="32" t="str">
        <f>IFERROR(IF(ISBLANK(VLOOKUP($B87,ARTICLE!$B$2:$J$200,6,FALSE)),"",VLOOKUP($B87,ARTICLE!$B$2:$J$200,6,FALSE)),"")</f>
        <v/>
      </c>
      <c r="G87" s="32" t="str">
        <f>IFERROR(IF(ISBLANK(VLOOKUP($B87,ARTICLE!$B$2:$J$200,7,FALSE)),"",VLOOKUP($B87,ARTICLE!$B$2:$J$200,7,FALSE)),"")</f>
        <v/>
      </c>
      <c r="H87" s="32" t="str">
        <f>IFERROR(IF(ISBLANK(VLOOKUP($B87,ARTICLE!$B$2:$J$200,8,FALSE)),"",VLOOKUP($B87,ARTICLE!$B$2:$J$200,8,FALSE)),"")</f>
        <v/>
      </c>
      <c r="I87" s="385"/>
      <c r="J87"/>
      <c r="K87"/>
      <c r="L87"/>
      <c r="M87"/>
      <c r="N87"/>
      <c r="O87"/>
      <c r="P87"/>
      <c r="Q87"/>
      <c r="R87"/>
      <c r="S87"/>
    </row>
    <row r="88" spans="1:19" outlineLevel="1">
      <c r="A88" s="382"/>
      <c r="B88" s="31"/>
      <c r="C88" s="59" t="str">
        <f>IFERROR(IF(ISBLANK(VLOOKUP($B88,ARTICLE!$B$2:$J$200,3,FALSE)),"",VLOOKUP($B88,ARTICLE!$B$2:$J$200,3,FALSE)),"")</f>
        <v/>
      </c>
      <c r="D88" s="32" t="str">
        <f>IFERROR(IF(ISBLANK(VLOOKUP($B88,ARTICLE!$B$2:$J$200,4,FALSE)),"",VLOOKUP($B88,ARTICLE!$B$2:$J$200,4,FALSE)),"")</f>
        <v/>
      </c>
      <c r="E88" s="32" t="str">
        <f>IFERROR(IF(ISBLANK(VLOOKUP($B88,ARTICLE!$B$2:$J$200,5,FALSE)),"",VLOOKUP($B88,ARTICLE!$B$2:$J$200,5,FALSE)),"")</f>
        <v/>
      </c>
      <c r="F88" s="32" t="str">
        <f>IFERROR(IF(ISBLANK(VLOOKUP($B88,ARTICLE!$B$2:$J$200,6,FALSE)),"",VLOOKUP($B88,ARTICLE!$B$2:$J$200,6,FALSE)),"")</f>
        <v/>
      </c>
      <c r="G88" s="32" t="str">
        <f>IFERROR(IF(ISBLANK(VLOOKUP($B88,ARTICLE!$B$2:$J$200,7,FALSE)),"",VLOOKUP($B88,ARTICLE!$B$2:$J$200,7,FALSE)),"")</f>
        <v/>
      </c>
      <c r="H88" s="32" t="str">
        <f>IFERROR(IF(ISBLANK(VLOOKUP($B88,ARTICLE!$B$2:$J$200,8,FALSE)),"",VLOOKUP($B88,ARTICLE!$B$2:$J$200,8,FALSE)),"")</f>
        <v/>
      </c>
      <c r="I88" s="385"/>
      <c r="J88"/>
      <c r="K88"/>
      <c r="L88"/>
      <c r="M88"/>
      <c r="N88"/>
      <c r="O88"/>
      <c r="P88"/>
      <c r="Q88"/>
      <c r="R88"/>
      <c r="S88"/>
    </row>
    <row r="89" spans="1:19" outlineLevel="1">
      <c r="A89" s="382"/>
      <c r="B89" s="33"/>
      <c r="C89" s="59" t="str">
        <f>IFERROR(IF(ISBLANK(VLOOKUP($B89,ARTICLE!$B$2:$J$200,3,FALSE)),"",VLOOKUP($B89,ARTICLE!$B$2:$J$200,3,FALSE)),"")</f>
        <v/>
      </c>
      <c r="D89" s="32" t="str">
        <f>IFERROR(IF(ISBLANK(VLOOKUP($B89,ARTICLE!$B$2:$J$200,4,FALSE)),"",VLOOKUP($B89,ARTICLE!$B$2:$J$200,4,FALSE)),"")</f>
        <v/>
      </c>
      <c r="E89" s="32" t="str">
        <f>IFERROR(IF(ISBLANK(VLOOKUP($B89,ARTICLE!$B$2:$J$200,5,FALSE)),"",VLOOKUP($B89,ARTICLE!$B$2:$J$200,5,FALSE)),"")</f>
        <v/>
      </c>
      <c r="F89" s="32" t="str">
        <f>IFERROR(IF(ISBLANK(VLOOKUP($B89,ARTICLE!$B$2:$J$200,6,FALSE)),"",VLOOKUP($B89,ARTICLE!$B$2:$J$200,6,FALSE)),"")</f>
        <v/>
      </c>
      <c r="G89" s="32" t="str">
        <f>IFERROR(IF(ISBLANK(VLOOKUP($B89,ARTICLE!$B$2:$J$200,7,FALSE)),"",VLOOKUP($B89,ARTICLE!$B$2:$J$200,7,FALSE)),"")</f>
        <v/>
      </c>
      <c r="H89" s="32" t="str">
        <f>IFERROR(IF(ISBLANK(VLOOKUP($B89,ARTICLE!$B$2:$J$200,8,FALSE)),"",VLOOKUP($B89,ARTICLE!$B$2:$J$200,8,FALSE)),"")</f>
        <v/>
      </c>
      <c r="I89" s="386"/>
      <c r="J89"/>
      <c r="K89"/>
      <c r="L89"/>
      <c r="M89"/>
      <c r="N89"/>
      <c r="O89"/>
      <c r="P89"/>
      <c r="Q89"/>
      <c r="R89"/>
      <c r="S89"/>
    </row>
    <row r="90" spans="1:19" outlineLevel="1">
      <c r="A90" s="382" t="str">
        <f t="shared" ref="A90" si="26">B90</f>
        <v/>
      </c>
      <c r="B90" s="349" t="str">
        <f>CONCATENATE(B91,IF(B92="",""," / "),B92,IF(B93="",""," / "),B93,IF(B94="",""," / "),B94,IF(B95="",""," / "),B95,IF(B96="",""," / "),B96,IF(B97="",""," / "),B97,B97,IF(B98="",""," / "),B98)</f>
        <v/>
      </c>
      <c r="C90" s="35" t="str">
        <f t="shared" si="19"/>
        <v/>
      </c>
      <c r="D90" s="35">
        <f t="shared" ref="D90" si="27">IF(SUM(E90:H90)=0,0,SUM(E90:H90))</f>
        <v>0</v>
      </c>
      <c r="E90" s="35">
        <f t="shared" si="21"/>
        <v>0</v>
      </c>
      <c r="F90" s="35">
        <f t="shared" ref="F90:H90" si="28">SUM(F91:F100)</f>
        <v>0</v>
      </c>
      <c r="G90" s="35">
        <f t="shared" si="28"/>
        <v>0</v>
      </c>
      <c r="H90" s="36">
        <f t="shared" si="28"/>
        <v>0</v>
      </c>
      <c r="I90" s="384"/>
      <c r="K90" s="284">
        <f>ROUNDUP(D90,0)*J90</f>
        <v>0</v>
      </c>
      <c r="L90" s="284">
        <f>ROUNDUP(J90*E90,0)</f>
        <v>0</v>
      </c>
      <c r="M90" s="285" t="e">
        <f>L90/K90</f>
        <v>#DIV/0!</v>
      </c>
      <c r="N90" s="284">
        <f>ROUNDUP(J90*F90,0)</f>
        <v>0</v>
      </c>
      <c r="O90" s="285" t="e">
        <f>N90/K90</f>
        <v>#DIV/0!</v>
      </c>
      <c r="P90" s="284">
        <f>ROUNDUP(J90*G90,0)</f>
        <v>0</v>
      </c>
      <c r="Q90" s="285" t="e">
        <f>P90/K90</f>
        <v>#DIV/0!</v>
      </c>
      <c r="R90" s="284">
        <f>ROUNDUP(J90*H90,0)</f>
        <v>0</v>
      </c>
      <c r="S90" s="285" t="e">
        <f>R90/K90</f>
        <v>#DIV/0!</v>
      </c>
    </row>
    <row r="91" spans="1:19" outlineLevel="1">
      <c r="A91" s="382"/>
      <c r="B91" s="31"/>
      <c r="C91" s="59" t="str">
        <f>IFERROR(IF(ISBLANK(VLOOKUP($B91,ARTICLE!$B$2:$J$200,3,FALSE)),"",VLOOKUP($B91,ARTICLE!$B$2:$J$200,3,FALSE)),"")</f>
        <v/>
      </c>
      <c r="D91" s="32" t="str">
        <f>IFERROR(IF(ISBLANK(VLOOKUP($B91,ARTICLE!$B$2:$J$200,4,FALSE)),"",VLOOKUP($B91,ARTICLE!$B$2:$J$200,4,FALSE)),"")</f>
        <v/>
      </c>
      <c r="E91" s="32" t="str">
        <f>IFERROR(IF(ISBLANK(VLOOKUP($B91,ARTICLE!$B$2:$J$200,5,FALSE)),"",VLOOKUP($B91,ARTICLE!$B$2:$J$200,5,FALSE)),"")</f>
        <v/>
      </c>
      <c r="F91" s="32" t="str">
        <f>IFERROR(IF(ISBLANK(VLOOKUP($B91,ARTICLE!$B$2:$J$200,6,FALSE)),"",VLOOKUP($B91,ARTICLE!$B$2:$J$200,6,FALSE)),"")</f>
        <v/>
      </c>
      <c r="G91" s="32" t="str">
        <f>IFERROR(IF(ISBLANK(VLOOKUP($B91,ARTICLE!$B$2:$J$200,7,FALSE)),"",VLOOKUP($B91,ARTICLE!$B$2:$J$200,7,FALSE)),"")</f>
        <v/>
      </c>
      <c r="H91" s="32" t="str">
        <f>IFERROR(IF(ISBLANK(VLOOKUP($B91,ARTICLE!$B$2:$J$200,8,FALSE)),"",VLOOKUP($B91,ARTICLE!$B$2:$J$200,8,FALSE)),"")</f>
        <v/>
      </c>
      <c r="I91" s="385"/>
      <c r="J91"/>
      <c r="K91"/>
      <c r="L91"/>
      <c r="M91"/>
      <c r="N91"/>
      <c r="O91"/>
      <c r="P91"/>
      <c r="Q91"/>
      <c r="R91"/>
      <c r="S91"/>
    </row>
    <row r="92" spans="1:19" outlineLevel="1">
      <c r="A92" s="382"/>
      <c r="B92" s="31"/>
      <c r="C92" s="59" t="str">
        <f>IFERROR(IF(ISBLANK(VLOOKUP($B92,ARTICLE!$B$2:$J$200,3,FALSE)),"",VLOOKUP($B92,ARTICLE!$B$2:$J$200,3,FALSE)),"")</f>
        <v/>
      </c>
      <c r="D92" s="32" t="str">
        <f>IFERROR(IF(ISBLANK(VLOOKUP($B92,ARTICLE!$B$2:$J$200,4,FALSE)),"",VLOOKUP($B92,ARTICLE!$B$2:$J$200,4,FALSE)),"")</f>
        <v/>
      </c>
      <c r="E92" s="32" t="str">
        <f>IFERROR(IF(ISBLANK(VLOOKUP($B92,ARTICLE!$B$2:$J$200,5,FALSE)),"",VLOOKUP($B92,ARTICLE!$B$2:$J$200,5,FALSE)),"")</f>
        <v/>
      </c>
      <c r="F92" s="32" t="str">
        <f>IFERROR(IF(ISBLANK(VLOOKUP($B92,ARTICLE!$B$2:$J$200,6,FALSE)),"",VLOOKUP($B92,ARTICLE!$B$2:$J$200,6,FALSE)),"")</f>
        <v/>
      </c>
      <c r="G92" s="32" t="str">
        <f>IFERROR(IF(ISBLANK(VLOOKUP($B92,ARTICLE!$B$2:$J$200,7,FALSE)),"",VLOOKUP($B92,ARTICLE!$B$2:$J$200,7,FALSE)),"")</f>
        <v/>
      </c>
      <c r="H92" s="32" t="str">
        <f>IFERROR(IF(ISBLANK(VLOOKUP($B92,ARTICLE!$B$2:$J$200,8,FALSE)),"",VLOOKUP($B92,ARTICLE!$B$2:$J$200,8,FALSE)),"")</f>
        <v/>
      </c>
      <c r="I92" s="385"/>
      <c r="J92"/>
      <c r="K92"/>
      <c r="L92"/>
      <c r="M92"/>
      <c r="N92"/>
      <c r="O92"/>
      <c r="P92"/>
      <c r="Q92"/>
      <c r="R92"/>
      <c r="S92"/>
    </row>
    <row r="93" spans="1:19" outlineLevel="1">
      <c r="A93" s="382"/>
      <c r="B93" s="31"/>
      <c r="C93" s="59" t="str">
        <f>IFERROR(IF(ISBLANK(VLOOKUP($B93,ARTICLE!$B$2:$J$200,3,FALSE)),"",VLOOKUP($B93,ARTICLE!$B$2:$J$200,3,FALSE)),"")</f>
        <v/>
      </c>
      <c r="D93" s="32" t="str">
        <f>IFERROR(IF(ISBLANK(VLOOKUP($B93,ARTICLE!$B$2:$J$200,4,FALSE)),"",VLOOKUP($B93,ARTICLE!$B$2:$J$200,4,FALSE)),"")</f>
        <v/>
      </c>
      <c r="E93" s="32" t="str">
        <f>IFERROR(IF(ISBLANK(VLOOKUP($B93,ARTICLE!$B$2:$J$200,5,FALSE)),"",VLOOKUP($B93,ARTICLE!$B$2:$J$200,5,FALSE)),"")</f>
        <v/>
      </c>
      <c r="F93" s="32" t="str">
        <f>IFERROR(IF(ISBLANK(VLOOKUP($B93,ARTICLE!$B$2:$J$200,6,FALSE)),"",VLOOKUP($B93,ARTICLE!$B$2:$J$200,6,FALSE)),"")</f>
        <v/>
      </c>
      <c r="G93" s="32" t="str">
        <f>IFERROR(IF(ISBLANK(VLOOKUP($B93,ARTICLE!$B$2:$J$200,7,FALSE)),"",VLOOKUP($B93,ARTICLE!$B$2:$J$200,7,FALSE)),"")</f>
        <v/>
      </c>
      <c r="H93" s="32" t="str">
        <f>IFERROR(IF(ISBLANK(VLOOKUP($B93,ARTICLE!$B$2:$J$200,8,FALSE)),"",VLOOKUP($B93,ARTICLE!$B$2:$J$200,8,FALSE)),"")</f>
        <v/>
      </c>
      <c r="I93" s="385"/>
      <c r="J93"/>
      <c r="K93"/>
      <c r="L93"/>
      <c r="M93"/>
      <c r="N93"/>
      <c r="O93"/>
      <c r="P93"/>
      <c r="Q93"/>
      <c r="R93"/>
      <c r="S93"/>
    </row>
    <row r="94" spans="1:19" outlineLevel="1">
      <c r="A94" s="382"/>
      <c r="B94" s="31"/>
      <c r="C94" s="59" t="str">
        <f>IFERROR(IF(ISBLANK(VLOOKUP($B94,ARTICLE!$B$2:$J$200,3,FALSE)),"",VLOOKUP($B94,ARTICLE!$B$2:$J$200,3,FALSE)),"")</f>
        <v/>
      </c>
      <c r="D94" s="32" t="str">
        <f>IFERROR(IF(ISBLANK(VLOOKUP($B94,ARTICLE!$B$2:$J$200,4,FALSE)),"",VLOOKUP($B94,ARTICLE!$B$2:$J$200,4,FALSE)),"")</f>
        <v/>
      </c>
      <c r="E94" s="32" t="str">
        <f>IFERROR(IF(ISBLANK(VLOOKUP($B94,ARTICLE!$B$2:$J$200,5,FALSE)),"",VLOOKUP($B94,ARTICLE!$B$2:$J$200,5,FALSE)),"")</f>
        <v/>
      </c>
      <c r="F94" s="32" t="str">
        <f>IFERROR(IF(ISBLANK(VLOOKUP($B94,ARTICLE!$B$2:$J$200,6,FALSE)),"",VLOOKUP($B94,ARTICLE!$B$2:$J$200,6,FALSE)),"")</f>
        <v/>
      </c>
      <c r="G94" s="32" t="str">
        <f>IFERROR(IF(ISBLANK(VLOOKUP($B94,ARTICLE!$B$2:$J$200,7,FALSE)),"",VLOOKUP($B94,ARTICLE!$B$2:$J$200,7,FALSE)),"")</f>
        <v/>
      </c>
      <c r="H94" s="32" t="str">
        <f>IFERROR(IF(ISBLANK(VLOOKUP($B94,ARTICLE!$B$2:$J$200,8,FALSE)),"",VLOOKUP($B94,ARTICLE!$B$2:$J$200,8,FALSE)),"")</f>
        <v/>
      </c>
      <c r="I94" s="385"/>
      <c r="J94"/>
      <c r="K94"/>
      <c r="L94"/>
      <c r="M94"/>
      <c r="N94"/>
      <c r="O94"/>
      <c r="P94"/>
      <c r="Q94"/>
      <c r="R94"/>
      <c r="S94"/>
    </row>
    <row r="95" spans="1:19" outlineLevel="1">
      <c r="A95" s="382"/>
      <c r="B95" s="31"/>
      <c r="C95" s="59" t="str">
        <f>IFERROR(IF(ISBLANK(VLOOKUP($B95,ARTICLE!$B$2:$J$200,3,FALSE)),"",VLOOKUP($B95,ARTICLE!$B$2:$J$200,3,FALSE)),"")</f>
        <v/>
      </c>
      <c r="D95" s="32" t="str">
        <f>IFERROR(IF(ISBLANK(VLOOKUP($B95,ARTICLE!$B$2:$J$200,4,FALSE)),"",VLOOKUP($B95,ARTICLE!$B$2:$J$200,4,FALSE)),"")</f>
        <v/>
      </c>
      <c r="E95" s="32" t="str">
        <f>IFERROR(IF(ISBLANK(VLOOKUP($B95,ARTICLE!$B$2:$J$200,5,FALSE)),"",VLOOKUP($B95,ARTICLE!$B$2:$J$200,5,FALSE)),"")</f>
        <v/>
      </c>
      <c r="F95" s="32" t="str">
        <f>IFERROR(IF(ISBLANK(VLOOKUP($B95,ARTICLE!$B$2:$J$200,6,FALSE)),"",VLOOKUP($B95,ARTICLE!$B$2:$J$200,6,FALSE)),"")</f>
        <v/>
      </c>
      <c r="G95" s="32" t="str">
        <f>IFERROR(IF(ISBLANK(VLOOKUP($B95,ARTICLE!$B$2:$J$200,7,FALSE)),"",VLOOKUP($B95,ARTICLE!$B$2:$J$200,7,FALSE)),"")</f>
        <v/>
      </c>
      <c r="H95" s="32" t="str">
        <f>IFERROR(IF(ISBLANK(VLOOKUP($B95,ARTICLE!$B$2:$J$200,8,FALSE)),"",VLOOKUP($B95,ARTICLE!$B$2:$J$200,8,FALSE)),"")</f>
        <v/>
      </c>
      <c r="I95" s="385"/>
      <c r="J95"/>
      <c r="K95"/>
      <c r="L95"/>
      <c r="M95"/>
      <c r="N95"/>
      <c r="O95"/>
      <c r="P95"/>
      <c r="Q95"/>
      <c r="R95"/>
      <c r="S95"/>
    </row>
    <row r="96" spans="1:19" outlineLevel="1">
      <c r="A96" s="382"/>
      <c r="B96" s="31"/>
      <c r="C96" s="59" t="str">
        <f>IFERROR(IF(ISBLANK(VLOOKUP($B96,ARTICLE!$B$2:$J$200,3,FALSE)),"",VLOOKUP($B96,ARTICLE!$B$2:$J$200,3,FALSE)),"")</f>
        <v/>
      </c>
      <c r="D96" s="32" t="str">
        <f>IFERROR(IF(ISBLANK(VLOOKUP($B96,ARTICLE!$B$2:$J$200,4,FALSE)),"",VLOOKUP($B96,ARTICLE!$B$2:$J$200,4,FALSE)),"")</f>
        <v/>
      </c>
      <c r="E96" s="32" t="str">
        <f>IFERROR(IF(ISBLANK(VLOOKUP($B96,ARTICLE!$B$2:$J$200,5,FALSE)),"",VLOOKUP($B96,ARTICLE!$B$2:$J$200,5,FALSE)),"")</f>
        <v/>
      </c>
      <c r="F96" s="32" t="str">
        <f>IFERROR(IF(ISBLANK(VLOOKUP($B96,ARTICLE!$B$2:$J$200,6,FALSE)),"",VLOOKUP($B96,ARTICLE!$B$2:$J$200,6,FALSE)),"")</f>
        <v/>
      </c>
      <c r="G96" s="32" t="str">
        <f>IFERROR(IF(ISBLANK(VLOOKUP($B96,ARTICLE!$B$2:$J$200,7,FALSE)),"",VLOOKUP($B96,ARTICLE!$B$2:$J$200,7,FALSE)),"")</f>
        <v/>
      </c>
      <c r="H96" s="32" t="str">
        <f>IFERROR(IF(ISBLANK(VLOOKUP($B96,ARTICLE!$B$2:$J$200,8,FALSE)),"",VLOOKUP($B96,ARTICLE!$B$2:$J$200,8,FALSE)),"")</f>
        <v/>
      </c>
      <c r="I96" s="385"/>
      <c r="J96"/>
      <c r="K96"/>
      <c r="L96"/>
      <c r="M96"/>
      <c r="N96"/>
      <c r="O96"/>
      <c r="P96"/>
      <c r="Q96"/>
      <c r="R96"/>
      <c r="S96"/>
    </row>
    <row r="97" spans="1:19" outlineLevel="1">
      <c r="A97" s="382"/>
      <c r="B97" s="31"/>
      <c r="C97" s="59" t="str">
        <f>IFERROR(IF(ISBLANK(VLOOKUP($B97,ARTICLE!$B$2:$J$200,3,FALSE)),"",VLOOKUP($B97,ARTICLE!$B$2:$J$200,3,FALSE)),"")</f>
        <v/>
      </c>
      <c r="D97" s="32" t="str">
        <f>IFERROR(IF(ISBLANK(VLOOKUP($B97,ARTICLE!$B$2:$J$200,4,FALSE)),"",VLOOKUP($B97,ARTICLE!$B$2:$J$200,4,FALSE)),"")</f>
        <v/>
      </c>
      <c r="E97" s="32" t="str">
        <f>IFERROR(IF(ISBLANK(VLOOKUP($B97,ARTICLE!$B$2:$J$200,5,FALSE)),"",VLOOKUP($B97,ARTICLE!$B$2:$J$200,5,FALSE)),"")</f>
        <v/>
      </c>
      <c r="F97" s="32" t="str">
        <f>IFERROR(IF(ISBLANK(VLOOKUP($B97,ARTICLE!$B$2:$J$200,6,FALSE)),"",VLOOKUP($B97,ARTICLE!$B$2:$J$200,6,FALSE)),"")</f>
        <v/>
      </c>
      <c r="G97" s="32" t="str">
        <f>IFERROR(IF(ISBLANK(VLOOKUP($B97,ARTICLE!$B$2:$J$200,7,FALSE)),"",VLOOKUP($B97,ARTICLE!$B$2:$J$200,7,FALSE)),"")</f>
        <v/>
      </c>
      <c r="H97" s="32" t="str">
        <f>IFERROR(IF(ISBLANK(VLOOKUP($B97,ARTICLE!$B$2:$J$200,8,FALSE)),"",VLOOKUP($B97,ARTICLE!$B$2:$J$200,8,FALSE)),"")</f>
        <v/>
      </c>
      <c r="I97" s="385"/>
      <c r="J97"/>
      <c r="K97"/>
      <c r="L97"/>
      <c r="M97"/>
      <c r="N97"/>
      <c r="O97"/>
      <c r="P97"/>
      <c r="Q97"/>
      <c r="R97"/>
      <c r="S97"/>
    </row>
    <row r="98" spans="1:19" outlineLevel="1">
      <c r="A98" s="382"/>
      <c r="B98" s="31"/>
      <c r="C98" s="59" t="str">
        <f>IFERROR(IF(ISBLANK(VLOOKUP($B98,ARTICLE!$B$2:$J$200,3,FALSE)),"",VLOOKUP($B98,ARTICLE!$B$2:$J$200,3,FALSE)),"")</f>
        <v/>
      </c>
      <c r="D98" s="32" t="str">
        <f>IFERROR(IF(ISBLANK(VLOOKUP($B98,ARTICLE!$B$2:$J$200,4,FALSE)),"",VLOOKUP($B98,ARTICLE!$B$2:$J$200,4,FALSE)),"")</f>
        <v/>
      </c>
      <c r="E98" s="32" t="str">
        <f>IFERROR(IF(ISBLANK(VLOOKUP($B98,ARTICLE!$B$2:$J$200,5,FALSE)),"",VLOOKUP($B98,ARTICLE!$B$2:$J$200,5,FALSE)),"")</f>
        <v/>
      </c>
      <c r="F98" s="32" t="str">
        <f>IFERROR(IF(ISBLANK(VLOOKUP($B98,ARTICLE!$B$2:$J$200,6,FALSE)),"",VLOOKUP($B98,ARTICLE!$B$2:$J$200,6,FALSE)),"")</f>
        <v/>
      </c>
      <c r="G98" s="32" t="str">
        <f>IFERROR(IF(ISBLANK(VLOOKUP($B98,ARTICLE!$B$2:$J$200,7,FALSE)),"",VLOOKUP($B98,ARTICLE!$B$2:$J$200,7,FALSE)),"")</f>
        <v/>
      </c>
      <c r="H98" s="32" t="str">
        <f>IFERROR(IF(ISBLANK(VLOOKUP($B98,ARTICLE!$B$2:$J$200,8,FALSE)),"",VLOOKUP($B98,ARTICLE!$B$2:$J$200,8,FALSE)),"")</f>
        <v/>
      </c>
      <c r="I98" s="385"/>
      <c r="J98"/>
      <c r="K98"/>
      <c r="L98"/>
      <c r="M98"/>
      <c r="N98"/>
      <c r="O98"/>
      <c r="P98"/>
      <c r="Q98"/>
      <c r="R98"/>
      <c r="S98"/>
    </row>
    <row r="99" spans="1:19" outlineLevel="1">
      <c r="A99" s="382"/>
      <c r="B99" s="31"/>
      <c r="C99" s="59" t="str">
        <f>IFERROR(IF(ISBLANK(VLOOKUP($B99,ARTICLE!$B$2:$J$200,3,FALSE)),"",VLOOKUP($B99,ARTICLE!$B$2:$J$200,3,FALSE)),"")</f>
        <v/>
      </c>
      <c r="D99" s="32" t="str">
        <f>IFERROR(IF(ISBLANK(VLOOKUP($B99,ARTICLE!$B$2:$J$200,4,FALSE)),"",VLOOKUP($B99,ARTICLE!$B$2:$J$200,4,FALSE)),"")</f>
        <v/>
      </c>
      <c r="E99" s="32" t="str">
        <f>IFERROR(IF(ISBLANK(VLOOKUP($B99,ARTICLE!$B$2:$J$200,5,FALSE)),"",VLOOKUP($B99,ARTICLE!$B$2:$J$200,5,FALSE)),"")</f>
        <v/>
      </c>
      <c r="F99" s="32" t="str">
        <f>IFERROR(IF(ISBLANK(VLOOKUP($B99,ARTICLE!$B$2:$J$200,6,FALSE)),"",VLOOKUP($B99,ARTICLE!$B$2:$J$200,6,FALSE)),"")</f>
        <v/>
      </c>
      <c r="G99" s="32" t="str">
        <f>IFERROR(IF(ISBLANK(VLOOKUP($B99,ARTICLE!$B$2:$J$200,7,FALSE)),"",VLOOKUP($B99,ARTICLE!$B$2:$J$200,7,FALSE)),"")</f>
        <v/>
      </c>
      <c r="H99" s="32" t="str">
        <f>IFERROR(IF(ISBLANK(VLOOKUP($B99,ARTICLE!$B$2:$J$200,8,FALSE)),"",VLOOKUP($B99,ARTICLE!$B$2:$J$200,8,FALSE)),"")</f>
        <v/>
      </c>
      <c r="I99" s="385"/>
      <c r="J99"/>
      <c r="K99"/>
      <c r="L99"/>
      <c r="M99"/>
      <c r="N99"/>
      <c r="O99"/>
      <c r="P99"/>
      <c r="Q99"/>
      <c r="R99"/>
      <c r="S99"/>
    </row>
    <row r="100" spans="1:19" outlineLevel="1">
      <c r="A100" s="382"/>
      <c r="B100" s="33"/>
      <c r="C100" s="59" t="str">
        <f>IFERROR(IF(ISBLANK(VLOOKUP($B100,ARTICLE!$B$2:$J$200,3,FALSE)),"",VLOOKUP($B100,ARTICLE!$B$2:$J$200,3,FALSE)),"")</f>
        <v/>
      </c>
      <c r="D100" s="32" t="str">
        <f>IFERROR(IF(ISBLANK(VLOOKUP($B100,ARTICLE!$B$2:$J$200,4,FALSE)),"",VLOOKUP($B100,ARTICLE!$B$2:$J$200,4,FALSE)),"")</f>
        <v/>
      </c>
      <c r="E100" s="32" t="str">
        <f>IFERROR(IF(ISBLANK(VLOOKUP($B100,ARTICLE!$B$2:$J$200,5,FALSE)),"",VLOOKUP($B100,ARTICLE!$B$2:$J$200,5,FALSE)),"")</f>
        <v/>
      </c>
      <c r="F100" s="32" t="str">
        <f>IFERROR(IF(ISBLANK(VLOOKUP($B100,ARTICLE!$B$2:$J$200,6,FALSE)),"",VLOOKUP($B100,ARTICLE!$B$2:$J$200,6,FALSE)),"")</f>
        <v/>
      </c>
      <c r="G100" s="32" t="str">
        <f>IFERROR(IF(ISBLANK(VLOOKUP($B100,ARTICLE!$B$2:$J$200,7,FALSE)),"",VLOOKUP($B100,ARTICLE!$B$2:$J$200,7,FALSE)),"")</f>
        <v/>
      </c>
      <c r="H100" s="32" t="str">
        <f>IFERROR(IF(ISBLANK(VLOOKUP($B100,ARTICLE!$B$2:$J$200,8,FALSE)),"",VLOOKUP($B100,ARTICLE!$B$2:$J$200,8,FALSE)),"")</f>
        <v/>
      </c>
      <c r="I100" s="386"/>
      <c r="J100"/>
      <c r="K100"/>
      <c r="L100"/>
      <c r="M100"/>
      <c r="N100"/>
      <c r="O100"/>
      <c r="P100"/>
      <c r="Q100"/>
      <c r="R100"/>
      <c r="S100"/>
    </row>
    <row r="101" spans="1:19" outlineLevel="1">
      <c r="A101" s="382" t="str">
        <f t="shared" ref="A101" si="29">B101</f>
        <v/>
      </c>
      <c r="B101" s="34" t="str">
        <f>CONCATENATE(B102,IF(B103="",""," / "),B103,IF(B104="",""," / "),B104,IF(B105="",""," / "),B105,IF(B106="",""," / "),B106,IF(B107="",""," / "),B107,IF(B108="",""," / "),B108)</f>
        <v/>
      </c>
      <c r="C101" s="35" t="str">
        <f t="shared" si="19"/>
        <v/>
      </c>
      <c r="D101" s="35">
        <f t="shared" ref="D101" si="30">IF(SUM(E101:H101)=0,0,SUM(E101:H101))</f>
        <v>0</v>
      </c>
      <c r="E101" s="35">
        <f t="shared" si="21"/>
        <v>0</v>
      </c>
      <c r="F101" s="35">
        <f t="shared" ref="F101:H101" si="31">SUM(F102:F111)</f>
        <v>0</v>
      </c>
      <c r="G101" s="35">
        <f t="shared" si="31"/>
        <v>0</v>
      </c>
      <c r="H101" s="36">
        <f t="shared" si="31"/>
        <v>0</v>
      </c>
      <c r="I101" s="384"/>
      <c r="K101" s="284">
        <f>ROUNDUP(D101,0)*J101</f>
        <v>0</v>
      </c>
      <c r="L101" s="284">
        <f>ROUNDUP(J101*E101,0)</f>
        <v>0</v>
      </c>
      <c r="M101" s="285" t="e">
        <f>L101/K101</f>
        <v>#DIV/0!</v>
      </c>
      <c r="N101" s="284">
        <f>ROUNDUP(J101*F101,0)</f>
        <v>0</v>
      </c>
      <c r="O101" s="285" t="e">
        <f>N101/K101</f>
        <v>#DIV/0!</v>
      </c>
      <c r="P101" s="284">
        <f>ROUNDUP(J101*G101,0)</f>
        <v>0</v>
      </c>
      <c r="Q101" s="285" t="e">
        <f>P101/K101</f>
        <v>#DIV/0!</v>
      </c>
      <c r="R101" s="284">
        <f>ROUNDUP(J101*H101,0)</f>
        <v>0</v>
      </c>
      <c r="S101" s="285" t="e">
        <f>R101/K101</f>
        <v>#DIV/0!</v>
      </c>
    </row>
    <row r="102" spans="1:19" outlineLevel="1">
      <c r="A102" s="382"/>
      <c r="B102" s="31"/>
      <c r="C102" s="59" t="str">
        <f>IFERROR(IF(ISBLANK(VLOOKUP($B102,ARTICLE!$B$2:$J$200,3,FALSE)),"",VLOOKUP($B102,ARTICLE!$B$2:$J$200,3,FALSE)),"")</f>
        <v/>
      </c>
      <c r="D102" s="32" t="str">
        <f>IFERROR(IF(ISBLANK(VLOOKUP($B102,ARTICLE!$B$2:$J$200,4,FALSE)),"",VLOOKUP($B102,ARTICLE!$B$2:$J$200,4,FALSE)),"")</f>
        <v/>
      </c>
      <c r="E102" s="32" t="str">
        <f>IFERROR(IF(ISBLANK(VLOOKUP($B102,ARTICLE!$B$2:$J$200,5,FALSE)),"",VLOOKUP($B102,ARTICLE!$B$2:$J$200,5,FALSE)),"")</f>
        <v/>
      </c>
      <c r="F102" s="32" t="str">
        <f>IFERROR(IF(ISBLANK(VLOOKUP($B102,ARTICLE!$B$2:$J$200,6,FALSE)),"",VLOOKUP($B102,ARTICLE!$B$2:$J$200,6,FALSE)),"")</f>
        <v/>
      </c>
      <c r="G102" s="32" t="str">
        <f>IFERROR(IF(ISBLANK(VLOOKUP($B102,ARTICLE!$B$2:$J$200,7,FALSE)),"",VLOOKUP($B102,ARTICLE!$B$2:$J$200,7,FALSE)),"")</f>
        <v/>
      </c>
      <c r="H102" s="32" t="str">
        <f>IFERROR(IF(ISBLANK(VLOOKUP($B102,ARTICLE!$B$2:$J$200,8,FALSE)),"",VLOOKUP($B102,ARTICLE!$B$2:$J$200,8,FALSE)),"")</f>
        <v/>
      </c>
      <c r="I102" s="385"/>
      <c r="J102"/>
      <c r="K102"/>
      <c r="L102"/>
      <c r="M102"/>
      <c r="N102"/>
      <c r="O102"/>
      <c r="P102"/>
      <c r="Q102"/>
      <c r="R102"/>
      <c r="S102"/>
    </row>
    <row r="103" spans="1:19" outlineLevel="1">
      <c r="A103" s="382"/>
      <c r="B103" s="31"/>
      <c r="C103" s="59" t="str">
        <f>IFERROR(IF(ISBLANK(VLOOKUP($B103,ARTICLE!$B$2:$J$200,3,FALSE)),"",VLOOKUP($B103,ARTICLE!$B$2:$J$200,3,FALSE)),"")</f>
        <v/>
      </c>
      <c r="D103" s="32" t="str">
        <f>IFERROR(IF(ISBLANK(VLOOKUP($B103,ARTICLE!$B$2:$J$200,4,FALSE)),"",VLOOKUP($B103,ARTICLE!$B$2:$J$200,4,FALSE)),"")</f>
        <v/>
      </c>
      <c r="E103" s="32" t="str">
        <f>IFERROR(IF(ISBLANK(VLOOKUP($B103,ARTICLE!$B$2:$J$200,5,FALSE)),"",VLOOKUP($B103,ARTICLE!$B$2:$J$200,5,FALSE)),"")</f>
        <v/>
      </c>
      <c r="F103" s="32" t="str">
        <f>IFERROR(IF(ISBLANK(VLOOKUP($B103,ARTICLE!$B$2:$J$200,6,FALSE)),"",VLOOKUP($B103,ARTICLE!$B$2:$J$200,6,FALSE)),"")</f>
        <v/>
      </c>
      <c r="G103" s="32" t="str">
        <f>IFERROR(IF(ISBLANK(VLOOKUP($B103,ARTICLE!$B$2:$J$200,7,FALSE)),"",VLOOKUP($B103,ARTICLE!$B$2:$J$200,7,FALSE)),"")</f>
        <v/>
      </c>
      <c r="H103" s="32" t="str">
        <f>IFERROR(IF(ISBLANK(VLOOKUP($B103,ARTICLE!$B$2:$J$200,8,FALSE)),"",VLOOKUP($B103,ARTICLE!$B$2:$J$200,8,FALSE)),"")</f>
        <v/>
      </c>
      <c r="I103" s="385"/>
      <c r="J103"/>
      <c r="K103"/>
      <c r="L103"/>
      <c r="M103"/>
      <c r="N103"/>
      <c r="O103"/>
      <c r="P103"/>
      <c r="Q103"/>
      <c r="R103"/>
      <c r="S103"/>
    </row>
    <row r="104" spans="1:19" outlineLevel="1">
      <c r="A104" s="382"/>
      <c r="B104" s="31"/>
      <c r="C104" s="59" t="str">
        <f>IFERROR(IF(ISBLANK(VLOOKUP($B104,ARTICLE!$B$2:$J$200,3,FALSE)),"",VLOOKUP($B104,ARTICLE!$B$2:$J$200,3,FALSE)),"")</f>
        <v/>
      </c>
      <c r="D104" s="32" t="str">
        <f>IFERROR(IF(ISBLANK(VLOOKUP($B104,ARTICLE!$B$2:$J$200,4,FALSE)),"",VLOOKUP($B104,ARTICLE!$B$2:$J$200,4,FALSE)),"")</f>
        <v/>
      </c>
      <c r="E104" s="32" t="str">
        <f>IFERROR(IF(ISBLANK(VLOOKUP($B104,ARTICLE!$B$2:$J$200,5,FALSE)),"",VLOOKUP($B104,ARTICLE!$B$2:$J$200,5,FALSE)),"")</f>
        <v/>
      </c>
      <c r="F104" s="32" t="str">
        <f>IFERROR(IF(ISBLANK(VLOOKUP($B104,ARTICLE!$B$2:$J$200,6,FALSE)),"",VLOOKUP($B104,ARTICLE!$B$2:$J$200,6,FALSE)),"")</f>
        <v/>
      </c>
      <c r="G104" s="32" t="str">
        <f>IFERROR(IF(ISBLANK(VLOOKUP($B104,ARTICLE!$B$2:$J$200,7,FALSE)),"",VLOOKUP($B104,ARTICLE!$B$2:$J$200,7,FALSE)),"")</f>
        <v/>
      </c>
      <c r="H104" s="32" t="str">
        <f>IFERROR(IF(ISBLANK(VLOOKUP($B104,ARTICLE!$B$2:$J$200,8,FALSE)),"",VLOOKUP($B104,ARTICLE!$B$2:$J$200,8,FALSE)),"")</f>
        <v/>
      </c>
      <c r="I104" s="385"/>
      <c r="J104"/>
      <c r="K104"/>
      <c r="L104"/>
      <c r="M104"/>
      <c r="N104"/>
      <c r="O104"/>
      <c r="P104"/>
      <c r="Q104"/>
      <c r="R104"/>
      <c r="S104"/>
    </row>
    <row r="105" spans="1:19" outlineLevel="1">
      <c r="A105" s="382"/>
      <c r="B105" s="31"/>
      <c r="C105" s="59" t="str">
        <f>IFERROR(IF(ISBLANK(VLOOKUP($B105,ARTICLE!$B$2:$J$200,3,FALSE)),"",VLOOKUP($B105,ARTICLE!$B$2:$J$200,3,FALSE)),"")</f>
        <v/>
      </c>
      <c r="D105" s="32" t="str">
        <f>IFERROR(IF(ISBLANK(VLOOKUP($B105,ARTICLE!$B$2:$J$200,4,FALSE)),"",VLOOKUP($B105,ARTICLE!$B$2:$J$200,4,FALSE)),"")</f>
        <v/>
      </c>
      <c r="E105" s="32" t="str">
        <f>IFERROR(IF(ISBLANK(VLOOKUP($B105,ARTICLE!$B$2:$J$200,5,FALSE)),"",VLOOKUP($B105,ARTICLE!$B$2:$J$200,5,FALSE)),"")</f>
        <v/>
      </c>
      <c r="F105" s="32" t="str">
        <f>IFERROR(IF(ISBLANK(VLOOKUP($B105,ARTICLE!$B$2:$J$200,6,FALSE)),"",VLOOKUP($B105,ARTICLE!$B$2:$J$200,6,FALSE)),"")</f>
        <v/>
      </c>
      <c r="G105" s="32" t="str">
        <f>IFERROR(IF(ISBLANK(VLOOKUP($B105,ARTICLE!$B$2:$J$200,7,FALSE)),"",VLOOKUP($B105,ARTICLE!$B$2:$J$200,7,FALSE)),"")</f>
        <v/>
      </c>
      <c r="H105" s="32" t="str">
        <f>IFERROR(IF(ISBLANK(VLOOKUP($B105,ARTICLE!$B$2:$J$200,8,FALSE)),"",VLOOKUP($B105,ARTICLE!$B$2:$J$200,8,FALSE)),"")</f>
        <v/>
      </c>
      <c r="I105" s="385"/>
      <c r="J105"/>
      <c r="K105"/>
      <c r="L105"/>
      <c r="M105"/>
      <c r="N105"/>
      <c r="O105"/>
      <c r="P105"/>
      <c r="Q105"/>
      <c r="R105"/>
      <c r="S105"/>
    </row>
    <row r="106" spans="1:19" outlineLevel="1">
      <c r="A106" s="382"/>
      <c r="B106" s="31"/>
      <c r="C106" s="59" t="str">
        <f>IFERROR(IF(ISBLANK(VLOOKUP($B106,ARTICLE!$B$2:$J$200,3,FALSE)),"",VLOOKUP($B106,ARTICLE!$B$2:$J$200,3,FALSE)),"")</f>
        <v/>
      </c>
      <c r="D106" s="32" t="str">
        <f>IFERROR(IF(ISBLANK(VLOOKUP($B106,ARTICLE!$B$2:$J$200,4,FALSE)),"",VLOOKUP($B106,ARTICLE!$B$2:$J$200,4,FALSE)),"")</f>
        <v/>
      </c>
      <c r="E106" s="32" t="str">
        <f>IFERROR(IF(ISBLANK(VLOOKUP($B106,ARTICLE!$B$2:$J$200,5,FALSE)),"",VLOOKUP($B106,ARTICLE!$B$2:$J$200,5,FALSE)),"")</f>
        <v/>
      </c>
      <c r="F106" s="32" t="str">
        <f>IFERROR(IF(ISBLANK(VLOOKUP($B106,ARTICLE!$B$2:$J$200,6,FALSE)),"",VLOOKUP($B106,ARTICLE!$B$2:$J$200,6,FALSE)),"")</f>
        <v/>
      </c>
      <c r="G106" s="32" t="str">
        <f>IFERROR(IF(ISBLANK(VLOOKUP($B106,ARTICLE!$B$2:$J$200,7,FALSE)),"",VLOOKUP($B106,ARTICLE!$B$2:$J$200,7,FALSE)),"")</f>
        <v/>
      </c>
      <c r="H106" s="32" t="str">
        <f>IFERROR(IF(ISBLANK(VLOOKUP($B106,ARTICLE!$B$2:$J$200,8,FALSE)),"",VLOOKUP($B106,ARTICLE!$B$2:$J$200,8,FALSE)),"")</f>
        <v/>
      </c>
      <c r="I106" s="385"/>
      <c r="J106"/>
      <c r="K106"/>
      <c r="L106"/>
      <c r="M106"/>
      <c r="N106"/>
      <c r="O106"/>
      <c r="P106"/>
      <c r="Q106"/>
      <c r="R106"/>
      <c r="S106"/>
    </row>
    <row r="107" spans="1:19" outlineLevel="1">
      <c r="A107" s="382"/>
      <c r="B107" s="31"/>
      <c r="C107" s="59" t="str">
        <f>IFERROR(IF(ISBLANK(VLOOKUP($B107,ARTICLE!$B$2:$J$200,3,FALSE)),"",VLOOKUP($B107,ARTICLE!$B$2:$J$200,3,FALSE)),"")</f>
        <v/>
      </c>
      <c r="D107" s="32" t="str">
        <f>IFERROR(IF(ISBLANK(VLOOKUP($B107,ARTICLE!$B$2:$J$200,4,FALSE)),"",VLOOKUP($B107,ARTICLE!$B$2:$J$200,4,FALSE)),"")</f>
        <v/>
      </c>
      <c r="E107" s="32" t="str">
        <f>IFERROR(IF(ISBLANK(VLOOKUP($B107,ARTICLE!$B$2:$J$200,5,FALSE)),"",VLOOKUP($B107,ARTICLE!$B$2:$J$200,5,FALSE)),"")</f>
        <v/>
      </c>
      <c r="F107" s="32" t="str">
        <f>IFERROR(IF(ISBLANK(VLOOKUP($B107,ARTICLE!$B$2:$J$200,6,FALSE)),"",VLOOKUP($B107,ARTICLE!$B$2:$J$200,6,FALSE)),"")</f>
        <v/>
      </c>
      <c r="G107" s="32" t="str">
        <f>IFERROR(IF(ISBLANK(VLOOKUP($B107,ARTICLE!$B$2:$J$200,7,FALSE)),"",VLOOKUP($B107,ARTICLE!$B$2:$J$200,7,FALSE)),"")</f>
        <v/>
      </c>
      <c r="H107" s="32" t="str">
        <f>IFERROR(IF(ISBLANK(VLOOKUP($B107,ARTICLE!$B$2:$J$200,8,FALSE)),"",VLOOKUP($B107,ARTICLE!$B$2:$J$200,8,FALSE)),"")</f>
        <v/>
      </c>
      <c r="I107" s="385"/>
      <c r="J107"/>
      <c r="K107"/>
      <c r="L107"/>
      <c r="M107"/>
      <c r="N107"/>
      <c r="O107"/>
      <c r="P107"/>
      <c r="Q107"/>
      <c r="R107"/>
      <c r="S107"/>
    </row>
    <row r="108" spans="1:19" outlineLevel="1">
      <c r="A108" s="382"/>
      <c r="B108" s="31"/>
      <c r="C108" s="59" t="str">
        <f>IFERROR(IF(ISBLANK(VLOOKUP($B108,ARTICLE!$B$2:$J$200,3,FALSE)),"",VLOOKUP($B108,ARTICLE!$B$2:$J$200,3,FALSE)),"")</f>
        <v/>
      </c>
      <c r="D108" s="32" t="str">
        <f>IFERROR(IF(ISBLANK(VLOOKUP($B108,ARTICLE!$B$2:$J$200,4,FALSE)),"",VLOOKUP($B108,ARTICLE!$B$2:$J$200,4,FALSE)),"")</f>
        <v/>
      </c>
      <c r="E108" s="32" t="str">
        <f>IFERROR(IF(ISBLANK(VLOOKUP($B108,ARTICLE!$B$2:$J$200,5,FALSE)),"",VLOOKUP($B108,ARTICLE!$B$2:$J$200,5,FALSE)),"")</f>
        <v/>
      </c>
      <c r="F108" s="32" t="str">
        <f>IFERROR(IF(ISBLANK(VLOOKUP($B108,ARTICLE!$B$2:$J$200,6,FALSE)),"",VLOOKUP($B108,ARTICLE!$B$2:$J$200,6,FALSE)),"")</f>
        <v/>
      </c>
      <c r="G108" s="32" t="str">
        <f>IFERROR(IF(ISBLANK(VLOOKUP($B108,ARTICLE!$B$2:$J$200,7,FALSE)),"",VLOOKUP($B108,ARTICLE!$B$2:$J$200,7,FALSE)),"")</f>
        <v/>
      </c>
      <c r="H108" s="32" t="str">
        <f>IFERROR(IF(ISBLANK(VLOOKUP($B108,ARTICLE!$B$2:$J$200,8,FALSE)),"",VLOOKUP($B108,ARTICLE!$B$2:$J$200,8,FALSE)),"")</f>
        <v/>
      </c>
      <c r="I108" s="385"/>
      <c r="J108"/>
      <c r="K108"/>
      <c r="L108"/>
      <c r="M108"/>
      <c r="N108"/>
      <c r="O108"/>
      <c r="P108"/>
      <c r="Q108"/>
      <c r="R108"/>
      <c r="S108"/>
    </row>
    <row r="109" spans="1:19" outlineLevel="1">
      <c r="A109" s="382"/>
      <c r="B109" s="31"/>
      <c r="C109" s="59" t="str">
        <f>IFERROR(IF(ISBLANK(VLOOKUP($B109,ARTICLE!$B$2:$J$200,3,FALSE)),"",VLOOKUP($B109,ARTICLE!$B$2:$J$200,3,FALSE)),"")</f>
        <v/>
      </c>
      <c r="D109" s="32" t="str">
        <f>IFERROR(IF(ISBLANK(VLOOKUP($B109,ARTICLE!$B$2:$J$200,4,FALSE)),"",VLOOKUP($B109,ARTICLE!$B$2:$J$200,4,FALSE)),"")</f>
        <v/>
      </c>
      <c r="E109" s="32" t="str">
        <f>IFERROR(IF(ISBLANK(VLOOKUP($B109,ARTICLE!$B$2:$J$200,5,FALSE)),"",VLOOKUP($B109,ARTICLE!$B$2:$J$200,5,FALSE)),"")</f>
        <v/>
      </c>
      <c r="F109" s="32" t="str">
        <f>IFERROR(IF(ISBLANK(VLOOKUP($B109,ARTICLE!$B$2:$J$200,6,FALSE)),"",VLOOKUP($B109,ARTICLE!$B$2:$J$200,6,FALSE)),"")</f>
        <v/>
      </c>
      <c r="G109" s="32" t="str">
        <f>IFERROR(IF(ISBLANK(VLOOKUP($B109,ARTICLE!$B$2:$J$200,7,FALSE)),"",VLOOKUP($B109,ARTICLE!$B$2:$J$200,7,FALSE)),"")</f>
        <v/>
      </c>
      <c r="H109" s="32" t="str">
        <f>IFERROR(IF(ISBLANK(VLOOKUP($B109,ARTICLE!$B$2:$J$200,8,FALSE)),"",VLOOKUP($B109,ARTICLE!$B$2:$J$200,8,FALSE)),"")</f>
        <v/>
      </c>
      <c r="I109" s="385"/>
      <c r="J109"/>
      <c r="K109"/>
      <c r="L109"/>
      <c r="M109"/>
      <c r="N109"/>
      <c r="O109"/>
      <c r="P109"/>
      <c r="Q109"/>
      <c r="R109"/>
      <c r="S109"/>
    </row>
    <row r="110" spans="1:19" outlineLevel="1">
      <c r="A110" s="382"/>
      <c r="B110" s="31"/>
      <c r="C110" s="59" t="str">
        <f>IFERROR(IF(ISBLANK(VLOOKUP($B110,ARTICLE!$B$2:$J$200,3,FALSE)),"",VLOOKUP($B110,ARTICLE!$B$2:$J$200,3,FALSE)),"")</f>
        <v/>
      </c>
      <c r="D110" s="32" t="str">
        <f>IFERROR(IF(ISBLANK(VLOOKUP($B110,ARTICLE!$B$2:$J$200,4,FALSE)),"",VLOOKUP($B110,ARTICLE!$B$2:$J$200,4,FALSE)),"")</f>
        <v/>
      </c>
      <c r="E110" s="32" t="str">
        <f>IFERROR(IF(ISBLANK(VLOOKUP($B110,ARTICLE!$B$2:$J$200,5,FALSE)),"",VLOOKUP($B110,ARTICLE!$B$2:$J$200,5,FALSE)),"")</f>
        <v/>
      </c>
      <c r="F110" s="32" t="str">
        <f>IFERROR(IF(ISBLANK(VLOOKUP($B110,ARTICLE!$B$2:$J$200,6,FALSE)),"",VLOOKUP($B110,ARTICLE!$B$2:$J$200,6,FALSE)),"")</f>
        <v/>
      </c>
      <c r="G110" s="32" t="str">
        <f>IFERROR(IF(ISBLANK(VLOOKUP($B110,ARTICLE!$B$2:$J$200,7,FALSE)),"",VLOOKUP($B110,ARTICLE!$B$2:$J$200,7,FALSE)),"")</f>
        <v/>
      </c>
      <c r="H110" s="32" t="str">
        <f>IFERROR(IF(ISBLANK(VLOOKUP($B110,ARTICLE!$B$2:$J$200,8,FALSE)),"",VLOOKUP($B110,ARTICLE!$B$2:$J$200,8,FALSE)),"")</f>
        <v/>
      </c>
      <c r="I110" s="385"/>
      <c r="J110"/>
      <c r="K110"/>
      <c r="L110"/>
      <c r="M110"/>
      <c r="N110"/>
      <c r="O110"/>
      <c r="P110"/>
      <c r="Q110"/>
      <c r="R110"/>
      <c r="S110"/>
    </row>
    <row r="111" spans="1:19" outlineLevel="1">
      <c r="A111" s="382"/>
      <c r="B111" s="33"/>
      <c r="C111" s="59" t="str">
        <f>IFERROR(IF(ISBLANK(VLOOKUP($B111,ARTICLE!$B$2:$J$200,3,FALSE)),"",VLOOKUP($B111,ARTICLE!$B$2:$J$200,3,FALSE)),"")</f>
        <v/>
      </c>
      <c r="D111" s="32" t="str">
        <f>IFERROR(IF(ISBLANK(VLOOKUP($B111,ARTICLE!$B$2:$J$200,4,FALSE)),"",VLOOKUP($B111,ARTICLE!$B$2:$J$200,4,FALSE)),"")</f>
        <v/>
      </c>
      <c r="E111" s="32" t="str">
        <f>IFERROR(IF(ISBLANK(VLOOKUP($B111,ARTICLE!$B$2:$J$200,5,FALSE)),"",VLOOKUP($B111,ARTICLE!$B$2:$J$200,5,FALSE)),"")</f>
        <v/>
      </c>
      <c r="F111" s="32" t="str">
        <f>IFERROR(IF(ISBLANK(VLOOKUP($B111,ARTICLE!$B$2:$J$200,6,FALSE)),"",VLOOKUP($B111,ARTICLE!$B$2:$J$200,6,FALSE)),"")</f>
        <v/>
      </c>
      <c r="G111" s="32" t="str">
        <f>IFERROR(IF(ISBLANK(VLOOKUP($B111,ARTICLE!$B$2:$J$200,7,FALSE)),"",VLOOKUP($B111,ARTICLE!$B$2:$J$200,7,FALSE)),"")</f>
        <v/>
      </c>
      <c r="H111" s="32" t="str">
        <f>IFERROR(IF(ISBLANK(VLOOKUP($B111,ARTICLE!$B$2:$J$200,8,FALSE)),"",VLOOKUP($B111,ARTICLE!$B$2:$J$200,8,FALSE)),"")</f>
        <v/>
      </c>
      <c r="I111" s="386"/>
      <c r="J111"/>
      <c r="K111"/>
      <c r="L111"/>
      <c r="M111"/>
      <c r="N111"/>
      <c r="O111"/>
      <c r="P111"/>
      <c r="Q111"/>
      <c r="R111"/>
      <c r="S111"/>
    </row>
    <row r="112" spans="1:19" outlineLevel="1">
      <c r="A112" s="382" t="str">
        <f t="shared" ref="A112" si="32">B112</f>
        <v/>
      </c>
      <c r="B112" s="34" t="str">
        <f>CONCATENATE(B113,IF(B114="",""," / "),B114,IF(B115="",""," / "),B115,IF(B116="",""," / "),B116,IF(B117="",""," / "),B117,IF(B118="",""," / "),B118,IF(B119="",""," / "),B119)</f>
        <v/>
      </c>
      <c r="C112" s="35" t="str">
        <f t="shared" si="19"/>
        <v/>
      </c>
      <c r="D112" s="35">
        <f t="shared" ref="D112" si="33">IF(SUM(E112:H112)=0,0,SUM(E112:H112))</f>
        <v>0</v>
      </c>
      <c r="E112" s="35">
        <f t="shared" si="21"/>
        <v>0</v>
      </c>
      <c r="F112" s="35">
        <f t="shared" ref="F112:H112" si="34">SUM(F113:F122)</f>
        <v>0</v>
      </c>
      <c r="G112" s="35">
        <f t="shared" si="34"/>
        <v>0</v>
      </c>
      <c r="H112" s="36">
        <f t="shared" si="34"/>
        <v>0</v>
      </c>
      <c r="I112" s="384"/>
      <c r="K112" s="284">
        <f>ROUNDUP(D112,0)*J112</f>
        <v>0</v>
      </c>
      <c r="L112" s="284">
        <f>ROUNDUP(J112*E112,0)</f>
        <v>0</v>
      </c>
      <c r="M112" s="285" t="e">
        <f>L112/K112</f>
        <v>#DIV/0!</v>
      </c>
      <c r="N112" s="284">
        <f>ROUNDUP(J112*F112,0)</f>
        <v>0</v>
      </c>
      <c r="O112" s="285" t="e">
        <f>N112/K112</f>
        <v>#DIV/0!</v>
      </c>
      <c r="P112" s="284">
        <f>ROUNDUP(J112*G112,0)</f>
        <v>0</v>
      </c>
      <c r="Q112" s="285" t="e">
        <f>P112/K112</f>
        <v>#DIV/0!</v>
      </c>
      <c r="R112" s="284">
        <f>ROUNDUP(J112*H112,0)</f>
        <v>0</v>
      </c>
      <c r="S112" s="285" t="e">
        <f>R112/K112</f>
        <v>#DIV/0!</v>
      </c>
    </row>
    <row r="113" spans="1:19" outlineLevel="1">
      <c r="A113" s="382"/>
      <c r="B113" s="31"/>
      <c r="C113" s="59" t="str">
        <f>IFERROR(IF(ISBLANK(VLOOKUP($B113,ARTICLE!$B$2:$J$200,3,FALSE)),"",VLOOKUP($B113,ARTICLE!$B$2:$J$200,3,FALSE)),"")</f>
        <v/>
      </c>
      <c r="D113" s="32" t="str">
        <f>IFERROR(IF(ISBLANK(VLOOKUP($B113,ARTICLE!$B$2:$J$200,4,FALSE)),"",VLOOKUP($B113,ARTICLE!$B$2:$J$200,4,FALSE)),"")</f>
        <v/>
      </c>
      <c r="E113" s="32" t="str">
        <f>IFERROR(IF(ISBLANK(VLOOKUP($B113,ARTICLE!$B$2:$J$200,5,FALSE)),"",VLOOKUP($B113,ARTICLE!$B$2:$J$200,5,FALSE)),"")</f>
        <v/>
      </c>
      <c r="F113" s="32" t="str">
        <f>IFERROR(IF(ISBLANK(VLOOKUP($B113,ARTICLE!$B$2:$J$200,6,FALSE)),"",VLOOKUP($B113,ARTICLE!$B$2:$J$200,6,FALSE)),"")</f>
        <v/>
      </c>
      <c r="G113" s="32" t="str">
        <f>IFERROR(IF(ISBLANK(VLOOKUP($B113,ARTICLE!$B$2:$J$200,7,FALSE)),"",VLOOKUP($B113,ARTICLE!$B$2:$J$200,7,FALSE)),"")</f>
        <v/>
      </c>
      <c r="H113" s="32" t="str">
        <f>IFERROR(IF(ISBLANK(VLOOKUP($B113,ARTICLE!$B$2:$J$200,8,FALSE)),"",VLOOKUP($B113,ARTICLE!$B$2:$J$200,8,FALSE)),"")</f>
        <v/>
      </c>
      <c r="I113" s="385"/>
      <c r="J113"/>
      <c r="K113"/>
      <c r="L113"/>
      <c r="M113"/>
      <c r="N113"/>
      <c r="O113"/>
      <c r="P113"/>
      <c r="Q113"/>
      <c r="R113"/>
      <c r="S113"/>
    </row>
    <row r="114" spans="1:19" outlineLevel="1">
      <c r="A114" s="382"/>
      <c r="B114" s="31"/>
      <c r="C114" s="59" t="str">
        <f>IFERROR(IF(ISBLANK(VLOOKUP($B114,ARTICLE!$B$2:$J$200,3,FALSE)),"",VLOOKUP($B114,ARTICLE!$B$2:$J$200,3,FALSE)),"")</f>
        <v/>
      </c>
      <c r="D114" s="32" t="str">
        <f>IFERROR(IF(ISBLANK(VLOOKUP($B114,ARTICLE!$B$2:$J$200,4,FALSE)),"",VLOOKUP($B114,ARTICLE!$B$2:$J$200,4,FALSE)),"")</f>
        <v/>
      </c>
      <c r="E114" s="32" t="str">
        <f>IFERROR(IF(ISBLANK(VLOOKUP($B114,ARTICLE!$B$2:$J$200,5,FALSE)),"",VLOOKUP($B114,ARTICLE!$B$2:$J$200,5,FALSE)),"")</f>
        <v/>
      </c>
      <c r="F114" s="32" t="str">
        <f>IFERROR(IF(ISBLANK(VLOOKUP($B114,ARTICLE!$B$2:$J$200,6,FALSE)),"",VLOOKUP($B114,ARTICLE!$B$2:$J$200,6,FALSE)),"")</f>
        <v/>
      </c>
      <c r="G114" s="32" t="str">
        <f>IFERROR(IF(ISBLANK(VLOOKUP($B114,ARTICLE!$B$2:$J$200,7,FALSE)),"",VLOOKUP($B114,ARTICLE!$B$2:$J$200,7,FALSE)),"")</f>
        <v/>
      </c>
      <c r="H114" s="32" t="str">
        <f>IFERROR(IF(ISBLANK(VLOOKUP($B114,ARTICLE!$B$2:$J$200,8,FALSE)),"",VLOOKUP($B114,ARTICLE!$B$2:$J$200,8,FALSE)),"")</f>
        <v/>
      </c>
      <c r="I114" s="385"/>
      <c r="J114"/>
      <c r="K114"/>
      <c r="L114"/>
      <c r="M114"/>
      <c r="N114"/>
      <c r="O114"/>
      <c r="P114"/>
      <c r="Q114"/>
      <c r="R114"/>
      <c r="S114"/>
    </row>
    <row r="115" spans="1:19" outlineLevel="1">
      <c r="A115" s="382"/>
      <c r="B115" s="31"/>
      <c r="C115" s="59" t="str">
        <f>IFERROR(IF(ISBLANK(VLOOKUP($B115,ARTICLE!$B$2:$J$200,3,FALSE)),"",VLOOKUP($B115,ARTICLE!$B$2:$J$200,3,FALSE)),"")</f>
        <v/>
      </c>
      <c r="D115" s="32" t="str">
        <f>IFERROR(IF(ISBLANK(VLOOKUP($B115,ARTICLE!$B$2:$J$200,4,FALSE)),"",VLOOKUP($B115,ARTICLE!$B$2:$J$200,4,FALSE)),"")</f>
        <v/>
      </c>
      <c r="E115" s="32" t="str">
        <f>IFERROR(IF(ISBLANK(VLOOKUP($B115,ARTICLE!$B$2:$J$200,5,FALSE)),"",VLOOKUP($B115,ARTICLE!$B$2:$J$200,5,FALSE)),"")</f>
        <v/>
      </c>
      <c r="F115" s="32" t="str">
        <f>IFERROR(IF(ISBLANK(VLOOKUP($B115,ARTICLE!$B$2:$J$200,6,FALSE)),"",VLOOKUP($B115,ARTICLE!$B$2:$J$200,6,FALSE)),"")</f>
        <v/>
      </c>
      <c r="G115" s="32" t="str">
        <f>IFERROR(IF(ISBLANK(VLOOKUP($B115,ARTICLE!$B$2:$J$200,7,FALSE)),"",VLOOKUP($B115,ARTICLE!$B$2:$J$200,7,FALSE)),"")</f>
        <v/>
      </c>
      <c r="H115" s="32" t="str">
        <f>IFERROR(IF(ISBLANK(VLOOKUP($B115,ARTICLE!$B$2:$J$200,8,FALSE)),"",VLOOKUP($B115,ARTICLE!$B$2:$J$200,8,FALSE)),"")</f>
        <v/>
      </c>
      <c r="I115" s="385"/>
      <c r="J115"/>
      <c r="K115"/>
      <c r="L115"/>
      <c r="M115"/>
      <c r="N115"/>
      <c r="O115"/>
      <c r="P115"/>
      <c r="Q115"/>
      <c r="R115"/>
      <c r="S115"/>
    </row>
    <row r="116" spans="1:19" outlineLevel="1">
      <c r="A116" s="382"/>
      <c r="B116" s="31"/>
      <c r="C116" s="59" t="str">
        <f>IFERROR(IF(ISBLANK(VLOOKUP($B116,ARTICLE!$B$2:$J$200,3,FALSE)),"",VLOOKUP($B116,ARTICLE!$B$2:$J$200,3,FALSE)),"")</f>
        <v/>
      </c>
      <c r="D116" s="32" t="str">
        <f>IFERROR(IF(ISBLANK(VLOOKUP($B116,ARTICLE!$B$2:$J$200,4,FALSE)),"",VLOOKUP($B116,ARTICLE!$B$2:$J$200,4,FALSE)),"")</f>
        <v/>
      </c>
      <c r="E116" s="32" t="str">
        <f>IFERROR(IF(ISBLANK(VLOOKUP($B116,ARTICLE!$B$2:$J$200,5,FALSE)),"",VLOOKUP($B116,ARTICLE!$B$2:$J$200,5,FALSE)),"")</f>
        <v/>
      </c>
      <c r="F116" s="32" t="str">
        <f>IFERROR(IF(ISBLANK(VLOOKUP($B116,ARTICLE!$B$2:$J$200,6,FALSE)),"",VLOOKUP($B116,ARTICLE!$B$2:$J$200,6,FALSE)),"")</f>
        <v/>
      </c>
      <c r="G116" s="32" t="str">
        <f>IFERROR(IF(ISBLANK(VLOOKUP($B116,ARTICLE!$B$2:$J$200,7,FALSE)),"",VLOOKUP($B116,ARTICLE!$B$2:$J$200,7,FALSE)),"")</f>
        <v/>
      </c>
      <c r="H116" s="32" t="str">
        <f>IFERROR(IF(ISBLANK(VLOOKUP($B116,ARTICLE!$B$2:$J$200,8,FALSE)),"",VLOOKUP($B116,ARTICLE!$B$2:$J$200,8,FALSE)),"")</f>
        <v/>
      </c>
      <c r="I116" s="385"/>
      <c r="J116"/>
      <c r="K116"/>
      <c r="L116"/>
      <c r="M116"/>
      <c r="N116"/>
      <c r="O116"/>
      <c r="P116"/>
      <c r="Q116"/>
      <c r="R116"/>
      <c r="S116"/>
    </row>
    <row r="117" spans="1:19" outlineLevel="1">
      <c r="A117" s="382"/>
      <c r="B117" s="31"/>
      <c r="C117" s="59" t="str">
        <f>IFERROR(IF(ISBLANK(VLOOKUP($B117,ARTICLE!$B$2:$J$200,3,FALSE)),"",VLOOKUP($B117,ARTICLE!$B$2:$J$200,3,FALSE)),"")</f>
        <v/>
      </c>
      <c r="D117" s="32" t="str">
        <f>IFERROR(IF(ISBLANK(VLOOKUP($B117,ARTICLE!$B$2:$J$200,4,FALSE)),"",VLOOKUP($B117,ARTICLE!$B$2:$J$200,4,FALSE)),"")</f>
        <v/>
      </c>
      <c r="E117" s="32" t="str">
        <f>IFERROR(IF(ISBLANK(VLOOKUP($B117,ARTICLE!$B$2:$J$200,5,FALSE)),"",VLOOKUP($B117,ARTICLE!$B$2:$J$200,5,FALSE)),"")</f>
        <v/>
      </c>
      <c r="F117" s="32" t="str">
        <f>IFERROR(IF(ISBLANK(VLOOKUP($B117,ARTICLE!$B$2:$J$200,6,FALSE)),"",VLOOKUP($B117,ARTICLE!$B$2:$J$200,6,FALSE)),"")</f>
        <v/>
      </c>
      <c r="G117" s="32" t="str">
        <f>IFERROR(IF(ISBLANK(VLOOKUP($B117,ARTICLE!$B$2:$J$200,7,FALSE)),"",VLOOKUP($B117,ARTICLE!$B$2:$J$200,7,FALSE)),"")</f>
        <v/>
      </c>
      <c r="H117" s="32" t="str">
        <f>IFERROR(IF(ISBLANK(VLOOKUP($B117,ARTICLE!$B$2:$J$200,8,FALSE)),"",VLOOKUP($B117,ARTICLE!$B$2:$J$200,8,FALSE)),"")</f>
        <v/>
      </c>
      <c r="I117" s="385"/>
      <c r="J117"/>
      <c r="K117"/>
      <c r="L117"/>
      <c r="M117"/>
      <c r="N117"/>
      <c r="O117"/>
      <c r="P117"/>
      <c r="Q117"/>
      <c r="R117"/>
      <c r="S117"/>
    </row>
    <row r="118" spans="1:19" outlineLevel="1">
      <c r="A118" s="382"/>
      <c r="B118" s="31"/>
      <c r="C118" s="59" t="str">
        <f>IFERROR(IF(ISBLANK(VLOOKUP($B118,ARTICLE!$B$2:$J$200,3,FALSE)),"",VLOOKUP($B118,ARTICLE!$B$2:$J$200,3,FALSE)),"")</f>
        <v/>
      </c>
      <c r="D118" s="32" t="str">
        <f>IFERROR(IF(ISBLANK(VLOOKUP($B118,ARTICLE!$B$2:$J$200,4,FALSE)),"",VLOOKUP($B118,ARTICLE!$B$2:$J$200,4,FALSE)),"")</f>
        <v/>
      </c>
      <c r="E118" s="32" t="str">
        <f>IFERROR(IF(ISBLANK(VLOOKUP($B118,ARTICLE!$B$2:$J$200,5,FALSE)),"",VLOOKUP($B118,ARTICLE!$B$2:$J$200,5,FALSE)),"")</f>
        <v/>
      </c>
      <c r="F118" s="32" t="str">
        <f>IFERROR(IF(ISBLANK(VLOOKUP($B118,ARTICLE!$B$2:$J$200,6,FALSE)),"",VLOOKUP($B118,ARTICLE!$B$2:$J$200,6,FALSE)),"")</f>
        <v/>
      </c>
      <c r="G118" s="32" t="str">
        <f>IFERROR(IF(ISBLANK(VLOOKUP($B118,ARTICLE!$B$2:$J$200,7,FALSE)),"",VLOOKUP($B118,ARTICLE!$B$2:$J$200,7,FALSE)),"")</f>
        <v/>
      </c>
      <c r="H118" s="32" t="str">
        <f>IFERROR(IF(ISBLANK(VLOOKUP($B118,ARTICLE!$B$2:$J$200,8,FALSE)),"",VLOOKUP($B118,ARTICLE!$B$2:$J$200,8,FALSE)),"")</f>
        <v/>
      </c>
      <c r="I118" s="385"/>
      <c r="J118"/>
      <c r="K118"/>
      <c r="L118"/>
      <c r="M118"/>
      <c r="N118"/>
      <c r="O118"/>
      <c r="P118"/>
      <c r="Q118"/>
      <c r="R118"/>
      <c r="S118"/>
    </row>
    <row r="119" spans="1:19" outlineLevel="1">
      <c r="A119" s="382"/>
      <c r="B119" s="31"/>
      <c r="C119" s="59" t="str">
        <f>IFERROR(IF(ISBLANK(VLOOKUP($B119,ARTICLE!$B$2:$J$200,3,FALSE)),"",VLOOKUP($B119,ARTICLE!$B$2:$J$200,3,FALSE)),"")</f>
        <v/>
      </c>
      <c r="D119" s="32" t="str">
        <f>IFERROR(IF(ISBLANK(VLOOKUP($B119,ARTICLE!$B$2:$J$200,4,FALSE)),"",VLOOKUP($B119,ARTICLE!$B$2:$J$200,4,FALSE)),"")</f>
        <v/>
      </c>
      <c r="E119" s="32" t="str">
        <f>IFERROR(IF(ISBLANK(VLOOKUP($B119,ARTICLE!$B$2:$J$200,5,FALSE)),"",VLOOKUP($B119,ARTICLE!$B$2:$J$200,5,FALSE)),"")</f>
        <v/>
      </c>
      <c r="F119" s="32" t="str">
        <f>IFERROR(IF(ISBLANK(VLOOKUP($B119,ARTICLE!$B$2:$J$200,6,FALSE)),"",VLOOKUP($B119,ARTICLE!$B$2:$J$200,6,FALSE)),"")</f>
        <v/>
      </c>
      <c r="G119" s="32" t="str">
        <f>IFERROR(IF(ISBLANK(VLOOKUP($B119,ARTICLE!$B$2:$J$200,7,FALSE)),"",VLOOKUP($B119,ARTICLE!$B$2:$J$200,7,FALSE)),"")</f>
        <v/>
      </c>
      <c r="H119" s="32" t="str">
        <f>IFERROR(IF(ISBLANK(VLOOKUP($B119,ARTICLE!$B$2:$J$200,8,FALSE)),"",VLOOKUP($B119,ARTICLE!$B$2:$J$200,8,FALSE)),"")</f>
        <v/>
      </c>
      <c r="I119" s="385"/>
      <c r="J119"/>
      <c r="K119"/>
      <c r="L119"/>
      <c r="M119"/>
      <c r="N119"/>
      <c r="O119"/>
      <c r="P119"/>
      <c r="Q119"/>
      <c r="R119"/>
      <c r="S119"/>
    </row>
    <row r="120" spans="1:19" outlineLevel="1">
      <c r="A120" s="382"/>
      <c r="B120" s="31"/>
      <c r="C120" s="59" t="str">
        <f>IFERROR(IF(ISBLANK(VLOOKUP($B120,ARTICLE!$B$2:$J$200,3,FALSE)),"",VLOOKUP($B120,ARTICLE!$B$2:$J$200,3,FALSE)),"")</f>
        <v/>
      </c>
      <c r="D120" s="32" t="str">
        <f>IFERROR(IF(ISBLANK(VLOOKUP($B120,ARTICLE!$B$2:$J$200,4,FALSE)),"",VLOOKUP($B120,ARTICLE!$B$2:$J$200,4,FALSE)),"")</f>
        <v/>
      </c>
      <c r="E120" s="32" t="str">
        <f>IFERROR(IF(ISBLANK(VLOOKUP($B120,ARTICLE!$B$2:$J$200,5,FALSE)),"",VLOOKUP($B120,ARTICLE!$B$2:$J$200,5,FALSE)),"")</f>
        <v/>
      </c>
      <c r="F120" s="32" t="str">
        <f>IFERROR(IF(ISBLANK(VLOOKUP($B120,ARTICLE!$B$2:$J$200,6,FALSE)),"",VLOOKUP($B120,ARTICLE!$B$2:$J$200,6,FALSE)),"")</f>
        <v/>
      </c>
      <c r="G120" s="32" t="str">
        <f>IFERROR(IF(ISBLANK(VLOOKUP($B120,ARTICLE!$B$2:$J$200,7,FALSE)),"",VLOOKUP($B120,ARTICLE!$B$2:$J$200,7,FALSE)),"")</f>
        <v/>
      </c>
      <c r="H120" s="32" t="str">
        <f>IFERROR(IF(ISBLANK(VLOOKUP($B120,ARTICLE!$B$2:$J$200,8,FALSE)),"",VLOOKUP($B120,ARTICLE!$B$2:$J$200,8,FALSE)),"")</f>
        <v/>
      </c>
      <c r="I120" s="385"/>
      <c r="J120"/>
      <c r="K120"/>
      <c r="L120"/>
      <c r="M120"/>
      <c r="N120"/>
      <c r="O120"/>
      <c r="P120"/>
      <c r="Q120"/>
      <c r="R120"/>
      <c r="S120"/>
    </row>
    <row r="121" spans="1:19" outlineLevel="1">
      <c r="A121" s="382"/>
      <c r="B121" s="31"/>
      <c r="C121" s="59" t="str">
        <f>IFERROR(IF(ISBLANK(VLOOKUP($B121,ARTICLE!$B$2:$J$200,3,FALSE)),"",VLOOKUP($B121,ARTICLE!$B$2:$J$200,3,FALSE)),"")</f>
        <v/>
      </c>
      <c r="D121" s="32" t="str">
        <f>IFERROR(IF(ISBLANK(VLOOKUP($B121,ARTICLE!$B$2:$J$200,4,FALSE)),"",VLOOKUP($B121,ARTICLE!$B$2:$J$200,4,FALSE)),"")</f>
        <v/>
      </c>
      <c r="E121" s="32" t="str">
        <f>IFERROR(IF(ISBLANK(VLOOKUP($B121,ARTICLE!$B$2:$J$200,5,FALSE)),"",VLOOKUP($B121,ARTICLE!$B$2:$J$200,5,FALSE)),"")</f>
        <v/>
      </c>
      <c r="F121" s="32" t="str">
        <f>IFERROR(IF(ISBLANK(VLOOKUP($B121,ARTICLE!$B$2:$J$200,6,FALSE)),"",VLOOKUP($B121,ARTICLE!$B$2:$J$200,6,FALSE)),"")</f>
        <v/>
      </c>
      <c r="G121" s="32" t="str">
        <f>IFERROR(IF(ISBLANK(VLOOKUP($B121,ARTICLE!$B$2:$J$200,7,FALSE)),"",VLOOKUP($B121,ARTICLE!$B$2:$J$200,7,FALSE)),"")</f>
        <v/>
      </c>
      <c r="H121" s="32" t="str">
        <f>IFERROR(IF(ISBLANK(VLOOKUP($B121,ARTICLE!$B$2:$J$200,8,FALSE)),"",VLOOKUP($B121,ARTICLE!$B$2:$J$200,8,FALSE)),"")</f>
        <v/>
      </c>
      <c r="I121" s="385"/>
      <c r="J121"/>
      <c r="K121"/>
      <c r="L121"/>
      <c r="M121"/>
      <c r="N121"/>
      <c r="O121"/>
      <c r="P121"/>
      <c r="Q121"/>
      <c r="R121"/>
      <c r="S121"/>
    </row>
    <row r="122" spans="1:19" outlineLevel="1">
      <c r="A122" s="382"/>
      <c r="B122" s="33"/>
      <c r="C122" s="59" t="str">
        <f>IFERROR(IF(ISBLANK(VLOOKUP($B122,ARTICLE!$B$2:$J$200,3,FALSE)),"",VLOOKUP($B122,ARTICLE!$B$2:$J$200,3,FALSE)),"")</f>
        <v/>
      </c>
      <c r="D122" s="32" t="str">
        <f>IFERROR(IF(ISBLANK(VLOOKUP($B122,ARTICLE!$B$2:$J$200,4,FALSE)),"",VLOOKUP($B122,ARTICLE!$B$2:$J$200,4,FALSE)),"")</f>
        <v/>
      </c>
      <c r="E122" s="32" t="str">
        <f>IFERROR(IF(ISBLANK(VLOOKUP($B122,ARTICLE!$B$2:$J$200,5,FALSE)),"",VLOOKUP($B122,ARTICLE!$B$2:$J$200,5,FALSE)),"")</f>
        <v/>
      </c>
      <c r="F122" s="32" t="str">
        <f>IFERROR(IF(ISBLANK(VLOOKUP($B122,ARTICLE!$B$2:$J$200,6,FALSE)),"",VLOOKUP($B122,ARTICLE!$B$2:$J$200,6,FALSE)),"")</f>
        <v/>
      </c>
      <c r="G122" s="32" t="str">
        <f>IFERROR(IF(ISBLANK(VLOOKUP($B122,ARTICLE!$B$2:$J$200,7,FALSE)),"",VLOOKUP($B122,ARTICLE!$B$2:$J$200,7,FALSE)),"")</f>
        <v/>
      </c>
      <c r="H122" s="32" t="str">
        <f>IFERROR(IF(ISBLANK(VLOOKUP($B122,ARTICLE!$B$2:$J$200,8,FALSE)),"",VLOOKUP($B122,ARTICLE!$B$2:$J$200,8,FALSE)),"")</f>
        <v/>
      </c>
      <c r="I122" s="386"/>
      <c r="J122"/>
      <c r="K122"/>
      <c r="L122"/>
      <c r="M122"/>
      <c r="N122"/>
      <c r="O122"/>
      <c r="P122"/>
      <c r="Q122"/>
      <c r="R122"/>
      <c r="S122"/>
    </row>
    <row r="123" spans="1:19" outlineLevel="1">
      <c r="A123" s="165" t="str">
        <f t="shared" ref="A123" si="35">B123</f>
        <v/>
      </c>
      <c r="B123" s="34" t="str">
        <f>CONCATENATE(B124,IF(B125="",""," / "),B125,IF(B126="",""," / "),B126,IF(B127="",""," / "),B127,IF(B128="",""," / "),B128,IF(B129="",""," / "),B129,IF(B130="",""," / "),B130)</f>
        <v/>
      </c>
      <c r="C123" s="35" t="str">
        <f t="shared" si="19"/>
        <v/>
      </c>
      <c r="D123" s="35">
        <f t="shared" ref="D123" si="36">IF(SUM(E123:H123)=0,0,SUM(E123:H123))</f>
        <v>0</v>
      </c>
      <c r="E123" s="35">
        <f t="shared" si="21"/>
        <v>0</v>
      </c>
      <c r="F123" s="35">
        <f t="shared" ref="F123:H123" si="37">SUM(F124:F133)</f>
        <v>0</v>
      </c>
      <c r="G123" s="35">
        <f t="shared" si="37"/>
        <v>0</v>
      </c>
      <c r="H123" s="36">
        <f t="shared" si="37"/>
        <v>0</v>
      </c>
      <c r="I123" s="177"/>
      <c r="K123" s="284">
        <f>ROUNDUP(D123,0)*J123</f>
        <v>0</v>
      </c>
      <c r="L123" s="284">
        <f>ROUNDUP(J123*E123,0)</f>
        <v>0</v>
      </c>
      <c r="M123" s="285" t="e">
        <f>L123/K123</f>
        <v>#DIV/0!</v>
      </c>
      <c r="N123" s="284">
        <f>ROUNDUP(J123*F123,0)</f>
        <v>0</v>
      </c>
      <c r="O123" s="285" t="e">
        <f>N123/K123</f>
        <v>#DIV/0!</v>
      </c>
      <c r="P123" s="284">
        <f>ROUNDUP(J123*G123,0)</f>
        <v>0</v>
      </c>
      <c r="Q123" s="285" t="e">
        <f>P123/K123</f>
        <v>#DIV/0!</v>
      </c>
      <c r="R123" s="284">
        <f>ROUNDUP(J123*H123,0)</f>
        <v>0</v>
      </c>
      <c r="S123" s="285" t="e">
        <f>R123/K123</f>
        <v>#DIV/0!</v>
      </c>
    </row>
    <row r="124" spans="1:19" outlineLevel="1">
      <c r="A124" s="165"/>
      <c r="B124" s="31"/>
      <c r="C124" s="59" t="str">
        <f>IFERROR(IF(ISBLANK(VLOOKUP($B124,ARTICLE!$B$2:$J$200,3,FALSE)),"",VLOOKUP($B124,ARTICLE!$B$2:$J$200,3,FALSE)),"")</f>
        <v/>
      </c>
      <c r="D124" s="32" t="str">
        <f>IFERROR(IF(ISBLANK(VLOOKUP($B124,ARTICLE!$B$2:$J$200,4,FALSE)),"",VLOOKUP($B124,ARTICLE!$B$2:$J$200,4,FALSE)),"")</f>
        <v/>
      </c>
      <c r="E124" s="32" t="str">
        <f>IFERROR(IF(ISBLANK(VLOOKUP($B124,ARTICLE!$B$2:$J$200,5,FALSE)),"",VLOOKUP($B124,ARTICLE!$B$2:$J$200,5,FALSE)),"")</f>
        <v/>
      </c>
      <c r="F124" s="32" t="str">
        <f>IFERROR(IF(ISBLANK(VLOOKUP($B124,ARTICLE!$B$2:$J$200,6,FALSE)),"",VLOOKUP($B124,ARTICLE!$B$2:$J$200,6,FALSE)),"")</f>
        <v/>
      </c>
      <c r="G124" s="32" t="str">
        <f>IFERROR(IF(ISBLANK(VLOOKUP($B124,ARTICLE!$B$2:$J$200,7,FALSE)),"",VLOOKUP($B124,ARTICLE!$B$2:$J$200,7,FALSE)),"")</f>
        <v/>
      </c>
      <c r="H124" s="32" t="str">
        <f>IFERROR(IF(ISBLANK(VLOOKUP($B124,ARTICLE!$B$2:$J$200,8,FALSE)),"",VLOOKUP($B124,ARTICLE!$B$2:$J$200,8,FALSE)),"")</f>
        <v/>
      </c>
      <c r="I124" s="178"/>
      <c r="J124"/>
      <c r="K124"/>
      <c r="L124"/>
      <c r="M124"/>
      <c r="N124"/>
      <c r="O124"/>
      <c r="P124"/>
      <c r="Q124"/>
      <c r="R124"/>
      <c r="S124"/>
    </row>
    <row r="125" spans="1:19" outlineLevel="1">
      <c r="A125" s="165"/>
      <c r="B125" s="31"/>
      <c r="C125" s="59" t="str">
        <f>IFERROR(IF(ISBLANK(VLOOKUP($B125,ARTICLE!$B$2:$J$200,3,FALSE)),"",VLOOKUP($B125,ARTICLE!$B$2:$J$200,3,FALSE)),"")</f>
        <v/>
      </c>
      <c r="D125" s="32" t="str">
        <f>IFERROR(IF(ISBLANK(VLOOKUP($B125,ARTICLE!$B$2:$J$200,4,FALSE)),"",VLOOKUP($B125,ARTICLE!$B$2:$J$200,4,FALSE)),"")</f>
        <v/>
      </c>
      <c r="E125" s="32" t="str">
        <f>IFERROR(IF(ISBLANK(VLOOKUP($B125,ARTICLE!$B$2:$J$200,5,FALSE)),"",VLOOKUP($B125,ARTICLE!$B$2:$J$200,5,FALSE)),"")</f>
        <v/>
      </c>
      <c r="F125" s="32" t="str">
        <f>IFERROR(IF(ISBLANK(VLOOKUP($B125,ARTICLE!$B$2:$J$200,6,FALSE)),"",VLOOKUP($B125,ARTICLE!$B$2:$J$200,6,FALSE)),"")</f>
        <v/>
      </c>
      <c r="G125" s="32" t="str">
        <f>IFERROR(IF(ISBLANK(VLOOKUP($B125,ARTICLE!$B$2:$J$200,7,FALSE)),"",VLOOKUP($B125,ARTICLE!$B$2:$J$200,7,FALSE)),"")</f>
        <v/>
      </c>
      <c r="H125" s="32" t="str">
        <f>IFERROR(IF(ISBLANK(VLOOKUP($B125,ARTICLE!$B$2:$J$200,8,FALSE)),"",VLOOKUP($B125,ARTICLE!$B$2:$J$200,8,FALSE)),"")</f>
        <v/>
      </c>
      <c r="I125" s="178"/>
      <c r="J125"/>
      <c r="K125"/>
      <c r="L125"/>
      <c r="M125"/>
      <c r="N125"/>
      <c r="O125"/>
      <c r="P125"/>
      <c r="Q125"/>
      <c r="R125"/>
      <c r="S125"/>
    </row>
    <row r="126" spans="1:19" outlineLevel="1">
      <c r="A126" s="165"/>
      <c r="B126" s="31"/>
      <c r="C126" s="59" t="str">
        <f>IFERROR(IF(ISBLANK(VLOOKUP($B126,ARTICLE!$B$2:$J$200,3,FALSE)),"",VLOOKUP($B126,ARTICLE!$B$2:$J$200,3,FALSE)),"")</f>
        <v/>
      </c>
      <c r="D126" s="32" t="str">
        <f>IFERROR(IF(ISBLANK(VLOOKUP($B126,ARTICLE!$B$2:$J$200,4,FALSE)),"",VLOOKUP($B126,ARTICLE!$B$2:$J$200,4,FALSE)),"")</f>
        <v/>
      </c>
      <c r="E126" s="32" t="str">
        <f>IFERROR(IF(ISBLANK(VLOOKUP($B126,ARTICLE!$B$2:$J$200,5,FALSE)),"",VLOOKUP($B126,ARTICLE!$B$2:$J$200,5,FALSE)),"")</f>
        <v/>
      </c>
      <c r="F126" s="32" t="str">
        <f>IFERROR(IF(ISBLANK(VLOOKUP($B126,ARTICLE!$B$2:$J$200,6,FALSE)),"",VLOOKUP($B126,ARTICLE!$B$2:$J$200,6,FALSE)),"")</f>
        <v/>
      </c>
      <c r="G126" s="32" t="str">
        <f>IFERROR(IF(ISBLANK(VLOOKUP($B126,ARTICLE!$B$2:$J$200,7,FALSE)),"",VLOOKUP($B126,ARTICLE!$B$2:$J$200,7,FALSE)),"")</f>
        <v/>
      </c>
      <c r="H126" s="32" t="str">
        <f>IFERROR(IF(ISBLANK(VLOOKUP($B126,ARTICLE!$B$2:$J$200,8,FALSE)),"",VLOOKUP($B126,ARTICLE!$B$2:$J$200,8,FALSE)),"")</f>
        <v/>
      </c>
      <c r="I126" s="178"/>
      <c r="J126"/>
      <c r="K126"/>
      <c r="L126"/>
      <c r="M126"/>
      <c r="N126"/>
      <c r="O126"/>
      <c r="P126"/>
      <c r="Q126"/>
      <c r="R126"/>
      <c r="S126"/>
    </row>
    <row r="127" spans="1:19" outlineLevel="1">
      <c r="A127" s="165"/>
      <c r="B127" s="31"/>
      <c r="C127" s="59" t="str">
        <f>IFERROR(IF(ISBLANK(VLOOKUP($B127,ARTICLE!$B$2:$J$200,3,FALSE)),"",VLOOKUP($B127,ARTICLE!$B$2:$J$200,3,FALSE)),"")</f>
        <v/>
      </c>
      <c r="D127" s="32" t="str">
        <f>IFERROR(IF(ISBLANK(VLOOKUP($B127,ARTICLE!$B$2:$J$200,4,FALSE)),"",VLOOKUP($B127,ARTICLE!$B$2:$J$200,4,FALSE)),"")</f>
        <v/>
      </c>
      <c r="E127" s="32" t="str">
        <f>IFERROR(IF(ISBLANK(VLOOKUP($B127,ARTICLE!$B$2:$J$200,5,FALSE)),"",VLOOKUP($B127,ARTICLE!$B$2:$J$200,5,FALSE)),"")</f>
        <v/>
      </c>
      <c r="F127" s="32" t="str">
        <f>IFERROR(IF(ISBLANK(VLOOKUP($B127,ARTICLE!$B$2:$J$200,6,FALSE)),"",VLOOKUP($B127,ARTICLE!$B$2:$J$200,6,FALSE)),"")</f>
        <v/>
      </c>
      <c r="G127" s="32" t="str">
        <f>IFERROR(IF(ISBLANK(VLOOKUP($B127,ARTICLE!$B$2:$J$200,7,FALSE)),"",VLOOKUP($B127,ARTICLE!$B$2:$J$200,7,FALSE)),"")</f>
        <v/>
      </c>
      <c r="H127" s="32" t="str">
        <f>IFERROR(IF(ISBLANK(VLOOKUP($B127,ARTICLE!$B$2:$J$200,8,FALSE)),"",VLOOKUP($B127,ARTICLE!$B$2:$J$200,8,FALSE)),"")</f>
        <v/>
      </c>
      <c r="I127" s="178"/>
      <c r="J127"/>
      <c r="K127"/>
      <c r="L127"/>
      <c r="M127"/>
      <c r="N127"/>
      <c r="O127"/>
      <c r="P127"/>
      <c r="Q127"/>
      <c r="R127"/>
      <c r="S127"/>
    </row>
    <row r="128" spans="1:19" outlineLevel="1">
      <c r="A128" s="165"/>
      <c r="B128" s="31"/>
      <c r="C128" s="59" t="str">
        <f>IFERROR(IF(ISBLANK(VLOOKUP($B128,ARTICLE!$B$2:$J$200,3,FALSE)),"",VLOOKUP($B128,ARTICLE!$B$2:$J$200,3,FALSE)),"")</f>
        <v/>
      </c>
      <c r="D128" s="32" t="str">
        <f>IFERROR(IF(ISBLANK(VLOOKUP($B128,ARTICLE!$B$2:$J$200,4,FALSE)),"",VLOOKUP($B128,ARTICLE!$B$2:$J$200,4,FALSE)),"")</f>
        <v/>
      </c>
      <c r="E128" s="32" t="str">
        <f>IFERROR(IF(ISBLANK(VLOOKUP($B128,ARTICLE!$B$2:$J$200,5,FALSE)),"",VLOOKUP($B128,ARTICLE!$B$2:$J$200,5,FALSE)),"")</f>
        <v/>
      </c>
      <c r="F128" s="32" t="str">
        <f>IFERROR(IF(ISBLANK(VLOOKUP($B128,ARTICLE!$B$2:$J$200,6,FALSE)),"",VLOOKUP($B128,ARTICLE!$B$2:$J$200,6,FALSE)),"")</f>
        <v/>
      </c>
      <c r="G128" s="32" t="str">
        <f>IFERROR(IF(ISBLANK(VLOOKUP($B128,ARTICLE!$B$2:$J$200,7,FALSE)),"",VLOOKUP($B128,ARTICLE!$B$2:$J$200,7,FALSE)),"")</f>
        <v/>
      </c>
      <c r="H128" s="32" t="str">
        <f>IFERROR(IF(ISBLANK(VLOOKUP($B128,ARTICLE!$B$2:$J$200,8,FALSE)),"",VLOOKUP($B128,ARTICLE!$B$2:$J$200,8,FALSE)),"")</f>
        <v/>
      </c>
      <c r="I128" s="178"/>
      <c r="J128"/>
      <c r="K128"/>
      <c r="L128"/>
      <c r="M128"/>
      <c r="N128"/>
      <c r="O128"/>
      <c r="P128"/>
      <c r="Q128"/>
      <c r="R128"/>
      <c r="S128"/>
    </row>
    <row r="129" spans="1:19" outlineLevel="1">
      <c r="A129" s="165"/>
      <c r="B129" s="31"/>
      <c r="C129" s="59" t="str">
        <f>IFERROR(IF(ISBLANK(VLOOKUP($B129,ARTICLE!$B$2:$J$200,3,FALSE)),"",VLOOKUP($B129,ARTICLE!$B$2:$J$200,3,FALSE)),"")</f>
        <v/>
      </c>
      <c r="D129" s="32" t="str">
        <f>IFERROR(IF(ISBLANK(VLOOKUP($B129,ARTICLE!$B$2:$J$200,4,FALSE)),"",VLOOKUP($B129,ARTICLE!$B$2:$J$200,4,FALSE)),"")</f>
        <v/>
      </c>
      <c r="E129" s="32" t="str">
        <f>IFERROR(IF(ISBLANK(VLOOKUP($B129,ARTICLE!$B$2:$J$200,5,FALSE)),"",VLOOKUP($B129,ARTICLE!$B$2:$J$200,5,FALSE)),"")</f>
        <v/>
      </c>
      <c r="F129" s="32" t="str">
        <f>IFERROR(IF(ISBLANK(VLOOKUP($B129,ARTICLE!$B$2:$J$200,6,FALSE)),"",VLOOKUP($B129,ARTICLE!$B$2:$J$200,6,FALSE)),"")</f>
        <v/>
      </c>
      <c r="G129" s="32" t="str">
        <f>IFERROR(IF(ISBLANK(VLOOKUP($B129,ARTICLE!$B$2:$J$200,7,FALSE)),"",VLOOKUP($B129,ARTICLE!$B$2:$J$200,7,FALSE)),"")</f>
        <v/>
      </c>
      <c r="H129" s="32" t="str">
        <f>IFERROR(IF(ISBLANK(VLOOKUP($B129,ARTICLE!$B$2:$J$200,8,FALSE)),"",VLOOKUP($B129,ARTICLE!$B$2:$J$200,8,FALSE)),"")</f>
        <v/>
      </c>
      <c r="I129" s="178"/>
      <c r="J129"/>
      <c r="K129"/>
      <c r="L129"/>
      <c r="M129"/>
      <c r="N129"/>
      <c r="O129"/>
      <c r="P129"/>
      <c r="Q129"/>
      <c r="R129"/>
      <c r="S129"/>
    </row>
    <row r="130" spans="1:19" outlineLevel="1">
      <c r="A130" s="165"/>
      <c r="B130" s="31"/>
      <c r="C130" s="59" t="str">
        <f>IFERROR(IF(ISBLANK(VLOOKUP($B130,ARTICLE!$B$2:$J$200,3,FALSE)),"",VLOOKUP($B130,ARTICLE!$B$2:$J$200,3,FALSE)),"")</f>
        <v/>
      </c>
      <c r="D130" s="32" t="str">
        <f>IFERROR(IF(ISBLANK(VLOOKUP($B130,ARTICLE!$B$2:$J$200,4,FALSE)),"",VLOOKUP($B130,ARTICLE!$B$2:$J$200,4,FALSE)),"")</f>
        <v/>
      </c>
      <c r="E130" s="32" t="str">
        <f>IFERROR(IF(ISBLANK(VLOOKUP($B130,ARTICLE!$B$2:$J$200,5,FALSE)),"",VLOOKUP($B130,ARTICLE!$B$2:$J$200,5,FALSE)),"")</f>
        <v/>
      </c>
      <c r="F130" s="32" t="str">
        <f>IFERROR(IF(ISBLANK(VLOOKUP($B130,ARTICLE!$B$2:$J$200,6,FALSE)),"",VLOOKUP($B130,ARTICLE!$B$2:$J$200,6,FALSE)),"")</f>
        <v/>
      </c>
      <c r="G130" s="32" t="str">
        <f>IFERROR(IF(ISBLANK(VLOOKUP($B130,ARTICLE!$B$2:$J$200,7,FALSE)),"",VLOOKUP($B130,ARTICLE!$B$2:$J$200,7,FALSE)),"")</f>
        <v/>
      </c>
      <c r="H130" s="32" t="str">
        <f>IFERROR(IF(ISBLANK(VLOOKUP($B130,ARTICLE!$B$2:$J$200,8,FALSE)),"",VLOOKUP($B130,ARTICLE!$B$2:$J$200,8,FALSE)),"")</f>
        <v/>
      </c>
      <c r="I130" s="178"/>
      <c r="J130"/>
      <c r="K130"/>
      <c r="L130"/>
      <c r="M130"/>
      <c r="N130"/>
      <c r="O130"/>
      <c r="P130"/>
      <c r="Q130"/>
      <c r="R130"/>
      <c r="S130"/>
    </row>
    <row r="131" spans="1:19" outlineLevel="1">
      <c r="A131" s="165"/>
      <c r="B131" s="31"/>
      <c r="C131" s="59" t="str">
        <f>IFERROR(IF(ISBLANK(VLOOKUP($B131,ARTICLE!$B$2:$J$200,3,FALSE)),"",VLOOKUP($B131,ARTICLE!$B$2:$J$200,3,FALSE)),"")</f>
        <v/>
      </c>
      <c r="D131" s="32" t="str">
        <f>IFERROR(IF(ISBLANK(VLOOKUP($B131,ARTICLE!$B$2:$J$200,4,FALSE)),"",VLOOKUP($B131,ARTICLE!$B$2:$J$200,4,FALSE)),"")</f>
        <v/>
      </c>
      <c r="E131" s="32" t="str">
        <f>IFERROR(IF(ISBLANK(VLOOKUP($B131,ARTICLE!$B$2:$J$200,5,FALSE)),"",VLOOKUP($B131,ARTICLE!$B$2:$J$200,5,FALSE)),"")</f>
        <v/>
      </c>
      <c r="F131" s="32" t="str">
        <f>IFERROR(IF(ISBLANK(VLOOKUP($B131,ARTICLE!$B$2:$J$200,6,FALSE)),"",VLOOKUP($B131,ARTICLE!$B$2:$J$200,6,FALSE)),"")</f>
        <v/>
      </c>
      <c r="G131" s="32" t="str">
        <f>IFERROR(IF(ISBLANK(VLOOKUP($B131,ARTICLE!$B$2:$J$200,7,FALSE)),"",VLOOKUP($B131,ARTICLE!$B$2:$J$200,7,FALSE)),"")</f>
        <v/>
      </c>
      <c r="H131" s="32" t="str">
        <f>IFERROR(IF(ISBLANK(VLOOKUP($B131,ARTICLE!$B$2:$J$200,8,FALSE)),"",VLOOKUP($B131,ARTICLE!$B$2:$J$200,8,FALSE)),"")</f>
        <v/>
      </c>
      <c r="I131" s="178"/>
      <c r="J131"/>
      <c r="K131"/>
      <c r="L131"/>
      <c r="M131"/>
      <c r="N131"/>
      <c r="O131"/>
      <c r="P131"/>
      <c r="Q131"/>
      <c r="R131"/>
      <c r="S131"/>
    </row>
    <row r="132" spans="1:19" outlineLevel="1">
      <c r="A132" s="165"/>
      <c r="B132" s="31"/>
      <c r="C132" s="59" t="str">
        <f>IFERROR(IF(ISBLANK(VLOOKUP($B132,ARTICLE!$B$2:$J$200,3,FALSE)),"",VLOOKUP($B132,ARTICLE!$B$2:$J$200,3,FALSE)),"")</f>
        <v/>
      </c>
      <c r="D132" s="32" t="str">
        <f>IFERROR(IF(ISBLANK(VLOOKUP($B132,ARTICLE!$B$2:$J$200,4,FALSE)),"",VLOOKUP($B132,ARTICLE!$B$2:$J$200,4,FALSE)),"")</f>
        <v/>
      </c>
      <c r="E132" s="32" t="str">
        <f>IFERROR(IF(ISBLANK(VLOOKUP($B132,ARTICLE!$B$2:$J$200,5,FALSE)),"",VLOOKUP($B132,ARTICLE!$B$2:$J$200,5,FALSE)),"")</f>
        <v/>
      </c>
      <c r="F132" s="32" t="str">
        <f>IFERROR(IF(ISBLANK(VLOOKUP($B132,ARTICLE!$B$2:$J$200,6,FALSE)),"",VLOOKUP($B132,ARTICLE!$B$2:$J$200,6,FALSE)),"")</f>
        <v/>
      </c>
      <c r="G132" s="32" t="str">
        <f>IFERROR(IF(ISBLANK(VLOOKUP($B132,ARTICLE!$B$2:$J$200,7,FALSE)),"",VLOOKUP($B132,ARTICLE!$B$2:$J$200,7,FALSE)),"")</f>
        <v/>
      </c>
      <c r="H132" s="32" t="str">
        <f>IFERROR(IF(ISBLANK(VLOOKUP($B132,ARTICLE!$B$2:$J$200,8,FALSE)),"",VLOOKUP($B132,ARTICLE!$B$2:$J$200,8,FALSE)),"")</f>
        <v/>
      </c>
      <c r="I132" s="178"/>
      <c r="J132"/>
      <c r="K132"/>
      <c r="L132"/>
      <c r="M132"/>
      <c r="N132"/>
      <c r="O132"/>
      <c r="P132"/>
      <c r="Q132"/>
      <c r="R132"/>
      <c r="S132"/>
    </row>
    <row r="133" spans="1:19" outlineLevel="1">
      <c r="A133" s="165"/>
      <c r="B133" s="33"/>
      <c r="C133" s="59" t="str">
        <f>IFERROR(IF(ISBLANK(VLOOKUP($B133,ARTICLE!$B$2:$J$200,3,FALSE)),"",VLOOKUP($B133,ARTICLE!$B$2:$J$200,3,FALSE)),"")</f>
        <v/>
      </c>
      <c r="D133" s="32" t="str">
        <f>IFERROR(IF(ISBLANK(VLOOKUP($B133,ARTICLE!$B$2:$J$200,4,FALSE)),"",VLOOKUP($B133,ARTICLE!$B$2:$J$200,4,FALSE)),"")</f>
        <v/>
      </c>
      <c r="E133" s="32" t="str">
        <f>IFERROR(IF(ISBLANK(VLOOKUP($B133,ARTICLE!$B$2:$J$200,5,FALSE)),"",VLOOKUP($B133,ARTICLE!$B$2:$J$200,5,FALSE)),"")</f>
        <v/>
      </c>
      <c r="F133" s="32" t="str">
        <f>IFERROR(IF(ISBLANK(VLOOKUP($B133,ARTICLE!$B$2:$J$200,6,FALSE)),"",VLOOKUP($B133,ARTICLE!$B$2:$J$200,6,FALSE)),"")</f>
        <v/>
      </c>
      <c r="G133" s="32" t="str">
        <f>IFERROR(IF(ISBLANK(VLOOKUP($B133,ARTICLE!$B$2:$J$200,7,FALSE)),"",VLOOKUP($B133,ARTICLE!$B$2:$J$200,7,FALSE)),"")</f>
        <v/>
      </c>
      <c r="H133" s="32" t="str">
        <f>IFERROR(IF(ISBLANK(VLOOKUP($B133,ARTICLE!$B$2:$J$200,8,FALSE)),"",VLOOKUP($B133,ARTICLE!$B$2:$J$200,8,FALSE)),"")</f>
        <v/>
      </c>
      <c r="I133" s="179"/>
      <c r="J133"/>
      <c r="K133"/>
      <c r="L133"/>
      <c r="M133"/>
      <c r="N133"/>
      <c r="O133"/>
      <c r="P133"/>
      <c r="Q133"/>
      <c r="R133"/>
      <c r="S133"/>
    </row>
    <row r="134" spans="1:19" outlineLevel="1">
      <c r="A134" s="165" t="str">
        <f t="shared" ref="A134" si="38">B134</f>
        <v/>
      </c>
      <c r="B134" s="34" t="str">
        <f>CONCATENATE(B135,IF(B136="",""," / "),B136,IF(B137="",""," / "),B137,IF(B138="",""," / "),B138,IF(B139="",""," / "),B139,IF(B140="",""," / "),B140,IF(B141="",""," / "),B141)</f>
        <v/>
      </c>
      <c r="C134" s="35" t="str">
        <f t="shared" ref="C134:C189" si="39">C135</f>
        <v/>
      </c>
      <c r="D134" s="35">
        <f t="shared" ref="D134" si="40">IF(SUM(E134:H134)=0,0,SUM(E134:H134))</f>
        <v>0</v>
      </c>
      <c r="E134" s="35">
        <f t="shared" ref="E134:E189" si="41">SUM(E135:E144)</f>
        <v>0</v>
      </c>
      <c r="F134" s="35">
        <f t="shared" ref="F134:H134" si="42">SUM(F135:F144)</f>
        <v>0</v>
      </c>
      <c r="G134" s="35">
        <f t="shared" si="42"/>
        <v>0</v>
      </c>
      <c r="H134" s="36">
        <f t="shared" si="42"/>
        <v>0</v>
      </c>
      <c r="I134" s="177"/>
      <c r="K134" s="284">
        <f>ROUNDUP(D134,0)*J134</f>
        <v>0</v>
      </c>
      <c r="L134" s="284">
        <f>ROUNDUP(J134*E134,0)</f>
        <v>0</v>
      </c>
      <c r="M134" s="285" t="e">
        <f>L134/K134</f>
        <v>#DIV/0!</v>
      </c>
      <c r="N134" s="284">
        <f>ROUNDUP(J134*F134,0)</f>
        <v>0</v>
      </c>
      <c r="O134" s="285" t="e">
        <f>N134/K134</f>
        <v>#DIV/0!</v>
      </c>
      <c r="P134" s="284">
        <f>ROUNDUP(J134*G134,0)</f>
        <v>0</v>
      </c>
      <c r="Q134" s="285" t="e">
        <f>P134/K134</f>
        <v>#DIV/0!</v>
      </c>
      <c r="R134" s="284">
        <f>ROUNDUP(J134*H134,0)</f>
        <v>0</v>
      </c>
      <c r="S134" s="285" t="e">
        <f>R134/K134</f>
        <v>#DIV/0!</v>
      </c>
    </row>
    <row r="135" spans="1:19" outlineLevel="1">
      <c r="A135" s="165"/>
      <c r="B135" s="31"/>
      <c r="C135" s="59" t="str">
        <f>IFERROR(IF(ISBLANK(VLOOKUP($B135,ARTICLE!$B$2:$J$200,3,FALSE)),"",VLOOKUP($B135,ARTICLE!$B$2:$J$200,3,FALSE)),"")</f>
        <v/>
      </c>
      <c r="D135" s="32" t="str">
        <f>IFERROR(IF(ISBLANK(VLOOKUP($B135,ARTICLE!$B$2:$J$200,4,FALSE)),"",VLOOKUP($B135,ARTICLE!$B$2:$J$200,4,FALSE)),"")</f>
        <v/>
      </c>
      <c r="E135" s="32" t="str">
        <f>IFERROR(IF(ISBLANK(VLOOKUP($B135,ARTICLE!$B$2:$J$200,5,FALSE)),"",VLOOKUP($B135,ARTICLE!$B$2:$J$200,5,FALSE)),"")</f>
        <v/>
      </c>
      <c r="F135" s="32" t="str">
        <f>IFERROR(IF(ISBLANK(VLOOKUP($B135,ARTICLE!$B$2:$J$200,6,FALSE)),"",VLOOKUP($B135,ARTICLE!$B$2:$J$200,6,FALSE)),"")</f>
        <v/>
      </c>
      <c r="G135" s="32" t="str">
        <f>IFERROR(IF(ISBLANK(VLOOKUP($B135,ARTICLE!$B$2:$J$200,7,FALSE)),"",VLOOKUP($B135,ARTICLE!$B$2:$J$200,7,FALSE)),"")</f>
        <v/>
      </c>
      <c r="H135" s="32" t="str">
        <f>IFERROR(IF(ISBLANK(VLOOKUP($B135,ARTICLE!$B$2:$J$200,8,FALSE)),"",VLOOKUP($B135,ARTICLE!$B$2:$J$200,8,FALSE)),"")</f>
        <v/>
      </c>
      <c r="I135" s="178"/>
      <c r="J135"/>
      <c r="K135"/>
      <c r="L135"/>
      <c r="M135"/>
      <c r="N135"/>
      <c r="O135"/>
      <c r="P135"/>
      <c r="Q135"/>
      <c r="R135"/>
      <c r="S135"/>
    </row>
    <row r="136" spans="1:19" outlineLevel="1">
      <c r="A136" s="165"/>
      <c r="B136" s="31"/>
      <c r="C136" s="59" t="str">
        <f>IFERROR(IF(ISBLANK(VLOOKUP($B136,ARTICLE!$B$2:$J$200,3,FALSE)),"",VLOOKUP($B136,ARTICLE!$B$2:$J$200,3,FALSE)),"")</f>
        <v/>
      </c>
      <c r="D136" s="32" t="str">
        <f>IFERROR(IF(ISBLANK(VLOOKUP($B136,ARTICLE!$B$2:$J$200,4,FALSE)),"",VLOOKUP($B136,ARTICLE!$B$2:$J$200,4,FALSE)),"")</f>
        <v/>
      </c>
      <c r="E136" s="32" t="str">
        <f>IFERROR(IF(ISBLANK(VLOOKUP($B136,ARTICLE!$B$2:$J$200,5,FALSE)),"",VLOOKUP($B136,ARTICLE!$B$2:$J$200,5,FALSE)),"")</f>
        <v/>
      </c>
      <c r="F136" s="32" t="str">
        <f>IFERROR(IF(ISBLANK(VLOOKUP($B136,ARTICLE!$B$2:$J$200,6,FALSE)),"",VLOOKUP($B136,ARTICLE!$B$2:$J$200,6,FALSE)),"")</f>
        <v/>
      </c>
      <c r="G136" s="32" t="str">
        <f>IFERROR(IF(ISBLANK(VLOOKUP($B136,ARTICLE!$B$2:$J$200,7,FALSE)),"",VLOOKUP($B136,ARTICLE!$B$2:$J$200,7,FALSE)),"")</f>
        <v/>
      </c>
      <c r="H136" s="32" t="str">
        <f>IFERROR(IF(ISBLANK(VLOOKUP($B136,ARTICLE!$B$2:$J$200,8,FALSE)),"",VLOOKUP($B136,ARTICLE!$B$2:$J$200,8,FALSE)),"")</f>
        <v/>
      </c>
      <c r="I136" s="178"/>
      <c r="J136"/>
      <c r="K136"/>
      <c r="L136"/>
      <c r="M136"/>
      <c r="N136"/>
      <c r="O136"/>
      <c r="P136"/>
      <c r="Q136"/>
      <c r="R136"/>
      <c r="S136"/>
    </row>
    <row r="137" spans="1:19" outlineLevel="1">
      <c r="A137" s="165"/>
      <c r="B137" s="31"/>
      <c r="C137" s="59" t="str">
        <f>IFERROR(IF(ISBLANK(VLOOKUP($B137,ARTICLE!$B$2:$J$200,3,FALSE)),"",VLOOKUP($B137,ARTICLE!$B$2:$J$200,3,FALSE)),"")</f>
        <v/>
      </c>
      <c r="D137" s="32" t="str">
        <f>IFERROR(IF(ISBLANK(VLOOKUP($B137,ARTICLE!$B$2:$J$200,4,FALSE)),"",VLOOKUP($B137,ARTICLE!$B$2:$J$200,4,FALSE)),"")</f>
        <v/>
      </c>
      <c r="E137" s="32" t="str">
        <f>IFERROR(IF(ISBLANK(VLOOKUP($B137,ARTICLE!$B$2:$J$200,5,FALSE)),"",VLOOKUP($B137,ARTICLE!$B$2:$J$200,5,FALSE)),"")</f>
        <v/>
      </c>
      <c r="F137" s="32" t="str">
        <f>IFERROR(IF(ISBLANK(VLOOKUP($B137,ARTICLE!$B$2:$J$200,6,FALSE)),"",VLOOKUP($B137,ARTICLE!$B$2:$J$200,6,FALSE)),"")</f>
        <v/>
      </c>
      <c r="G137" s="32" t="str">
        <f>IFERROR(IF(ISBLANK(VLOOKUP($B137,ARTICLE!$B$2:$J$200,7,FALSE)),"",VLOOKUP($B137,ARTICLE!$B$2:$J$200,7,FALSE)),"")</f>
        <v/>
      </c>
      <c r="H137" s="32" t="str">
        <f>IFERROR(IF(ISBLANK(VLOOKUP($B137,ARTICLE!$B$2:$J$200,8,FALSE)),"",VLOOKUP($B137,ARTICLE!$B$2:$J$200,8,FALSE)),"")</f>
        <v/>
      </c>
      <c r="I137" s="178"/>
      <c r="J137"/>
      <c r="K137"/>
      <c r="L137"/>
      <c r="M137"/>
      <c r="N137"/>
      <c r="O137"/>
      <c r="P137"/>
      <c r="Q137"/>
      <c r="R137"/>
      <c r="S137"/>
    </row>
    <row r="138" spans="1:19" outlineLevel="1">
      <c r="A138" s="165"/>
      <c r="B138" s="31"/>
      <c r="C138" s="59" t="str">
        <f>IFERROR(IF(ISBLANK(VLOOKUP($B138,ARTICLE!$B$2:$J$200,3,FALSE)),"",VLOOKUP($B138,ARTICLE!$B$2:$J$200,3,FALSE)),"")</f>
        <v/>
      </c>
      <c r="D138" s="32" t="str">
        <f>IFERROR(IF(ISBLANK(VLOOKUP($B138,ARTICLE!$B$2:$J$200,4,FALSE)),"",VLOOKUP($B138,ARTICLE!$B$2:$J$200,4,FALSE)),"")</f>
        <v/>
      </c>
      <c r="E138" s="32" t="str">
        <f>IFERROR(IF(ISBLANK(VLOOKUP($B138,ARTICLE!$B$2:$J$200,5,FALSE)),"",VLOOKUP($B138,ARTICLE!$B$2:$J$200,5,FALSE)),"")</f>
        <v/>
      </c>
      <c r="F138" s="32" t="str">
        <f>IFERROR(IF(ISBLANK(VLOOKUP($B138,ARTICLE!$B$2:$J$200,6,FALSE)),"",VLOOKUP($B138,ARTICLE!$B$2:$J$200,6,FALSE)),"")</f>
        <v/>
      </c>
      <c r="G138" s="32" t="str">
        <f>IFERROR(IF(ISBLANK(VLOOKUP($B138,ARTICLE!$B$2:$J$200,7,FALSE)),"",VLOOKUP($B138,ARTICLE!$B$2:$J$200,7,FALSE)),"")</f>
        <v/>
      </c>
      <c r="H138" s="32" t="str">
        <f>IFERROR(IF(ISBLANK(VLOOKUP($B138,ARTICLE!$B$2:$J$200,8,FALSE)),"",VLOOKUP($B138,ARTICLE!$B$2:$J$200,8,FALSE)),"")</f>
        <v/>
      </c>
      <c r="I138" s="178"/>
      <c r="J138"/>
      <c r="K138"/>
      <c r="L138"/>
      <c r="M138"/>
      <c r="N138"/>
      <c r="O138"/>
      <c r="P138"/>
      <c r="Q138"/>
      <c r="R138"/>
      <c r="S138"/>
    </row>
    <row r="139" spans="1:19" outlineLevel="1">
      <c r="A139" s="165"/>
      <c r="B139" s="31"/>
      <c r="C139" s="59" t="str">
        <f>IFERROR(IF(ISBLANK(VLOOKUP($B139,ARTICLE!$B$2:$J$200,3,FALSE)),"",VLOOKUP($B139,ARTICLE!$B$2:$J$200,3,FALSE)),"")</f>
        <v/>
      </c>
      <c r="D139" s="32" t="str">
        <f>IFERROR(IF(ISBLANK(VLOOKUP($B139,ARTICLE!$B$2:$J$200,4,FALSE)),"",VLOOKUP($B139,ARTICLE!$B$2:$J$200,4,FALSE)),"")</f>
        <v/>
      </c>
      <c r="E139" s="32" t="str">
        <f>IFERROR(IF(ISBLANK(VLOOKUP($B139,ARTICLE!$B$2:$J$200,5,FALSE)),"",VLOOKUP($B139,ARTICLE!$B$2:$J$200,5,FALSE)),"")</f>
        <v/>
      </c>
      <c r="F139" s="32" t="str">
        <f>IFERROR(IF(ISBLANK(VLOOKUP($B139,ARTICLE!$B$2:$J$200,6,FALSE)),"",VLOOKUP($B139,ARTICLE!$B$2:$J$200,6,FALSE)),"")</f>
        <v/>
      </c>
      <c r="G139" s="32" t="str">
        <f>IFERROR(IF(ISBLANK(VLOOKUP($B139,ARTICLE!$B$2:$J$200,7,FALSE)),"",VLOOKUP($B139,ARTICLE!$B$2:$J$200,7,FALSE)),"")</f>
        <v/>
      </c>
      <c r="H139" s="32" t="str">
        <f>IFERROR(IF(ISBLANK(VLOOKUP($B139,ARTICLE!$B$2:$J$200,8,FALSE)),"",VLOOKUP($B139,ARTICLE!$B$2:$J$200,8,FALSE)),"")</f>
        <v/>
      </c>
      <c r="I139" s="178"/>
      <c r="J139"/>
      <c r="K139"/>
      <c r="L139"/>
      <c r="M139"/>
      <c r="N139"/>
      <c r="O139"/>
      <c r="P139"/>
      <c r="Q139"/>
      <c r="R139"/>
      <c r="S139"/>
    </row>
    <row r="140" spans="1:19" outlineLevel="1">
      <c r="A140" s="165"/>
      <c r="B140" s="31"/>
      <c r="C140" s="59" t="str">
        <f>IFERROR(IF(ISBLANK(VLOOKUP($B140,ARTICLE!$B$2:$J$200,3,FALSE)),"",VLOOKUP($B140,ARTICLE!$B$2:$J$200,3,FALSE)),"")</f>
        <v/>
      </c>
      <c r="D140" s="32" t="str">
        <f>IFERROR(IF(ISBLANK(VLOOKUP($B140,ARTICLE!$B$2:$J$200,4,FALSE)),"",VLOOKUP($B140,ARTICLE!$B$2:$J$200,4,FALSE)),"")</f>
        <v/>
      </c>
      <c r="E140" s="32" t="str">
        <f>IFERROR(IF(ISBLANK(VLOOKUP($B140,ARTICLE!$B$2:$J$200,5,FALSE)),"",VLOOKUP($B140,ARTICLE!$B$2:$J$200,5,FALSE)),"")</f>
        <v/>
      </c>
      <c r="F140" s="32" t="str">
        <f>IFERROR(IF(ISBLANK(VLOOKUP($B140,ARTICLE!$B$2:$J$200,6,FALSE)),"",VLOOKUP($B140,ARTICLE!$B$2:$J$200,6,FALSE)),"")</f>
        <v/>
      </c>
      <c r="G140" s="32" t="str">
        <f>IFERROR(IF(ISBLANK(VLOOKUP($B140,ARTICLE!$B$2:$J$200,7,FALSE)),"",VLOOKUP($B140,ARTICLE!$B$2:$J$200,7,FALSE)),"")</f>
        <v/>
      </c>
      <c r="H140" s="32" t="str">
        <f>IFERROR(IF(ISBLANK(VLOOKUP($B140,ARTICLE!$B$2:$J$200,8,FALSE)),"",VLOOKUP($B140,ARTICLE!$B$2:$J$200,8,FALSE)),"")</f>
        <v/>
      </c>
      <c r="I140" s="178"/>
      <c r="J140"/>
      <c r="K140"/>
      <c r="L140"/>
      <c r="M140"/>
      <c r="N140"/>
      <c r="O140"/>
      <c r="P140"/>
      <c r="Q140"/>
      <c r="R140"/>
      <c r="S140"/>
    </row>
    <row r="141" spans="1:19" outlineLevel="1">
      <c r="A141" s="165"/>
      <c r="B141" s="31"/>
      <c r="C141" s="59" t="str">
        <f>IFERROR(IF(ISBLANK(VLOOKUP($B141,ARTICLE!$B$2:$J$200,3,FALSE)),"",VLOOKUP($B141,ARTICLE!$B$2:$J$200,3,FALSE)),"")</f>
        <v/>
      </c>
      <c r="D141" s="32" t="str">
        <f>IFERROR(IF(ISBLANK(VLOOKUP($B141,ARTICLE!$B$2:$J$200,4,FALSE)),"",VLOOKUP($B141,ARTICLE!$B$2:$J$200,4,FALSE)),"")</f>
        <v/>
      </c>
      <c r="E141" s="32" t="str">
        <f>IFERROR(IF(ISBLANK(VLOOKUP($B141,ARTICLE!$B$2:$J$200,5,FALSE)),"",VLOOKUP($B141,ARTICLE!$B$2:$J$200,5,FALSE)),"")</f>
        <v/>
      </c>
      <c r="F141" s="32" t="str">
        <f>IFERROR(IF(ISBLANK(VLOOKUP($B141,ARTICLE!$B$2:$J$200,6,FALSE)),"",VLOOKUP($B141,ARTICLE!$B$2:$J$200,6,FALSE)),"")</f>
        <v/>
      </c>
      <c r="G141" s="32" t="str">
        <f>IFERROR(IF(ISBLANK(VLOOKUP($B141,ARTICLE!$B$2:$J$200,7,FALSE)),"",VLOOKUP($B141,ARTICLE!$B$2:$J$200,7,FALSE)),"")</f>
        <v/>
      </c>
      <c r="H141" s="32" t="str">
        <f>IFERROR(IF(ISBLANK(VLOOKUP($B141,ARTICLE!$B$2:$J$200,8,FALSE)),"",VLOOKUP($B141,ARTICLE!$B$2:$J$200,8,FALSE)),"")</f>
        <v/>
      </c>
      <c r="I141" s="178"/>
      <c r="J141"/>
      <c r="K141"/>
      <c r="L141"/>
      <c r="M141"/>
      <c r="N141"/>
      <c r="O141"/>
      <c r="P141"/>
      <c r="Q141"/>
      <c r="R141"/>
      <c r="S141"/>
    </row>
    <row r="142" spans="1:19" outlineLevel="1">
      <c r="A142" s="165"/>
      <c r="B142" s="31"/>
      <c r="C142" s="59" t="str">
        <f>IFERROR(IF(ISBLANK(VLOOKUP($B142,ARTICLE!$B$2:$J$200,3,FALSE)),"",VLOOKUP($B142,ARTICLE!$B$2:$J$200,3,FALSE)),"")</f>
        <v/>
      </c>
      <c r="D142" s="32" t="str">
        <f>IFERROR(IF(ISBLANK(VLOOKUP($B142,ARTICLE!$B$2:$J$200,4,FALSE)),"",VLOOKUP($B142,ARTICLE!$B$2:$J$200,4,FALSE)),"")</f>
        <v/>
      </c>
      <c r="E142" s="32" t="str">
        <f>IFERROR(IF(ISBLANK(VLOOKUP($B142,ARTICLE!$B$2:$J$200,5,FALSE)),"",VLOOKUP($B142,ARTICLE!$B$2:$J$200,5,FALSE)),"")</f>
        <v/>
      </c>
      <c r="F142" s="32" t="str">
        <f>IFERROR(IF(ISBLANK(VLOOKUP($B142,ARTICLE!$B$2:$J$200,6,FALSE)),"",VLOOKUP($B142,ARTICLE!$B$2:$J$200,6,FALSE)),"")</f>
        <v/>
      </c>
      <c r="G142" s="32" t="str">
        <f>IFERROR(IF(ISBLANK(VLOOKUP($B142,ARTICLE!$B$2:$J$200,7,FALSE)),"",VLOOKUP($B142,ARTICLE!$B$2:$J$200,7,FALSE)),"")</f>
        <v/>
      </c>
      <c r="H142" s="32" t="str">
        <f>IFERROR(IF(ISBLANK(VLOOKUP($B142,ARTICLE!$B$2:$J$200,8,FALSE)),"",VLOOKUP($B142,ARTICLE!$B$2:$J$200,8,FALSE)),"")</f>
        <v/>
      </c>
      <c r="I142" s="178"/>
      <c r="J142"/>
      <c r="K142"/>
      <c r="L142"/>
      <c r="M142"/>
      <c r="N142"/>
      <c r="O142"/>
      <c r="P142"/>
      <c r="Q142"/>
      <c r="R142"/>
      <c r="S142"/>
    </row>
    <row r="143" spans="1:19" outlineLevel="1">
      <c r="A143" s="165"/>
      <c r="B143" s="31"/>
      <c r="C143" s="59" t="str">
        <f>IFERROR(IF(ISBLANK(VLOOKUP($B143,ARTICLE!$B$2:$J$200,3,FALSE)),"",VLOOKUP($B143,ARTICLE!$B$2:$J$200,3,FALSE)),"")</f>
        <v/>
      </c>
      <c r="D143" s="32" t="str">
        <f>IFERROR(IF(ISBLANK(VLOOKUP($B143,ARTICLE!$B$2:$J$200,4,FALSE)),"",VLOOKUP($B143,ARTICLE!$B$2:$J$200,4,FALSE)),"")</f>
        <v/>
      </c>
      <c r="E143" s="32" t="str">
        <f>IFERROR(IF(ISBLANK(VLOOKUP($B143,ARTICLE!$B$2:$J$200,5,FALSE)),"",VLOOKUP($B143,ARTICLE!$B$2:$J$200,5,FALSE)),"")</f>
        <v/>
      </c>
      <c r="F143" s="32" t="str">
        <f>IFERROR(IF(ISBLANK(VLOOKUP($B143,ARTICLE!$B$2:$J$200,6,FALSE)),"",VLOOKUP($B143,ARTICLE!$B$2:$J$200,6,FALSE)),"")</f>
        <v/>
      </c>
      <c r="G143" s="32" t="str">
        <f>IFERROR(IF(ISBLANK(VLOOKUP($B143,ARTICLE!$B$2:$J$200,7,FALSE)),"",VLOOKUP($B143,ARTICLE!$B$2:$J$200,7,FALSE)),"")</f>
        <v/>
      </c>
      <c r="H143" s="32" t="str">
        <f>IFERROR(IF(ISBLANK(VLOOKUP($B143,ARTICLE!$B$2:$J$200,8,FALSE)),"",VLOOKUP($B143,ARTICLE!$B$2:$J$200,8,FALSE)),"")</f>
        <v/>
      </c>
      <c r="I143" s="178"/>
      <c r="J143"/>
      <c r="K143"/>
      <c r="L143"/>
      <c r="M143"/>
      <c r="N143"/>
      <c r="O143"/>
      <c r="P143"/>
      <c r="Q143"/>
      <c r="R143"/>
      <c r="S143"/>
    </row>
    <row r="144" spans="1:19" outlineLevel="1">
      <c r="A144" s="165"/>
      <c r="B144" s="33"/>
      <c r="C144" s="59" t="str">
        <f>IFERROR(IF(ISBLANK(VLOOKUP($B144,ARTICLE!$B$2:$J$200,3,FALSE)),"",VLOOKUP($B144,ARTICLE!$B$2:$J$200,3,FALSE)),"")</f>
        <v/>
      </c>
      <c r="D144" s="32" t="str">
        <f>IFERROR(IF(ISBLANK(VLOOKUP($B144,ARTICLE!$B$2:$J$200,4,FALSE)),"",VLOOKUP($B144,ARTICLE!$B$2:$J$200,4,FALSE)),"")</f>
        <v/>
      </c>
      <c r="E144" s="32" t="str">
        <f>IFERROR(IF(ISBLANK(VLOOKUP($B144,ARTICLE!$B$2:$J$200,5,FALSE)),"",VLOOKUP($B144,ARTICLE!$B$2:$J$200,5,FALSE)),"")</f>
        <v/>
      </c>
      <c r="F144" s="32" t="str">
        <f>IFERROR(IF(ISBLANK(VLOOKUP($B144,ARTICLE!$B$2:$J$200,6,FALSE)),"",VLOOKUP($B144,ARTICLE!$B$2:$J$200,6,FALSE)),"")</f>
        <v/>
      </c>
      <c r="G144" s="32" t="str">
        <f>IFERROR(IF(ISBLANK(VLOOKUP($B144,ARTICLE!$B$2:$J$200,7,FALSE)),"",VLOOKUP($B144,ARTICLE!$B$2:$J$200,7,FALSE)),"")</f>
        <v/>
      </c>
      <c r="H144" s="32" t="str">
        <f>IFERROR(IF(ISBLANK(VLOOKUP($B144,ARTICLE!$B$2:$J$200,8,FALSE)),"",VLOOKUP($B144,ARTICLE!$B$2:$J$200,8,FALSE)),"")</f>
        <v/>
      </c>
      <c r="I144" s="179"/>
      <c r="J144"/>
      <c r="K144"/>
      <c r="L144"/>
      <c r="M144"/>
      <c r="N144"/>
      <c r="O144"/>
      <c r="P144"/>
      <c r="Q144"/>
      <c r="R144"/>
      <c r="S144"/>
    </row>
    <row r="145" spans="1:19" outlineLevel="1">
      <c r="A145" s="165" t="str">
        <f t="shared" ref="A145" si="43">B145</f>
        <v/>
      </c>
      <c r="B145" s="34" t="str">
        <f>CONCATENATE(B146,IF(B147="",""," / "),B147,IF(B148="",""," / "),B148,IF(B149="",""," / "),B149,IF(B150="",""," / "),B150,IF(B151="",""," / "),B151,IF(B152="",""," / "),B152)</f>
        <v/>
      </c>
      <c r="C145" s="35" t="str">
        <f t="shared" si="39"/>
        <v/>
      </c>
      <c r="D145" s="35">
        <f t="shared" ref="D145" si="44">IF(SUM(E145:H145)=0,0,SUM(E145:H145))</f>
        <v>0</v>
      </c>
      <c r="E145" s="35">
        <f t="shared" si="41"/>
        <v>0</v>
      </c>
      <c r="F145" s="35">
        <f t="shared" ref="F145:H145" si="45">SUM(F146:F155)</f>
        <v>0</v>
      </c>
      <c r="G145" s="35">
        <f t="shared" si="45"/>
        <v>0</v>
      </c>
      <c r="H145" s="36">
        <f t="shared" si="45"/>
        <v>0</v>
      </c>
      <c r="I145" s="177"/>
      <c r="K145" s="284">
        <f>ROUNDUP(D145,0)*J145</f>
        <v>0</v>
      </c>
      <c r="L145" s="284">
        <f>ROUNDUP(J145*E145,0)</f>
        <v>0</v>
      </c>
      <c r="M145" s="285" t="e">
        <f>L145/K145</f>
        <v>#DIV/0!</v>
      </c>
      <c r="N145" s="284">
        <f>ROUNDUP(J145*F145,0)</f>
        <v>0</v>
      </c>
      <c r="O145" s="285" t="e">
        <f>N145/K145</f>
        <v>#DIV/0!</v>
      </c>
      <c r="P145" s="284">
        <f>ROUNDUP(J145*G145,0)</f>
        <v>0</v>
      </c>
      <c r="Q145" s="285" t="e">
        <f>P145/K145</f>
        <v>#DIV/0!</v>
      </c>
      <c r="R145" s="284">
        <f>ROUNDUP(J145*H145,0)</f>
        <v>0</v>
      </c>
      <c r="S145" s="285" t="e">
        <f>R145/K145</f>
        <v>#DIV/0!</v>
      </c>
    </row>
    <row r="146" spans="1:19" outlineLevel="1">
      <c r="A146" s="165"/>
      <c r="B146" s="31"/>
      <c r="C146" s="59" t="str">
        <f>IFERROR(IF(ISBLANK(VLOOKUP($B146,ARTICLE!$B$2:$J$200,3,FALSE)),"",VLOOKUP($B146,ARTICLE!$B$2:$J$200,3,FALSE)),"")</f>
        <v/>
      </c>
      <c r="D146" s="32" t="str">
        <f>IFERROR(IF(ISBLANK(VLOOKUP($B146,ARTICLE!$B$2:$J$200,4,FALSE)),"",VLOOKUP($B146,ARTICLE!$B$2:$J$200,4,FALSE)),"")</f>
        <v/>
      </c>
      <c r="E146" s="32" t="str">
        <f>IFERROR(IF(ISBLANK(VLOOKUP($B146,ARTICLE!$B$2:$J$200,5,FALSE)),"",VLOOKUP($B146,ARTICLE!$B$2:$J$200,5,FALSE)),"")</f>
        <v/>
      </c>
      <c r="F146" s="32" t="str">
        <f>IFERROR(IF(ISBLANK(VLOOKUP($B146,ARTICLE!$B$2:$J$200,6,FALSE)),"",VLOOKUP($B146,ARTICLE!$B$2:$J$200,6,FALSE)),"")</f>
        <v/>
      </c>
      <c r="G146" s="32" t="str">
        <f>IFERROR(IF(ISBLANK(VLOOKUP($B146,ARTICLE!$B$2:$J$200,7,FALSE)),"",VLOOKUP($B146,ARTICLE!$B$2:$J$200,7,FALSE)),"")</f>
        <v/>
      </c>
      <c r="H146" s="32" t="str">
        <f>IFERROR(IF(ISBLANK(VLOOKUP($B146,ARTICLE!$B$2:$J$200,8,FALSE)),"",VLOOKUP($B146,ARTICLE!$B$2:$J$200,8,FALSE)),"")</f>
        <v/>
      </c>
      <c r="I146" s="178"/>
      <c r="J146"/>
      <c r="K146"/>
      <c r="L146"/>
      <c r="M146"/>
      <c r="N146"/>
      <c r="O146"/>
      <c r="P146"/>
      <c r="Q146"/>
      <c r="R146"/>
      <c r="S146"/>
    </row>
    <row r="147" spans="1:19" outlineLevel="1">
      <c r="A147" s="165"/>
      <c r="B147" s="31"/>
      <c r="C147" s="59" t="str">
        <f>IFERROR(IF(ISBLANK(VLOOKUP($B147,ARTICLE!$B$2:$J$200,3,FALSE)),"",VLOOKUP($B147,ARTICLE!$B$2:$J$200,3,FALSE)),"")</f>
        <v/>
      </c>
      <c r="D147" s="32" t="str">
        <f>IFERROR(IF(ISBLANK(VLOOKUP($B147,ARTICLE!$B$2:$J$200,4,FALSE)),"",VLOOKUP($B147,ARTICLE!$B$2:$J$200,4,FALSE)),"")</f>
        <v/>
      </c>
      <c r="E147" s="32" t="str">
        <f>IFERROR(IF(ISBLANK(VLOOKUP($B147,ARTICLE!$B$2:$J$200,5,FALSE)),"",VLOOKUP($B147,ARTICLE!$B$2:$J$200,5,FALSE)),"")</f>
        <v/>
      </c>
      <c r="F147" s="32" t="str">
        <f>IFERROR(IF(ISBLANK(VLOOKUP($B147,ARTICLE!$B$2:$J$200,6,FALSE)),"",VLOOKUP($B147,ARTICLE!$B$2:$J$200,6,FALSE)),"")</f>
        <v/>
      </c>
      <c r="G147" s="32" t="str">
        <f>IFERROR(IF(ISBLANK(VLOOKUP($B147,ARTICLE!$B$2:$J$200,7,FALSE)),"",VLOOKUP($B147,ARTICLE!$B$2:$J$200,7,FALSE)),"")</f>
        <v/>
      </c>
      <c r="H147" s="32" t="str">
        <f>IFERROR(IF(ISBLANK(VLOOKUP($B147,ARTICLE!$B$2:$J$200,8,FALSE)),"",VLOOKUP($B147,ARTICLE!$B$2:$J$200,8,FALSE)),"")</f>
        <v/>
      </c>
      <c r="I147" s="178"/>
      <c r="J147"/>
      <c r="K147"/>
      <c r="L147"/>
      <c r="M147"/>
      <c r="N147"/>
      <c r="O147"/>
      <c r="P147"/>
      <c r="Q147"/>
      <c r="R147"/>
      <c r="S147"/>
    </row>
    <row r="148" spans="1:19" outlineLevel="1">
      <c r="A148" s="165"/>
      <c r="B148" s="31"/>
      <c r="C148" s="59" t="str">
        <f>IFERROR(IF(ISBLANK(VLOOKUP($B148,ARTICLE!$B$2:$J$200,3,FALSE)),"",VLOOKUP($B148,ARTICLE!$B$2:$J$200,3,FALSE)),"")</f>
        <v/>
      </c>
      <c r="D148" s="32" t="str">
        <f>IFERROR(IF(ISBLANK(VLOOKUP($B148,ARTICLE!$B$2:$J$200,4,FALSE)),"",VLOOKUP($B148,ARTICLE!$B$2:$J$200,4,FALSE)),"")</f>
        <v/>
      </c>
      <c r="E148" s="32" t="str">
        <f>IFERROR(IF(ISBLANK(VLOOKUP($B148,ARTICLE!$B$2:$J$200,5,FALSE)),"",VLOOKUP($B148,ARTICLE!$B$2:$J$200,5,FALSE)),"")</f>
        <v/>
      </c>
      <c r="F148" s="32" t="str">
        <f>IFERROR(IF(ISBLANK(VLOOKUP($B148,ARTICLE!$B$2:$J$200,6,FALSE)),"",VLOOKUP($B148,ARTICLE!$B$2:$J$200,6,FALSE)),"")</f>
        <v/>
      </c>
      <c r="G148" s="32" t="str">
        <f>IFERROR(IF(ISBLANK(VLOOKUP($B148,ARTICLE!$B$2:$J$200,7,FALSE)),"",VLOOKUP($B148,ARTICLE!$B$2:$J$200,7,FALSE)),"")</f>
        <v/>
      </c>
      <c r="H148" s="32" t="str">
        <f>IFERROR(IF(ISBLANK(VLOOKUP($B148,ARTICLE!$B$2:$J$200,8,FALSE)),"",VLOOKUP($B148,ARTICLE!$B$2:$J$200,8,FALSE)),"")</f>
        <v/>
      </c>
      <c r="I148" s="178"/>
      <c r="J148"/>
      <c r="K148"/>
      <c r="L148"/>
      <c r="M148"/>
      <c r="N148"/>
      <c r="O148"/>
      <c r="P148"/>
      <c r="Q148"/>
      <c r="R148"/>
      <c r="S148"/>
    </row>
    <row r="149" spans="1:19" outlineLevel="1">
      <c r="A149" s="165"/>
      <c r="B149" s="31"/>
      <c r="C149" s="59" t="str">
        <f>IFERROR(IF(ISBLANK(VLOOKUP($B149,ARTICLE!$B$2:$J$200,3,FALSE)),"",VLOOKUP($B149,ARTICLE!$B$2:$J$200,3,FALSE)),"")</f>
        <v/>
      </c>
      <c r="D149" s="32" t="str">
        <f>IFERROR(IF(ISBLANK(VLOOKUP($B149,ARTICLE!$B$2:$J$200,4,FALSE)),"",VLOOKUP($B149,ARTICLE!$B$2:$J$200,4,FALSE)),"")</f>
        <v/>
      </c>
      <c r="E149" s="32" t="str">
        <f>IFERROR(IF(ISBLANK(VLOOKUP($B149,ARTICLE!$B$2:$J$200,5,FALSE)),"",VLOOKUP($B149,ARTICLE!$B$2:$J$200,5,FALSE)),"")</f>
        <v/>
      </c>
      <c r="F149" s="32" t="str">
        <f>IFERROR(IF(ISBLANK(VLOOKUP($B149,ARTICLE!$B$2:$J$200,6,FALSE)),"",VLOOKUP($B149,ARTICLE!$B$2:$J$200,6,FALSE)),"")</f>
        <v/>
      </c>
      <c r="G149" s="32" t="str">
        <f>IFERROR(IF(ISBLANK(VLOOKUP($B149,ARTICLE!$B$2:$J$200,7,FALSE)),"",VLOOKUP($B149,ARTICLE!$B$2:$J$200,7,FALSE)),"")</f>
        <v/>
      </c>
      <c r="H149" s="32" t="str">
        <f>IFERROR(IF(ISBLANK(VLOOKUP($B149,ARTICLE!$B$2:$J$200,8,FALSE)),"",VLOOKUP($B149,ARTICLE!$B$2:$J$200,8,FALSE)),"")</f>
        <v/>
      </c>
      <c r="I149" s="178"/>
      <c r="J149"/>
      <c r="K149"/>
      <c r="L149"/>
      <c r="M149"/>
      <c r="N149"/>
      <c r="O149"/>
      <c r="P149"/>
      <c r="Q149"/>
      <c r="R149"/>
      <c r="S149"/>
    </row>
    <row r="150" spans="1:19" outlineLevel="1">
      <c r="A150" s="165"/>
      <c r="B150" s="31"/>
      <c r="C150" s="59" t="str">
        <f>IFERROR(IF(ISBLANK(VLOOKUP($B150,ARTICLE!$B$2:$J$200,3,FALSE)),"",VLOOKUP($B150,ARTICLE!$B$2:$J$200,3,FALSE)),"")</f>
        <v/>
      </c>
      <c r="D150" s="32" t="str">
        <f>IFERROR(IF(ISBLANK(VLOOKUP($B150,ARTICLE!$B$2:$J$200,4,FALSE)),"",VLOOKUP($B150,ARTICLE!$B$2:$J$200,4,FALSE)),"")</f>
        <v/>
      </c>
      <c r="E150" s="32" t="str">
        <f>IFERROR(IF(ISBLANK(VLOOKUP($B150,ARTICLE!$B$2:$J$200,5,FALSE)),"",VLOOKUP($B150,ARTICLE!$B$2:$J$200,5,FALSE)),"")</f>
        <v/>
      </c>
      <c r="F150" s="32" t="str">
        <f>IFERROR(IF(ISBLANK(VLOOKUP($B150,ARTICLE!$B$2:$J$200,6,FALSE)),"",VLOOKUP($B150,ARTICLE!$B$2:$J$200,6,FALSE)),"")</f>
        <v/>
      </c>
      <c r="G150" s="32" t="str">
        <f>IFERROR(IF(ISBLANK(VLOOKUP($B150,ARTICLE!$B$2:$J$200,7,FALSE)),"",VLOOKUP($B150,ARTICLE!$B$2:$J$200,7,FALSE)),"")</f>
        <v/>
      </c>
      <c r="H150" s="32" t="str">
        <f>IFERROR(IF(ISBLANK(VLOOKUP($B150,ARTICLE!$B$2:$J$200,8,FALSE)),"",VLOOKUP($B150,ARTICLE!$B$2:$J$200,8,FALSE)),"")</f>
        <v/>
      </c>
      <c r="I150" s="178"/>
      <c r="J150"/>
      <c r="K150"/>
      <c r="L150"/>
      <c r="M150"/>
      <c r="N150"/>
      <c r="O150"/>
      <c r="P150"/>
      <c r="Q150"/>
      <c r="R150"/>
      <c r="S150"/>
    </row>
    <row r="151" spans="1:19" outlineLevel="1">
      <c r="A151" s="165"/>
      <c r="B151" s="31"/>
      <c r="C151" s="59" t="str">
        <f>IFERROR(IF(ISBLANK(VLOOKUP($B151,ARTICLE!$B$2:$J$200,3,FALSE)),"",VLOOKUP($B151,ARTICLE!$B$2:$J$200,3,FALSE)),"")</f>
        <v/>
      </c>
      <c r="D151" s="32" t="str">
        <f>IFERROR(IF(ISBLANK(VLOOKUP($B151,ARTICLE!$B$2:$J$200,4,FALSE)),"",VLOOKUP($B151,ARTICLE!$B$2:$J$200,4,FALSE)),"")</f>
        <v/>
      </c>
      <c r="E151" s="32" t="str">
        <f>IFERROR(IF(ISBLANK(VLOOKUP($B151,ARTICLE!$B$2:$J$200,5,FALSE)),"",VLOOKUP($B151,ARTICLE!$B$2:$J$200,5,FALSE)),"")</f>
        <v/>
      </c>
      <c r="F151" s="32" t="str">
        <f>IFERROR(IF(ISBLANK(VLOOKUP($B151,ARTICLE!$B$2:$J$200,6,FALSE)),"",VLOOKUP($B151,ARTICLE!$B$2:$J$200,6,FALSE)),"")</f>
        <v/>
      </c>
      <c r="G151" s="32" t="str">
        <f>IFERROR(IF(ISBLANK(VLOOKUP($B151,ARTICLE!$B$2:$J$200,7,FALSE)),"",VLOOKUP($B151,ARTICLE!$B$2:$J$200,7,FALSE)),"")</f>
        <v/>
      </c>
      <c r="H151" s="32" t="str">
        <f>IFERROR(IF(ISBLANK(VLOOKUP($B151,ARTICLE!$B$2:$J$200,8,FALSE)),"",VLOOKUP($B151,ARTICLE!$B$2:$J$200,8,FALSE)),"")</f>
        <v/>
      </c>
      <c r="I151" s="178"/>
      <c r="J151"/>
      <c r="K151"/>
      <c r="L151"/>
      <c r="M151"/>
      <c r="N151"/>
      <c r="O151"/>
      <c r="P151"/>
      <c r="Q151"/>
      <c r="R151"/>
      <c r="S151"/>
    </row>
    <row r="152" spans="1:19" outlineLevel="1">
      <c r="A152" s="165"/>
      <c r="B152" s="31"/>
      <c r="C152" s="59" t="str">
        <f>IFERROR(IF(ISBLANK(VLOOKUP($B152,ARTICLE!$B$2:$J$200,3,FALSE)),"",VLOOKUP($B152,ARTICLE!$B$2:$J$200,3,FALSE)),"")</f>
        <v/>
      </c>
      <c r="D152" s="32" t="str">
        <f>IFERROR(IF(ISBLANK(VLOOKUP($B152,ARTICLE!$B$2:$J$200,4,FALSE)),"",VLOOKUP($B152,ARTICLE!$B$2:$J$200,4,FALSE)),"")</f>
        <v/>
      </c>
      <c r="E152" s="32" t="str">
        <f>IFERROR(IF(ISBLANK(VLOOKUP($B152,ARTICLE!$B$2:$J$200,5,FALSE)),"",VLOOKUP($B152,ARTICLE!$B$2:$J$200,5,FALSE)),"")</f>
        <v/>
      </c>
      <c r="F152" s="32" t="str">
        <f>IFERROR(IF(ISBLANK(VLOOKUP($B152,ARTICLE!$B$2:$J$200,6,FALSE)),"",VLOOKUP($B152,ARTICLE!$B$2:$J$200,6,FALSE)),"")</f>
        <v/>
      </c>
      <c r="G152" s="32" t="str">
        <f>IFERROR(IF(ISBLANK(VLOOKUP($B152,ARTICLE!$B$2:$J$200,7,FALSE)),"",VLOOKUP($B152,ARTICLE!$B$2:$J$200,7,FALSE)),"")</f>
        <v/>
      </c>
      <c r="H152" s="32" t="str">
        <f>IFERROR(IF(ISBLANK(VLOOKUP($B152,ARTICLE!$B$2:$J$200,8,FALSE)),"",VLOOKUP($B152,ARTICLE!$B$2:$J$200,8,FALSE)),"")</f>
        <v/>
      </c>
      <c r="I152" s="178"/>
      <c r="J152"/>
      <c r="K152"/>
      <c r="L152"/>
      <c r="M152"/>
      <c r="N152"/>
      <c r="O152"/>
      <c r="P152"/>
      <c r="Q152"/>
      <c r="R152"/>
      <c r="S152"/>
    </row>
    <row r="153" spans="1:19" outlineLevel="1">
      <c r="A153" s="165"/>
      <c r="B153" s="31"/>
      <c r="C153" s="59" t="str">
        <f>IFERROR(IF(ISBLANK(VLOOKUP($B153,ARTICLE!$B$2:$J$200,3,FALSE)),"",VLOOKUP($B153,ARTICLE!$B$2:$J$200,3,FALSE)),"")</f>
        <v/>
      </c>
      <c r="D153" s="32" t="str">
        <f>IFERROR(IF(ISBLANK(VLOOKUP($B153,ARTICLE!$B$2:$J$200,4,FALSE)),"",VLOOKUP($B153,ARTICLE!$B$2:$J$200,4,FALSE)),"")</f>
        <v/>
      </c>
      <c r="E153" s="32" t="str">
        <f>IFERROR(IF(ISBLANK(VLOOKUP($B153,ARTICLE!$B$2:$J$200,5,FALSE)),"",VLOOKUP($B153,ARTICLE!$B$2:$J$200,5,FALSE)),"")</f>
        <v/>
      </c>
      <c r="F153" s="32" t="str">
        <f>IFERROR(IF(ISBLANK(VLOOKUP($B153,ARTICLE!$B$2:$J$200,6,FALSE)),"",VLOOKUP($B153,ARTICLE!$B$2:$J$200,6,FALSE)),"")</f>
        <v/>
      </c>
      <c r="G153" s="32" t="str">
        <f>IFERROR(IF(ISBLANK(VLOOKUP($B153,ARTICLE!$B$2:$J$200,7,FALSE)),"",VLOOKUP($B153,ARTICLE!$B$2:$J$200,7,FALSE)),"")</f>
        <v/>
      </c>
      <c r="H153" s="32" t="str">
        <f>IFERROR(IF(ISBLANK(VLOOKUP($B153,ARTICLE!$B$2:$J$200,8,FALSE)),"",VLOOKUP($B153,ARTICLE!$B$2:$J$200,8,FALSE)),"")</f>
        <v/>
      </c>
      <c r="I153" s="178"/>
      <c r="J153"/>
      <c r="K153"/>
      <c r="L153"/>
      <c r="M153"/>
      <c r="N153"/>
      <c r="O153"/>
      <c r="P153"/>
      <c r="Q153"/>
      <c r="R153"/>
      <c r="S153"/>
    </row>
    <row r="154" spans="1:19" outlineLevel="1">
      <c r="A154" s="165"/>
      <c r="B154" s="31"/>
      <c r="C154" s="59" t="str">
        <f>IFERROR(IF(ISBLANK(VLOOKUP($B154,ARTICLE!$B$2:$J$200,3,FALSE)),"",VLOOKUP($B154,ARTICLE!$B$2:$J$200,3,FALSE)),"")</f>
        <v/>
      </c>
      <c r="D154" s="32" t="str">
        <f>IFERROR(IF(ISBLANK(VLOOKUP($B154,ARTICLE!$B$2:$J$200,4,FALSE)),"",VLOOKUP($B154,ARTICLE!$B$2:$J$200,4,FALSE)),"")</f>
        <v/>
      </c>
      <c r="E154" s="32" t="str">
        <f>IFERROR(IF(ISBLANK(VLOOKUP($B154,ARTICLE!$B$2:$J$200,5,FALSE)),"",VLOOKUP($B154,ARTICLE!$B$2:$J$200,5,FALSE)),"")</f>
        <v/>
      </c>
      <c r="F154" s="32" t="str">
        <f>IFERROR(IF(ISBLANK(VLOOKUP($B154,ARTICLE!$B$2:$J$200,6,FALSE)),"",VLOOKUP($B154,ARTICLE!$B$2:$J$200,6,FALSE)),"")</f>
        <v/>
      </c>
      <c r="G154" s="32" t="str">
        <f>IFERROR(IF(ISBLANK(VLOOKUP($B154,ARTICLE!$B$2:$J$200,7,FALSE)),"",VLOOKUP($B154,ARTICLE!$B$2:$J$200,7,FALSE)),"")</f>
        <v/>
      </c>
      <c r="H154" s="32" t="str">
        <f>IFERROR(IF(ISBLANK(VLOOKUP($B154,ARTICLE!$B$2:$J$200,8,FALSE)),"",VLOOKUP($B154,ARTICLE!$B$2:$J$200,8,FALSE)),"")</f>
        <v/>
      </c>
      <c r="I154" s="178"/>
      <c r="J154"/>
      <c r="K154"/>
      <c r="L154"/>
      <c r="M154"/>
      <c r="N154"/>
      <c r="O154"/>
      <c r="P154"/>
      <c r="Q154"/>
      <c r="R154"/>
      <c r="S154"/>
    </row>
    <row r="155" spans="1:19" outlineLevel="1">
      <c r="A155" s="165"/>
      <c r="B155" s="33"/>
      <c r="C155" s="59" t="str">
        <f>IFERROR(IF(ISBLANK(VLOOKUP($B155,ARTICLE!$B$2:$J$200,3,FALSE)),"",VLOOKUP($B155,ARTICLE!$B$2:$J$200,3,FALSE)),"")</f>
        <v/>
      </c>
      <c r="D155" s="32" t="str">
        <f>IFERROR(IF(ISBLANK(VLOOKUP($B155,ARTICLE!$B$2:$J$200,4,FALSE)),"",VLOOKUP($B155,ARTICLE!$B$2:$J$200,4,FALSE)),"")</f>
        <v/>
      </c>
      <c r="E155" s="32" t="str">
        <f>IFERROR(IF(ISBLANK(VLOOKUP($B155,ARTICLE!$B$2:$J$200,5,FALSE)),"",VLOOKUP($B155,ARTICLE!$B$2:$J$200,5,FALSE)),"")</f>
        <v/>
      </c>
      <c r="F155" s="32" t="str">
        <f>IFERROR(IF(ISBLANK(VLOOKUP($B155,ARTICLE!$B$2:$J$200,6,FALSE)),"",VLOOKUP($B155,ARTICLE!$B$2:$J$200,6,FALSE)),"")</f>
        <v/>
      </c>
      <c r="G155" s="32" t="str">
        <f>IFERROR(IF(ISBLANK(VLOOKUP($B155,ARTICLE!$B$2:$J$200,7,FALSE)),"",VLOOKUP($B155,ARTICLE!$B$2:$J$200,7,FALSE)),"")</f>
        <v/>
      </c>
      <c r="H155" s="32" t="str">
        <f>IFERROR(IF(ISBLANK(VLOOKUP($B155,ARTICLE!$B$2:$J$200,8,FALSE)),"",VLOOKUP($B155,ARTICLE!$B$2:$J$200,8,FALSE)),"")</f>
        <v/>
      </c>
      <c r="I155" s="179"/>
      <c r="J155"/>
      <c r="K155"/>
      <c r="L155"/>
      <c r="M155"/>
      <c r="N155"/>
      <c r="O155"/>
      <c r="P155"/>
      <c r="Q155"/>
      <c r="R155"/>
      <c r="S155"/>
    </row>
    <row r="156" spans="1:19" outlineLevel="1">
      <c r="A156" s="165" t="str">
        <f t="shared" ref="A156" si="46">B156</f>
        <v/>
      </c>
      <c r="B156" s="34" t="str">
        <f>CONCATENATE(B157,IF(B158="",""," / "),B158,IF(B159="",""," / "),B159,IF(B160="",""," / "),B160,IF(B161="",""," / "),B161,IF(B162="",""," / "),B162,IF(B163="",""," / "),B163)</f>
        <v/>
      </c>
      <c r="C156" s="35" t="str">
        <f t="shared" si="39"/>
        <v/>
      </c>
      <c r="D156" s="35">
        <f t="shared" ref="D156" si="47">IF(SUM(E156:H156)=0,0,SUM(E156:H156))</f>
        <v>0</v>
      </c>
      <c r="E156" s="35">
        <f t="shared" si="41"/>
        <v>0</v>
      </c>
      <c r="F156" s="35">
        <f t="shared" ref="F156:H156" si="48">SUM(F157:F166)</f>
        <v>0</v>
      </c>
      <c r="G156" s="35">
        <f t="shared" si="48"/>
        <v>0</v>
      </c>
      <c r="H156" s="36">
        <f t="shared" si="48"/>
        <v>0</v>
      </c>
      <c r="I156" s="177"/>
      <c r="K156" s="284">
        <f>ROUNDUP(D156,0)*J156</f>
        <v>0</v>
      </c>
      <c r="L156" s="284">
        <f>ROUNDUP(J156*E156,0)</f>
        <v>0</v>
      </c>
      <c r="M156" s="285" t="e">
        <f>L156/K156</f>
        <v>#DIV/0!</v>
      </c>
      <c r="N156" s="284">
        <f>ROUNDUP(J156*F156,0)</f>
        <v>0</v>
      </c>
      <c r="O156" s="285" t="e">
        <f>N156/K156</f>
        <v>#DIV/0!</v>
      </c>
      <c r="P156" s="284">
        <f>ROUNDUP(J156*G156,0)</f>
        <v>0</v>
      </c>
      <c r="Q156" s="285" t="e">
        <f>P156/K156</f>
        <v>#DIV/0!</v>
      </c>
      <c r="R156" s="284">
        <f>ROUNDUP(J156*H156,0)</f>
        <v>0</v>
      </c>
      <c r="S156" s="285" t="e">
        <f>R156/K156</f>
        <v>#DIV/0!</v>
      </c>
    </row>
    <row r="157" spans="1:19" outlineLevel="1">
      <c r="A157" s="165"/>
      <c r="B157" s="31"/>
      <c r="C157" s="59" t="str">
        <f>IFERROR(IF(ISBLANK(VLOOKUP($B157,ARTICLE!$B$2:$J$200,3,FALSE)),"",VLOOKUP($B157,ARTICLE!$B$2:$J$200,3,FALSE)),"")</f>
        <v/>
      </c>
      <c r="D157" s="32" t="str">
        <f>IFERROR(IF(ISBLANK(VLOOKUP($B157,ARTICLE!$B$2:$J$200,4,FALSE)),"",VLOOKUP($B157,ARTICLE!$B$2:$J$200,4,FALSE)),"")</f>
        <v/>
      </c>
      <c r="E157" s="32" t="str">
        <f>IFERROR(IF(ISBLANK(VLOOKUP($B157,ARTICLE!$B$2:$J$200,5,FALSE)),"",VLOOKUP($B157,ARTICLE!$B$2:$J$200,5,FALSE)),"")</f>
        <v/>
      </c>
      <c r="F157" s="32" t="str">
        <f>IFERROR(IF(ISBLANK(VLOOKUP($B157,ARTICLE!$B$2:$J$200,6,FALSE)),"",VLOOKUP($B157,ARTICLE!$B$2:$J$200,6,FALSE)),"")</f>
        <v/>
      </c>
      <c r="G157" s="32" t="str">
        <f>IFERROR(IF(ISBLANK(VLOOKUP($B157,ARTICLE!$B$2:$J$200,7,FALSE)),"",VLOOKUP($B157,ARTICLE!$B$2:$J$200,7,FALSE)),"")</f>
        <v/>
      </c>
      <c r="H157" s="32" t="str">
        <f>IFERROR(IF(ISBLANK(VLOOKUP($B157,ARTICLE!$B$2:$J$200,8,FALSE)),"",VLOOKUP($B157,ARTICLE!$B$2:$J$200,8,FALSE)),"")</f>
        <v/>
      </c>
      <c r="I157" s="178"/>
      <c r="J157"/>
      <c r="K157"/>
      <c r="L157"/>
      <c r="M157"/>
      <c r="N157"/>
      <c r="O157"/>
      <c r="P157"/>
      <c r="Q157"/>
      <c r="R157"/>
      <c r="S157"/>
    </row>
    <row r="158" spans="1:19" outlineLevel="1">
      <c r="A158" s="165"/>
      <c r="B158" s="31"/>
      <c r="C158" s="59" t="str">
        <f>IFERROR(IF(ISBLANK(VLOOKUP($B158,ARTICLE!$B$2:$J$200,3,FALSE)),"",VLOOKUP($B158,ARTICLE!$B$2:$J$200,3,FALSE)),"")</f>
        <v/>
      </c>
      <c r="D158" s="32" t="str">
        <f>IFERROR(IF(ISBLANK(VLOOKUP($B158,ARTICLE!$B$2:$J$200,4,FALSE)),"",VLOOKUP($B158,ARTICLE!$B$2:$J$200,4,FALSE)),"")</f>
        <v/>
      </c>
      <c r="E158" s="32" t="str">
        <f>IFERROR(IF(ISBLANK(VLOOKUP($B158,ARTICLE!$B$2:$J$200,5,FALSE)),"",VLOOKUP($B158,ARTICLE!$B$2:$J$200,5,FALSE)),"")</f>
        <v/>
      </c>
      <c r="F158" s="32" t="str">
        <f>IFERROR(IF(ISBLANK(VLOOKUP($B158,ARTICLE!$B$2:$J$200,6,FALSE)),"",VLOOKUP($B158,ARTICLE!$B$2:$J$200,6,FALSE)),"")</f>
        <v/>
      </c>
      <c r="G158" s="32" t="str">
        <f>IFERROR(IF(ISBLANK(VLOOKUP($B158,ARTICLE!$B$2:$J$200,7,FALSE)),"",VLOOKUP($B158,ARTICLE!$B$2:$J$200,7,FALSE)),"")</f>
        <v/>
      </c>
      <c r="H158" s="32" t="str">
        <f>IFERROR(IF(ISBLANK(VLOOKUP($B158,ARTICLE!$B$2:$J$200,8,FALSE)),"",VLOOKUP($B158,ARTICLE!$B$2:$J$200,8,FALSE)),"")</f>
        <v/>
      </c>
      <c r="I158" s="178"/>
      <c r="J158"/>
      <c r="K158"/>
      <c r="L158"/>
      <c r="M158"/>
      <c r="N158"/>
      <c r="O158"/>
      <c r="P158"/>
      <c r="Q158"/>
      <c r="R158"/>
      <c r="S158"/>
    </row>
    <row r="159" spans="1:19" outlineLevel="1">
      <c r="A159" s="165"/>
      <c r="B159" s="31"/>
      <c r="C159" s="59" t="str">
        <f>IFERROR(IF(ISBLANK(VLOOKUP($B159,ARTICLE!$B$2:$J$200,3,FALSE)),"",VLOOKUP($B159,ARTICLE!$B$2:$J$200,3,FALSE)),"")</f>
        <v/>
      </c>
      <c r="D159" s="32" t="str">
        <f>IFERROR(IF(ISBLANK(VLOOKUP($B159,ARTICLE!$B$2:$J$200,4,FALSE)),"",VLOOKUP($B159,ARTICLE!$B$2:$J$200,4,FALSE)),"")</f>
        <v/>
      </c>
      <c r="E159" s="32" t="str">
        <f>IFERROR(IF(ISBLANK(VLOOKUP($B159,ARTICLE!$B$2:$J$200,5,FALSE)),"",VLOOKUP($B159,ARTICLE!$B$2:$J$200,5,FALSE)),"")</f>
        <v/>
      </c>
      <c r="F159" s="32" t="str">
        <f>IFERROR(IF(ISBLANK(VLOOKUP($B159,ARTICLE!$B$2:$J$200,6,FALSE)),"",VLOOKUP($B159,ARTICLE!$B$2:$J$200,6,FALSE)),"")</f>
        <v/>
      </c>
      <c r="G159" s="32" t="str">
        <f>IFERROR(IF(ISBLANK(VLOOKUP($B159,ARTICLE!$B$2:$J$200,7,FALSE)),"",VLOOKUP($B159,ARTICLE!$B$2:$J$200,7,FALSE)),"")</f>
        <v/>
      </c>
      <c r="H159" s="32" t="str">
        <f>IFERROR(IF(ISBLANK(VLOOKUP($B159,ARTICLE!$B$2:$J$200,8,FALSE)),"",VLOOKUP($B159,ARTICLE!$B$2:$J$200,8,FALSE)),"")</f>
        <v/>
      </c>
      <c r="I159" s="178"/>
      <c r="J159"/>
      <c r="K159"/>
      <c r="L159"/>
      <c r="M159"/>
      <c r="N159"/>
      <c r="O159"/>
      <c r="P159"/>
      <c r="Q159"/>
      <c r="R159"/>
      <c r="S159"/>
    </row>
    <row r="160" spans="1:19" outlineLevel="1">
      <c r="A160" s="165"/>
      <c r="B160" s="31"/>
      <c r="C160" s="59" t="str">
        <f>IFERROR(IF(ISBLANK(VLOOKUP($B160,ARTICLE!$B$2:$J$200,3,FALSE)),"",VLOOKUP($B160,ARTICLE!$B$2:$J$200,3,FALSE)),"")</f>
        <v/>
      </c>
      <c r="D160" s="32" t="str">
        <f>IFERROR(IF(ISBLANK(VLOOKUP($B160,ARTICLE!$B$2:$J$200,4,FALSE)),"",VLOOKUP($B160,ARTICLE!$B$2:$J$200,4,FALSE)),"")</f>
        <v/>
      </c>
      <c r="E160" s="32" t="str">
        <f>IFERROR(IF(ISBLANK(VLOOKUP($B160,ARTICLE!$B$2:$J$200,5,FALSE)),"",VLOOKUP($B160,ARTICLE!$B$2:$J$200,5,FALSE)),"")</f>
        <v/>
      </c>
      <c r="F160" s="32" t="str">
        <f>IFERROR(IF(ISBLANK(VLOOKUP($B160,ARTICLE!$B$2:$J$200,6,FALSE)),"",VLOOKUP($B160,ARTICLE!$B$2:$J$200,6,FALSE)),"")</f>
        <v/>
      </c>
      <c r="G160" s="32" t="str">
        <f>IFERROR(IF(ISBLANK(VLOOKUP($B160,ARTICLE!$B$2:$J$200,7,FALSE)),"",VLOOKUP($B160,ARTICLE!$B$2:$J$200,7,FALSE)),"")</f>
        <v/>
      </c>
      <c r="H160" s="32" t="str">
        <f>IFERROR(IF(ISBLANK(VLOOKUP($B160,ARTICLE!$B$2:$J$200,8,FALSE)),"",VLOOKUP($B160,ARTICLE!$B$2:$J$200,8,FALSE)),"")</f>
        <v/>
      </c>
      <c r="I160" s="178"/>
      <c r="J160"/>
      <c r="K160"/>
      <c r="L160"/>
      <c r="M160"/>
      <c r="N160"/>
      <c r="O160"/>
      <c r="P160"/>
      <c r="Q160"/>
      <c r="R160"/>
      <c r="S160"/>
    </row>
    <row r="161" spans="1:19" outlineLevel="1">
      <c r="A161" s="165"/>
      <c r="B161" s="31"/>
      <c r="C161" s="59" t="str">
        <f>IFERROR(IF(ISBLANK(VLOOKUP($B161,ARTICLE!$B$2:$J$200,3,FALSE)),"",VLOOKUP($B161,ARTICLE!$B$2:$J$200,3,FALSE)),"")</f>
        <v/>
      </c>
      <c r="D161" s="32" t="str">
        <f>IFERROR(IF(ISBLANK(VLOOKUP($B161,ARTICLE!$B$2:$J$200,4,FALSE)),"",VLOOKUP($B161,ARTICLE!$B$2:$J$200,4,FALSE)),"")</f>
        <v/>
      </c>
      <c r="E161" s="32" t="str">
        <f>IFERROR(IF(ISBLANK(VLOOKUP($B161,ARTICLE!$B$2:$J$200,5,FALSE)),"",VLOOKUP($B161,ARTICLE!$B$2:$J$200,5,FALSE)),"")</f>
        <v/>
      </c>
      <c r="F161" s="32" t="str">
        <f>IFERROR(IF(ISBLANK(VLOOKUP($B161,ARTICLE!$B$2:$J$200,6,FALSE)),"",VLOOKUP($B161,ARTICLE!$B$2:$J$200,6,FALSE)),"")</f>
        <v/>
      </c>
      <c r="G161" s="32" t="str">
        <f>IFERROR(IF(ISBLANK(VLOOKUP($B161,ARTICLE!$B$2:$J$200,7,FALSE)),"",VLOOKUP($B161,ARTICLE!$B$2:$J$200,7,FALSE)),"")</f>
        <v/>
      </c>
      <c r="H161" s="32" t="str">
        <f>IFERROR(IF(ISBLANK(VLOOKUP($B161,ARTICLE!$B$2:$J$200,8,FALSE)),"",VLOOKUP($B161,ARTICLE!$B$2:$J$200,8,FALSE)),"")</f>
        <v/>
      </c>
      <c r="I161" s="178"/>
      <c r="J161"/>
      <c r="K161"/>
      <c r="L161"/>
      <c r="M161"/>
      <c r="N161"/>
      <c r="O161"/>
      <c r="P161"/>
      <c r="Q161"/>
      <c r="R161"/>
      <c r="S161"/>
    </row>
    <row r="162" spans="1:19" outlineLevel="1">
      <c r="A162" s="165"/>
      <c r="B162" s="31"/>
      <c r="C162" s="59" t="str">
        <f>IFERROR(IF(ISBLANK(VLOOKUP($B162,ARTICLE!$B$2:$J$200,3,FALSE)),"",VLOOKUP($B162,ARTICLE!$B$2:$J$200,3,FALSE)),"")</f>
        <v/>
      </c>
      <c r="D162" s="32" t="str">
        <f>IFERROR(IF(ISBLANK(VLOOKUP($B162,ARTICLE!$B$2:$J$200,4,FALSE)),"",VLOOKUP($B162,ARTICLE!$B$2:$J$200,4,FALSE)),"")</f>
        <v/>
      </c>
      <c r="E162" s="32" t="str">
        <f>IFERROR(IF(ISBLANK(VLOOKUP($B162,ARTICLE!$B$2:$J$200,5,FALSE)),"",VLOOKUP($B162,ARTICLE!$B$2:$J$200,5,FALSE)),"")</f>
        <v/>
      </c>
      <c r="F162" s="32" t="str">
        <f>IFERROR(IF(ISBLANK(VLOOKUP($B162,ARTICLE!$B$2:$J$200,6,FALSE)),"",VLOOKUP($B162,ARTICLE!$B$2:$J$200,6,FALSE)),"")</f>
        <v/>
      </c>
      <c r="G162" s="32" t="str">
        <f>IFERROR(IF(ISBLANK(VLOOKUP($B162,ARTICLE!$B$2:$J$200,7,FALSE)),"",VLOOKUP($B162,ARTICLE!$B$2:$J$200,7,FALSE)),"")</f>
        <v/>
      </c>
      <c r="H162" s="32" t="str">
        <f>IFERROR(IF(ISBLANK(VLOOKUP($B162,ARTICLE!$B$2:$J$200,8,FALSE)),"",VLOOKUP($B162,ARTICLE!$B$2:$J$200,8,FALSE)),"")</f>
        <v/>
      </c>
      <c r="I162" s="178"/>
      <c r="J162"/>
      <c r="K162"/>
      <c r="L162"/>
      <c r="M162"/>
      <c r="N162"/>
      <c r="O162"/>
      <c r="P162"/>
      <c r="Q162"/>
      <c r="R162"/>
      <c r="S162"/>
    </row>
    <row r="163" spans="1:19" outlineLevel="1">
      <c r="A163" s="165"/>
      <c r="B163" s="31"/>
      <c r="C163" s="59" t="str">
        <f>IFERROR(IF(ISBLANK(VLOOKUP($B163,ARTICLE!$B$2:$J$200,3,FALSE)),"",VLOOKUP($B163,ARTICLE!$B$2:$J$200,3,FALSE)),"")</f>
        <v/>
      </c>
      <c r="D163" s="32" t="str">
        <f>IFERROR(IF(ISBLANK(VLOOKUP($B163,ARTICLE!$B$2:$J$200,4,FALSE)),"",VLOOKUP($B163,ARTICLE!$B$2:$J$200,4,FALSE)),"")</f>
        <v/>
      </c>
      <c r="E163" s="32" t="str">
        <f>IFERROR(IF(ISBLANK(VLOOKUP($B163,ARTICLE!$B$2:$J$200,5,FALSE)),"",VLOOKUP($B163,ARTICLE!$B$2:$J$200,5,FALSE)),"")</f>
        <v/>
      </c>
      <c r="F163" s="32" t="str">
        <f>IFERROR(IF(ISBLANK(VLOOKUP($B163,ARTICLE!$B$2:$J$200,6,FALSE)),"",VLOOKUP($B163,ARTICLE!$B$2:$J$200,6,FALSE)),"")</f>
        <v/>
      </c>
      <c r="G163" s="32" t="str">
        <f>IFERROR(IF(ISBLANK(VLOOKUP($B163,ARTICLE!$B$2:$J$200,7,FALSE)),"",VLOOKUP($B163,ARTICLE!$B$2:$J$200,7,FALSE)),"")</f>
        <v/>
      </c>
      <c r="H163" s="32" t="str">
        <f>IFERROR(IF(ISBLANK(VLOOKUP($B163,ARTICLE!$B$2:$J$200,8,FALSE)),"",VLOOKUP($B163,ARTICLE!$B$2:$J$200,8,FALSE)),"")</f>
        <v/>
      </c>
      <c r="I163" s="178"/>
      <c r="J163"/>
      <c r="K163"/>
      <c r="L163"/>
      <c r="M163"/>
      <c r="N163"/>
      <c r="O163"/>
      <c r="P163"/>
      <c r="Q163"/>
      <c r="R163"/>
      <c r="S163"/>
    </row>
    <row r="164" spans="1:19" outlineLevel="1">
      <c r="A164" s="165"/>
      <c r="B164" s="31"/>
      <c r="C164" s="59" t="str">
        <f>IFERROR(IF(ISBLANK(VLOOKUP($B164,ARTICLE!$B$2:$J$200,3,FALSE)),"",VLOOKUP($B164,ARTICLE!$B$2:$J$200,3,FALSE)),"")</f>
        <v/>
      </c>
      <c r="D164" s="32" t="str">
        <f>IFERROR(IF(ISBLANK(VLOOKUP($B164,ARTICLE!$B$2:$J$200,4,FALSE)),"",VLOOKUP($B164,ARTICLE!$B$2:$J$200,4,FALSE)),"")</f>
        <v/>
      </c>
      <c r="E164" s="32" t="str">
        <f>IFERROR(IF(ISBLANK(VLOOKUP($B164,ARTICLE!$B$2:$J$200,5,FALSE)),"",VLOOKUP($B164,ARTICLE!$B$2:$J$200,5,FALSE)),"")</f>
        <v/>
      </c>
      <c r="F164" s="32" t="str">
        <f>IFERROR(IF(ISBLANK(VLOOKUP($B164,ARTICLE!$B$2:$J$200,6,FALSE)),"",VLOOKUP($B164,ARTICLE!$B$2:$J$200,6,FALSE)),"")</f>
        <v/>
      </c>
      <c r="G164" s="32" t="str">
        <f>IFERROR(IF(ISBLANK(VLOOKUP($B164,ARTICLE!$B$2:$J$200,7,FALSE)),"",VLOOKUP($B164,ARTICLE!$B$2:$J$200,7,FALSE)),"")</f>
        <v/>
      </c>
      <c r="H164" s="32" t="str">
        <f>IFERROR(IF(ISBLANK(VLOOKUP($B164,ARTICLE!$B$2:$J$200,8,FALSE)),"",VLOOKUP($B164,ARTICLE!$B$2:$J$200,8,FALSE)),"")</f>
        <v/>
      </c>
      <c r="I164" s="178"/>
      <c r="J164"/>
      <c r="K164"/>
      <c r="L164"/>
      <c r="M164"/>
      <c r="N164"/>
      <c r="O164"/>
      <c r="P164"/>
      <c r="Q164"/>
      <c r="R164"/>
      <c r="S164"/>
    </row>
    <row r="165" spans="1:19" outlineLevel="1">
      <c r="A165" s="165"/>
      <c r="B165" s="31"/>
      <c r="C165" s="59" t="str">
        <f>IFERROR(IF(ISBLANK(VLOOKUP($B165,ARTICLE!$B$2:$J$200,3,FALSE)),"",VLOOKUP($B165,ARTICLE!$B$2:$J$200,3,FALSE)),"")</f>
        <v/>
      </c>
      <c r="D165" s="32" t="str">
        <f>IFERROR(IF(ISBLANK(VLOOKUP($B165,ARTICLE!$B$2:$J$200,4,FALSE)),"",VLOOKUP($B165,ARTICLE!$B$2:$J$200,4,FALSE)),"")</f>
        <v/>
      </c>
      <c r="E165" s="32" t="str">
        <f>IFERROR(IF(ISBLANK(VLOOKUP($B165,ARTICLE!$B$2:$J$200,5,FALSE)),"",VLOOKUP($B165,ARTICLE!$B$2:$J$200,5,FALSE)),"")</f>
        <v/>
      </c>
      <c r="F165" s="32" t="str">
        <f>IFERROR(IF(ISBLANK(VLOOKUP($B165,ARTICLE!$B$2:$J$200,6,FALSE)),"",VLOOKUP($B165,ARTICLE!$B$2:$J$200,6,FALSE)),"")</f>
        <v/>
      </c>
      <c r="G165" s="32" t="str">
        <f>IFERROR(IF(ISBLANK(VLOOKUP($B165,ARTICLE!$B$2:$J$200,7,FALSE)),"",VLOOKUP($B165,ARTICLE!$B$2:$J$200,7,FALSE)),"")</f>
        <v/>
      </c>
      <c r="H165" s="32" t="str">
        <f>IFERROR(IF(ISBLANK(VLOOKUP($B165,ARTICLE!$B$2:$J$200,8,FALSE)),"",VLOOKUP($B165,ARTICLE!$B$2:$J$200,8,FALSE)),"")</f>
        <v/>
      </c>
      <c r="I165" s="178"/>
      <c r="J165"/>
      <c r="K165"/>
      <c r="L165"/>
      <c r="M165"/>
      <c r="N165"/>
      <c r="O165"/>
      <c r="P165"/>
      <c r="Q165"/>
      <c r="R165"/>
      <c r="S165"/>
    </row>
    <row r="166" spans="1:19" outlineLevel="1">
      <c r="A166" s="165"/>
      <c r="B166" s="33"/>
      <c r="C166" s="59" t="str">
        <f>IFERROR(IF(ISBLANK(VLOOKUP($B166,ARTICLE!$B$2:$J$200,3,FALSE)),"",VLOOKUP($B166,ARTICLE!$B$2:$J$200,3,FALSE)),"")</f>
        <v/>
      </c>
      <c r="D166" s="32" t="str">
        <f>IFERROR(IF(ISBLANK(VLOOKUP($B166,ARTICLE!$B$2:$J$200,4,FALSE)),"",VLOOKUP($B166,ARTICLE!$B$2:$J$200,4,FALSE)),"")</f>
        <v/>
      </c>
      <c r="E166" s="32" t="str">
        <f>IFERROR(IF(ISBLANK(VLOOKUP($B166,ARTICLE!$B$2:$J$200,5,FALSE)),"",VLOOKUP($B166,ARTICLE!$B$2:$J$200,5,FALSE)),"")</f>
        <v/>
      </c>
      <c r="F166" s="32" t="str">
        <f>IFERROR(IF(ISBLANK(VLOOKUP($B166,ARTICLE!$B$2:$J$200,6,FALSE)),"",VLOOKUP($B166,ARTICLE!$B$2:$J$200,6,FALSE)),"")</f>
        <v/>
      </c>
      <c r="G166" s="32" t="str">
        <f>IFERROR(IF(ISBLANK(VLOOKUP($B166,ARTICLE!$B$2:$J$200,7,FALSE)),"",VLOOKUP($B166,ARTICLE!$B$2:$J$200,7,FALSE)),"")</f>
        <v/>
      </c>
      <c r="H166" s="32" t="str">
        <f>IFERROR(IF(ISBLANK(VLOOKUP($B166,ARTICLE!$B$2:$J$200,8,FALSE)),"",VLOOKUP($B166,ARTICLE!$B$2:$J$200,8,FALSE)),"")</f>
        <v/>
      </c>
      <c r="I166" s="179"/>
      <c r="J166"/>
      <c r="K166"/>
      <c r="L166"/>
      <c r="M166"/>
      <c r="N166"/>
      <c r="O166"/>
      <c r="P166"/>
      <c r="Q166"/>
      <c r="R166"/>
      <c r="S166"/>
    </row>
    <row r="167" spans="1:19" outlineLevel="1">
      <c r="A167" s="165" t="str">
        <f t="shared" ref="A167" si="49">B167</f>
        <v/>
      </c>
      <c r="B167" s="34" t="str">
        <f>CONCATENATE(B168,IF(B169="",""," / "),B169,IF(B170="",""," / "),B170,IF(B171="",""," / "),B171,IF(B172="",""," / "),B172,IF(B173="",""," / "),B173,IF(B174="",""," / "),B174)</f>
        <v/>
      </c>
      <c r="C167" s="35" t="str">
        <f t="shared" si="39"/>
        <v/>
      </c>
      <c r="D167" s="35">
        <f t="shared" ref="D167" si="50">IF(SUM(E167:H167)=0,0,SUM(E167:H167))</f>
        <v>0</v>
      </c>
      <c r="E167" s="35">
        <f t="shared" si="41"/>
        <v>0</v>
      </c>
      <c r="F167" s="35">
        <f t="shared" ref="F167:H167" si="51">SUM(F168:F177)</f>
        <v>0</v>
      </c>
      <c r="G167" s="35">
        <f t="shared" si="51"/>
        <v>0</v>
      </c>
      <c r="H167" s="36">
        <f t="shared" si="51"/>
        <v>0</v>
      </c>
      <c r="I167" s="177"/>
      <c r="K167" s="284">
        <f>ROUNDUP(D167,0)*J167</f>
        <v>0</v>
      </c>
      <c r="L167" s="284">
        <f>ROUNDUP(J167*E167,0)</f>
        <v>0</v>
      </c>
      <c r="M167" s="285" t="e">
        <f>L167/K167</f>
        <v>#DIV/0!</v>
      </c>
      <c r="N167" s="284">
        <f>ROUNDUP(J167*F167,0)</f>
        <v>0</v>
      </c>
      <c r="O167" s="285" t="e">
        <f>N167/K167</f>
        <v>#DIV/0!</v>
      </c>
      <c r="P167" s="284">
        <f>ROUNDUP(J167*G167,0)</f>
        <v>0</v>
      </c>
      <c r="Q167" s="285" t="e">
        <f>P167/K167</f>
        <v>#DIV/0!</v>
      </c>
      <c r="R167" s="284">
        <f>ROUNDUP(J167*H167,0)</f>
        <v>0</v>
      </c>
      <c r="S167" s="285" t="e">
        <f>R167/K167</f>
        <v>#DIV/0!</v>
      </c>
    </row>
    <row r="168" spans="1:19" outlineLevel="1">
      <c r="A168" s="165"/>
      <c r="B168" s="31"/>
      <c r="C168" s="59" t="str">
        <f>IFERROR(IF(ISBLANK(VLOOKUP($B168,ARTICLE!$B$2:$J$200,3,FALSE)),"",VLOOKUP($B168,ARTICLE!$B$2:$J$200,3,FALSE)),"")</f>
        <v/>
      </c>
      <c r="D168" s="32" t="str">
        <f>IFERROR(IF(ISBLANK(VLOOKUP($B168,ARTICLE!$B$2:$J$200,4,FALSE)),"",VLOOKUP($B168,ARTICLE!$B$2:$J$200,4,FALSE)),"")</f>
        <v/>
      </c>
      <c r="E168" s="32" t="str">
        <f>IFERROR(IF(ISBLANK(VLOOKUP($B168,ARTICLE!$B$2:$J$200,5,FALSE)),"",VLOOKUP($B168,ARTICLE!$B$2:$J$200,5,FALSE)),"")</f>
        <v/>
      </c>
      <c r="F168" s="32" t="str">
        <f>IFERROR(IF(ISBLANK(VLOOKUP($B168,ARTICLE!$B$2:$J$200,6,FALSE)),"",VLOOKUP($B168,ARTICLE!$B$2:$J$200,6,FALSE)),"")</f>
        <v/>
      </c>
      <c r="G168" s="32" t="str">
        <f>IFERROR(IF(ISBLANK(VLOOKUP($B168,ARTICLE!$B$2:$J$200,7,FALSE)),"",VLOOKUP($B168,ARTICLE!$B$2:$J$200,7,FALSE)),"")</f>
        <v/>
      </c>
      <c r="H168" s="32" t="str">
        <f>IFERROR(IF(ISBLANK(VLOOKUP($B168,ARTICLE!$B$2:$J$200,8,FALSE)),"",VLOOKUP($B168,ARTICLE!$B$2:$J$200,8,FALSE)),"")</f>
        <v/>
      </c>
      <c r="I168" s="178"/>
      <c r="J168"/>
      <c r="K168"/>
      <c r="L168"/>
      <c r="M168"/>
      <c r="N168"/>
      <c r="O168"/>
      <c r="P168"/>
      <c r="Q168"/>
      <c r="R168"/>
      <c r="S168"/>
    </row>
    <row r="169" spans="1:19" outlineLevel="1">
      <c r="A169" s="165"/>
      <c r="B169" s="31"/>
      <c r="C169" s="59" t="str">
        <f>IFERROR(IF(ISBLANK(VLOOKUP($B169,ARTICLE!$B$2:$J$200,3,FALSE)),"",VLOOKUP($B169,ARTICLE!$B$2:$J$200,3,FALSE)),"")</f>
        <v/>
      </c>
      <c r="D169" s="32" t="str">
        <f>IFERROR(IF(ISBLANK(VLOOKUP($B169,ARTICLE!$B$2:$J$200,4,FALSE)),"",VLOOKUP($B169,ARTICLE!$B$2:$J$200,4,FALSE)),"")</f>
        <v/>
      </c>
      <c r="E169" s="32" t="str">
        <f>IFERROR(IF(ISBLANK(VLOOKUP($B169,ARTICLE!$B$2:$J$200,5,FALSE)),"",VLOOKUP($B169,ARTICLE!$B$2:$J$200,5,FALSE)),"")</f>
        <v/>
      </c>
      <c r="F169" s="32" t="str">
        <f>IFERROR(IF(ISBLANK(VLOOKUP($B169,ARTICLE!$B$2:$J$200,6,FALSE)),"",VLOOKUP($B169,ARTICLE!$B$2:$J$200,6,FALSE)),"")</f>
        <v/>
      </c>
      <c r="G169" s="32" t="str">
        <f>IFERROR(IF(ISBLANK(VLOOKUP($B169,ARTICLE!$B$2:$J$200,7,FALSE)),"",VLOOKUP($B169,ARTICLE!$B$2:$J$200,7,FALSE)),"")</f>
        <v/>
      </c>
      <c r="H169" s="32" t="str">
        <f>IFERROR(IF(ISBLANK(VLOOKUP($B169,ARTICLE!$B$2:$J$200,8,FALSE)),"",VLOOKUP($B169,ARTICLE!$B$2:$J$200,8,FALSE)),"")</f>
        <v/>
      </c>
      <c r="I169" s="178"/>
      <c r="J169"/>
      <c r="K169"/>
      <c r="L169"/>
      <c r="M169"/>
      <c r="N169"/>
      <c r="O169"/>
      <c r="P169"/>
      <c r="Q169"/>
      <c r="R169"/>
      <c r="S169"/>
    </row>
    <row r="170" spans="1:19" outlineLevel="1">
      <c r="A170" s="165"/>
      <c r="B170" s="31"/>
      <c r="C170" s="59" t="str">
        <f>IFERROR(IF(ISBLANK(VLOOKUP($B170,ARTICLE!$B$2:$J$200,3,FALSE)),"",VLOOKUP($B170,ARTICLE!$B$2:$J$200,3,FALSE)),"")</f>
        <v/>
      </c>
      <c r="D170" s="32" t="str">
        <f>IFERROR(IF(ISBLANK(VLOOKUP($B170,ARTICLE!$B$2:$J$200,4,FALSE)),"",VLOOKUP($B170,ARTICLE!$B$2:$J$200,4,FALSE)),"")</f>
        <v/>
      </c>
      <c r="E170" s="32" t="str">
        <f>IFERROR(IF(ISBLANK(VLOOKUP($B170,ARTICLE!$B$2:$J$200,5,FALSE)),"",VLOOKUP($B170,ARTICLE!$B$2:$J$200,5,FALSE)),"")</f>
        <v/>
      </c>
      <c r="F170" s="32" t="str">
        <f>IFERROR(IF(ISBLANK(VLOOKUP($B170,ARTICLE!$B$2:$J$200,6,FALSE)),"",VLOOKUP($B170,ARTICLE!$B$2:$J$200,6,FALSE)),"")</f>
        <v/>
      </c>
      <c r="G170" s="32" t="str">
        <f>IFERROR(IF(ISBLANK(VLOOKUP($B170,ARTICLE!$B$2:$J$200,7,FALSE)),"",VLOOKUP($B170,ARTICLE!$B$2:$J$200,7,FALSE)),"")</f>
        <v/>
      </c>
      <c r="H170" s="32" t="str">
        <f>IFERROR(IF(ISBLANK(VLOOKUP($B170,ARTICLE!$B$2:$J$200,8,FALSE)),"",VLOOKUP($B170,ARTICLE!$B$2:$J$200,8,FALSE)),"")</f>
        <v/>
      </c>
      <c r="I170" s="178"/>
      <c r="J170"/>
      <c r="K170"/>
      <c r="L170"/>
      <c r="M170"/>
      <c r="N170"/>
      <c r="O170"/>
      <c r="P170"/>
      <c r="Q170"/>
      <c r="R170"/>
      <c r="S170"/>
    </row>
    <row r="171" spans="1:19" outlineLevel="1">
      <c r="A171" s="165"/>
      <c r="B171" s="31"/>
      <c r="C171" s="59" t="str">
        <f>IFERROR(IF(ISBLANK(VLOOKUP($B171,ARTICLE!$B$2:$J$200,3,FALSE)),"",VLOOKUP($B171,ARTICLE!$B$2:$J$200,3,FALSE)),"")</f>
        <v/>
      </c>
      <c r="D171" s="32" t="str">
        <f>IFERROR(IF(ISBLANK(VLOOKUP($B171,ARTICLE!$B$2:$J$200,4,FALSE)),"",VLOOKUP($B171,ARTICLE!$B$2:$J$200,4,FALSE)),"")</f>
        <v/>
      </c>
      <c r="E171" s="32" t="str">
        <f>IFERROR(IF(ISBLANK(VLOOKUP($B171,ARTICLE!$B$2:$J$200,5,FALSE)),"",VLOOKUP($B171,ARTICLE!$B$2:$J$200,5,FALSE)),"")</f>
        <v/>
      </c>
      <c r="F171" s="32" t="str">
        <f>IFERROR(IF(ISBLANK(VLOOKUP($B171,ARTICLE!$B$2:$J$200,6,FALSE)),"",VLOOKUP($B171,ARTICLE!$B$2:$J$200,6,FALSE)),"")</f>
        <v/>
      </c>
      <c r="G171" s="32" t="str">
        <f>IFERROR(IF(ISBLANK(VLOOKUP($B171,ARTICLE!$B$2:$J$200,7,FALSE)),"",VLOOKUP($B171,ARTICLE!$B$2:$J$200,7,FALSE)),"")</f>
        <v/>
      </c>
      <c r="H171" s="32" t="str">
        <f>IFERROR(IF(ISBLANK(VLOOKUP($B171,ARTICLE!$B$2:$J$200,8,FALSE)),"",VLOOKUP($B171,ARTICLE!$B$2:$J$200,8,FALSE)),"")</f>
        <v/>
      </c>
      <c r="I171" s="178"/>
      <c r="J171"/>
      <c r="K171"/>
      <c r="L171"/>
      <c r="M171"/>
      <c r="N171"/>
      <c r="O171"/>
      <c r="P171"/>
      <c r="Q171"/>
      <c r="R171"/>
      <c r="S171"/>
    </row>
    <row r="172" spans="1:19" outlineLevel="1">
      <c r="A172" s="165"/>
      <c r="B172" s="31"/>
      <c r="C172" s="59" t="str">
        <f>IFERROR(IF(ISBLANK(VLOOKUP($B172,ARTICLE!$B$2:$J$200,3,FALSE)),"",VLOOKUP($B172,ARTICLE!$B$2:$J$200,3,FALSE)),"")</f>
        <v/>
      </c>
      <c r="D172" s="32" t="str">
        <f>IFERROR(IF(ISBLANK(VLOOKUP($B172,ARTICLE!$B$2:$J$200,4,FALSE)),"",VLOOKUP($B172,ARTICLE!$B$2:$J$200,4,FALSE)),"")</f>
        <v/>
      </c>
      <c r="E172" s="32" t="str">
        <f>IFERROR(IF(ISBLANK(VLOOKUP($B172,ARTICLE!$B$2:$J$200,5,FALSE)),"",VLOOKUP($B172,ARTICLE!$B$2:$J$200,5,FALSE)),"")</f>
        <v/>
      </c>
      <c r="F172" s="32" t="str">
        <f>IFERROR(IF(ISBLANK(VLOOKUP($B172,ARTICLE!$B$2:$J$200,6,FALSE)),"",VLOOKUP($B172,ARTICLE!$B$2:$J$200,6,FALSE)),"")</f>
        <v/>
      </c>
      <c r="G172" s="32" t="str">
        <f>IFERROR(IF(ISBLANK(VLOOKUP($B172,ARTICLE!$B$2:$J$200,7,FALSE)),"",VLOOKUP($B172,ARTICLE!$B$2:$J$200,7,FALSE)),"")</f>
        <v/>
      </c>
      <c r="H172" s="32" t="str">
        <f>IFERROR(IF(ISBLANK(VLOOKUP($B172,ARTICLE!$B$2:$J$200,8,FALSE)),"",VLOOKUP($B172,ARTICLE!$B$2:$J$200,8,FALSE)),"")</f>
        <v/>
      </c>
      <c r="I172" s="178"/>
      <c r="J172"/>
      <c r="K172"/>
      <c r="L172"/>
      <c r="M172"/>
      <c r="N172"/>
      <c r="O172"/>
      <c r="P172"/>
      <c r="Q172"/>
      <c r="R172"/>
      <c r="S172"/>
    </row>
    <row r="173" spans="1:19" outlineLevel="1">
      <c r="A173" s="165"/>
      <c r="B173" s="31"/>
      <c r="C173" s="59" t="str">
        <f>IFERROR(IF(ISBLANK(VLOOKUP($B173,ARTICLE!$B$2:$J$200,3,FALSE)),"",VLOOKUP($B173,ARTICLE!$B$2:$J$200,3,FALSE)),"")</f>
        <v/>
      </c>
      <c r="D173" s="32" t="str">
        <f>IFERROR(IF(ISBLANK(VLOOKUP($B173,ARTICLE!$B$2:$J$200,4,FALSE)),"",VLOOKUP($B173,ARTICLE!$B$2:$J$200,4,FALSE)),"")</f>
        <v/>
      </c>
      <c r="E173" s="32" t="str">
        <f>IFERROR(IF(ISBLANK(VLOOKUP($B173,ARTICLE!$B$2:$J$200,5,FALSE)),"",VLOOKUP($B173,ARTICLE!$B$2:$J$200,5,FALSE)),"")</f>
        <v/>
      </c>
      <c r="F173" s="32" t="str">
        <f>IFERROR(IF(ISBLANK(VLOOKUP($B173,ARTICLE!$B$2:$J$200,6,FALSE)),"",VLOOKUP($B173,ARTICLE!$B$2:$J$200,6,FALSE)),"")</f>
        <v/>
      </c>
      <c r="G173" s="32" t="str">
        <f>IFERROR(IF(ISBLANK(VLOOKUP($B173,ARTICLE!$B$2:$J$200,7,FALSE)),"",VLOOKUP($B173,ARTICLE!$B$2:$J$200,7,FALSE)),"")</f>
        <v/>
      </c>
      <c r="H173" s="32" t="str">
        <f>IFERROR(IF(ISBLANK(VLOOKUP($B173,ARTICLE!$B$2:$J$200,8,FALSE)),"",VLOOKUP($B173,ARTICLE!$B$2:$J$200,8,FALSE)),"")</f>
        <v/>
      </c>
      <c r="I173" s="178"/>
      <c r="J173"/>
      <c r="K173"/>
      <c r="L173"/>
      <c r="M173"/>
      <c r="N173"/>
      <c r="O173"/>
      <c r="P173"/>
      <c r="Q173"/>
      <c r="R173"/>
      <c r="S173"/>
    </row>
    <row r="174" spans="1:19" outlineLevel="1">
      <c r="A174" s="165"/>
      <c r="B174" s="31"/>
      <c r="C174" s="59" t="str">
        <f>IFERROR(IF(ISBLANK(VLOOKUP($B174,ARTICLE!$B$2:$J$200,3,FALSE)),"",VLOOKUP($B174,ARTICLE!$B$2:$J$200,3,FALSE)),"")</f>
        <v/>
      </c>
      <c r="D174" s="32" t="str">
        <f>IFERROR(IF(ISBLANK(VLOOKUP($B174,ARTICLE!$B$2:$J$200,4,FALSE)),"",VLOOKUP($B174,ARTICLE!$B$2:$J$200,4,FALSE)),"")</f>
        <v/>
      </c>
      <c r="E174" s="32" t="str">
        <f>IFERROR(IF(ISBLANK(VLOOKUP($B174,ARTICLE!$B$2:$J$200,5,FALSE)),"",VLOOKUP($B174,ARTICLE!$B$2:$J$200,5,FALSE)),"")</f>
        <v/>
      </c>
      <c r="F174" s="32" t="str">
        <f>IFERROR(IF(ISBLANK(VLOOKUP($B174,ARTICLE!$B$2:$J$200,6,FALSE)),"",VLOOKUP($B174,ARTICLE!$B$2:$J$200,6,FALSE)),"")</f>
        <v/>
      </c>
      <c r="G174" s="32" t="str">
        <f>IFERROR(IF(ISBLANK(VLOOKUP($B174,ARTICLE!$B$2:$J$200,7,FALSE)),"",VLOOKUP($B174,ARTICLE!$B$2:$J$200,7,FALSE)),"")</f>
        <v/>
      </c>
      <c r="H174" s="32" t="str">
        <f>IFERROR(IF(ISBLANK(VLOOKUP($B174,ARTICLE!$B$2:$J$200,8,FALSE)),"",VLOOKUP($B174,ARTICLE!$B$2:$J$200,8,FALSE)),"")</f>
        <v/>
      </c>
      <c r="I174" s="178"/>
      <c r="J174"/>
      <c r="K174"/>
      <c r="L174"/>
      <c r="M174"/>
      <c r="N174"/>
      <c r="O174"/>
      <c r="P174"/>
      <c r="Q174"/>
      <c r="R174"/>
      <c r="S174"/>
    </row>
    <row r="175" spans="1:19" outlineLevel="1">
      <c r="A175" s="165"/>
      <c r="B175" s="31"/>
      <c r="C175" s="59" t="str">
        <f>IFERROR(IF(ISBLANK(VLOOKUP($B175,ARTICLE!$B$2:$J$200,3,FALSE)),"",VLOOKUP($B175,ARTICLE!$B$2:$J$200,3,FALSE)),"")</f>
        <v/>
      </c>
      <c r="D175" s="32" t="str">
        <f>IFERROR(IF(ISBLANK(VLOOKUP($B175,ARTICLE!$B$2:$J$200,4,FALSE)),"",VLOOKUP($B175,ARTICLE!$B$2:$J$200,4,FALSE)),"")</f>
        <v/>
      </c>
      <c r="E175" s="32" t="str">
        <f>IFERROR(IF(ISBLANK(VLOOKUP($B175,ARTICLE!$B$2:$J$200,5,FALSE)),"",VLOOKUP($B175,ARTICLE!$B$2:$J$200,5,FALSE)),"")</f>
        <v/>
      </c>
      <c r="F175" s="32" t="str">
        <f>IFERROR(IF(ISBLANK(VLOOKUP($B175,ARTICLE!$B$2:$J$200,6,FALSE)),"",VLOOKUP($B175,ARTICLE!$B$2:$J$200,6,FALSE)),"")</f>
        <v/>
      </c>
      <c r="G175" s="32" t="str">
        <f>IFERROR(IF(ISBLANK(VLOOKUP($B175,ARTICLE!$B$2:$J$200,7,FALSE)),"",VLOOKUP($B175,ARTICLE!$B$2:$J$200,7,FALSE)),"")</f>
        <v/>
      </c>
      <c r="H175" s="32" t="str">
        <f>IFERROR(IF(ISBLANK(VLOOKUP($B175,ARTICLE!$B$2:$J$200,8,FALSE)),"",VLOOKUP($B175,ARTICLE!$B$2:$J$200,8,FALSE)),"")</f>
        <v/>
      </c>
      <c r="I175" s="178"/>
      <c r="J175"/>
      <c r="K175"/>
      <c r="L175"/>
      <c r="M175"/>
      <c r="N175"/>
      <c r="O175"/>
      <c r="P175"/>
      <c r="Q175"/>
      <c r="R175"/>
      <c r="S175"/>
    </row>
    <row r="176" spans="1:19" outlineLevel="1">
      <c r="A176" s="165"/>
      <c r="B176" s="31"/>
      <c r="C176" s="59" t="str">
        <f>IFERROR(IF(ISBLANK(VLOOKUP($B176,ARTICLE!$B$2:$J$200,3,FALSE)),"",VLOOKUP($B176,ARTICLE!$B$2:$J$200,3,FALSE)),"")</f>
        <v/>
      </c>
      <c r="D176" s="32" t="str">
        <f>IFERROR(IF(ISBLANK(VLOOKUP($B176,ARTICLE!$B$2:$J$200,4,FALSE)),"",VLOOKUP($B176,ARTICLE!$B$2:$J$200,4,FALSE)),"")</f>
        <v/>
      </c>
      <c r="E176" s="32" t="str">
        <f>IFERROR(IF(ISBLANK(VLOOKUP($B176,ARTICLE!$B$2:$J$200,5,FALSE)),"",VLOOKUP($B176,ARTICLE!$B$2:$J$200,5,FALSE)),"")</f>
        <v/>
      </c>
      <c r="F176" s="32" t="str">
        <f>IFERROR(IF(ISBLANK(VLOOKUP($B176,ARTICLE!$B$2:$J$200,6,FALSE)),"",VLOOKUP($B176,ARTICLE!$B$2:$J$200,6,FALSE)),"")</f>
        <v/>
      </c>
      <c r="G176" s="32" t="str">
        <f>IFERROR(IF(ISBLANK(VLOOKUP($B176,ARTICLE!$B$2:$J$200,7,FALSE)),"",VLOOKUP($B176,ARTICLE!$B$2:$J$200,7,FALSE)),"")</f>
        <v/>
      </c>
      <c r="H176" s="32" t="str">
        <f>IFERROR(IF(ISBLANK(VLOOKUP($B176,ARTICLE!$B$2:$J$200,8,FALSE)),"",VLOOKUP($B176,ARTICLE!$B$2:$J$200,8,FALSE)),"")</f>
        <v/>
      </c>
      <c r="I176" s="178"/>
      <c r="J176"/>
      <c r="K176"/>
      <c r="L176"/>
      <c r="M176"/>
      <c r="N176"/>
      <c r="O176"/>
      <c r="P176"/>
      <c r="Q176"/>
      <c r="R176"/>
      <c r="S176"/>
    </row>
    <row r="177" spans="1:19" outlineLevel="1">
      <c r="A177" s="165"/>
      <c r="B177" s="33"/>
      <c r="C177" s="59" t="str">
        <f>IFERROR(IF(ISBLANK(VLOOKUP($B177,ARTICLE!$B$2:$J$200,3,FALSE)),"",VLOOKUP($B177,ARTICLE!$B$2:$J$200,3,FALSE)),"")</f>
        <v/>
      </c>
      <c r="D177" s="32" t="str">
        <f>IFERROR(IF(ISBLANK(VLOOKUP($B177,ARTICLE!$B$2:$J$200,4,FALSE)),"",VLOOKUP($B177,ARTICLE!$B$2:$J$200,4,FALSE)),"")</f>
        <v/>
      </c>
      <c r="E177" s="32" t="str">
        <f>IFERROR(IF(ISBLANK(VLOOKUP($B177,ARTICLE!$B$2:$J$200,5,FALSE)),"",VLOOKUP($B177,ARTICLE!$B$2:$J$200,5,FALSE)),"")</f>
        <v/>
      </c>
      <c r="F177" s="32" t="str">
        <f>IFERROR(IF(ISBLANK(VLOOKUP($B177,ARTICLE!$B$2:$J$200,6,FALSE)),"",VLOOKUP($B177,ARTICLE!$B$2:$J$200,6,FALSE)),"")</f>
        <v/>
      </c>
      <c r="G177" s="32" t="str">
        <f>IFERROR(IF(ISBLANK(VLOOKUP($B177,ARTICLE!$B$2:$J$200,7,FALSE)),"",VLOOKUP($B177,ARTICLE!$B$2:$J$200,7,FALSE)),"")</f>
        <v/>
      </c>
      <c r="H177" s="32" t="str">
        <f>IFERROR(IF(ISBLANK(VLOOKUP($B177,ARTICLE!$B$2:$J$200,8,FALSE)),"",VLOOKUP($B177,ARTICLE!$B$2:$J$200,8,FALSE)),"")</f>
        <v/>
      </c>
      <c r="I177" s="179"/>
      <c r="J177"/>
      <c r="K177"/>
      <c r="L177"/>
      <c r="M177"/>
      <c r="N177"/>
      <c r="O177"/>
      <c r="P177"/>
      <c r="Q177"/>
      <c r="R177"/>
      <c r="S177"/>
    </row>
    <row r="178" spans="1:19" outlineLevel="1">
      <c r="A178" s="165" t="str">
        <f t="shared" ref="A178" si="52">B178</f>
        <v/>
      </c>
      <c r="B178" s="34" t="str">
        <f>CONCATENATE(B179,IF(B180="",""," / "),B180,IF(B181="",""," / "),B181,IF(B182="",""," / "),B182,IF(B183="",""," / "),B183,IF(B184="",""," / "),B184,IF(B185="",""," / "),B185)</f>
        <v/>
      </c>
      <c r="C178" s="35" t="str">
        <f t="shared" si="39"/>
        <v/>
      </c>
      <c r="D178" s="35">
        <f t="shared" ref="D178" si="53">IF(SUM(E178:H178)=0,0,SUM(E178:H178))</f>
        <v>0</v>
      </c>
      <c r="E178" s="35">
        <f t="shared" si="41"/>
        <v>0</v>
      </c>
      <c r="F178" s="35">
        <f t="shared" ref="F178:H178" si="54">SUM(F179:F188)</f>
        <v>0</v>
      </c>
      <c r="G178" s="35">
        <f t="shared" si="54"/>
        <v>0</v>
      </c>
      <c r="H178" s="36">
        <f t="shared" si="54"/>
        <v>0</v>
      </c>
      <c r="I178" s="177"/>
      <c r="K178" s="284">
        <f>ROUNDUP(D178,0)*J178</f>
        <v>0</v>
      </c>
      <c r="L178" s="284">
        <f>ROUNDUP(J178*E178,0)</f>
        <v>0</v>
      </c>
      <c r="M178" s="285" t="e">
        <f>L178/K178</f>
        <v>#DIV/0!</v>
      </c>
      <c r="N178" s="284">
        <f>ROUNDUP(J178*F178,0)</f>
        <v>0</v>
      </c>
      <c r="O178" s="285" t="e">
        <f>N178/K178</f>
        <v>#DIV/0!</v>
      </c>
      <c r="P178" s="284">
        <f>ROUNDUP(J178*G178,0)</f>
        <v>0</v>
      </c>
      <c r="Q178" s="285" t="e">
        <f>P178/K178</f>
        <v>#DIV/0!</v>
      </c>
      <c r="R178" s="284">
        <f>ROUNDUP(J178*H178,0)</f>
        <v>0</v>
      </c>
      <c r="S178" s="285" t="e">
        <f>R178/K178</f>
        <v>#DIV/0!</v>
      </c>
    </row>
    <row r="179" spans="1:19" outlineLevel="1">
      <c r="A179" s="165"/>
      <c r="B179" s="31"/>
      <c r="C179" s="59" t="str">
        <f>IFERROR(IF(ISBLANK(VLOOKUP($B179,ARTICLE!$B$2:$J$200,3,FALSE)),"",VLOOKUP($B179,ARTICLE!$B$2:$J$200,3,FALSE)),"")</f>
        <v/>
      </c>
      <c r="D179" s="32" t="str">
        <f>IFERROR(IF(ISBLANK(VLOOKUP($B179,ARTICLE!$B$2:$J$200,4,FALSE)),"",VLOOKUP($B179,ARTICLE!$B$2:$J$200,4,FALSE)),"")</f>
        <v/>
      </c>
      <c r="E179" s="32" t="str">
        <f>IFERROR(IF(ISBLANK(VLOOKUP($B179,ARTICLE!$B$2:$J$200,5,FALSE)),"",VLOOKUP($B179,ARTICLE!$B$2:$J$200,5,FALSE)),"")</f>
        <v/>
      </c>
      <c r="F179" s="32" t="str">
        <f>IFERROR(IF(ISBLANK(VLOOKUP($B179,ARTICLE!$B$2:$J$200,6,FALSE)),"",VLOOKUP($B179,ARTICLE!$B$2:$J$200,6,FALSE)),"")</f>
        <v/>
      </c>
      <c r="G179" s="32" t="str">
        <f>IFERROR(IF(ISBLANK(VLOOKUP($B179,ARTICLE!$B$2:$J$200,7,FALSE)),"",VLOOKUP($B179,ARTICLE!$B$2:$J$200,7,FALSE)),"")</f>
        <v/>
      </c>
      <c r="H179" s="32" t="str">
        <f>IFERROR(IF(ISBLANK(VLOOKUP($B179,ARTICLE!$B$2:$J$200,8,FALSE)),"",VLOOKUP($B179,ARTICLE!$B$2:$J$200,8,FALSE)),"")</f>
        <v/>
      </c>
      <c r="I179" s="178"/>
      <c r="J179"/>
      <c r="K179"/>
      <c r="L179"/>
      <c r="M179"/>
      <c r="N179"/>
      <c r="O179"/>
      <c r="P179"/>
      <c r="Q179"/>
      <c r="R179"/>
      <c r="S179"/>
    </row>
    <row r="180" spans="1:19" outlineLevel="1">
      <c r="A180" s="165"/>
      <c r="B180" s="31"/>
      <c r="C180" s="59" t="str">
        <f>IFERROR(IF(ISBLANK(VLOOKUP($B180,ARTICLE!$B$2:$J$200,3,FALSE)),"",VLOOKUP($B180,ARTICLE!$B$2:$J$200,3,FALSE)),"")</f>
        <v/>
      </c>
      <c r="D180" s="32" t="str">
        <f>IFERROR(IF(ISBLANK(VLOOKUP($B180,ARTICLE!$B$2:$J$200,4,FALSE)),"",VLOOKUP($B180,ARTICLE!$B$2:$J$200,4,FALSE)),"")</f>
        <v/>
      </c>
      <c r="E180" s="32" t="str">
        <f>IFERROR(IF(ISBLANK(VLOOKUP($B180,ARTICLE!$B$2:$J$200,5,FALSE)),"",VLOOKUP($B180,ARTICLE!$B$2:$J$200,5,FALSE)),"")</f>
        <v/>
      </c>
      <c r="F180" s="32" t="str">
        <f>IFERROR(IF(ISBLANK(VLOOKUP($B180,ARTICLE!$B$2:$J$200,6,FALSE)),"",VLOOKUP($B180,ARTICLE!$B$2:$J$200,6,FALSE)),"")</f>
        <v/>
      </c>
      <c r="G180" s="32" t="str">
        <f>IFERROR(IF(ISBLANK(VLOOKUP($B180,ARTICLE!$B$2:$J$200,7,FALSE)),"",VLOOKUP($B180,ARTICLE!$B$2:$J$200,7,FALSE)),"")</f>
        <v/>
      </c>
      <c r="H180" s="32" t="str">
        <f>IFERROR(IF(ISBLANK(VLOOKUP($B180,ARTICLE!$B$2:$J$200,8,FALSE)),"",VLOOKUP($B180,ARTICLE!$B$2:$J$200,8,FALSE)),"")</f>
        <v/>
      </c>
      <c r="I180" s="178"/>
      <c r="J180"/>
      <c r="K180"/>
      <c r="L180"/>
      <c r="M180"/>
      <c r="N180"/>
      <c r="O180"/>
      <c r="P180"/>
      <c r="Q180"/>
      <c r="R180"/>
      <c r="S180"/>
    </row>
    <row r="181" spans="1:19" outlineLevel="1">
      <c r="A181" s="165"/>
      <c r="B181" s="31"/>
      <c r="C181" s="59" t="str">
        <f>IFERROR(IF(ISBLANK(VLOOKUP($B181,ARTICLE!$B$2:$J$200,3,FALSE)),"",VLOOKUP($B181,ARTICLE!$B$2:$J$200,3,FALSE)),"")</f>
        <v/>
      </c>
      <c r="D181" s="32" t="str">
        <f>IFERROR(IF(ISBLANK(VLOOKUP($B181,ARTICLE!$B$2:$J$200,4,FALSE)),"",VLOOKUP($B181,ARTICLE!$B$2:$J$200,4,FALSE)),"")</f>
        <v/>
      </c>
      <c r="E181" s="32" t="str">
        <f>IFERROR(IF(ISBLANK(VLOOKUP($B181,ARTICLE!$B$2:$J$200,5,FALSE)),"",VLOOKUP($B181,ARTICLE!$B$2:$J$200,5,FALSE)),"")</f>
        <v/>
      </c>
      <c r="F181" s="32" t="str">
        <f>IFERROR(IF(ISBLANK(VLOOKUP($B181,ARTICLE!$B$2:$J$200,6,FALSE)),"",VLOOKUP($B181,ARTICLE!$B$2:$J$200,6,FALSE)),"")</f>
        <v/>
      </c>
      <c r="G181" s="32" t="str">
        <f>IFERROR(IF(ISBLANK(VLOOKUP($B181,ARTICLE!$B$2:$J$200,7,FALSE)),"",VLOOKUP($B181,ARTICLE!$B$2:$J$200,7,FALSE)),"")</f>
        <v/>
      </c>
      <c r="H181" s="32" t="str">
        <f>IFERROR(IF(ISBLANK(VLOOKUP($B181,ARTICLE!$B$2:$J$200,8,FALSE)),"",VLOOKUP($B181,ARTICLE!$B$2:$J$200,8,FALSE)),"")</f>
        <v/>
      </c>
      <c r="I181" s="178"/>
      <c r="J181"/>
      <c r="K181"/>
      <c r="L181"/>
      <c r="M181"/>
      <c r="N181"/>
      <c r="O181"/>
      <c r="P181"/>
      <c r="Q181"/>
      <c r="R181"/>
      <c r="S181"/>
    </row>
    <row r="182" spans="1:19" outlineLevel="1">
      <c r="A182" s="165"/>
      <c r="B182" s="31"/>
      <c r="C182" s="59" t="str">
        <f>IFERROR(IF(ISBLANK(VLOOKUP($B182,ARTICLE!$B$2:$J$200,3,FALSE)),"",VLOOKUP($B182,ARTICLE!$B$2:$J$200,3,FALSE)),"")</f>
        <v/>
      </c>
      <c r="D182" s="32" t="str">
        <f>IFERROR(IF(ISBLANK(VLOOKUP($B182,ARTICLE!$B$2:$J$200,4,FALSE)),"",VLOOKUP($B182,ARTICLE!$B$2:$J$200,4,FALSE)),"")</f>
        <v/>
      </c>
      <c r="E182" s="32" t="str">
        <f>IFERROR(IF(ISBLANK(VLOOKUP($B182,ARTICLE!$B$2:$J$200,5,FALSE)),"",VLOOKUP($B182,ARTICLE!$B$2:$J$200,5,FALSE)),"")</f>
        <v/>
      </c>
      <c r="F182" s="32" t="str">
        <f>IFERROR(IF(ISBLANK(VLOOKUP($B182,ARTICLE!$B$2:$J$200,6,FALSE)),"",VLOOKUP($B182,ARTICLE!$B$2:$J$200,6,FALSE)),"")</f>
        <v/>
      </c>
      <c r="G182" s="32" t="str">
        <f>IFERROR(IF(ISBLANK(VLOOKUP($B182,ARTICLE!$B$2:$J$200,7,FALSE)),"",VLOOKUP($B182,ARTICLE!$B$2:$J$200,7,FALSE)),"")</f>
        <v/>
      </c>
      <c r="H182" s="32" t="str">
        <f>IFERROR(IF(ISBLANK(VLOOKUP($B182,ARTICLE!$B$2:$J$200,8,FALSE)),"",VLOOKUP($B182,ARTICLE!$B$2:$J$200,8,FALSE)),"")</f>
        <v/>
      </c>
      <c r="I182" s="178"/>
      <c r="J182"/>
      <c r="K182"/>
      <c r="L182"/>
      <c r="M182"/>
      <c r="N182"/>
      <c r="O182"/>
      <c r="P182"/>
      <c r="Q182"/>
      <c r="R182"/>
      <c r="S182"/>
    </row>
    <row r="183" spans="1:19" outlineLevel="1">
      <c r="A183" s="165"/>
      <c r="B183" s="31"/>
      <c r="C183" s="59" t="str">
        <f>IFERROR(IF(ISBLANK(VLOOKUP($B183,ARTICLE!$B$2:$J$200,3,FALSE)),"",VLOOKUP($B183,ARTICLE!$B$2:$J$200,3,FALSE)),"")</f>
        <v/>
      </c>
      <c r="D183" s="32" t="str">
        <f>IFERROR(IF(ISBLANK(VLOOKUP($B183,ARTICLE!$B$2:$J$200,4,FALSE)),"",VLOOKUP($B183,ARTICLE!$B$2:$J$200,4,FALSE)),"")</f>
        <v/>
      </c>
      <c r="E183" s="32" t="str">
        <f>IFERROR(IF(ISBLANK(VLOOKUP($B183,ARTICLE!$B$2:$J$200,5,FALSE)),"",VLOOKUP($B183,ARTICLE!$B$2:$J$200,5,FALSE)),"")</f>
        <v/>
      </c>
      <c r="F183" s="32" t="str">
        <f>IFERROR(IF(ISBLANK(VLOOKUP($B183,ARTICLE!$B$2:$J$200,6,FALSE)),"",VLOOKUP($B183,ARTICLE!$B$2:$J$200,6,FALSE)),"")</f>
        <v/>
      </c>
      <c r="G183" s="32" t="str">
        <f>IFERROR(IF(ISBLANK(VLOOKUP($B183,ARTICLE!$B$2:$J$200,7,FALSE)),"",VLOOKUP($B183,ARTICLE!$B$2:$J$200,7,FALSE)),"")</f>
        <v/>
      </c>
      <c r="H183" s="32" t="str">
        <f>IFERROR(IF(ISBLANK(VLOOKUP($B183,ARTICLE!$B$2:$J$200,8,FALSE)),"",VLOOKUP($B183,ARTICLE!$B$2:$J$200,8,FALSE)),"")</f>
        <v/>
      </c>
      <c r="I183" s="178"/>
      <c r="J183"/>
      <c r="K183"/>
      <c r="L183"/>
      <c r="M183"/>
      <c r="N183"/>
      <c r="O183"/>
      <c r="P183"/>
      <c r="Q183"/>
      <c r="R183"/>
      <c r="S183"/>
    </row>
    <row r="184" spans="1:19" outlineLevel="1">
      <c r="A184" s="165"/>
      <c r="B184" s="31"/>
      <c r="C184" s="59" t="str">
        <f>IFERROR(IF(ISBLANK(VLOOKUP($B184,ARTICLE!$B$2:$J$200,3,FALSE)),"",VLOOKUP($B184,ARTICLE!$B$2:$J$200,3,FALSE)),"")</f>
        <v/>
      </c>
      <c r="D184" s="32" t="str">
        <f>IFERROR(IF(ISBLANK(VLOOKUP($B184,ARTICLE!$B$2:$J$200,4,FALSE)),"",VLOOKUP($B184,ARTICLE!$B$2:$J$200,4,FALSE)),"")</f>
        <v/>
      </c>
      <c r="E184" s="32" t="str">
        <f>IFERROR(IF(ISBLANK(VLOOKUP($B184,ARTICLE!$B$2:$J$200,5,FALSE)),"",VLOOKUP($B184,ARTICLE!$B$2:$J$200,5,FALSE)),"")</f>
        <v/>
      </c>
      <c r="F184" s="32" t="str">
        <f>IFERROR(IF(ISBLANK(VLOOKUP($B184,ARTICLE!$B$2:$J$200,6,FALSE)),"",VLOOKUP($B184,ARTICLE!$B$2:$J$200,6,FALSE)),"")</f>
        <v/>
      </c>
      <c r="G184" s="32" t="str">
        <f>IFERROR(IF(ISBLANK(VLOOKUP($B184,ARTICLE!$B$2:$J$200,7,FALSE)),"",VLOOKUP($B184,ARTICLE!$B$2:$J$200,7,FALSE)),"")</f>
        <v/>
      </c>
      <c r="H184" s="32" t="str">
        <f>IFERROR(IF(ISBLANK(VLOOKUP($B184,ARTICLE!$B$2:$J$200,8,FALSE)),"",VLOOKUP($B184,ARTICLE!$B$2:$J$200,8,FALSE)),"")</f>
        <v/>
      </c>
      <c r="I184" s="178"/>
      <c r="J184"/>
      <c r="K184"/>
      <c r="L184"/>
      <c r="M184"/>
      <c r="N184"/>
      <c r="O184"/>
      <c r="P184"/>
      <c r="Q184"/>
      <c r="R184"/>
      <c r="S184"/>
    </row>
    <row r="185" spans="1:19" outlineLevel="1">
      <c r="A185" s="165"/>
      <c r="B185" s="31"/>
      <c r="C185" s="59" t="str">
        <f>IFERROR(IF(ISBLANK(VLOOKUP($B185,ARTICLE!$B$2:$J$200,3,FALSE)),"",VLOOKUP($B185,ARTICLE!$B$2:$J$200,3,FALSE)),"")</f>
        <v/>
      </c>
      <c r="D185" s="32" t="str">
        <f>IFERROR(IF(ISBLANK(VLOOKUP($B185,ARTICLE!$B$2:$J$200,4,FALSE)),"",VLOOKUP($B185,ARTICLE!$B$2:$J$200,4,FALSE)),"")</f>
        <v/>
      </c>
      <c r="E185" s="32" t="str">
        <f>IFERROR(IF(ISBLANK(VLOOKUP($B185,ARTICLE!$B$2:$J$200,5,FALSE)),"",VLOOKUP($B185,ARTICLE!$B$2:$J$200,5,FALSE)),"")</f>
        <v/>
      </c>
      <c r="F185" s="32" t="str">
        <f>IFERROR(IF(ISBLANK(VLOOKUP($B185,ARTICLE!$B$2:$J$200,6,FALSE)),"",VLOOKUP($B185,ARTICLE!$B$2:$J$200,6,FALSE)),"")</f>
        <v/>
      </c>
      <c r="G185" s="32" t="str">
        <f>IFERROR(IF(ISBLANK(VLOOKUP($B185,ARTICLE!$B$2:$J$200,7,FALSE)),"",VLOOKUP($B185,ARTICLE!$B$2:$J$200,7,FALSE)),"")</f>
        <v/>
      </c>
      <c r="H185" s="32" t="str">
        <f>IFERROR(IF(ISBLANK(VLOOKUP($B185,ARTICLE!$B$2:$J$200,8,FALSE)),"",VLOOKUP($B185,ARTICLE!$B$2:$J$200,8,FALSE)),"")</f>
        <v/>
      </c>
      <c r="I185" s="178"/>
      <c r="J185"/>
      <c r="K185"/>
      <c r="L185"/>
      <c r="M185"/>
      <c r="N185"/>
      <c r="O185"/>
      <c r="P185"/>
      <c r="Q185"/>
      <c r="R185"/>
      <c r="S185"/>
    </row>
    <row r="186" spans="1:19" outlineLevel="1">
      <c r="A186" s="165"/>
      <c r="B186" s="31"/>
      <c r="C186" s="59" t="str">
        <f>IFERROR(IF(ISBLANK(VLOOKUP($B186,ARTICLE!$B$2:$J$200,3,FALSE)),"",VLOOKUP($B186,ARTICLE!$B$2:$J$200,3,FALSE)),"")</f>
        <v/>
      </c>
      <c r="D186" s="32" t="str">
        <f>IFERROR(IF(ISBLANK(VLOOKUP($B186,ARTICLE!$B$2:$J$200,4,FALSE)),"",VLOOKUP($B186,ARTICLE!$B$2:$J$200,4,FALSE)),"")</f>
        <v/>
      </c>
      <c r="E186" s="32" t="str">
        <f>IFERROR(IF(ISBLANK(VLOOKUP($B186,ARTICLE!$B$2:$J$200,5,FALSE)),"",VLOOKUP($B186,ARTICLE!$B$2:$J$200,5,FALSE)),"")</f>
        <v/>
      </c>
      <c r="F186" s="32" t="str">
        <f>IFERROR(IF(ISBLANK(VLOOKUP($B186,ARTICLE!$B$2:$J$200,6,FALSE)),"",VLOOKUP($B186,ARTICLE!$B$2:$J$200,6,FALSE)),"")</f>
        <v/>
      </c>
      <c r="G186" s="32" t="str">
        <f>IFERROR(IF(ISBLANK(VLOOKUP($B186,ARTICLE!$B$2:$J$200,7,FALSE)),"",VLOOKUP($B186,ARTICLE!$B$2:$J$200,7,FALSE)),"")</f>
        <v/>
      </c>
      <c r="H186" s="32" t="str">
        <f>IFERROR(IF(ISBLANK(VLOOKUP($B186,ARTICLE!$B$2:$J$200,8,FALSE)),"",VLOOKUP($B186,ARTICLE!$B$2:$J$200,8,FALSE)),"")</f>
        <v/>
      </c>
      <c r="I186" s="178"/>
      <c r="J186"/>
      <c r="K186"/>
      <c r="L186"/>
      <c r="M186"/>
      <c r="N186"/>
      <c r="O186"/>
      <c r="P186"/>
      <c r="Q186"/>
      <c r="R186"/>
      <c r="S186"/>
    </row>
    <row r="187" spans="1:19" outlineLevel="1">
      <c r="A187" s="165"/>
      <c r="B187" s="31"/>
      <c r="C187" s="59" t="str">
        <f>IFERROR(IF(ISBLANK(VLOOKUP($B187,ARTICLE!$B$2:$J$200,3,FALSE)),"",VLOOKUP($B187,ARTICLE!$B$2:$J$200,3,FALSE)),"")</f>
        <v/>
      </c>
      <c r="D187" s="32" t="str">
        <f>IFERROR(IF(ISBLANK(VLOOKUP($B187,ARTICLE!$B$2:$J$200,4,FALSE)),"",VLOOKUP($B187,ARTICLE!$B$2:$J$200,4,FALSE)),"")</f>
        <v/>
      </c>
      <c r="E187" s="32" t="str">
        <f>IFERROR(IF(ISBLANK(VLOOKUP($B187,ARTICLE!$B$2:$J$200,5,FALSE)),"",VLOOKUP($B187,ARTICLE!$B$2:$J$200,5,FALSE)),"")</f>
        <v/>
      </c>
      <c r="F187" s="32" t="str">
        <f>IFERROR(IF(ISBLANK(VLOOKUP($B187,ARTICLE!$B$2:$J$200,6,FALSE)),"",VLOOKUP($B187,ARTICLE!$B$2:$J$200,6,FALSE)),"")</f>
        <v/>
      </c>
      <c r="G187" s="32" t="str">
        <f>IFERROR(IF(ISBLANK(VLOOKUP($B187,ARTICLE!$B$2:$J$200,7,FALSE)),"",VLOOKUP($B187,ARTICLE!$B$2:$J$200,7,FALSE)),"")</f>
        <v/>
      </c>
      <c r="H187" s="32" t="str">
        <f>IFERROR(IF(ISBLANK(VLOOKUP($B187,ARTICLE!$B$2:$J$200,8,FALSE)),"",VLOOKUP($B187,ARTICLE!$B$2:$J$200,8,FALSE)),"")</f>
        <v/>
      </c>
      <c r="I187" s="178"/>
      <c r="J187"/>
      <c r="K187"/>
      <c r="L187"/>
      <c r="M187"/>
      <c r="N187"/>
      <c r="O187"/>
      <c r="P187"/>
      <c r="Q187"/>
      <c r="R187"/>
      <c r="S187"/>
    </row>
    <row r="188" spans="1:19" outlineLevel="1">
      <c r="A188" s="165"/>
      <c r="B188" s="33"/>
      <c r="C188" s="59" t="str">
        <f>IFERROR(IF(ISBLANK(VLOOKUP($B188,ARTICLE!$B$2:$J$200,3,FALSE)),"",VLOOKUP($B188,ARTICLE!$B$2:$J$200,3,FALSE)),"")</f>
        <v/>
      </c>
      <c r="D188" s="32" t="str">
        <f>IFERROR(IF(ISBLANK(VLOOKUP($B188,ARTICLE!$B$2:$J$200,4,FALSE)),"",VLOOKUP($B188,ARTICLE!$B$2:$J$200,4,FALSE)),"")</f>
        <v/>
      </c>
      <c r="E188" s="32" t="str">
        <f>IFERROR(IF(ISBLANK(VLOOKUP($B188,ARTICLE!$B$2:$J$200,5,FALSE)),"",VLOOKUP($B188,ARTICLE!$B$2:$J$200,5,FALSE)),"")</f>
        <v/>
      </c>
      <c r="F188" s="32" t="str">
        <f>IFERROR(IF(ISBLANK(VLOOKUP($B188,ARTICLE!$B$2:$J$200,6,FALSE)),"",VLOOKUP($B188,ARTICLE!$B$2:$J$200,6,FALSE)),"")</f>
        <v/>
      </c>
      <c r="G188" s="32" t="str">
        <f>IFERROR(IF(ISBLANK(VLOOKUP($B188,ARTICLE!$B$2:$J$200,7,FALSE)),"",VLOOKUP($B188,ARTICLE!$B$2:$J$200,7,FALSE)),"")</f>
        <v/>
      </c>
      <c r="H188" s="32" t="str">
        <f>IFERROR(IF(ISBLANK(VLOOKUP($B188,ARTICLE!$B$2:$J$200,8,FALSE)),"",VLOOKUP($B188,ARTICLE!$B$2:$J$200,8,FALSE)),"")</f>
        <v/>
      </c>
      <c r="I188" s="179"/>
      <c r="J188"/>
      <c r="K188"/>
      <c r="L188"/>
      <c r="M188"/>
      <c r="N188"/>
      <c r="O188"/>
      <c r="P188"/>
      <c r="Q188"/>
      <c r="R188"/>
      <c r="S188"/>
    </row>
    <row r="189" spans="1:19" outlineLevel="1">
      <c r="A189" s="165" t="str">
        <f t="shared" ref="A189" si="55">B189</f>
        <v/>
      </c>
      <c r="B189" s="34" t="str">
        <f>CONCATENATE(B190,IF(B191="",""," / "),B191,IF(B192="",""," / "),B192,IF(B193="",""," / "),B193,IF(B194="",""," / "),B194,IF(B195="",""," / "),B195,IF(B196="",""," / "),B196)</f>
        <v/>
      </c>
      <c r="C189" s="35" t="str">
        <f t="shared" si="39"/>
        <v/>
      </c>
      <c r="D189" s="35">
        <f t="shared" ref="D189" si="56">IF(SUM(E189:H189)=0,0,SUM(E189:H189))</f>
        <v>0</v>
      </c>
      <c r="E189" s="35">
        <f t="shared" si="41"/>
        <v>0</v>
      </c>
      <c r="F189" s="35">
        <f t="shared" ref="F189:H189" si="57">SUM(F190:F199)</f>
        <v>0</v>
      </c>
      <c r="G189" s="35">
        <f t="shared" si="57"/>
        <v>0</v>
      </c>
      <c r="H189" s="36">
        <f t="shared" si="57"/>
        <v>0</v>
      </c>
      <c r="I189" s="177"/>
      <c r="K189" s="284">
        <f>ROUNDUP(D189,0)*J189</f>
        <v>0</v>
      </c>
      <c r="L189" s="284">
        <f>ROUNDUP(J189*E189,0)</f>
        <v>0</v>
      </c>
      <c r="M189" s="285" t="e">
        <f>L189/K189</f>
        <v>#DIV/0!</v>
      </c>
      <c r="N189" s="284">
        <f>ROUNDUP(J189*F189,0)</f>
        <v>0</v>
      </c>
      <c r="O189" s="285" t="e">
        <f>N189/K189</f>
        <v>#DIV/0!</v>
      </c>
      <c r="P189" s="284">
        <f>ROUNDUP(J189*G189,0)</f>
        <v>0</v>
      </c>
      <c r="Q189" s="285" t="e">
        <f>P189/K189</f>
        <v>#DIV/0!</v>
      </c>
      <c r="R189" s="284">
        <f>ROUNDUP(J189*H189,0)</f>
        <v>0</v>
      </c>
      <c r="S189" s="285" t="e">
        <f>R189/K189</f>
        <v>#DIV/0!</v>
      </c>
    </row>
    <row r="190" spans="1:19" outlineLevel="1">
      <c r="A190" s="165"/>
      <c r="B190" s="31"/>
      <c r="C190" s="59" t="str">
        <f>IFERROR(IF(ISBLANK(VLOOKUP($B190,ARTICLE!$B$2:$J$200,3,FALSE)),"",VLOOKUP($B190,ARTICLE!$B$2:$J$200,3,FALSE)),"")</f>
        <v/>
      </c>
      <c r="D190" s="32" t="str">
        <f>IFERROR(IF(ISBLANK(VLOOKUP($B190,ARTICLE!$B$2:$J$200,4,FALSE)),"",VLOOKUP($B190,ARTICLE!$B$2:$J$200,4,FALSE)),"")</f>
        <v/>
      </c>
      <c r="E190" s="32" t="str">
        <f>IFERROR(IF(ISBLANK(VLOOKUP($B190,ARTICLE!$B$2:$J$200,5,FALSE)),"",VLOOKUP($B190,ARTICLE!$B$2:$J$200,5,FALSE)),"")</f>
        <v/>
      </c>
      <c r="F190" s="32" t="str">
        <f>IFERROR(IF(ISBLANK(VLOOKUP($B190,ARTICLE!$B$2:$J$200,6,FALSE)),"",VLOOKUP($B190,ARTICLE!$B$2:$J$200,6,FALSE)),"")</f>
        <v/>
      </c>
      <c r="G190" s="32" t="str">
        <f>IFERROR(IF(ISBLANK(VLOOKUP($B190,ARTICLE!$B$2:$J$200,7,FALSE)),"",VLOOKUP($B190,ARTICLE!$B$2:$J$200,7,FALSE)),"")</f>
        <v/>
      </c>
      <c r="H190" s="32" t="str">
        <f>IFERROR(IF(ISBLANK(VLOOKUP($B190,ARTICLE!$B$2:$J$200,8,FALSE)),"",VLOOKUP($B190,ARTICLE!$B$2:$J$200,8,FALSE)),"")</f>
        <v/>
      </c>
      <c r="I190" s="178"/>
      <c r="J190"/>
      <c r="K190"/>
      <c r="L190"/>
      <c r="M190"/>
      <c r="N190"/>
      <c r="O190"/>
      <c r="P190"/>
      <c r="Q190"/>
      <c r="R190"/>
      <c r="S190"/>
    </row>
    <row r="191" spans="1:19" outlineLevel="1">
      <c r="A191" s="165"/>
      <c r="B191" s="31"/>
      <c r="C191" s="59" t="str">
        <f>IFERROR(IF(ISBLANK(VLOOKUP($B191,ARTICLE!$B$2:$J$200,3,FALSE)),"",VLOOKUP($B191,ARTICLE!$B$2:$J$200,3,FALSE)),"")</f>
        <v/>
      </c>
      <c r="D191" s="32" t="str">
        <f>IFERROR(IF(ISBLANK(VLOOKUP($B191,ARTICLE!$B$2:$J$200,4,FALSE)),"",VLOOKUP($B191,ARTICLE!$B$2:$J$200,4,FALSE)),"")</f>
        <v/>
      </c>
      <c r="E191" s="32" t="str">
        <f>IFERROR(IF(ISBLANK(VLOOKUP($B191,ARTICLE!$B$2:$J$200,5,FALSE)),"",VLOOKUP($B191,ARTICLE!$B$2:$J$200,5,FALSE)),"")</f>
        <v/>
      </c>
      <c r="F191" s="32" t="str">
        <f>IFERROR(IF(ISBLANK(VLOOKUP($B191,ARTICLE!$B$2:$J$200,6,FALSE)),"",VLOOKUP($B191,ARTICLE!$B$2:$J$200,6,FALSE)),"")</f>
        <v/>
      </c>
      <c r="G191" s="32" t="str">
        <f>IFERROR(IF(ISBLANK(VLOOKUP($B191,ARTICLE!$B$2:$J$200,7,FALSE)),"",VLOOKUP($B191,ARTICLE!$B$2:$J$200,7,FALSE)),"")</f>
        <v/>
      </c>
      <c r="H191" s="32" t="str">
        <f>IFERROR(IF(ISBLANK(VLOOKUP($B191,ARTICLE!$B$2:$J$200,8,FALSE)),"",VLOOKUP($B191,ARTICLE!$B$2:$J$200,8,FALSE)),"")</f>
        <v/>
      </c>
      <c r="I191" s="178"/>
      <c r="J191"/>
      <c r="K191"/>
      <c r="L191"/>
      <c r="M191"/>
      <c r="N191"/>
      <c r="O191"/>
      <c r="P191"/>
      <c r="Q191"/>
      <c r="R191"/>
      <c r="S191"/>
    </row>
    <row r="192" spans="1:19" outlineLevel="1">
      <c r="A192" s="165"/>
      <c r="B192" s="31"/>
      <c r="C192" s="59" t="str">
        <f>IFERROR(IF(ISBLANK(VLOOKUP($B192,ARTICLE!$B$2:$J$200,3,FALSE)),"",VLOOKUP($B192,ARTICLE!$B$2:$J$200,3,FALSE)),"")</f>
        <v/>
      </c>
      <c r="D192" s="32" t="str">
        <f>IFERROR(IF(ISBLANK(VLOOKUP($B192,ARTICLE!$B$2:$J$200,4,FALSE)),"",VLOOKUP($B192,ARTICLE!$B$2:$J$200,4,FALSE)),"")</f>
        <v/>
      </c>
      <c r="E192" s="32" t="str">
        <f>IFERROR(IF(ISBLANK(VLOOKUP($B192,ARTICLE!$B$2:$J$200,5,FALSE)),"",VLOOKUP($B192,ARTICLE!$B$2:$J$200,5,FALSE)),"")</f>
        <v/>
      </c>
      <c r="F192" s="32" t="str">
        <f>IFERROR(IF(ISBLANK(VLOOKUP($B192,ARTICLE!$B$2:$J$200,6,FALSE)),"",VLOOKUP($B192,ARTICLE!$B$2:$J$200,6,FALSE)),"")</f>
        <v/>
      </c>
      <c r="G192" s="32" t="str">
        <f>IFERROR(IF(ISBLANK(VLOOKUP($B192,ARTICLE!$B$2:$J$200,7,FALSE)),"",VLOOKUP($B192,ARTICLE!$B$2:$J$200,7,FALSE)),"")</f>
        <v/>
      </c>
      <c r="H192" s="32" t="str">
        <f>IFERROR(IF(ISBLANK(VLOOKUP($B192,ARTICLE!$B$2:$J$200,8,FALSE)),"",VLOOKUP($B192,ARTICLE!$B$2:$J$200,8,FALSE)),"")</f>
        <v/>
      </c>
      <c r="I192" s="178"/>
      <c r="J192"/>
      <c r="K192"/>
      <c r="L192"/>
      <c r="M192"/>
      <c r="N192"/>
      <c r="O192"/>
      <c r="P192"/>
      <c r="Q192"/>
      <c r="R192"/>
      <c r="S192"/>
    </row>
    <row r="193" spans="1:19" outlineLevel="1">
      <c r="A193" s="165"/>
      <c r="B193" s="31"/>
      <c r="C193" s="59" t="str">
        <f>IFERROR(IF(ISBLANK(VLOOKUP($B193,ARTICLE!$B$2:$J$200,3,FALSE)),"",VLOOKUP($B193,ARTICLE!$B$2:$J$200,3,FALSE)),"")</f>
        <v/>
      </c>
      <c r="D193" s="32" t="str">
        <f>IFERROR(IF(ISBLANK(VLOOKUP($B193,ARTICLE!$B$2:$J$200,4,FALSE)),"",VLOOKUP($B193,ARTICLE!$B$2:$J$200,4,FALSE)),"")</f>
        <v/>
      </c>
      <c r="E193" s="32" t="str">
        <f>IFERROR(IF(ISBLANK(VLOOKUP($B193,ARTICLE!$B$2:$J$200,5,FALSE)),"",VLOOKUP($B193,ARTICLE!$B$2:$J$200,5,FALSE)),"")</f>
        <v/>
      </c>
      <c r="F193" s="32" t="str">
        <f>IFERROR(IF(ISBLANK(VLOOKUP($B193,ARTICLE!$B$2:$J$200,6,FALSE)),"",VLOOKUP($B193,ARTICLE!$B$2:$J$200,6,FALSE)),"")</f>
        <v/>
      </c>
      <c r="G193" s="32" t="str">
        <f>IFERROR(IF(ISBLANK(VLOOKUP($B193,ARTICLE!$B$2:$J$200,7,FALSE)),"",VLOOKUP($B193,ARTICLE!$B$2:$J$200,7,FALSE)),"")</f>
        <v/>
      </c>
      <c r="H193" s="32" t="str">
        <f>IFERROR(IF(ISBLANK(VLOOKUP($B193,ARTICLE!$B$2:$J$200,8,FALSE)),"",VLOOKUP($B193,ARTICLE!$B$2:$J$200,8,FALSE)),"")</f>
        <v/>
      </c>
      <c r="I193" s="178"/>
      <c r="J193"/>
      <c r="K193"/>
      <c r="L193"/>
      <c r="M193"/>
      <c r="N193"/>
      <c r="O193"/>
      <c r="P193"/>
      <c r="Q193"/>
      <c r="R193"/>
      <c r="S193"/>
    </row>
    <row r="194" spans="1:19" outlineLevel="1">
      <c r="A194" s="165"/>
      <c r="B194" s="31"/>
      <c r="C194" s="59" t="str">
        <f>IFERROR(IF(ISBLANK(VLOOKUP($B194,ARTICLE!$B$2:$J$200,3,FALSE)),"",VLOOKUP($B194,ARTICLE!$B$2:$J$200,3,FALSE)),"")</f>
        <v/>
      </c>
      <c r="D194" s="32" t="str">
        <f>IFERROR(IF(ISBLANK(VLOOKUP($B194,ARTICLE!$B$2:$J$200,4,FALSE)),"",VLOOKUP($B194,ARTICLE!$B$2:$J$200,4,FALSE)),"")</f>
        <v/>
      </c>
      <c r="E194" s="32" t="str">
        <f>IFERROR(IF(ISBLANK(VLOOKUP($B194,ARTICLE!$B$2:$J$200,5,FALSE)),"",VLOOKUP($B194,ARTICLE!$B$2:$J$200,5,FALSE)),"")</f>
        <v/>
      </c>
      <c r="F194" s="32" t="str">
        <f>IFERROR(IF(ISBLANK(VLOOKUP($B194,ARTICLE!$B$2:$J$200,6,FALSE)),"",VLOOKUP($B194,ARTICLE!$B$2:$J$200,6,FALSE)),"")</f>
        <v/>
      </c>
      <c r="G194" s="32" t="str">
        <f>IFERROR(IF(ISBLANK(VLOOKUP($B194,ARTICLE!$B$2:$J$200,7,FALSE)),"",VLOOKUP($B194,ARTICLE!$B$2:$J$200,7,FALSE)),"")</f>
        <v/>
      </c>
      <c r="H194" s="32" t="str">
        <f>IFERROR(IF(ISBLANK(VLOOKUP($B194,ARTICLE!$B$2:$J$200,8,FALSE)),"",VLOOKUP($B194,ARTICLE!$B$2:$J$200,8,FALSE)),"")</f>
        <v/>
      </c>
      <c r="I194" s="178"/>
      <c r="J194"/>
      <c r="K194"/>
      <c r="L194"/>
      <c r="M194"/>
      <c r="N194"/>
      <c r="O194"/>
      <c r="P194"/>
      <c r="Q194"/>
      <c r="R194"/>
      <c r="S194"/>
    </row>
    <row r="195" spans="1:19" outlineLevel="1">
      <c r="A195" s="165"/>
      <c r="B195" s="31"/>
      <c r="C195" s="59" t="str">
        <f>IFERROR(IF(ISBLANK(VLOOKUP($B195,ARTICLE!$B$2:$J$200,3,FALSE)),"",VLOOKUP($B195,ARTICLE!$B$2:$J$200,3,FALSE)),"")</f>
        <v/>
      </c>
      <c r="D195" s="32" t="str">
        <f>IFERROR(IF(ISBLANK(VLOOKUP($B195,ARTICLE!$B$2:$J$200,4,FALSE)),"",VLOOKUP($B195,ARTICLE!$B$2:$J$200,4,FALSE)),"")</f>
        <v/>
      </c>
      <c r="E195" s="32" t="str">
        <f>IFERROR(IF(ISBLANK(VLOOKUP($B195,ARTICLE!$B$2:$J$200,5,FALSE)),"",VLOOKUP($B195,ARTICLE!$B$2:$J$200,5,FALSE)),"")</f>
        <v/>
      </c>
      <c r="F195" s="32" t="str">
        <f>IFERROR(IF(ISBLANK(VLOOKUP($B195,ARTICLE!$B$2:$J$200,6,FALSE)),"",VLOOKUP($B195,ARTICLE!$B$2:$J$200,6,FALSE)),"")</f>
        <v/>
      </c>
      <c r="G195" s="32" t="str">
        <f>IFERROR(IF(ISBLANK(VLOOKUP($B195,ARTICLE!$B$2:$J$200,7,FALSE)),"",VLOOKUP($B195,ARTICLE!$B$2:$J$200,7,FALSE)),"")</f>
        <v/>
      </c>
      <c r="H195" s="32" t="str">
        <f>IFERROR(IF(ISBLANK(VLOOKUP($B195,ARTICLE!$B$2:$J$200,8,FALSE)),"",VLOOKUP($B195,ARTICLE!$B$2:$J$200,8,FALSE)),"")</f>
        <v/>
      </c>
      <c r="I195" s="178"/>
      <c r="J195"/>
      <c r="K195"/>
      <c r="L195"/>
      <c r="M195"/>
      <c r="N195"/>
      <c r="O195"/>
      <c r="P195"/>
      <c r="Q195"/>
      <c r="R195"/>
      <c r="S195"/>
    </row>
    <row r="196" spans="1:19" outlineLevel="1">
      <c r="A196" s="165"/>
      <c r="B196" s="31"/>
      <c r="C196" s="59" t="str">
        <f>IFERROR(IF(ISBLANK(VLOOKUP($B196,ARTICLE!$B$2:$J$200,3,FALSE)),"",VLOOKUP($B196,ARTICLE!$B$2:$J$200,3,FALSE)),"")</f>
        <v/>
      </c>
      <c r="D196" s="32" t="str">
        <f>IFERROR(IF(ISBLANK(VLOOKUP($B196,ARTICLE!$B$2:$J$200,4,FALSE)),"",VLOOKUP($B196,ARTICLE!$B$2:$J$200,4,FALSE)),"")</f>
        <v/>
      </c>
      <c r="E196" s="32" t="str">
        <f>IFERROR(IF(ISBLANK(VLOOKUP($B196,ARTICLE!$B$2:$J$200,5,FALSE)),"",VLOOKUP($B196,ARTICLE!$B$2:$J$200,5,FALSE)),"")</f>
        <v/>
      </c>
      <c r="F196" s="32" t="str">
        <f>IFERROR(IF(ISBLANK(VLOOKUP($B196,ARTICLE!$B$2:$J$200,6,FALSE)),"",VLOOKUP($B196,ARTICLE!$B$2:$J$200,6,FALSE)),"")</f>
        <v/>
      </c>
      <c r="G196" s="32" t="str">
        <f>IFERROR(IF(ISBLANK(VLOOKUP($B196,ARTICLE!$B$2:$J$200,7,FALSE)),"",VLOOKUP($B196,ARTICLE!$B$2:$J$200,7,FALSE)),"")</f>
        <v/>
      </c>
      <c r="H196" s="32" t="str">
        <f>IFERROR(IF(ISBLANK(VLOOKUP($B196,ARTICLE!$B$2:$J$200,8,FALSE)),"",VLOOKUP($B196,ARTICLE!$B$2:$J$200,8,FALSE)),"")</f>
        <v/>
      </c>
      <c r="I196" s="178"/>
      <c r="J196"/>
      <c r="K196"/>
      <c r="L196"/>
      <c r="M196"/>
      <c r="N196"/>
      <c r="O196"/>
      <c r="P196"/>
      <c r="Q196"/>
      <c r="R196"/>
      <c r="S196"/>
    </row>
    <row r="197" spans="1:19" outlineLevel="1">
      <c r="A197" s="165"/>
      <c r="B197" s="31"/>
      <c r="C197" s="59" t="str">
        <f>IFERROR(IF(ISBLANK(VLOOKUP($B197,ARTICLE!$B$2:$J$200,3,FALSE)),"",VLOOKUP($B197,ARTICLE!$B$2:$J$200,3,FALSE)),"")</f>
        <v/>
      </c>
      <c r="D197" s="32" t="str">
        <f>IFERROR(IF(ISBLANK(VLOOKUP($B197,ARTICLE!$B$2:$J$200,4,FALSE)),"",VLOOKUP($B197,ARTICLE!$B$2:$J$200,4,FALSE)),"")</f>
        <v/>
      </c>
      <c r="E197" s="32" t="str">
        <f>IFERROR(IF(ISBLANK(VLOOKUP($B197,ARTICLE!$B$2:$J$200,5,FALSE)),"",VLOOKUP($B197,ARTICLE!$B$2:$J$200,5,FALSE)),"")</f>
        <v/>
      </c>
      <c r="F197" s="32" t="str">
        <f>IFERROR(IF(ISBLANK(VLOOKUP($B197,ARTICLE!$B$2:$J$200,6,FALSE)),"",VLOOKUP($B197,ARTICLE!$B$2:$J$200,6,FALSE)),"")</f>
        <v/>
      </c>
      <c r="G197" s="32" t="str">
        <f>IFERROR(IF(ISBLANK(VLOOKUP($B197,ARTICLE!$B$2:$J$200,7,FALSE)),"",VLOOKUP($B197,ARTICLE!$B$2:$J$200,7,FALSE)),"")</f>
        <v/>
      </c>
      <c r="H197" s="32" t="str">
        <f>IFERROR(IF(ISBLANK(VLOOKUP($B197,ARTICLE!$B$2:$J$200,8,FALSE)),"",VLOOKUP($B197,ARTICLE!$B$2:$J$200,8,FALSE)),"")</f>
        <v/>
      </c>
      <c r="I197" s="178"/>
      <c r="J197"/>
      <c r="K197"/>
      <c r="L197"/>
      <c r="M197"/>
      <c r="N197"/>
      <c r="O197"/>
      <c r="P197"/>
      <c r="Q197"/>
      <c r="R197"/>
      <c r="S197"/>
    </row>
    <row r="198" spans="1:19" outlineLevel="1">
      <c r="A198" s="165"/>
      <c r="B198" s="31"/>
      <c r="C198" s="59" t="str">
        <f>IFERROR(IF(ISBLANK(VLOOKUP($B198,ARTICLE!$B$2:$J$200,3,FALSE)),"",VLOOKUP($B198,ARTICLE!$B$2:$J$200,3,FALSE)),"")</f>
        <v/>
      </c>
      <c r="D198" s="32" t="str">
        <f>IFERROR(IF(ISBLANK(VLOOKUP($B198,ARTICLE!$B$2:$J$200,4,FALSE)),"",VLOOKUP($B198,ARTICLE!$B$2:$J$200,4,FALSE)),"")</f>
        <v/>
      </c>
      <c r="E198" s="32" t="str">
        <f>IFERROR(IF(ISBLANK(VLOOKUP($B198,ARTICLE!$B$2:$J$200,5,FALSE)),"",VLOOKUP($B198,ARTICLE!$B$2:$J$200,5,FALSE)),"")</f>
        <v/>
      </c>
      <c r="F198" s="32" t="str">
        <f>IFERROR(IF(ISBLANK(VLOOKUP($B198,ARTICLE!$B$2:$J$200,6,FALSE)),"",VLOOKUP($B198,ARTICLE!$B$2:$J$200,6,FALSE)),"")</f>
        <v/>
      </c>
      <c r="G198" s="32" t="str">
        <f>IFERROR(IF(ISBLANK(VLOOKUP($B198,ARTICLE!$B$2:$J$200,7,FALSE)),"",VLOOKUP($B198,ARTICLE!$B$2:$J$200,7,FALSE)),"")</f>
        <v/>
      </c>
      <c r="H198" s="32" t="str">
        <f>IFERROR(IF(ISBLANK(VLOOKUP($B198,ARTICLE!$B$2:$J$200,8,FALSE)),"",VLOOKUP($B198,ARTICLE!$B$2:$J$200,8,FALSE)),"")</f>
        <v/>
      </c>
      <c r="I198" s="178"/>
      <c r="J198"/>
      <c r="K198"/>
      <c r="L198"/>
      <c r="M198"/>
      <c r="N198"/>
      <c r="O198"/>
      <c r="P198"/>
      <c r="Q198"/>
      <c r="R198"/>
      <c r="S198"/>
    </row>
    <row r="199" spans="1:19" outlineLevel="1">
      <c r="A199" s="165"/>
      <c r="B199" s="33"/>
      <c r="C199" s="59" t="str">
        <f>IFERROR(IF(ISBLANK(VLOOKUP($B199,ARTICLE!$B$2:$J$200,3,FALSE)),"",VLOOKUP($B199,ARTICLE!$B$2:$J$200,3,FALSE)),"")</f>
        <v/>
      </c>
      <c r="D199" s="32" t="str">
        <f>IFERROR(IF(ISBLANK(VLOOKUP($B199,ARTICLE!$B$2:$J$200,4,FALSE)),"",VLOOKUP($B199,ARTICLE!$B$2:$J$200,4,FALSE)),"")</f>
        <v/>
      </c>
      <c r="E199" s="32" t="str">
        <f>IFERROR(IF(ISBLANK(VLOOKUP($B199,ARTICLE!$B$2:$J$200,5,FALSE)),"",VLOOKUP($B199,ARTICLE!$B$2:$J$200,5,FALSE)),"")</f>
        <v/>
      </c>
      <c r="F199" s="32" t="str">
        <f>IFERROR(IF(ISBLANK(VLOOKUP($B199,ARTICLE!$B$2:$J$200,6,FALSE)),"",VLOOKUP($B199,ARTICLE!$B$2:$J$200,6,FALSE)),"")</f>
        <v/>
      </c>
      <c r="G199" s="32" t="str">
        <f>IFERROR(IF(ISBLANK(VLOOKUP($B199,ARTICLE!$B$2:$J$200,7,FALSE)),"",VLOOKUP($B199,ARTICLE!$B$2:$J$200,7,FALSE)),"")</f>
        <v/>
      </c>
      <c r="H199" s="32" t="str">
        <f>IFERROR(IF(ISBLANK(VLOOKUP($B199,ARTICLE!$B$2:$J$200,8,FALSE)),"",VLOOKUP($B199,ARTICLE!$B$2:$J$200,8,FALSE)),"")</f>
        <v/>
      </c>
      <c r="I199" s="179"/>
      <c r="J199"/>
      <c r="K199"/>
      <c r="L199"/>
      <c r="M199"/>
      <c r="N199"/>
      <c r="O199"/>
      <c r="P199"/>
      <c r="Q199"/>
      <c r="R199"/>
      <c r="S199"/>
    </row>
    <row r="200" spans="1:19">
      <c r="I200" s="128"/>
      <c r="J200" s="286">
        <f>SUM(J2:J199)</f>
        <v>2273</v>
      </c>
      <c r="K200" s="286">
        <f>SUM(K2:K199)</f>
        <v>175382</v>
      </c>
      <c r="L200" s="286">
        <f t="shared" ref="L200:R200" si="58">SUM(L2:L199)</f>
        <v>102354</v>
      </c>
      <c r="M200" s="285">
        <f>L200/K200</f>
        <v>0.58360607131860742</v>
      </c>
      <c r="N200" s="286">
        <f t="shared" si="58"/>
        <v>19243</v>
      </c>
      <c r="O200" s="285">
        <f>N200/K200</f>
        <v>0.10972049583195539</v>
      </c>
      <c r="P200" s="286">
        <f t="shared" si="58"/>
        <v>36480</v>
      </c>
      <c r="Q200" s="285">
        <f>P200/K200</f>
        <v>0.20800310180064088</v>
      </c>
      <c r="R200" s="286">
        <f t="shared" si="58"/>
        <v>15809</v>
      </c>
      <c r="S200" s="285">
        <f>R200/K200</f>
        <v>9.0140379286357777E-2</v>
      </c>
    </row>
    <row r="201" spans="1:19">
      <c r="I201" s="128"/>
      <c r="M201" s="130" t="s">
        <v>531</v>
      </c>
      <c r="N201" s="130">
        <v>60</v>
      </c>
    </row>
    <row r="202" spans="1:19">
      <c r="I202" s="128"/>
      <c r="M202" s="130" t="s">
        <v>532</v>
      </c>
      <c r="N202" s="130">
        <f>ROUNDUP(N200/N201,0)</f>
        <v>321</v>
      </c>
    </row>
    <row r="203" spans="1:19">
      <c r="I203" s="128" t="s">
        <v>535</v>
      </c>
      <c r="J203" s="130">
        <f>J200/N203</f>
        <v>55.439024390243901</v>
      </c>
      <c r="M203" s="130" t="s">
        <v>533</v>
      </c>
      <c r="N203" s="130">
        <f>ROUNDUP(N202/8,0)</f>
        <v>41</v>
      </c>
    </row>
    <row r="204" spans="1:19">
      <c r="I204" s="128" t="s">
        <v>536</v>
      </c>
      <c r="J204" s="130">
        <f>J203*5</f>
        <v>277.19512195121951</v>
      </c>
      <c r="N204" s="130">
        <f>J200/N203</f>
        <v>55.439024390243901</v>
      </c>
    </row>
    <row r="205" spans="1:19">
      <c r="I205" s="128"/>
    </row>
    <row r="206" spans="1:19">
      <c r="I206" s="128"/>
    </row>
    <row r="207" spans="1:19">
      <c r="I207" s="128"/>
    </row>
  </sheetData>
  <sheetProtection formatColumns="0"/>
  <protectedRanges>
    <protectedRange sqref="G1:H1" name="PARAMETRE"/>
    <protectedRange sqref="I2:I199" name="ID"/>
    <protectedRange sqref="B179:B188 B190:B199" name="COMPO2"/>
    <protectedRange sqref="B11 B80 B124:B133 B135:B144 B146:B166 B168:B177 B21:B23 B30:B34 B52:B56 B63:B67 B73:B78 B69:B71 B82:B83 B85:B89 B96:B100 B102 B104 B106:B111 B113:B115 B117:B122 B91:B94 B14 B17:B18 B47 B49:B50 B58 B25 B36 B38:B45" name="COMPO"/>
    <protectedRange sqref="B9:B10 B51 B72 B81 B84 B95 B103 B105 B116 B20 B6 B15 B28:B29" name="COMPO_2"/>
    <protectedRange sqref="B12 B7:B8 B3:B5 B19 B16 B48 B59:B62 B26:B27 B37" name="COMPOSITION"/>
  </protectedRanges>
  <autoFilter ref="A1:R200" xr:uid="{004613D9-3CAE-44A1-BFB8-86BA688E36D6}">
    <filterColumn colId="0" showButton="0"/>
  </autoFilter>
  <dataConsolidate/>
  <customSheetViews>
    <customSheetView guid="{4C05D42E-3E5C-4FA0-B17F-90B6C7E70693}" scale="60" showPageBreaks="1" printArea="1" hiddenColumns="1" view="pageBreakPreview">
      <pane ySplit="1" topLeftCell="B2" activePane="bottomRight" state="frozen"/>
      <selection pane="bottomRight" sqref="A1:H1100"/>
      <pageMargins left="0.7" right="0.7" top="0.75" bottom="0.75" header="0.3" footer="0.3"/>
      <pageSetup paperSize="9" orientation="portrait" r:id="rId1"/>
    </customSheetView>
  </customSheetViews>
  <mergeCells count="23">
    <mergeCell ref="A112:A122"/>
    <mergeCell ref="I101:I111"/>
    <mergeCell ref="I112:I122"/>
    <mergeCell ref="I57:I67"/>
    <mergeCell ref="I68:I78"/>
    <mergeCell ref="I79:I89"/>
    <mergeCell ref="I90:I100"/>
    <mergeCell ref="A101:A111"/>
    <mergeCell ref="I2:I12"/>
    <mergeCell ref="I13:I23"/>
    <mergeCell ref="I24:I34"/>
    <mergeCell ref="I35:I45"/>
    <mergeCell ref="I46:I56"/>
    <mergeCell ref="A1:B1"/>
    <mergeCell ref="A2:A12"/>
    <mergeCell ref="A13:A23"/>
    <mergeCell ref="A24:A34"/>
    <mergeCell ref="A35:A45"/>
    <mergeCell ref="A46:A56"/>
    <mergeCell ref="A57:A67"/>
    <mergeCell ref="A68:A78"/>
    <mergeCell ref="A79:A89"/>
    <mergeCell ref="A90:A100"/>
  </mergeCells>
  <phoneticPr fontId="12" type="noConversion"/>
  <dataValidations count="1">
    <dataValidation type="list" allowBlank="1" showInputMessage="1" showErrorMessage="1" sqref="B124:B133 B91:B100 B58:B67 B47:B56 B113:B122 B14:B23 B3:B12 B69:B78 B80:B89 B25:B34 B102:B111 B146:B155 B157:B166 B168:B177 B179:B188 B190:B199 B135:B144 B36:B45" xr:uid="{CC912F43-205F-4D49-88A3-977955238B86}">
      <formula1>ARTICLE</formula1>
    </dataValidation>
  </dataValidations>
  <pageMargins left="0.7" right="0.7" top="0.75" bottom="0.75" header="0.3" footer="0.3"/>
  <pageSetup paperSize="9" scale="53" fitToHeight="0" orientation="landscape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3EA9B8-E881-4974-9193-A87529183435}">
  <sheetPr>
    <tabColor theme="8"/>
  </sheetPr>
  <dimension ref="A1:I115"/>
  <sheetViews>
    <sheetView topLeftCell="A16" workbookViewId="0">
      <selection activeCell="A65" sqref="A65"/>
    </sheetView>
  </sheetViews>
  <sheetFormatPr defaultRowHeight="14.4"/>
  <cols>
    <col min="1" max="1" width="135" bestFit="1" customWidth="1"/>
    <col min="2" max="2" width="3.5546875" bestFit="1" customWidth="1"/>
    <col min="3" max="4" width="12" bestFit="1" customWidth="1"/>
    <col min="5" max="5" width="6" bestFit="1" customWidth="1"/>
    <col min="6" max="7" width="12" bestFit="1" customWidth="1"/>
    <col min="8" max="8" width="24.6640625" bestFit="1" customWidth="1"/>
    <col min="9" max="9" width="4" bestFit="1" customWidth="1"/>
  </cols>
  <sheetData>
    <row r="1" spans="1:9">
      <c r="A1" s="129" t="s">
        <v>442</v>
      </c>
    </row>
    <row r="2" spans="1:9">
      <c r="A2" t="s">
        <v>439</v>
      </c>
      <c r="B2" t="s">
        <v>21</v>
      </c>
      <c r="C2">
        <v>118.25835839195875</v>
      </c>
      <c r="D2">
        <v>68.138152721649476</v>
      </c>
      <c r="E2">
        <v>14.559999999999999</v>
      </c>
      <c r="F2">
        <v>24.809445816494847</v>
      </c>
      <c r="G2">
        <v>10.750759853814435</v>
      </c>
      <c r="H2" t="s">
        <v>410</v>
      </c>
      <c r="I2">
        <v>271</v>
      </c>
    </row>
    <row r="3" spans="1:9">
      <c r="A3" t="s">
        <v>417</v>
      </c>
      <c r="B3" t="s">
        <v>21</v>
      </c>
      <c r="C3">
        <v>15.772900000000003</v>
      </c>
      <c r="D3">
        <v>9.9</v>
      </c>
      <c r="E3">
        <v>1.1299999999999999</v>
      </c>
      <c r="F3">
        <v>3.3090000000000002</v>
      </c>
      <c r="G3">
        <v>1.4339000000000004</v>
      </c>
    </row>
    <row r="4" spans="1:9">
      <c r="A4" t="s">
        <v>419</v>
      </c>
      <c r="B4" t="s">
        <v>21</v>
      </c>
      <c r="C4">
        <v>4.7190000000000003</v>
      </c>
      <c r="D4">
        <v>2.75</v>
      </c>
      <c r="E4">
        <v>0.55000000000000004</v>
      </c>
      <c r="F4">
        <v>0.98999999999999988</v>
      </c>
      <c r="G4">
        <v>0.42900000000000005</v>
      </c>
    </row>
    <row r="5" spans="1:9">
      <c r="A5" t="s">
        <v>206</v>
      </c>
      <c r="B5" t="s">
        <v>21</v>
      </c>
      <c r="C5">
        <v>44.776729139999993</v>
      </c>
      <c r="D5">
        <v>26.722397999999998</v>
      </c>
      <c r="E5">
        <v>4.59</v>
      </c>
      <c r="F5">
        <v>9.3937193999999984</v>
      </c>
      <c r="G5">
        <v>4.0706117399999995</v>
      </c>
    </row>
    <row r="6" spans="1:9">
      <c r="A6" t="s">
        <v>44</v>
      </c>
      <c r="B6" t="s">
        <v>21</v>
      </c>
      <c r="C6">
        <v>18.790200000000002</v>
      </c>
      <c r="D6">
        <v>11.84</v>
      </c>
      <c r="E6">
        <v>1.3</v>
      </c>
      <c r="F6">
        <v>3.9420000000000002</v>
      </c>
      <c r="G6">
        <v>1.7082000000000002</v>
      </c>
    </row>
    <row r="7" spans="1:9">
      <c r="A7" t="s">
        <v>46</v>
      </c>
      <c r="B7" t="s">
        <v>21</v>
      </c>
      <c r="C7">
        <v>12.212199999999999</v>
      </c>
      <c r="D7">
        <v>7.89</v>
      </c>
      <c r="E7">
        <v>0.65</v>
      </c>
      <c r="F7">
        <v>2.5619999999999998</v>
      </c>
      <c r="G7">
        <v>1.1101999999999999</v>
      </c>
    </row>
    <row r="8" spans="1:9">
      <c r="A8" t="s">
        <v>1</v>
      </c>
      <c r="B8" t="s">
        <v>21</v>
      </c>
      <c r="C8">
        <v>6.4349999999999996</v>
      </c>
      <c r="D8">
        <v>3.75</v>
      </c>
      <c r="E8">
        <v>0.75</v>
      </c>
      <c r="F8">
        <v>1.3499999999999999</v>
      </c>
      <c r="G8">
        <v>0.58499999999999996</v>
      </c>
    </row>
    <row r="9" spans="1:9">
      <c r="A9" t="s">
        <v>413</v>
      </c>
      <c r="B9" t="s">
        <v>21</v>
      </c>
      <c r="C9">
        <v>4.8762999999999987</v>
      </c>
      <c r="D9">
        <v>2.8599999999999994</v>
      </c>
      <c r="E9">
        <v>0.55000000000000004</v>
      </c>
      <c r="F9">
        <v>1.0229999999999997</v>
      </c>
      <c r="G9">
        <v>0.44329999999999992</v>
      </c>
    </row>
    <row r="10" spans="1:9">
      <c r="A10" t="s">
        <v>425</v>
      </c>
      <c r="B10" t="s">
        <v>21</v>
      </c>
      <c r="C10">
        <v>10.676029251958763</v>
      </c>
      <c r="D10">
        <v>2.4257547216494846</v>
      </c>
      <c r="E10">
        <v>5.04</v>
      </c>
      <c r="F10">
        <v>2.2397264164948454</v>
      </c>
      <c r="G10">
        <v>0.97054811381443307</v>
      </c>
    </row>
    <row r="11" spans="1:9">
      <c r="B11" t="s">
        <v>414</v>
      </c>
      <c r="C11" t="s">
        <v>414</v>
      </c>
      <c r="D11" t="s">
        <v>414</v>
      </c>
      <c r="E11" t="s">
        <v>414</v>
      </c>
      <c r="F11" t="s">
        <v>414</v>
      </c>
      <c r="G11" t="s">
        <v>414</v>
      </c>
    </row>
    <row r="12" spans="1:9">
      <c r="A12" t="s">
        <v>426</v>
      </c>
      <c r="B12" t="s">
        <v>414</v>
      </c>
      <c r="C12" t="s">
        <v>414</v>
      </c>
      <c r="D12" t="s">
        <v>414</v>
      </c>
      <c r="E12" t="s">
        <v>414</v>
      </c>
      <c r="F12" t="s">
        <v>414</v>
      </c>
      <c r="G12" t="s">
        <v>414</v>
      </c>
    </row>
    <row r="13" spans="1:9">
      <c r="A13" t="s">
        <v>417</v>
      </c>
      <c r="B13" t="s">
        <v>21</v>
      </c>
      <c r="C13">
        <v>106.49552914</v>
      </c>
      <c r="D13">
        <v>65.502397999999999</v>
      </c>
      <c r="E13">
        <v>8.9699999999999989</v>
      </c>
      <c r="F13">
        <v>22.341719399999999</v>
      </c>
      <c r="G13">
        <v>9.6814117400000015</v>
      </c>
      <c r="H13" t="s">
        <v>409</v>
      </c>
      <c r="I13">
        <v>153</v>
      </c>
    </row>
    <row r="14" spans="1:9">
      <c r="A14" t="s">
        <v>419</v>
      </c>
      <c r="B14" t="s">
        <v>21</v>
      </c>
      <c r="C14">
        <v>15.772900000000003</v>
      </c>
      <c r="D14">
        <v>9.9</v>
      </c>
      <c r="E14">
        <v>1.1299999999999999</v>
      </c>
      <c r="F14">
        <v>3.3090000000000002</v>
      </c>
      <c r="G14">
        <v>1.4339000000000004</v>
      </c>
    </row>
    <row r="15" spans="1:9">
      <c r="A15" t="s">
        <v>206</v>
      </c>
      <c r="B15" t="s">
        <v>21</v>
      </c>
      <c r="C15">
        <v>4.7190000000000003</v>
      </c>
      <c r="D15">
        <v>2.75</v>
      </c>
      <c r="E15">
        <v>0.55000000000000004</v>
      </c>
      <c r="F15">
        <v>0.98999999999999988</v>
      </c>
      <c r="G15">
        <v>0.42900000000000005</v>
      </c>
    </row>
    <row r="16" spans="1:9">
      <c r="A16" t="s">
        <v>44</v>
      </c>
      <c r="B16" t="s">
        <v>21</v>
      </c>
      <c r="C16">
        <v>44.776729139999993</v>
      </c>
      <c r="D16">
        <v>26.722397999999998</v>
      </c>
      <c r="E16">
        <v>4.59</v>
      </c>
      <c r="F16">
        <v>9.3937193999999984</v>
      </c>
      <c r="G16">
        <v>4.0706117399999995</v>
      </c>
    </row>
    <row r="17" spans="1:9">
      <c r="A17" t="s">
        <v>46</v>
      </c>
      <c r="B17" t="s">
        <v>21</v>
      </c>
      <c r="C17">
        <v>18.790200000000002</v>
      </c>
      <c r="D17">
        <v>11.84</v>
      </c>
      <c r="E17">
        <v>1.3</v>
      </c>
      <c r="F17">
        <v>3.9420000000000002</v>
      </c>
      <c r="G17">
        <v>1.7082000000000002</v>
      </c>
    </row>
    <row r="18" spans="1:9">
      <c r="A18" t="s">
        <v>2</v>
      </c>
      <c r="B18" t="s">
        <v>21</v>
      </c>
      <c r="C18">
        <v>12.212199999999999</v>
      </c>
      <c r="D18">
        <v>7.89</v>
      </c>
      <c r="E18">
        <v>0.65</v>
      </c>
      <c r="F18">
        <v>2.5619999999999998</v>
      </c>
      <c r="G18">
        <v>1.1101999999999999</v>
      </c>
    </row>
    <row r="19" spans="1:9">
      <c r="B19" t="s">
        <v>21</v>
      </c>
      <c r="C19">
        <v>10.224499999999999</v>
      </c>
      <c r="D19">
        <v>6.4</v>
      </c>
      <c r="E19">
        <v>0.75</v>
      </c>
      <c r="F19">
        <v>2.145</v>
      </c>
      <c r="G19">
        <v>0.92949999999999999</v>
      </c>
    </row>
    <row r="20" spans="1:9">
      <c r="A20" t="s">
        <v>440</v>
      </c>
      <c r="B20" t="s">
        <v>414</v>
      </c>
      <c r="C20" t="s">
        <v>414</v>
      </c>
      <c r="D20" t="s">
        <v>414</v>
      </c>
      <c r="E20" t="s">
        <v>414</v>
      </c>
      <c r="F20" t="s">
        <v>414</v>
      </c>
      <c r="G20" t="s">
        <v>414</v>
      </c>
    </row>
    <row r="21" spans="1:9">
      <c r="A21" t="s">
        <v>3</v>
      </c>
      <c r="B21" t="s">
        <v>21</v>
      </c>
      <c r="C21">
        <v>86.332529140000005</v>
      </c>
      <c r="D21">
        <v>52.082397999999998</v>
      </c>
      <c r="E21">
        <v>8.2899999999999991</v>
      </c>
      <c r="F21">
        <v>18.111719400000002</v>
      </c>
      <c r="G21">
        <v>7.8484117400000004</v>
      </c>
      <c r="H21" t="s">
        <v>408</v>
      </c>
      <c r="I21">
        <v>211</v>
      </c>
    </row>
    <row r="22" spans="1:9">
      <c r="A22" t="s">
        <v>214</v>
      </c>
      <c r="B22" t="s">
        <v>21</v>
      </c>
      <c r="C22">
        <v>12.9701</v>
      </c>
      <c r="D22">
        <v>8.32</v>
      </c>
      <c r="E22">
        <v>0.75</v>
      </c>
      <c r="F22">
        <v>2.7210000000000001</v>
      </c>
      <c r="G22">
        <v>1.1791</v>
      </c>
    </row>
    <row r="23" spans="1:9">
      <c r="A23" t="s">
        <v>46</v>
      </c>
      <c r="B23" t="s">
        <v>21</v>
      </c>
      <c r="C23">
        <v>46.20672914</v>
      </c>
      <c r="D23">
        <v>26.722397999999998</v>
      </c>
      <c r="E23">
        <v>5.59</v>
      </c>
      <c r="F23">
        <v>9.6937194000000009</v>
      </c>
      <c r="G23">
        <v>4.2006117400000003</v>
      </c>
    </row>
    <row r="24" spans="1:9">
      <c r="A24" t="s">
        <v>419</v>
      </c>
      <c r="B24" t="s">
        <v>21</v>
      </c>
      <c r="C24">
        <v>12.212199999999999</v>
      </c>
      <c r="D24">
        <v>7.89</v>
      </c>
      <c r="E24">
        <v>0.65</v>
      </c>
      <c r="F24">
        <v>2.5619999999999998</v>
      </c>
      <c r="G24">
        <v>1.1101999999999999</v>
      </c>
    </row>
    <row r="25" spans="1:9">
      <c r="A25" t="s">
        <v>2</v>
      </c>
      <c r="B25" t="s">
        <v>21</v>
      </c>
      <c r="C25">
        <v>4.7190000000000003</v>
      </c>
      <c r="D25">
        <v>2.75</v>
      </c>
      <c r="E25">
        <v>0.55000000000000004</v>
      </c>
      <c r="F25">
        <v>0.98999999999999988</v>
      </c>
      <c r="G25">
        <v>0.42900000000000005</v>
      </c>
    </row>
    <row r="26" spans="1:9">
      <c r="B26" t="s">
        <v>414</v>
      </c>
      <c r="C26" t="s">
        <v>414</v>
      </c>
      <c r="D26" t="s">
        <v>414</v>
      </c>
      <c r="E26" t="s">
        <v>414</v>
      </c>
      <c r="F26" t="s">
        <v>414</v>
      </c>
      <c r="G26" t="s">
        <v>414</v>
      </c>
    </row>
    <row r="27" spans="1:9">
      <c r="A27" t="s">
        <v>441</v>
      </c>
      <c r="B27" t="s">
        <v>414</v>
      </c>
      <c r="C27" t="s">
        <v>414</v>
      </c>
      <c r="D27" t="s">
        <v>414</v>
      </c>
      <c r="E27" t="s">
        <v>414</v>
      </c>
      <c r="F27" t="s">
        <v>414</v>
      </c>
      <c r="G27" t="s">
        <v>414</v>
      </c>
    </row>
    <row r="28" spans="1:9">
      <c r="A28" t="s">
        <v>6</v>
      </c>
      <c r="B28" t="s">
        <v>21</v>
      </c>
      <c r="C28">
        <v>70.627436880000005</v>
      </c>
      <c r="D28">
        <v>41.229816</v>
      </c>
      <c r="E28">
        <v>8.16</v>
      </c>
      <c r="F28">
        <v>14.816944799999998</v>
      </c>
      <c r="G28">
        <v>6.4206760799999998</v>
      </c>
      <c r="H28" t="s">
        <v>427</v>
      </c>
      <c r="I28">
        <v>32</v>
      </c>
    </row>
    <row r="29" spans="1:9">
      <c r="A29" t="s">
        <v>213</v>
      </c>
      <c r="B29" t="s">
        <v>21</v>
      </c>
      <c r="C29">
        <v>14.185600000000001</v>
      </c>
      <c r="D29">
        <v>9.17</v>
      </c>
      <c r="E29">
        <v>0.75</v>
      </c>
      <c r="F29">
        <v>2.976</v>
      </c>
      <c r="G29">
        <v>1.2896000000000001</v>
      </c>
    </row>
    <row r="30" spans="1:9">
      <c r="B30" t="s">
        <v>21</v>
      </c>
      <c r="C30">
        <v>56.44183687999999</v>
      </c>
      <c r="D30">
        <v>32.059815999999998</v>
      </c>
      <c r="E30">
        <v>7.41</v>
      </c>
      <c r="F30">
        <v>11.840944799999997</v>
      </c>
      <c r="G30">
        <v>5.1310760799999997</v>
      </c>
    </row>
    <row r="31" spans="1:9">
      <c r="A31" s="129" t="s">
        <v>451</v>
      </c>
      <c r="B31" t="s">
        <v>414</v>
      </c>
      <c r="C31" t="s">
        <v>414</v>
      </c>
      <c r="D31" t="s">
        <v>414</v>
      </c>
      <c r="E31" t="s">
        <v>414</v>
      </c>
      <c r="F31" t="s">
        <v>414</v>
      </c>
      <c r="G31" t="s">
        <v>414</v>
      </c>
    </row>
    <row r="32" spans="1:9">
      <c r="A32" t="s">
        <v>447</v>
      </c>
      <c r="B32" t="s">
        <v>21</v>
      </c>
      <c r="C32">
        <v>89.141900545292089</v>
      </c>
      <c r="D32">
        <v>51.096993388316143</v>
      </c>
      <c r="E32">
        <v>11.239999999999998</v>
      </c>
      <c r="F32">
        <v>18.701098016494846</v>
      </c>
      <c r="G32">
        <v>8.1038091404810988</v>
      </c>
      <c r="H32" t="s">
        <v>443</v>
      </c>
      <c r="I32">
        <v>97</v>
      </c>
    </row>
    <row r="33" spans="1:9">
      <c r="A33" t="s">
        <v>402</v>
      </c>
      <c r="B33" t="s">
        <v>21</v>
      </c>
      <c r="C33">
        <v>3.4034</v>
      </c>
      <c r="D33">
        <v>1.8299999999999998</v>
      </c>
      <c r="E33">
        <v>0.55000000000000004</v>
      </c>
      <c r="F33">
        <v>0.71399999999999997</v>
      </c>
      <c r="G33">
        <v>0.30940000000000001</v>
      </c>
    </row>
    <row r="34" spans="1:9">
      <c r="A34" t="s">
        <v>41</v>
      </c>
      <c r="B34" t="s">
        <v>21</v>
      </c>
      <c r="C34">
        <v>41.171471293333333</v>
      </c>
      <c r="D34">
        <v>25.741238666666664</v>
      </c>
      <c r="E34">
        <v>3.05</v>
      </c>
      <c r="F34">
        <v>8.6373715999999998</v>
      </c>
      <c r="G34">
        <v>3.7428610266666666</v>
      </c>
    </row>
    <row r="35" spans="1:9">
      <c r="A35" t="s">
        <v>44</v>
      </c>
      <c r="B35" t="s">
        <v>21</v>
      </c>
      <c r="C35">
        <v>18.790200000000002</v>
      </c>
      <c r="D35">
        <v>11.84</v>
      </c>
      <c r="E35">
        <v>1.3</v>
      </c>
      <c r="F35">
        <v>3.9420000000000002</v>
      </c>
      <c r="G35">
        <v>1.7082000000000002</v>
      </c>
    </row>
    <row r="36" spans="1:9">
      <c r="A36" t="s">
        <v>2</v>
      </c>
      <c r="B36" t="s">
        <v>21</v>
      </c>
      <c r="C36">
        <v>10.224499999999999</v>
      </c>
      <c r="D36">
        <v>6.4</v>
      </c>
      <c r="E36">
        <v>0.75</v>
      </c>
      <c r="F36">
        <v>2.145</v>
      </c>
      <c r="G36">
        <v>0.92949999999999999</v>
      </c>
    </row>
    <row r="37" spans="1:9">
      <c r="A37" t="s">
        <v>429</v>
      </c>
      <c r="B37" t="s">
        <v>21</v>
      </c>
      <c r="C37">
        <v>4.8762999999999987</v>
      </c>
      <c r="D37">
        <v>2.8599999999999994</v>
      </c>
      <c r="E37">
        <v>0.55000000000000004</v>
      </c>
      <c r="F37">
        <v>1.0229999999999997</v>
      </c>
      <c r="G37">
        <v>0.44329999999999992</v>
      </c>
    </row>
    <row r="38" spans="1:9">
      <c r="A38" t="s">
        <v>425</v>
      </c>
      <c r="B38" t="s">
        <v>21</v>
      </c>
      <c r="C38">
        <v>10.676029251958763</v>
      </c>
      <c r="D38">
        <v>2.4257547216494846</v>
      </c>
      <c r="E38">
        <v>5.04</v>
      </c>
      <c r="F38">
        <v>2.2397264164948454</v>
      </c>
      <c r="G38">
        <v>0.97054811381443307</v>
      </c>
    </row>
    <row r="39" spans="1:9">
      <c r="B39" t="s">
        <v>414</v>
      </c>
      <c r="C39" t="s">
        <v>414</v>
      </c>
      <c r="D39" t="s">
        <v>414</v>
      </c>
      <c r="E39" t="s">
        <v>414</v>
      </c>
      <c r="F39" t="s">
        <v>414</v>
      </c>
      <c r="G39" t="s">
        <v>414</v>
      </c>
    </row>
    <row r="40" spans="1:9">
      <c r="B40" t="s">
        <v>414</v>
      </c>
      <c r="C40" t="s">
        <v>414</v>
      </c>
      <c r="D40" t="s">
        <v>414</v>
      </c>
      <c r="E40" t="s">
        <v>414</v>
      </c>
      <c r="F40" t="s">
        <v>414</v>
      </c>
      <c r="G40" t="s">
        <v>414</v>
      </c>
    </row>
    <row r="41" spans="1:9">
      <c r="B41" t="s">
        <v>414</v>
      </c>
      <c r="C41" t="s">
        <v>414</v>
      </c>
      <c r="D41" t="s">
        <v>414</v>
      </c>
      <c r="E41" t="s">
        <v>414</v>
      </c>
      <c r="F41" t="s">
        <v>414</v>
      </c>
      <c r="G41" t="s">
        <v>414</v>
      </c>
    </row>
    <row r="42" spans="1:9">
      <c r="B42" t="s">
        <v>414</v>
      </c>
      <c r="C42" t="s">
        <v>414</v>
      </c>
      <c r="D42" t="s">
        <v>414</v>
      </c>
      <c r="E42" t="s">
        <v>414</v>
      </c>
      <c r="F42" t="s">
        <v>414</v>
      </c>
      <c r="G42" t="s">
        <v>414</v>
      </c>
    </row>
    <row r="43" spans="1:9">
      <c r="A43" t="s">
        <v>448</v>
      </c>
      <c r="B43" t="s">
        <v>21</v>
      </c>
      <c r="C43">
        <v>84.422040654350511</v>
      </c>
      <c r="D43">
        <v>39.256993388316147</v>
      </c>
      <c r="E43">
        <v>9.94</v>
      </c>
      <c r="F43">
        <v>14.759098016494844</v>
      </c>
      <c r="G43">
        <v>6.3956091404811</v>
      </c>
      <c r="H43" t="s">
        <v>444</v>
      </c>
      <c r="I43">
        <v>41</v>
      </c>
    </row>
    <row r="44" spans="1:9">
      <c r="A44" t="s">
        <v>402</v>
      </c>
      <c r="B44" t="s">
        <v>21</v>
      </c>
      <c r="C44">
        <v>3.4034</v>
      </c>
      <c r="D44">
        <v>1.8299999999999998</v>
      </c>
      <c r="E44">
        <v>0.55000000000000004</v>
      </c>
      <c r="F44">
        <v>0.71399999999999997</v>
      </c>
      <c r="G44">
        <v>0.30940000000000001</v>
      </c>
    </row>
    <row r="45" spans="1:9">
      <c r="A45" t="s">
        <v>41</v>
      </c>
      <c r="B45" t="s">
        <v>21</v>
      </c>
      <c r="C45">
        <v>41.171471293333333</v>
      </c>
      <c r="D45">
        <v>25.741238666666664</v>
      </c>
      <c r="E45">
        <v>3.05</v>
      </c>
      <c r="F45">
        <v>8.6373715999999998</v>
      </c>
      <c r="G45">
        <v>3.7428610266666666</v>
      </c>
    </row>
    <row r="46" spans="1:9">
      <c r="A46" t="s">
        <v>2</v>
      </c>
      <c r="B46" t="s">
        <v>21</v>
      </c>
      <c r="C46">
        <v>10.224499999999999</v>
      </c>
      <c r="D46">
        <v>6.4</v>
      </c>
      <c r="E46">
        <v>0.75</v>
      </c>
      <c r="F46">
        <v>2.145</v>
      </c>
      <c r="G46">
        <v>0.92949999999999999</v>
      </c>
    </row>
    <row r="47" spans="1:9">
      <c r="A47" t="s">
        <v>429</v>
      </c>
      <c r="B47" t="s">
        <v>21</v>
      </c>
      <c r="C47">
        <v>4.8762999999999987</v>
      </c>
      <c r="D47">
        <v>2.8599999999999994</v>
      </c>
      <c r="E47">
        <v>0.55000000000000004</v>
      </c>
      <c r="F47">
        <v>1.0229999999999997</v>
      </c>
      <c r="G47">
        <v>0.44329999999999992</v>
      </c>
    </row>
    <row r="48" spans="1:9">
      <c r="A48" t="s">
        <v>425</v>
      </c>
      <c r="B48" t="s">
        <v>21</v>
      </c>
      <c r="C48">
        <v>10.676029251958763</v>
      </c>
      <c r="D48">
        <v>2.4257547216494846</v>
      </c>
      <c r="E48">
        <v>5.04</v>
      </c>
      <c r="F48">
        <v>2.2397264164948454</v>
      </c>
      <c r="G48">
        <v>0.97054811381443307</v>
      </c>
    </row>
    <row r="49" spans="1:9">
      <c r="B49" t="s">
        <v>414</v>
      </c>
      <c r="C49" t="s">
        <v>414</v>
      </c>
      <c r="D49" t="s">
        <v>414</v>
      </c>
      <c r="E49" t="s">
        <v>414</v>
      </c>
      <c r="F49" t="s">
        <v>414</v>
      </c>
      <c r="G49" t="s">
        <v>414</v>
      </c>
    </row>
    <row r="50" spans="1:9">
      <c r="B50" t="s">
        <v>414</v>
      </c>
      <c r="C50" t="s">
        <v>414</v>
      </c>
      <c r="D50" t="s">
        <v>414</v>
      </c>
      <c r="E50" t="s">
        <v>414</v>
      </c>
      <c r="F50" t="s">
        <v>414</v>
      </c>
      <c r="G50" t="s">
        <v>414</v>
      </c>
    </row>
    <row r="51" spans="1:9">
      <c r="B51" t="s">
        <v>414</v>
      </c>
      <c r="C51" t="s">
        <v>414</v>
      </c>
      <c r="D51" t="s">
        <v>414</v>
      </c>
      <c r="E51" t="s">
        <v>414</v>
      </c>
      <c r="F51" t="s">
        <v>414</v>
      </c>
      <c r="G51" t="s">
        <v>414</v>
      </c>
    </row>
    <row r="52" spans="1:9">
      <c r="B52" t="s">
        <v>414</v>
      </c>
      <c r="C52" t="s">
        <v>414</v>
      </c>
      <c r="D52" t="s">
        <v>414</v>
      </c>
      <c r="E52" t="s">
        <v>414</v>
      </c>
      <c r="F52" t="s">
        <v>414</v>
      </c>
      <c r="G52" t="s">
        <v>414</v>
      </c>
    </row>
    <row r="53" spans="1:9">
      <c r="B53" t="s">
        <v>414</v>
      </c>
      <c r="C53" t="s">
        <v>414</v>
      </c>
      <c r="D53" t="s">
        <v>414</v>
      </c>
      <c r="E53" t="s">
        <v>414</v>
      </c>
      <c r="F53" t="s">
        <v>414</v>
      </c>
      <c r="G53" t="s">
        <v>414</v>
      </c>
    </row>
    <row r="54" spans="1:9">
      <c r="A54" t="s">
        <v>449</v>
      </c>
      <c r="B54" t="s">
        <v>21</v>
      </c>
      <c r="C54">
        <v>38.013741479999986</v>
      </c>
      <c r="D54">
        <v>22.973035999999993</v>
      </c>
      <c r="E54">
        <v>3.61</v>
      </c>
      <c r="F54">
        <v>7.9749107999999982</v>
      </c>
      <c r="G54">
        <v>3.4557946799999995</v>
      </c>
      <c r="H54" t="s">
        <v>445</v>
      </c>
      <c r="I54">
        <v>11</v>
      </c>
    </row>
    <row r="55" spans="1:9">
      <c r="A55" t="s">
        <v>40</v>
      </c>
      <c r="B55" t="s">
        <v>21</v>
      </c>
      <c r="C55">
        <v>27.789241479999991</v>
      </c>
      <c r="D55">
        <v>16.573035999999995</v>
      </c>
      <c r="E55">
        <v>2.86</v>
      </c>
      <c r="F55">
        <v>5.8299107999999977</v>
      </c>
      <c r="G55">
        <v>2.5262946799999995</v>
      </c>
    </row>
    <row r="56" spans="1:9">
      <c r="A56" t="s">
        <v>2</v>
      </c>
      <c r="B56" t="s">
        <v>21</v>
      </c>
      <c r="C56">
        <v>10.224499999999999</v>
      </c>
      <c r="D56">
        <v>6.4</v>
      </c>
      <c r="E56">
        <v>0.75</v>
      </c>
      <c r="F56">
        <v>2.145</v>
      </c>
      <c r="G56">
        <v>0.92949999999999999</v>
      </c>
    </row>
    <row r="57" spans="1:9">
      <c r="B57" t="s">
        <v>414</v>
      </c>
      <c r="C57" t="s">
        <v>414</v>
      </c>
      <c r="D57" t="s">
        <v>414</v>
      </c>
      <c r="E57" t="s">
        <v>414</v>
      </c>
      <c r="F57" t="s">
        <v>414</v>
      </c>
      <c r="G57" t="s">
        <v>414</v>
      </c>
    </row>
    <row r="58" spans="1:9">
      <c r="B58" t="s">
        <v>414</v>
      </c>
      <c r="C58" t="s">
        <v>414</v>
      </c>
      <c r="D58" t="s">
        <v>414</v>
      </c>
      <c r="E58" t="s">
        <v>414</v>
      </c>
      <c r="F58" t="s">
        <v>414</v>
      </c>
      <c r="G58" t="s">
        <v>414</v>
      </c>
    </row>
    <row r="59" spans="1:9">
      <c r="B59" t="s">
        <v>414</v>
      </c>
      <c r="C59" t="s">
        <v>414</v>
      </c>
      <c r="D59" t="s">
        <v>414</v>
      </c>
      <c r="E59" t="s">
        <v>414</v>
      </c>
      <c r="F59" t="s">
        <v>414</v>
      </c>
      <c r="G59" t="s">
        <v>414</v>
      </c>
    </row>
    <row r="60" spans="1:9">
      <c r="B60" t="s">
        <v>414</v>
      </c>
      <c r="C60" t="s">
        <v>414</v>
      </c>
      <c r="D60" t="s">
        <v>414</v>
      </c>
      <c r="E60" t="s">
        <v>414</v>
      </c>
      <c r="F60" t="s">
        <v>414</v>
      </c>
      <c r="G60" t="s">
        <v>414</v>
      </c>
    </row>
    <row r="61" spans="1:9">
      <c r="B61" t="s">
        <v>414</v>
      </c>
      <c r="C61" t="s">
        <v>414</v>
      </c>
      <c r="D61" t="s">
        <v>414</v>
      </c>
      <c r="E61" t="s">
        <v>414</v>
      </c>
      <c r="F61" t="s">
        <v>414</v>
      </c>
      <c r="G61" t="s">
        <v>414</v>
      </c>
    </row>
    <row r="62" spans="1:9">
      <c r="B62" t="s">
        <v>414</v>
      </c>
      <c r="C62" t="s">
        <v>414</v>
      </c>
      <c r="D62" t="s">
        <v>414</v>
      </c>
      <c r="E62" t="s">
        <v>414</v>
      </c>
      <c r="F62" t="s">
        <v>414</v>
      </c>
      <c r="G62" t="s">
        <v>414</v>
      </c>
    </row>
    <row r="63" spans="1:9">
      <c r="B63" t="s">
        <v>414</v>
      </c>
      <c r="C63" t="s">
        <v>414</v>
      </c>
      <c r="D63" t="s">
        <v>414</v>
      </c>
      <c r="E63" t="s">
        <v>414</v>
      </c>
      <c r="F63" t="s">
        <v>414</v>
      </c>
      <c r="G63" t="s">
        <v>414</v>
      </c>
    </row>
    <row r="64" spans="1:9">
      <c r="B64" t="s">
        <v>414</v>
      </c>
      <c r="C64" t="s">
        <v>414</v>
      </c>
      <c r="D64" t="s">
        <v>414</v>
      </c>
      <c r="E64" t="s">
        <v>414</v>
      </c>
      <c r="F64" t="s">
        <v>414</v>
      </c>
      <c r="G64" t="s">
        <v>414</v>
      </c>
    </row>
    <row r="65" spans="1:9">
      <c r="A65" t="s">
        <v>450</v>
      </c>
      <c r="B65" t="s">
        <v>21</v>
      </c>
      <c r="C65">
        <v>70.627436880000005</v>
      </c>
      <c r="D65">
        <v>41.229816</v>
      </c>
      <c r="E65">
        <v>8.16</v>
      </c>
      <c r="F65">
        <v>14.816944799999998</v>
      </c>
      <c r="G65">
        <v>6.4206760799999998</v>
      </c>
      <c r="H65" t="s">
        <v>446</v>
      </c>
      <c r="I65">
        <v>0</v>
      </c>
    </row>
    <row r="66" spans="1:9">
      <c r="A66" t="s">
        <v>213</v>
      </c>
      <c r="B66" t="s">
        <v>21</v>
      </c>
      <c r="C66">
        <v>56.44183687999999</v>
      </c>
      <c r="D66">
        <v>32.059815999999998</v>
      </c>
      <c r="E66">
        <v>7.41</v>
      </c>
      <c r="F66">
        <v>11.840944799999997</v>
      </c>
      <c r="G66">
        <v>5.1310760799999997</v>
      </c>
    </row>
    <row r="67" spans="1:9">
      <c r="A67" t="s">
        <v>6</v>
      </c>
      <c r="B67" t="s">
        <v>21</v>
      </c>
      <c r="C67">
        <v>14.185600000000001</v>
      </c>
      <c r="D67">
        <v>9.17</v>
      </c>
      <c r="E67">
        <v>0.75</v>
      </c>
      <c r="F67">
        <v>2.976</v>
      </c>
      <c r="G67">
        <v>1.2896000000000001</v>
      </c>
    </row>
    <row r="68" spans="1:9">
      <c r="B68" t="s">
        <v>414</v>
      </c>
      <c r="C68" t="s">
        <v>414</v>
      </c>
      <c r="D68" t="s">
        <v>414</v>
      </c>
      <c r="E68" t="s">
        <v>414</v>
      </c>
      <c r="F68" t="s">
        <v>414</v>
      </c>
      <c r="G68" t="s">
        <v>414</v>
      </c>
    </row>
    <row r="69" spans="1:9">
      <c r="B69" t="s">
        <v>414</v>
      </c>
      <c r="C69" t="s">
        <v>414</v>
      </c>
      <c r="D69" t="s">
        <v>414</v>
      </c>
      <c r="E69" t="s">
        <v>414</v>
      </c>
      <c r="F69" t="s">
        <v>414</v>
      </c>
      <c r="G69" t="s">
        <v>414</v>
      </c>
    </row>
    <row r="70" spans="1:9">
      <c r="B70" t="s">
        <v>414</v>
      </c>
      <c r="C70" t="s">
        <v>414</v>
      </c>
      <c r="D70" t="s">
        <v>414</v>
      </c>
      <c r="E70" t="s">
        <v>414</v>
      </c>
      <c r="F70" t="s">
        <v>414</v>
      </c>
      <c r="G70" t="s">
        <v>414</v>
      </c>
    </row>
    <row r="71" spans="1:9">
      <c r="B71" t="s">
        <v>414</v>
      </c>
      <c r="C71" t="s">
        <v>414</v>
      </c>
      <c r="D71" t="s">
        <v>414</v>
      </c>
      <c r="E71" t="s">
        <v>414</v>
      </c>
      <c r="F71" t="s">
        <v>414</v>
      </c>
      <c r="G71" t="s">
        <v>414</v>
      </c>
    </row>
    <row r="72" spans="1:9">
      <c r="B72" t="s">
        <v>414</v>
      </c>
      <c r="C72" t="s">
        <v>414</v>
      </c>
      <c r="D72" t="s">
        <v>414</v>
      </c>
      <c r="E72" t="s">
        <v>414</v>
      </c>
      <c r="F72" t="s">
        <v>414</v>
      </c>
      <c r="G72" t="s">
        <v>414</v>
      </c>
    </row>
    <row r="73" spans="1:9">
      <c r="B73" t="s">
        <v>414</v>
      </c>
      <c r="C73" t="s">
        <v>414</v>
      </c>
      <c r="D73" t="s">
        <v>414</v>
      </c>
      <c r="E73" t="s">
        <v>414</v>
      </c>
      <c r="F73" t="s">
        <v>414</v>
      </c>
      <c r="G73" t="s">
        <v>414</v>
      </c>
    </row>
    <row r="74" spans="1:9">
      <c r="B74" t="s">
        <v>414</v>
      </c>
      <c r="C74" t="s">
        <v>414</v>
      </c>
      <c r="D74" t="s">
        <v>414</v>
      </c>
      <c r="E74" t="s">
        <v>414</v>
      </c>
      <c r="F74" t="s">
        <v>414</v>
      </c>
      <c r="G74" t="s">
        <v>414</v>
      </c>
    </row>
    <row r="75" spans="1:9">
      <c r="B75" t="s">
        <v>414</v>
      </c>
      <c r="C75" t="s">
        <v>414</v>
      </c>
      <c r="D75" t="s">
        <v>414</v>
      </c>
      <c r="E75" t="s">
        <v>414</v>
      </c>
      <c r="F75" t="s">
        <v>414</v>
      </c>
      <c r="G75" t="s">
        <v>414</v>
      </c>
    </row>
    <row r="76" spans="1:9">
      <c r="A76" t="s">
        <v>2</v>
      </c>
      <c r="B76" t="s">
        <v>21</v>
      </c>
      <c r="C76">
        <v>18.790200000000002</v>
      </c>
      <c r="D76">
        <v>11.84</v>
      </c>
      <c r="E76">
        <v>1.3</v>
      </c>
      <c r="F76">
        <v>3.9420000000000002</v>
      </c>
      <c r="G76">
        <v>1.7082000000000002</v>
      </c>
    </row>
    <row r="77" spans="1:9">
      <c r="A77" t="s">
        <v>429</v>
      </c>
      <c r="B77" t="s">
        <v>21</v>
      </c>
      <c r="C77">
        <v>10.224499999999999</v>
      </c>
      <c r="D77">
        <v>6.4</v>
      </c>
      <c r="E77">
        <v>0.75</v>
      </c>
      <c r="F77">
        <v>2.145</v>
      </c>
      <c r="G77">
        <v>0.92949999999999999</v>
      </c>
    </row>
    <row r="78" spans="1:9">
      <c r="A78" t="s">
        <v>431</v>
      </c>
      <c r="B78" t="s">
        <v>21</v>
      </c>
      <c r="C78">
        <v>4.8762999999999987</v>
      </c>
      <c r="D78">
        <v>2.8599999999999994</v>
      </c>
      <c r="E78">
        <v>0.55000000000000004</v>
      </c>
      <c r="F78">
        <v>1.0229999999999997</v>
      </c>
      <c r="G78">
        <v>0.44329999999999992</v>
      </c>
    </row>
    <row r="79" spans="1:9">
      <c r="B79" t="s">
        <v>21</v>
      </c>
      <c r="C79">
        <v>10.295370446185567</v>
      </c>
      <c r="D79">
        <v>2.1595597525773194</v>
      </c>
      <c r="E79">
        <v>5.04</v>
      </c>
      <c r="F79">
        <v>2.1598679257731956</v>
      </c>
      <c r="G79">
        <v>0.93594276783505159</v>
      </c>
    </row>
    <row r="80" spans="1:9">
      <c r="B80" t="s">
        <v>414</v>
      </c>
      <c r="C80" t="s">
        <v>414</v>
      </c>
      <c r="D80" t="s">
        <v>414</v>
      </c>
      <c r="E80" t="s">
        <v>414</v>
      </c>
      <c r="F80" t="s">
        <v>414</v>
      </c>
      <c r="G80" t="s">
        <v>414</v>
      </c>
    </row>
    <row r="81" spans="1:9">
      <c r="B81" t="s">
        <v>414</v>
      </c>
      <c r="C81" t="s">
        <v>414</v>
      </c>
      <c r="D81" t="s">
        <v>414</v>
      </c>
      <c r="E81" t="s">
        <v>414</v>
      </c>
      <c r="F81" t="s">
        <v>414</v>
      </c>
      <c r="G81" t="s">
        <v>414</v>
      </c>
    </row>
    <row r="82" spans="1:9">
      <c r="A82" t="s">
        <v>433</v>
      </c>
      <c r="B82" t="s">
        <v>414</v>
      </c>
      <c r="C82" t="s">
        <v>414</v>
      </c>
      <c r="D82" t="s">
        <v>414</v>
      </c>
      <c r="E82" t="s">
        <v>414</v>
      </c>
      <c r="F82" t="s">
        <v>414</v>
      </c>
      <c r="G82" t="s">
        <v>414</v>
      </c>
    </row>
    <row r="83" spans="1:9">
      <c r="A83" t="s">
        <v>1</v>
      </c>
      <c r="B83" t="s">
        <v>21</v>
      </c>
      <c r="C83">
        <v>81.197171293333341</v>
      </c>
      <c r="D83">
        <v>49.831238666666664</v>
      </c>
      <c r="E83">
        <v>6.9499999999999993</v>
      </c>
      <c r="F83">
        <v>17.0343716</v>
      </c>
      <c r="G83">
        <v>7.3815610266666676</v>
      </c>
      <c r="H83" t="s">
        <v>432</v>
      </c>
      <c r="I83">
        <v>60</v>
      </c>
    </row>
    <row r="84" spans="1:9">
      <c r="A84" t="s">
        <v>402</v>
      </c>
      <c r="B84" t="s">
        <v>21</v>
      </c>
      <c r="C84">
        <v>6.4349999999999996</v>
      </c>
      <c r="D84">
        <v>3.75</v>
      </c>
      <c r="E84">
        <v>0.75</v>
      </c>
      <c r="F84">
        <v>1.3499999999999999</v>
      </c>
      <c r="G84">
        <v>0.58499999999999996</v>
      </c>
    </row>
    <row r="85" spans="1:9">
      <c r="A85" t="s">
        <v>41</v>
      </c>
      <c r="B85" t="s">
        <v>21</v>
      </c>
      <c r="C85">
        <v>3.4034</v>
      </c>
      <c r="D85">
        <v>1.8299999999999998</v>
      </c>
      <c r="E85">
        <v>0.55000000000000004</v>
      </c>
      <c r="F85">
        <v>0.71399999999999997</v>
      </c>
      <c r="G85">
        <v>0.30940000000000001</v>
      </c>
    </row>
    <row r="86" spans="1:9">
      <c r="A86" t="s">
        <v>44</v>
      </c>
      <c r="B86" t="s">
        <v>21</v>
      </c>
      <c r="C86">
        <v>41.171471293333333</v>
      </c>
      <c r="D86">
        <v>25.741238666666664</v>
      </c>
      <c r="E86">
        <v>3.05</v>
      </c>
      <c r="F86">
        <v>8.6373715999999998</v>
      </c>
      <c r="G86">
        <v>3.7428610266666666</v>
      </c>
    </row>
    <row r="87" spans="1:9">
      <c r="A87" t="s">
        <v>2</v>
      </c>
      <c r="B87" t="s">
        <v>21</v>
      </c>
      <c r="C87">
        <v>18.790200000000002</v>
      </c>
      <c r="D87">
        <v>11.84</v>
      </c>
      <c r="E87">
        <v>1.3</v>
      </c>
      <c r="F87">
        <v>3.9420000000000002</v>
      </c>
      <c r="G87">
        <v>1.7082000000000002</v>
      </c>
    </row>
    <row r="88" spans="1:9">
      <c r="A88" t="s">
        <v>403</v>
      </c>
      <c r="B88" t="s">
        <v>21</v>
      </c>
      <c r="C88">
        <v>10.224499999999999</v>
      </c>
      <c r="D88">
        <v>6.4</v>
      </c>
      <c r="E88">
        <v>0.75</v>
      </c>
      <c r="F88">
        <v>2.145</v>
      </c>
      <c r="G88">
        <v>0.92949999999999999</v>
      </c>
    </row>
    <row r="89" spans="1:9">
      <c r="B89" t="s">
        <v>21</v>
      </c>
      <c r="C89">
        <v>1.1726000000000001</v>
      </c>
      <c r="D89">
        <v>0.27</v>
      </c>
      <c r="E89">
        <v>0.55000000000000004</v>
      </c>
      <c r="F89">
        <v>0.246</v>
      </c>
      <c r="G89">
        <v>0.10660000000000001</v>
      </c>
    </row>
    <row r="90" spans="1:9">
      <c r="B90" t="s">
        <v>414</v>
      </c>
      <c r="C90" t="s">
        <v>414</v>
      </c>
      <c r="D90" t="s">
        <v>414</v>
      </c>
      <c r="E90" t="s">
        <v>414</v>
      </c>
      <c r="F90" t="s">
        <v>414</v>
      </c>
      <c r="G90" t="s">
        <v>414</v>
      </c>
    </row>
    <row r="91" spans="1:9">
      <c r="B91" t="s">
        <v>414</v>
      </c>
      <c r="C91" t="s">
        <v>414</v>
      </c>
      <c r="D91" t="s">
        <v>414</v>
      </c>
      <c r="E91" t="s">
        <v>414</v>
      </c>
      <c r="F91" t="s">
        <v>414</v>
      </c>
      <c r="G91" t="s">
        <v>414</v>
      </c>
    </row>
    <row r="92" spans="1:9">
      <c r="B92" t="s">
        <v>414</v>
      </c>
      <c r="C92" t="s">
        <v>414</v>
      </c>
      <c r="D92" t="s">
        <v>414</v>
      </c>
      <c r="E92" t="s">
        <v>414</v>
      </c>
      <c r="F92" t="s">
        <v>414</v>
      </c>
      <c r="G92" t="s">
        <v>414</v>
      </c>
    </row>
    <row r="93" spans="1:9">
      <c r="A93" t="s">
        <v>435</v>
      </c>
      <c r="B93" t="s">
        <v>414</v>
      </c>
      <c r="C93" t="s">
        <v>414</v>
      </c>
      <c r="D93" t="s">
        <v>414</v>
      </c>
      <c r="E93" t="s">
        <v>414</v>
      </c>
      <c r="F93" t="s">
        <v>414</v>
      </c>
      <c r="G93" t="s">
        <v>414</v>
      </c>
    </row>
    <row r="94" spans="1:9">
      <c r="A94" t="s">
        <v>1</v>
      </c>
      <c r="B94" t="s">
        <v>21</v>
      </c>
      <c r="C94">
        <v>77.721641739518887</v>
      </c>
      <c r="D94">
        <v>43.660798419243974</v>
      </c>
      <c r="E94">
        <v>10.69</v>
      </c>
      <c r="F94">
        <v>16.305239525773196</v>
      </c>
      <c r="G94">
        <v>7.065603794501718</v>
      </c>
      <c r="H94" t="s">
        <v>434</v>
      </c>
      <c r="I94">
        <v>36</v>
      </c>
    </row>
    <row r="95" spans="1:9">
      <c r="A95" t="s">
        <v>419</v>
      </c>
      <c r="B95" t="s">
        <v>21</v>
      </c>
      <c r="C95">
        <v>6.4349999999999996</v>
      </c>
      <c r="D95">
        <v>3.75</v>
      </c>
      <c r="E95">
        <v>0.75</v>
      </c>
      <c r="F95">
        <v>1.3499999999999999</v>
      </c>
      <c r="G95">
        <v>0.58499999999999996</v>
      </c>
    </row>
    <row r="96" spans="1:9">
      <c r="A96" t="s">
        <v>41</v>
      </c>
      <c r="B96" t="s">
        <v>21</v>
      </c>
      <c r="C96">
        <v>4.7190000000000003</v>
      </c>
      <c r="D96">
        <v>2.75</v>
      </c>
      <c r="E96">
        <v>0.55000000000000004</v>
      </c>
      <c r="F96">
        <v>0.98999999999999988</v>
      </c>
      <c r="G96">
        <v>0.42900000000000005</v>
      </c>
    </row>
    <row r="97" spans="1:9">
      <c r="A97" t="s">
        <v>2</v>
      </c>
      <c r="B97" t="s">
        <v>21</v>
      </c>
      <c r="C97">
        <v>41.171471293333333</v>
      </c>
      <c r="D97">
        <v>25.741238666666664</v>
      </c>
      <c r="E97">
        <v>3.05</v>
      </c>
      <c r="F97">
        <v>8.6373715999999998</v>
      </c>
      <c r="G97">
        <v>3.7428610266666666</v>
      </c>
    </row>
    <row r="98" spans="1:9">
      <c r="A98" t="s">
        <v>429</v>
      </c>
      <c r="B98" t="s">
        <v>21</v>
      </c>
      <c r="C98">
        <v>10.224499999999999</v>
      </c>
      <c r="D98">
        <v>6.4</v>
      </c>
      <c r="E98">
        <v>0.75</v>
      </c>
      <c r="F98">
        <v>2.145</v>
      </c>
      <c r="G98">
        <v>0.92949999999999999</v>
      </c>
    </row>
    <row r="99" spans="1:9">
      <c r="A99" t="s">
        <v>431</v>
      </c>
      <c r="B99" t="s">
        <v>21</v>
      </c>
      <c r="C99">
        <v>4.8762999999999987</v>
      </c>
      <c r="D99">
        <v>2.8599999999999994</v>
      </c>
      <c r="E99">
        <v>0.55000000000000004</v>
      </c>
      <c r="F99">
        <v>1.0229999999999997</v>
      </c>
      <c r="G99">
        <v>0.44329999999999992</v>
      </c>
    </row>
    <row r="100" spans="1:9">
      <c r="B100" t="s">
        <v>21</v>
      </c>
      <c r="C100">
        <v>10.295370446185567</v>
      </c>
      <c r="D100">
        <v>2.1595597525773194</v>
      </c>
      <c r="E100">
        <v>5.04</v>
      </c>
      <c r="F100">
        <v>2.1598679257731956</v>
      </c>
      <c r="G100">
        <v>0.93594276783505159</v>
      </c>
    </row>
    <row r="101" spans="1:9">
      <c r="B101" t="s">
        <v>414</v>
      </c>
      <c r="C101" t="s">
        <v>414</v>
      </c>
      <c r="D101" t="s">
        <v>414</v>
      </c>
      <c r="E101" t="s">
        <v>414</v>
      </c>
      <c r="F101" t="s">
        <v>414</v>
      </c>
      <c r="G101" t="s">
        <v>414</v>
      </c>
    </row>
    <row r="102" spans="1:9">
      <c r="B102" t="s">
        <v>414</v>
      </c>
      <c r="C102" t="s">
        <v>414</v>
      </c>
      <c r="D102" t="s">
        <v>414</v>
      </c>
      <c r="E102" t="s">
        <v>414</v>
      </c>
      <c r="F102" t="s">
        <v>414</v>
      </c>
      <c r="G102" t="s">
        <v>414</v>
      </c>
    </row>
    <row r="103" spans="1:9">
      <c r="B103" t="s">
        <v>414</v>
      </c>
      <c r="C103" t="s">
        <v>414</v>
      </c>
      <c r="D103" t="s">
        <v>414</v>
      </c>
      <c r="E103" t="s">
        <v>414</v>
      </c>
      <c r="F103" t="s">
        <v>414</v>
      </c>
      <c r="G103" t="s">
        <v>414</v>
      </c>
    </row>
    <row r="104" spans="1:9">
      <c r="A104" t="s">
        <v>437</v>
      </c>
      <c r="B104" t="s">
        <v>414</v>
      </c>
      <c r="C104" t="s">
        <v>414</v>
      </c>
      <c r="D104" t="s">
        <v>414</v>
      </c>
      <c r="E104" t="s">
        <v>414</v>
      </c>
      <c r="F104" t="s">
        <v>414</v>
      </c>
      <c r="G104" t="s">
        <v>414</v>
      </c>
    </row>
    <row r="105" spans="1:9">
      <c r="A105" t="s">
        <v>1</v>
      </c>
      <c r="B105" t="s">
        <v>21</v>
      </c>
      <c r="C105">
        <v>62.406971293333335</v>
      </c>
      <c r="D105">
        <v>37.991238666666668</v>
      </c>
      <c r="E105">
        <v>5.6499999999999995</v>
      </c>
      <c r="F105">
        <v>13.0923716</v>
      </c>
      <c r="G105">
        <v>5.673361026666667</v>
      </c>
      <c r="H105" t="s">
        <v>436</v>
      </c>
      <c r="I105">
        <v>11</v>
      </c>
    </row>
    <row r="106" spans="1:9">
      <c r="A106" t="s">
        <v>402</v>
      </c>
      <c r="B106" t="s">
        <v>21</v>
      </c>
      <c r="C106">
        <v>6.4349999999999996</v>
      </c>
      <c r="D106">
        <v>3.75</v>
      </c>
      <c r="E106">
        <v>0.75</v>
      </c>
      <c r="F106">
        <v>1.3499999999999999</v>
      </c>
      <c r="G106">
        <v>0.58499999999999996</v>
      </c>
    </row>
    <row r="107" spans="1:9">
      <c r="A107" t="s">
        <v>41</v>
      </c>
      <c r="B107" t="s">
        <v>21</v>
      </c>
      <c r="C107">
        <v>3.4034</v>
      </c>
      <c r="D107">
        <v>1.8299999999999998</v>
      </c>
      <c r="E107">
        <v>0.55000000000000004</v>
      </c>
      <c r="F107">
        <v>0.71399999999999997</v>
      </c>
      <c r="G107">
        <v>0.30940000000000001</v>
      </c>
    </row>
    <row r="108" spans="1:9">
      <c r="A108" t="s">
        <v>2</v>
      </c>
      <c r="B108" t="s">
        <v>21</v>
      </c>
      <c r="C108">
        <v>41.171471293333333</v>
      </c>
      <c r="D108">
        <v>25.741238666666664</v>
      </c>
      <c r="E108">
        <v>3.05</v>
      </c>
      <c r="F108">
        <v>8.6373715999999998</v>
      </c>
      <c r="G108">
        <v>3.7428610266666666</v>
      </c>
    </row>
    <row r="109" spans="1:9">
      <c r="A109" t="s">
        <v>403</v>
      </c>
      <c r="B109" t="s">
        <v>21</v>
      </c>
      <c r="C109">
        <v>10.224499999999999</v>
      </c>
      <c r="D109">
        <v>6.4</v>
      </c>
      <c r="E109">
        <v>0.75</v>
      </c>
      <c r="F109">
        <v>2.145</v>
      </c>
      <c r="G109">
        <v>0.92949999999999999</v>
      </c>
    </row>
    <row r="110" spans="1:9">
      <c r="B110" t="s">
        <v>21</v>
      </c>
      <c r="C110">
        <v>1.1726000000000001</v>
      </c>
      <c r="D110">
        <v>0.27</v>
      </c>
      <c r="E110">
        <v>0.55000000000000004</v>
      </c>
      <c r="F110">
        <v>0.246</v>
      </c>
      <c r="G110">
        <v>0.10660000000000001</v>
      </c>
    </row>
    <row r="111" spans="1:9">
      <c r="B111" t="s">
        <v>414</v>
      </c>
      <c r="C111" t="s">
        <v>414</v>
      </c>
      <c r="D111" t="s">
        <v>414</v>
      </c>
      <c r="E111" t="s">
        <v>414</v>
      </c>
      <c r="F111" t="s">
        <v>414</v>
      </c>
      <c r="G111" t="s">
        <v>414</v>
      </c>
    </row>
    <row r="112" spans="1:9">
      <c r="B112" t="s">
        <v>414</v>
      </c>
      <c r="C112" t="s">
        <v>414</v>
      </c>
      <c r="D112" t="s">
        <v>414</v>
      </c>
      <c r="E112" t="s">
        <v>414</v>
      </c>
      <c r="F112" t="s">
        <v>414</v>
      </c>
      <c r="G112" t="s">
        <v>414</v>
      </c>
    </row>
    <row r="113" spans="2:7">
      <c r="B113" t="s">
        <v>414</v>
      </c>
      <c r="C113" t="s">
        <v>414</v>
      </c>
      <c r="D113" t="s">
        <v>414</v>
      </c>
      <c r="E113" t="s">
        <v>414</v>
      </c>
      <c r="F113" t="s">
        <v>414</v>
      </c>
      <c r="G113" t="s">
        <v>414</v>
      </c>
    </row>
    <row r="114" spans="2:7">
      <c r="B114" t="s">
        <v>414</v>
      </c>
      <c r="C114" t="s">
        <v>414</v>
      </c>
      <c r="D114" t="s">
        <v>414</v>
      </c>
      <c r="E114" t="s">
        <v>414</v>
      </c>
      <c r="F114" t="s">
        <v>414</v>
      </c>
      <c r="G114" t="s">
        <v>414</v>
      </c>
    </row>
    <row r="115" spans="2:7">
      <c r="B115" t="s">
        <v>414</v>
      </c>
      <c r="C115" t="s">
        <v>414</v>
      </c>
      <c r="D115" t="s">
        <v>414</v>
      </c>
      <c r="E115" t="s">
        <v>414</v>
      </c>
      <c r="F115" t="s">
        <v>414</v>
      </c>
      <c r="G115" t="s">
        <v>414</v>
      </c>
    </row>
  </sheetData>
  <pageMargins left="0.7" right="0.7" top="0.75" bottom="0.75" header="0.3" footer="0.3"/>
  <pageSetup paperSize="9" orientation="portrait" copies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B94221-2041-4E2C-80A1-22AD3B9CC839}">
  <sheetPr>
    <tabColor theme="5"/>
  </sheetPr>
  <dimension ref="A1:I1099"/>
  <sheetViews>
    <sheetView showGridLines="0" zoomScale="85" zoomScaleNormal="85" workbookViewId="0">
      <pane ySplit="1" topLeftCell="A101" activePane="bottomLeft" state="frozen"/>
      <selection activeCell="B1" sqref="B1"/>
      <selection pane="bottomLeft" activeCell="A101" sqref="A101:XFD103"/>
    </sheetView>
  </sheetViews>
  <sheetFormatPr defaultColWidth="11.5546875" defaultRowHeight="14.4" outlineLevelCol="1"/>
  <cols>
    <col min="1" max="1" width="28.6640625" style="37" hidden="1" customWidth="1" outlineLevel="1"/>
    <col min="2" max="2" width="79.109375" bestFit="1" customWidth="1" collapsed="1"/>
    <col min="3" max="3" width="5.44140625" customWidth="1"/>
    <col min="8" max="9" width="15.33203125" bestFit="1" customWidth="1"/>
  </cols>
  <sheetData>
    <row r="1" spans="1:9">
      <c r="A1" s="37" t="s">
        <v>166</v>
      </c>
      <c r="B1" s="56" t="s">
        <v>51</v>
      </c>
      <c r="C1" s="56" t="s">
        <v>176</v>
      </c>
      <c r="D1" s="47" t="s">
        <v>114</v>
      </c>
      <c r="E1" s="47" t="s">
        <v>38</v>
      </c>
      <c r="F1" s="47" t="s">
        <v>36</v>
      </c>
      <c r="G1" s="47" t="s">
        <v>37</v>
      </c>
      <c r="H1" s="40">
        <f>GESTION!B4</f>
        <v>0.3</v>
      </c>
      <c r="I1" s="39">
        <f>GESTION!B3</f>
        <v>0.1</v>
      </c>
    </row>
    <row r="2" spans="1:9">
      <c r="A2" s="37" t="str" cm="1">
        <f t="array" ref="A2:A104">_xlfn.UNIQUE(_xlfn._xlws.FILTER('MATRICE ARTICLE'!A2:A1395,NOT(ISBLANK('MATRICE ARTICLE'!A2:A1395))))</f>
        <v>Structure 50 mm</v>
      </c>
      <c r="B2" s="57" t="str">
        <f>IF(A2=0,"",A2)</f>
        <v>Structure 50 mm</v>
      </c>
      <c r="C2" s="57"/>
      <c r="D2" s="37" t="str">
        <f>IFERROR(VLOOKUP($B2,'MATRICE ARTICLE'!$A$2:$N$1395,2,FALSE),"")</f>
        <v>m2</v>
      </c>
      <c r="E2" s="37">
        <f>IF(SUM(F2:I2)=0,"",SUM(F2:I2))</f>
        <v>17.228033679999999</v>
      </c>
      <c r="F2" s="37">
        <f>IFERROR(VLOOKUP($B2,'MATRICE ARTICLE'!$A$2:$N$1395,9,FALSE),"")</f>
        <v>8.7775759999999998</v>
      </c>
      <c r="G2" s="37">
        <f>IFERROR(VLOOKUP($B2,'MATRICE ARTICLE'!$A$2:$N$1395,14,FALSE),"")</f>
        <v>3.27</v>
      </c>
      <c r="H2" s="48">
        <f>IF(SUM(F2:G2)*$H$1=0,"",SUM(F2:G2)*$H$1)</f>
        <v>3.6142727999999997</v>
      </c>
      <c r="I2" s="48">
        <f>IF(SUM(F2:H2)*$I$1=0,"",SUM(F2:H2)*$I$1)</f>
        <v>1.56618488</v>
      </c>
    </row>
    <row r="3" spans="1:9">
      <c r="A3" s="37" t="str">
        <v>Structure 100 mm</v>
      </c>
      <c r="B3" s="57" t="str">
        <f t="shared" ref="B3:B66" si="0">IF(A3=0,"",A3)</f>
        <v>Structure 100 mm</v>
      </c>
      <c r="C3" s="57"/>
      <c r="D3" s="37" t="str">
        <f>IFERROR(VLOOKUP($B3,'MATRICE ARTICLE'!$A$2:$N$1395,2,FALSE),"")</f>
        <v>m2</v>
      </c>
      <c r="E3" s="37">
        <f t="shared" ref="E3:E66" si="1">IF(SUM(F3:I3)=0,"",SUM(F3:I3))</f>
        <v>32.392747529999994</v>
      </c>
      <c r="F3" s="37">
        <f>IFERROR(VLOOKUP($B3,'MATRICE ARTICLE'!$A$2:$N$1395,9,FALSE),"")</f>
        <v>18.822271000000001</v>
      </c>
      <c r="G3" s="37">
        <f>IFERROR(VLOOKUP($B3,'MATRICE ARTICLE'!$A$2:$N$1395,14,FALSE),"")</f>
        <v>3.83</v>
      </c>
      <c r="H3" s="48">
        <f t="shared" ref="H3:H66" si="2">IF(SUM(F3:G3)*$H$1=0,"",SUM(F3:G3)*$H$1)</f>
        <v>6.7956812999999991</v>
      </c>
      <c r="I3" s="48">
        <f t="shared" ref="I3:I66" si="3">IF(SUM(F3:H3)*$I$1=0,"",SUM(F3:H3)*$I$1)</f>
        <v>2.94479523</v>
      </c>
    </row>
    <row r="4" spans="1:9">
      <c r="A4" s="37" t="str">
        <v>Structure 145 mm</v>
      </c>
      <c r="B4" s="57" t="str">
        <f t="shared" si="0"/>
        <v>Structure 145 mm</v>
      </c>
      <c r="C4" s="57"/>
      <c r="D4" s="37" t="str">
        <f>IFERROR(VLOOKUP($B4,'MATRICE ARTICLE'!$A$2:$N$1395,2,FALSE),"")</f>
        <v>m2</v>
      </c>
      <c r="E4" s="37">
        <f t="shared" si="1"/>
        <v>48.442138237246368</v>
      </c>
      <c r="F4" s="37">
        <f>IFERROR(VLOOKUP($B4,'MATRICE ARTICLE'!$A$2:$N$1395,9,FALSE),"")</f>
        <v>29.445621144927536</v>
      </c>
      <c r="G4" s="37">
        <f>IFERROR(VLOOKUP($B4,'MATRICE ARTICLE'!$A$2:$N$1395,14,FALSE),"")</f>
        <v>4.43</v>
      </c>
      <c r="H4" s="48">
        <f t="shared" si="2"/>
        <v>10.16268634347826</v>
      </c>
      <c r="I4" s="48">
        <f t="shared" si="3"/>
        <v>4.403830748840579</v>
      </c>
    </row>
    <row r="5" spans="1:9">
      <c r="A5" s="37" t="str">
        <v>Structure PP 240-250</v>
      </c>
      <c r="B5" s="57" t="str">
        <f t="shared" si="0"/>
        <v>Structure PP 240-250</v>
      </c>
      <c r="C5" s="57"/>
      <c r="D5" s="37" t="str">
        <f>IFERROR(VLOOKUP($B5,'MATRICE ARTICLE'!$A$2:$N$1395,2,FALSE),"")</f>
        <v>m2</v>
      </c>
      <c r="E5" s="37">
        <f t="shared" si="1"/>
        <v>55.89461020000001</v>
      </c>
      <c r="F5" s="37">
        <f>IFERROR(VLOOKUP($B5,'MATRICE ARTICLE'!$A$2:$N$1395,9,FALSE),"")</f>
        <v>29.967140000000001</v>
      </c>
      <c r="G5" s="37">
        <f>IFERROR(VLOOKUP($B5,'MATRICE ARTICLE'!$A$2:$N$1395,14,FALSE),"")</f>
        <v>9.120000000000001</v>
      </c>
      <c r="H5" s="48">
        <f t="shared" si="2"/>
        <v>11.726142000000001</v>
      </c>
      <c r="I5" s="48">
        <f t="shared" si="3"/>
        <v>5.0813282000000015</v>
      </c>
    </row>
    <row r="6" spans="1:9">
      <c r="A6" s="37" t="str">
        <v>Structure PP 240-313</v>
      </c>
      <c r="B6" s="57" t="str">
        <f t="shared" si="0"/>
        <v>Structure PP 240-313</v>
      </c>
      <c r="C6" s="57"/>
      <c r="D6" s="37" t="str">
        <f>IFERROR(VLOOKUP($B6,'MATRICE ARTICLE'!$A$2:$N$1395,2,FALSE),"")</f>
        <v>m2</v>
      </c>
      <c r="E6" s="37">
        <f t="shared" si="1"/>
        <v>50.799929180000014</v>
      </c>
      <c r="F6" s="37">
        <f>IFERROR(VLOOKUP($B6,'MATRICE ARTICLE'!$A$2:$N$1395,9,FALSE),"")</f>
        <v>27.054426000000003</v>
      </c>
      <c r="G6" s="37">
        <f>IFERROR(VLOOKUP($B6,'MATRICE ARTICLE'!$A$2:$N$1395,14,FALSE),"")</f>
        <v>8.4699999999999989</v>
      </c>
      <c r="H6" s="48">
        <f t="shared" si="2"/>
        <v>10.657327800000001</v>
      </c>
      <c r="I6" s="48">
        <f t="shared" si="3"/>
        <v>4.6181753800000012</v>
      </c>
    </row>
    <row r="7" spans="1:9">
      <c r="A7" s="37" t="str">
        <v>Structure PP 240-416</v>
      </c>
      <c r="B7" s="57" t="str">
        <f t="shared" si="0"/>
        <v>Structure PP 240-416</v>
      </c>
      <c r="C7" s="57"/>
      <c r="D7" s="37" t="str">
        <f>IFERROR(VLOOKUP($B7,'MATRICE ARTICLE'!$A$2:$N$1395,2,FALSE),"")</f>
        <v>m2</v>
      </c>
      <c r="E7" s="37">
        <f t="shared" si="1"/>
        <v>40.867967140000005</v>
      </c>
      <c r="F7" s="37">
        <f>IFERROR(VLOOKUP($B7,'MATRICE ARTICLE'!$A$2:$N$1395,9,FALSE),"")</f>
        <v>21.218998000000003</v>
      </c>
      <c r="G7" s="37">
        <f>IFERROR(VLOOKUP($B7,'MATRICE ARTICLE'!$A$2:$N$1395,14,FALSE),"")</f>
        <v>7.36</v>
      </c>
      <c r="H7" s="48">
        <f t="shared" si="2"/>
        <v>8.5736994000000006</v>
      </c>
      <c r="I7" s="48">
        <f t="shared" si="3"/>
        <v>3.7152697400000001</v>
      </c>
    </row>
    <row r="8" spans="1:9">
      <c r="A8" s="37" t="str">
        <v>Structure PP 240-625</v>
      </c>
      <c r="B8" s="57" t="str">
        <f t="shared" si="0"/>
        <v>Structure PP 240-625</v>
      </c>
      <c r="C8" s="57"/>
      <c r="D8" s="37" t="str">
        <f>IFERROR(VLOOKUP($B8,'MATRICE ARTICLE'!$A$2:$N$1395,2,FALSE),"")</f>
        <v>m2</v>
      </c>
      <c r="E8" s="37">
        <f t="shared" si="1"/>
        <v>34.257486120000003</v>
      </c>
      <c r="F8" s="37">
        <f>IFERROR(VLOOKUP($B8,'MATRICE ARTICLE'!$A$2:$N$1395,9,FALSE),"")</f>
        <v>18.306284000000002</v>
      </c>
      <c r="G8" s="37">
        <f>IFERROR(VLOOKUP($B8,'MATRICE ARTICLE'!$A$2:$N$1395,14,FALSE),"")</f>
        <v>5.65</v>
      </c>
      <c r="H8" s="48">
        <f t="shared" si="2"/>
        <v>7.1868852000000008</v>
      </c>
      <c r="I8" s="48">
        <f t="shared" si="3"/>
        <v>3.1143169200000003</v>
      </c>
    </row>
    <row r="9" spans="1:9">
      <c r="A9" s="37" t="str">
        <v>Structure PP 260-250</v>
      </c>
      <c r="B9" s="57" t="str">
        <f t="shared" si="0"/>
        <v>Structure PP 260-250</v>
      </c>
      <c r="C9" s="57"/>
      <c r="D9" s="37" t="str">
        <f>IFERROR(VLOOKUP($B9,'MATRICE ARTICLE'!$A$2:$N$1395,2,FALSE),"")</f>
        <v>m2</v>
      </c>
      <c r="E9" s="37">
        <f t="shared" si="1"/>
        <v>59.606311050000002</v>
      </c>
      <c r="F9" s="37">
        <f>IFERROR(VLOOKUP($B9,'MATRICE ARTICLE'!$A$2:$N$1395,9,FALSE),"")</f>
        <v>32.392735000000002</v>
      </c>
      <c r="G9" s="37">
        <f>IFERROR(VLOOKUP($B9,'MATRICE ARTICLE'!$A$2:$N$1395,14,FALSE),"")</f>
        <v>9.2899999999999991</v>
      </c>
      <c r="H9" s="48">
        <f t="shared" si="2"/>
        <v>12.504820499999999</v>
      </c>
      <c r="I9" s="48">
        <f t="shared" si="3"/>
        <v>5.4187555500000002</v>
      </c>
    </row>
    <row r="10" spans="1:9">
      <c r="A10" s="37" t="str">
        <v>Structure PP 260-313</v>
      </c>
      <c r="B10" s="57" t="str">
        <f t="shared" si="0"/>
        <v>Structure PP 260-313</v>
      </c>
      <c r="C10" s="57"/>
      <c r="D10" s="37" t="str">
        <f>IFERROR(VLOOKUP($B10,'MATRICE ARTICLE'!$A$2:$N$1395,2,FALSE),"")</f>
        <v>m2</v>
      </c>
      <c r="E10" s="37">
        <f t="shared" si="1"/>
        <v>66.748237270000004</v>
      </c>
      <c r="F10" s="37">
        <f>IFERROR(VLOOKUP($B10,'MATRICE ARTICLE'!$A$2:$N$1395,9,FALSE),"")</f>
        <v>37.467089000000001</v>
      </c>
      <c r="G10" s="37">
        <f>IFERROR(VLOOKUP($B10,'MATRICE ARTICLE'!$A$2:$N$1395,14,FALSE),"")</f>
        <v>9.2099999999999991</v>
      </c>
      <c r="H10" s="48">
        <f t="shared" si="2"/>
        <v>14.003126700000001</v>
      </c>
      <c r="I10" s="48">
        <f t="shared" si="3"/>
        <v>6.0680215700000009</v>
      </c>
    </row>
    <row r="11" spans="1:9">
      <c r="A11" s="37" t="str">
        <v>Structure PP 260-416</v>
      </c>
      <c r="B11" s="57" t="str">
        <f t="shared" si="0"/>
        <v>Structure PP 260-416</v>
      </c>
      <c r="C11" s="57"/>
      <c r="D11" s="37" t="str">
        <f>IFERROR(VLOOKUP($B11,'MATRICE ARTICLE'!$A$2:$N$1395,2,FALSE),"")</f>
        <v>m2</v>
      </c>
      <c r="E11" s="37">
        <f t="shared" si="1"/>
        <v>57.004437489999994</v>
      </c>
      <c r="F11" s="37">
        <f>IFERROR(VLOOKUP($B11,'MATRICE ARTICLE'!$A$2:$N$1395,9,FALSE),"")</f>
        <v>31.753243000000001</v>
      </c>
      <c r="G11" s="37">
        <f>IFERROR(VLOOKUP($B11,'MATRICE ARTICLE'!$A$2:$N$1395,14,FALSE),"")</f>
        <v>8.11</v>
      </c>
      <c r="H11" s="48">
        <f t="shared" si="2"/>
        <v>11.958972899999999</v>
      </c>
      <c r="I11" s="48">
        <f t="shared" si="3"/>
        <v>5.1822215900000002</v>
      </c>
    </row>
    <row r="12" spans="1:9">
      <c r="A12" s="37" t="str">
        <v>Structure PP 260-625</v>
      </c>
      <c r="B12" s="57" t="str">
        <f t="shared" si="0"/>
        <v>Structure PP 260-625</v>
      </c>
      <c r="C12" s="57"/>
      <c r="D12" s="37" t="str">
        <f>IFERROR(VLOOKUP($B12,'MATRICE ARTICLE'!$A$2:$N$1395,2,FALSE),"")</f>
        <v>m2</v>
      </c>
      <c r="E12" s="37">
        <f t="shared" si="1"/>
        <v>47.900422570000003</v>
      </c>
      <c r="F12" s="37">
        <f>IFERROR(VLOOKUP($B12,'MATRICE ARTICLE'!$A$2:$N$1395,9,FALSE),"")</f>
        <v>27.216799000000002</v>
      </c>
      <c r="G12" s="37">
        <f>IFERROR(VLOOKUP($B12,'MATRICE ARTICLE'!$A$2:$N$1395,14,FALSE),"")</f>
        <v>6.28</v>
      </c>
      <c r="H12" s="48">
        <f t="shared" si="2"/>
        <v>10.0490397</v>
      </c>
      <c r="I12" s="48">
        <f t="shared" si="3"/>
        <v>4.3545838700000008</v>
      </c>
    </row>
    <row r="13" spans="1:9">
      <c r="A13" s="37" t="str">
        <v>Structure PA 240-250</v>
      </c>
      <c r="B13" s="57" t="str">
        <f t="shared" si="0"/>
        <v>Structure PA 240-250</v>
      </c>
      <c r="C13" s="57"/>
      <c r="D13" s="37" t="str">
        <f>IFERROR(VLOOKUP($B13,'MATRICE ARTICLE'!$A$2:$N$1395,2,FALSE),"")</f>
        <v>m2</v>
      </c>
      <c r="E13" s="37">
        <f t="shared" si="1"/>
        <v>58.411410200000006</v>
      </c>
      <c r="F13" s="37">
        <f>IFERROR(VLOOKUP($B13,'MATRICE ARTICLE'!$A$2:$N$1395,9,FALSE),"")</f>
        <v>29.967140000000001</v>
      </c>
      <c r="G13" s="37">
        <f>IFERROR(VLOOKUP($B13,'MATRICE ARTICLE'!$A$2:$N$1395,14,FALSE),"")</f>
        <v>10.88</v>
      </c>
      <c r="H13" s="48">
        <f t="shared" si="2"/>
        <v>12.254142</v>
      </c>
      <c r="I13" s="48">
        <f t="shared" si="3"/>
        <v>5.3101282000000012</v>
      </c>
    </row>
    <row r="14" spans="1:9">
      <c r="A14" s="37" t="str">
        <v>Structure PA 240-313</v>
      </c>
      <c r="B14" s="57" t="str">
        <f t="shared" si="0"/>
        <v>Structure PA 240-313</v>
      </c>
      <c r="C14" s="57"/>
      <c r="D14" s="37" t="str">
        <f>IFERROR(VLOOKUP($B14,'MATRICE ARTICLE'!$A$2:$N$1395,2,FALSE),"")</f>
        <v>m2</v>
      </c>
      <c r="E14" s="37">
        <f t="shared" si="1"/>
        <v>53.159429180000004</v>
      </c>
      <c r="F14" s="37">
        <f>IFERROR(VLOOKUP($B14,'MATRICE ARTICLE'!$A$2:$N$1395,9,FALSE),"")</f>
        <v>27.054426000000003</v>
      </c>
      <c r="G14" s="37">
        <f>IFERROR(VLOOKUP($B14,'MATRICE ARTICLE'!$A$2:$N$1395,14,FALSE),"")</f>
        <v>10.120000000000001</v>
      </c>
      <c r="H14" s="48">
        <f t="shared" si="2"/>
        <v>11.1523278</v>
      </c>
      <c r="I14" s="48">
        <f t="shared" si="3"/>
        <v>4.8326753800000013</v>
      </c>
    </row>
    <row r="15" spans="1:9">
      <c r="A15" s="37" t="str">
        <v>Structure PA 240-416</v>
      </c>
      <c r="B15" s="57" t="str">
        <f t="shared" si="0"/>
        <v>Structure PA 240-416</v>
      </c>
      <c r="C15" s="57"/>
      <c r="D15" s="37" t="str">
        <f>IFERROR(VLOOKUP($B15,'MATRICE ARTICLE'!$A$2:$N$1395,2,FALSE),"")</f>
        <v>m2</v>
      </c>
      <c r="E15" s="37">
        <f t="shared" si="1"/>
        <v>42.970067140000012</v>
      </c>
      <c r="F15" s="37">
        <f>IFERROR(VLOOKUP($B15,'MATRICE ARTICLE'!$A$2:$N$1395,9,FALSE),"")</f>
        <v>21.218998000000003</v>
      </c>
      <c r="G15" s="37">
        <f>IFERROR(VLOOKUP($B15,'MATRICE ARTICLE'!$A$2:$N$1395,14,FALSE),"")</f>
        <v>8.83</v>
      </c>
      <c r="H15" s="48">
        <f t="shared" si="2"/>
        <v>9.0146994000000014</v>
      </c>
      <c r="I15" s="48">
        <f t="shared" si="3"/>
        <v>3.906369740000001</v>
      </c>
    </row>
    <row r="16" spans="1:9">
      <c r="A16" s="37" t="str">
        <v>Structure PA 240-625</v>
      </c>
      <c r="B16" s="57" t="str">
        <f t="shared" si="0"/>
        <v>Structure PA 240-625</v>
      </c>
      <c r="C16" s="57"/>
      <c r="D16" s="37" t="str">
        <f>IFERROR(VLOOKUP($B16,'MATRICE ARTICLE'!$A$2:$N$1395,2,FALSE),"")</f>
        <v>m2</v>
      </c>
      <c r="E16" s="37">
        <f t="shared" si="1"/>
        <v>35.830486120000003</v>
      </c>
      <c r="F16" s="37">
        <f>IFERROR(VLOOKUP($B16,'MATRICE ARTICLE'!$A$2:$N$1395,9,FALSE),"")</f>
        <v>18.306284000000002</v>
      </c>
      <c r="G16" s="37">
        <f>IFERROR(VLOOKUP($B16,'MATRICE ARTICLE'!$A$2:$N$1395,14,FALSE),"")</f>
        <v>6.75</v>
      </c>
      <c r="H16" s="48">
        <f t="shared" si="2"/>
        <v>7.5168851999999999</v>
      </c>
      <c r="I16" s="48">
        <f t="shared" si="3"/>
        <v>3.2573169200000005</v>
      </c>
    </row>
    <row r="17" spans="1:9">
      <c r="A17" s="37" t="str">
        <v>Structure PA 260-250</v>
      </c>
      <c r="B17" s="57" t="str">
        <f t="shared" si="0"/>
        <v>Structure PA 260-250</v>
      </c>
      <c r="C17" s="57"/>
      <c r="D17" s="37" t="str">
        <f>IFERROR(VLOOKUP($B17,'MATRICE ARTICLE'!$A$2:$N$1395,2,FALSE),"")</f>
        <v>m2</v>
      </c>
      <c r="E17" s="37">
        <f t="shared" si="1"/>
        <v>62.123111049999999</v>
      </c>
      <c r="F17" s="37">
        <f>IFERROR(VLOOKUP($B17,'MATRICE ARTICLE'!$A$2:$N$1395,9,FALSE),"")</f>
        <v>32.392735000000002</v>
      </c>
      <c r="G17" s="37">
        <f>IFERROR(VLOOKUP($B17,'MATRICE ARTICLE'!$A$2:$N$1395,14,FALSE),"")</f>
        <v>11.05</v>
      </c>
      <c r="H17" s="48">
        <f t="shared" si="2"/>
        <v>13.0328205</v>
      </c>
      <c r="I17" s="48">
        <f t="shared" si="3"/>
        <v>5.6475555499999999</v>
      </c>
    </row>
    <row r="18" spans="1:9">
      <c r="A18" s="37" t="str">
        <v>Structure PA 260-313</v>
      </c>
      <c r="B18" s="57" t="str">
        <f t="shared" si="0"/>
        <v>Structure PA 260-313</v>
      </c>
      <c r="C18" s="57"/>
      <c r="D18" s="37" t="str">
        <f>IFERROR(VLOOKUP($B18,'MATRICE ARTICLE'!$A$2:$N$1395,2,FALSE),"")</f>
        <v>m2</v>
      </c>
      <c r="E18" s="37">
        <f t="shared" si="1"/>
        <v>69.107737270000001</v>
      </c>
      <c r="F18" s="37">
        <f>IFERROR(VLOOKUP($B18,'MATRICE ARTICLE'!$A$2:$N$1395,9,FALSE),"")</f>
        <v>37.467089000000001</v>
      </c>
      <c r="G18" s="37">
        <f>IFERROR(VLOOKUP($B18,'MATRICE ARTICLE'!$A$2:$N$1395,14,FALSE),"")</f>
        <v>10.86</v>
      </c>
      <c r="H18" s="48">
        <f t="shared" si="2"/>
        <v>14.4981267</v>
      </c>
      <c r="I18" s="48">
        <f t="shared" si="3"/>
        <v>6.2825215700000001</v>
      </c>
    </row>
    <row r="19" spans="1:9">
      <c r="A19" s="37" t="str">
        <v>Structure PA 260-416</v>
      </c>
      <c r="B19" s="57" t="str">
        <f t="shared" si="0"/>
        <v>Structure PA 260-416</v>
      </c>
      <c r="C19" s="57"/>
      <c r="D19" s="37" t="str">
        <f>IFERROR(VLOOKUP($B19,'MATRICE ARTICLE'!$A$2:$N$1395,2,FALSE),"")</f>
        <v>m2</v>
      </c>
      <c r="E19" s="37">
        <f t="shared" si="1"/>
        <v>60.324704439999998</v>
      </c>
      <c r="F19" s="37">
        <f>IFERROR(VLOOKUP($B19,'MATRICE ARTICLE'!$A$2:$N$1395,9,FALSE),"")</f>
        <v>32.555107999999997</v>
      </c>
      <c r="G19" s="37">
        <f>IFERROR(VLOOKUP($B19,'MATRICE ARTICLE'!$A$2:$N$1395,14,FALSE),"")</f>
        <v>9.629999999999999</v>
      </c>
      <c r="H19" s="48">
        <f t="shared" si="2"/>
        <v>12.6555324</v>
      </c>
      <c r="I19" s="48">
        <f t="shared" si="3"/>
        <v>5.4840640399999998</v>
      </c>
    </row>
    <row r="20" spans="1:9">
      <c r="A20" s="37" t="str">
        <v>Structure PA 260-625</v>
      </c>
      <c r="B20" s="57" t="str">
        <f t="shared" si="0"/>
        <v>Structure PA 260-625</v>
      </c>
      <c r="C20" s="57"/>
      <c r="D20" s="37" t="str">
        <f>IFERROR(VLOOKUP($B20,'MATRICE ARTICLE'!$A$2:$N$1395,2,FALSE),"")</f>
        <v>m2</v>
      </c>
      <c r="E20" s="37">
        <f t="shared" si="1"/>
        <v>49.473422570000004</v>
      </c>
      <c r="F20" s="37">
        <f>IFERROR(VLOOKUP($B20,'MATRICE ARTICLE'!$A$2:$N$1395,9,FALSE),"")</f>
        <v>27.216799000000002</v>
      </c>
      <c r="G20" s="37">
        <f>IFERROR(VLOOKUP($B20,'MATRICE ARTICLE'!$A$2:$N$1395,14,FALSE),"")</f>
        <v>7.38</v>
      </c>
      <c r="H20" s="48">
        <f t="shared" si="2"/>
        <v>10.379039700000002</v>
      </c>
      <c r="I20" s="48">
        <f t="shared" si="3"/>
        <v>4.4975838700000006</v>
      </c>
    </row>
    <row r="21" spans="1:9">
      <c r="A21" s="37" t="str">
        <v>Structure PA 200x100-625</v>
      </c>
      <c r="B21" s="57" t="str">
        <f t="shared" si="0"/>
        <v>Structure PA 200x100-625</v>
      </c>
      <c r="C21" s="57"/>
      <c r="D21" s="37" t="str">
        <f>IFERROR(VLOOKUP($B21,'MATRICE ARTICLE'!$A$2:$N$1395,2,FALSE),"")</f>
        <v>m2</v>
      </c>
      <c r="E21" s="37">
        <f t="shared" si="1"/>
        <v>77.266582249999999</v>
      </c>
      <c r="F21" s="37">
        <f>IFERROR(VLOOKUP($B21,'MATRICE ARTICLE'!$A$2:$N$1395,9,FALSE),"")</f>
        <v>45.352575000000002</v>
      </c>
      <c r="G21" s="37">
        <f>IFERROR(VLOOKUP($B21,'MATRICE ARTICLE'!$A$2:$N$1395,14,FALSE),"")</f>
        <v>8.68</v>
      </c>
      <c r="H21" s="48">
        <f t="shared" si="2"/>
        <v>16.2097725</v>
      </c>
      <c r="I21" s="48">
        <f t="shared" si="3"/>
        <v>7.0242347499999997</v>
      </c>
    </row>
    <row r="22" spans="1:9">
      <c r="A22" s="37" t="str">
        <v>Agepan THD</v>
      </c>
      <c r="B22" s="57" t="str">
        <f t="shared" si="0"/>
        <v>Agepan THD</v>
      </c>
      <c r="C22" s="57"/>
      <c r="D22" s="37" t="str">
        <f>IFERROR(VLOOKUP($B22,'MATRICE ARTICLE'!$A$2:$N$1395,2,FALSE),"")</f>
        <v>m2</v>
      </c>
      <c r="E22" s="37">
        <f t="shared" si="1"/>
        <v>33.619300000000003</v>
      </c>
      <c r="F22" s="37">
        <f>IFERROR(VLOOKUP($B22,'MATRICE ARTICLE'!$A$2:$N$1395,9,FALSE),"")</f>
        <v>22.41</v>
      </c>
      <c r="G22" s="37">
        <f>IFERROR(VLOOKUP($B22,'MATRICE ARTICLE'!$A$2:$N$1395,14,FALSE),"")</f>
        <v>1.1000000000000001</v>
      </c>
      <c r="H22" s="48">
        <f t="shared" si="2"/>
        <v>7.0529999999999999</v>
      </c>
      <c r="I22" s="48">
        <f t="shared" si="3"/>
        <v>3.0563000000000002</v>
      </c>
    </row>
    <row r="23" spans="1:9">
      <c r="A23" s="37" t="str">
        <v>FDB Pavawall 40 mm</v>
      </c>
      <c r="B23" s="57" t="str">
        <f t="shared" si="0"/>
        <v>FDB Pavawall 40 mm</v>
      </c>
      <c r="C23" s="57"/>
      <c r="D23" s="37" t="str">
        <f>IFERROR(VLOOKUP($B23,'MATRICE ARTICLE'!$A$2:$N$1395,2,FALSE),"")</f>
        <v>m2</v>
      </c>
      <c r="E23" s="37">
        <f t="shared" si="1"/>
        <v>26.040300000000002</v>
      </c>
      <c r="F23" s="37">
        <f>IFERROR(VLOOKUP($B23,'MATRICE ARTICLE'!$A$2:$N$1395,9,FALSE),"")</f>
        <v>17.11</v>
      </c>
      <c r="G23" s="37">
        <f>IFERROR(VLOOKUP($B23,'MATRICE ARTICLE'!$A$2:$N$1395,14,FALSE),"")</f>
        <v>1.1000000000000001</v>
      </c>
      <c r="H23" s="48">
        <f t="shared" si="2"/>
        <v>5.4630000000000001</v>
      </c>
      <c r="I23" s="48">
        <f t="shared" si="3"/>
        <v>2.3673000000000002</v>
      </c>
    </row>
    <row r="24" spans="1:9">
      <c r="A24" s="37" t="str">
        <v>PSE ATELIER 50 mm</v>
      </c>
      <c r="B24" s="57" t="str">
        <f t="shared" si="0"/>
        <v>PSE ATELIER 50 mm</v>
      </c>
      <c r="C24" s="57"/>
      <c r="D24" s="37" t="str">
        <f>IFERROR(VLOOKUP($B24,'MATRICE ARTICLE'!$A$2:$N$1395,2,FALSE),"")</f>
        <v>m2</v>
      </c>
      <c r="E24" s="37">
        <f t="shared" si="1"/>
        <v>16.316300000000002</v>
      </c>
      <c r="F24" s="37">
        <f>IFERROR(VLOOKUP($B24,'MATRICE ARTICLE'!$A$2:$N$1395,9,FALSE),"")</f>
        <v>9.98</v>
      </c>
      <c r="G24" s="37">
        <f>IFERROR(VLOOKUP($B24,'MATRICE ARTICLE'!$A$2:$N$1395,14,FALSE),"")</f>
        <v>1.4300000000000002</v>
      </c>
      <c r="H24" s="48">
        <f t="shared" si="2"/>
        <v>3.423</v>
      </c>
      <c r="I24" s="48">
        <f t="shared" si="3"/>
        <v>1.4833000000000001</v>
      </c>
    </row>
    <row r="25" spans="1:9">
      <c r="A25" s="37" t="str">
        <v>Fermacell HD et rail</v>
      </c>
      <c r="B25" s="57" t="str">
        <f t="shared" si="0"/>
        <v>Fermacell HD et rail</v>
      </c>
      <c r="C25" s="57"/>
      <c r="D25" s="37" t="str">
        <f>IFERROR(VLOOKUP($B25,'MATRICE ARTICLE'!$A$2:$N$1395,2,FALSE),"")</f>
        <v>m2</v>
      </c>
      <c r="E25" s="37">
        <f t="shared" si="1"/>
        <v>39.55380000000001</v>
      </c>
      <c r="F25" s="37">
        <f>IFERROR(VLOOKUP($B25,'MATRICE ARTICLE'!$A$2:$N$1395,9,FALSE),"")</f>
        <v>26.560000000000002</v>
      </c>
      <c r="G25" s="37">
        <f>IFERROR(VLOOKUP($B25,'MATRICE ARTICLE'!$A$2:$N$1395,14,FALSE),"")</f>
        <v>1.1000000000000001</v>
      </c>
      <c r="H25" s="48">
        <f t="shared" si="2"/>
        <v>8.298</v>
      </c>
      <c r="I25" s="48">
        <f t="shared" si="3"/>
        <v>3.5958000000000006</v>
      </c>
    </row>
    <row r="26" spans="1:9">
      <c r="A26" s="37" t="str">
        <v>Laine minérale 150 mm</v>
      </c>
      <c r="B26" s="57" t="str">
        <f t="shared" si="0"/>
        <v>Laine minérale 150 mm</v>
      </c>
      <c r="C26" s="57"/>
      <c r="D26" s="37" t="str">
        <f>IFERROR(VLOOKUP($B26,'MATRICE ARTICLE'!$A$2:$N$1395,2,FALSE),"")</f>
        <v>m2</v>
      </c>
      <c r="E26" s="37">
        <f t="shared" si="1"/>
        <v>17.117099999999997</v>
      </c>
      <c r="F26" s="37">
        <f>IFERROR(VLOOKUP($B26,'MATRICE ARTICLE'!$A$2:$N$1395,9,FALSE),"")</f>
        <v>10.53</v>
      </c>
      <c r="G26" s="37">
        <f>IFERROR(VLOOKUP($B26,'MATRICE ARTICLE'!$A$2:$N$1395,14,FALSE),"")</f>
        <v>1.44</v>
      </c>
      <c r="H26" s="48">
        <f t="shared" si="2"/>
        <v>3.5909999999999997</v>
      </c>
      <c r="I26" s="48">
        <f t="shared" si="3"/>
        <v>1.5560999999999998</v>
      </c>
    </row>
    <row r="27" spans="1:9">
      <c r="A27" s="37" t="str">
        <v>Laine minérale 150 mm 70 kg/m3</v>
      </c>
      <c r="B27" s="57" t="str">
        <f t="shared" si="0"/>
        <v>Laine minérale 150 mm 70 kg/m3</v>
      </c>
      <c r="C27" s="57"/>
      <c r="D27" s="37" t="str">
        <f>IFERROR(VLOOKUP($B27,'MATRICE ARTICLE'!$A$2:$N$1395,2,FALSE),"")</f>
        <v>m2</v>
      </c>
      <c r="E27" s="37">
        <f t="shared" si="1"/>
        <v>23.895299999999999</v>
      </c>
      <c r="F27" s="37">
        <f>IFERROR(VLOOKUP($B27,'MATRICE ARTICLE'!$A$2:$N$1395,9,FALSE),"")</f>
        <v>15.27</v>
      </c>
      <c r="G27" s="37">
        <f>IFERROR(VLOOKUP($B27,'MATRICE ARTICLE'!$A$2:$N$1395,14,FALSE),"")</f>
        <v>1.44</v>
      </c>
      <c r="H27" s="48">
        <f t="shared" si="2"/>
        <v>5.0129999999999999</v>
      </c>
      <c r="I27" s="48">
        <f t="shared" si="3"/>
        <v>2.1722999999999999</v>
      </c>
    </row>
    <row r="28" spans="1:9">
      <c r="A28" s="37" t="str">
        <v>Laine minérale 100 mm</v>
      </c>
      <c r="B28" s="57" t="str">
        <f t="shared" si="0"/>
        <v>Laine minérale 100 mm</v>
      </c>
      <c r="C28" s="57"/>
      <c r="D28" s="37" t="str">
        <f>IFERROR(VLOOKUP($B28,'MATRICE ARTICLE'!$A$2:$N$1395,2,FALSE),"")</f>
        <v>m2</v>
      </c>
      <c r="E28" s="37">
        <f t="shared" si="1"/>
        <v>11.068199999999999</v>
      </c>
      <c r="F28" s="37">
        <f>IFERROR(VLOOKUP($B28,'MATRICE ARTICLE'!$A$2:$N$1395,9,FALSE),"")</f>
        <v>7.02</v>
      </c>
      <c r="G28" s="37">
        <f>IFERROR(VLOOKUP($B28,'MATRICE ARTICLE'!$A$2:$N$1395,14,FALSE),"")</f>
        <v>0.72</v>
      </c>
      <c r="H28" s="48">
        <f t="shared" si="2"/>
        <v>2.3219999999999996</v>
      </c>
      <c r="I28" s="48">
        <f t="shared" si="3"/>
        <v>1.0062</v>
      </c>
    </row>
    <row r="29" spans="1:9">
      <c r="A29" s="37" t="str">
        <v>Laine minérale 100 mm 70kg/m3</v>
      </c>
      <c r="B29" s="57" t="str">
        <f t="shared" si="0"/>
        <v>Laine minérale 100 mm 70kg/m3</v>
      </c>
      <c r="C29" s="57"/>
      <c r="D29" s="37" t="str">
        <f>IFERROR(VLOOKUP($B29,'MATRICE ARTICLE'!$A$2:$N$1395,2,FALSE),"")</f>
        <v>m2</v>
      </c>
      <c r="E29" s="37">
        <f t="shared" si="1"/>
        <v>15.6013</v>
      </c>
      <c r="F29" s="37">
        <f>IFERROR(VLOOKUP($B29,'MATRICE ARTICLE'!$A$2:$N$1395,9,FALSE),"")</f>
        <v>10.19</v>
      </c>
      <c r="G29" s="37">
        <f>IFERROR(VLOOKUP($B29,'MATRICE ARTICLE'!$A$2:$N$1395,14,FALSE),"")</f>
        <v>0.72</v>
      </c>
      <c r="H29" s="48">
        <f t="shared" si="2"/>
        <v>3.2730000000000001</v>
      </c>
      <c r="I29" s="48">
        <f t="shared" si="3"/>
        <v>1.4183000000000001</v>
      </c>
    </row>
    <row r="30" spans="1:9">
      <c r="A30" s="37" t="str">
        <v>Laine minérale 50 mm</v>
      </c>
      <c r="B30" s="57" t="str">
        <f t="shared" si="0"/>
        <v>Laine minérale 50 mm</v>
      </c>
      <c r="C30" s="57"/>
      <c r="D30" s="37" t="str">
        <f>IFERROR(VLOOKUP($B30,'MATRICE ARTICLE'!$A$2:$N$1395,2,FALSE),"")</f>
        <v>m2</v>
      </c>
      <c r="E30" s="37">
        <f t="shared" si="1"/>
        <v>6.0488999999999997</v>
      </c>
      <c r="F30" s="37">
        <f>IFERROR(VLOOKUP($B30,'MATRICE ARTICLE'!$A$2:$N$1395,9,FALSE),"")</f>
        <v>3.51</v>
      </c>
      <c r="G30" s="37">
        <f>IFERROR(VLOOKUP($B30,'MATRICE ARTICLE'!$A$2:$N$1395,14,FALSE),"")</f>
        <v>0.72</v>
      </c>
      <c r="H30" s="48">
        <f t="shared" si="2"/>
        <v>1.2689999999999999</v>
      </c>
      <c r="I30" s="48">
        <f t="shared" si="3"/>
        <v>0.54989999999999994</v>
      </c>
    </row>
    <row r="31" spans="1:9">
      <c r="A31" s="37" t="str">
        <v>Laine de bois 150 mm</v>
      </c>
      <c r="B31" s="57" t="str">
        <f t="shared" si="0"/>
        <v>Laine de bois 150 mm</v>
      </c>
      <c r="C31" s="57"/>
      <c r="D31" s="37" t="str">
        <f>IFERROR(VLOOKUP($B31,'MATRICE ARTICLE'!$A$2:$N$1395,2,FALSE),"")</f>
        <v>m2</v>
      </c>
      <c r="E31" s="37">
        <f t="shared" si="1"/>
        <v>26.154700000000005</v>
      </c>
      <c r="F31" s="37">
        <f>IFERROR(VLOOKUP($B31,'MATRICE ARTICLE'!$A$2:$N$1395,9,FALSE),"")</f>
        <v>16.850000000000001</v>
      </c>
      <c r="G31" s="37">
        <f>IFERROR(VLOOKUP($B31,'MATRICE ARTICLE'!$A$2:$N$1395,14,FALSE),"")</f>
        <v>1.44</v>
      </c>
      <c r="H31" s="48">
        <f t="shared" si="2"/>
        <v>5.487000000000001</v>
      </c>
      <c r="I31" s="48">
        <f t="shared" si="3"/>
        <v>2.3777000000000004</v>
      </c>
    </row>
    <row r="32" spans="1:9">
      <c r="A32" s="37" t="str">
        <v>Laine de bois 100 mm</v>
      </c>
      <c r="B32" s="57" t="str">
        <f t="shared" si="0"/>
        <v>Laine de bois 100 mm</v>
      </c>
      <c r="C32" s="57"/>
      <c r="D32" s="37" t="str">
        <f>IFERROR(VLOOKUP($B32,'MATRICE ARTICLE'!$A$2:$N$1395,2,FALSE),"")</f>
        <v>m2</v>
      </c>
      <c r="E32" s="37">
        <f t="shared" si="1"/>
        <v>17.0456</v>
      </c>
      <c r="F32" s="37">
        <f>IFERROR(VLOOKUP($B32,'MATRICE ARTICLE'!$A$2:$N$1395,9,FALSE),"")</f>
        <v>11.2</v>
      </c>
      <c r="G32" s="37">
        <f>IFERROR(VLOOKUP($B32,'MATRICE ARTICLE'!$A$2:$N$1395,14,FALSE),"")</f>
        <v>0.72</v>
      </c>
      <c r="H32" s="48">
        <f t="shared" si="2"/>
        <v>3.5760000000000001</v>
      </c>
      <c r="I32" s="48">
        <f t="shared" si="3"/>
        <v>1.5496000000000001</v>
      </c>
    </row>
    <row r="33" spans="1:9">
      <c r="A33" s="37" t="str">
        <v>Laine de bois 50 mm</v>
      </c>
      <c r="B33" s="57" t="str">
        <f t="shared" si="0"/>
        <v>Laine de bois 50 mm</v>
      </c>
      <c r="C33" s="57"/>
      <c r="D33" s="37" t="str">
        <f>IFERROR(VLOOKUP($B33,'MATRICE ARTICLE'!$A$2:$N$1395,2,FALSE),"")</f>
        <v>m2</v>
      </c>
      <c r="E33" s="37">
        <f t="shared" si="1"/>
        <v>9.1091000000000015</v>
      </c>
      <c r="F33" s="37">
        <f>IFERROR(VLOOKUP($B33,'MATRICE ARTICLE'!$A$2:$N$1395,9,FALSE),"")</f>
        <v>5.65</v>
      </c>
      <c r="G33" s="37">
        <f>IFERROR(VLOOKUP($B33,'MATRICE ARTICLE'!$A$2:$N$1395,14,FALSE),"")</f>
        <v>0.72</v>
      </c>
      <c r="H33" s="48">
        <f t="shared" si="2"/>
        <v>1.911</v>
      </c>
      <c r="I33" s="48">
        <f t="shared" si="3"/>
        <v>0.82810000000000006</v>
      </c>
    </row>
    <row r="34" spans="1:9">
      <c r="A34" s="37" t="str">
        <v>Pare-vapeur Sd&gt;28</v>
      </c>
      <c r="B34" s="57" t="str">
        <f t="shared" si="0"/>
        <v>Pare-vapeur Sd&gt;28</v>
      </c>
      <c r="C34" s="57"/>
      <c r="D34" s="37" t="str">
        <f>IFERROR(VLOOKUP($B34,'MATRICE ARTICLE'!$A$2:$N$1395,2,FALSE),"")</f>
        <v>m2</v>
      </c>
      <c r="E34" s="37">
        <f t="shared" si="1"/>
        <v>5.1193999999999997</v>
      </c>
      <c r="F34" s="37">
        <f>IFERROR(VLOOKUP($B34,'MATRICE ARTICLE'!$A$2:$N$1395,9,FALSE),"")</f>
        <v>2.97</v>
      </c>
      <c r="G34" s="37">
        <f>IFERROR(VLOOKUP($B34,'MATRICE ARTICLE'!$A$2:$N$1395,14,FALSE),"")</f>
        <v>0.61</v>
      </c>
      <c r="H34" s="48">
        <f t="shared" si="2"/>
        <v>1.0740000000000001</v>
      </c>
      <c r="I34" s="48">
        <f t="shared" si="3"/>
        <v>0.46540000000000004</v>
      </c>
    </row>
    <row r="35" spans="1:9">
      <c r="A35" s="37" t="str">
        <v>Pare-pluie</v>
      </c>
      <c r="B35" s="57" t="str">
        <f t="shared" si="0"/>
        <v>Pare-pluie</v>
      </c>
      <c r="C35" s="57"/>
      <c r="D35" s="37" t="str">
        <f>IFERROR(VLOOKUP($B35,'MATRICE ARTICLE'!$A$2:$N$1395,2,FALSE),"")</f>
        <v>m2</v>
      </c>
      <c r="E35" s="37">
        <f t="shared" si="1"/>
        <v>3.6035999999999997</v>
      </c>
      <c r="F35" s="37">
        <f>IFERROR(VLOOKUP($B35,'MATRICE ARTICLE'!$A$2:$N$1395,9,FALSE),"")</f>
        <v>1.91</v>
      </c>
      <c r="G35" s="37">
        <f>IFERROR(VLOOKUP($B35,'MATRICE ARTICLE'!$A$2:$N$1395,14,FALSE),"")</f>
        <v>0.61</v>
      </c>
      <c r="H35" s="48">
        <f t="shared" si="2"/>
        <v>0.75600000000000001</v>
      </c>
      <c r="I35" s="48">
        <f t="shared" si="3"/>
        <v>0.3276</v>
      </c>
    </row>
    <row r="36" spans="1:9">
      <c r="A36" s="37" t="str">
        <v>OSB 8</v>
      </c>
      <c r="B36" s="57" t="str">
        <f t="shared" si="0"/>
        <v>OSB 8</v>
      </c>
      <c r="C36" s="57"/>
      <c r="D36" s="37" t="str">
        <f>IFERROR(VLOOKUP($B36,'MATRICE ARTICLE'!$A$2:$N$1395,2,FALSE),"")</f>
        <v>m2</v>
      </c>
      <c r="E36" s="37">
        <f t="shared" si="1"/>
        <v>8.9375</v>
      </c>
      <c r="F36" s="37">
        <f>IFERROR(VLOOKUP($B36,'MATRICE ARTICLE'!$A$2:$N$1395,9,FALSE),"")</f>
        <v>5.42</v>
      </c>
      <c r="G36" s="37">
        <f>IFERROR(VLOOKUP($B36,'MATRICE ARTICLE'!$A$2:$N$1395,14,FALSE),"")</f>
        <v>0.83</v>
      </c>
      <c r="H36" s="48">
        <f t="shared" si="2"/>
        <v>1.875</v>
      </c>
      <c r="I36" s="48">
        <f t="shared" si="3"/>
        <v>0.8125</v>
      </c>
    </row>
    <row r="37" spans="1:9">
      <c r="A37" s="37" t="str">
        <v>OSB 12</v>
      </c>
      <c r="B37" s="57" t="str">
        <f t="shared" si="0"/>
        <v>OSB 12</v>
      </c>
      <c r="C37" s="57"/>
      <c r="D37" s="37" t="str">
        <f>IFERROR(VLOOKUP($B37,'MATRICE ARTICLE'!$A$2:$N$1395,2,FALSE),"")</f>
        <v>m2</v>
      </c>
      <c r="E37" s="37">
        <f t="shared" si="1"/>
        <v>11.840399999999999</v>
      </c>
      <c r="F37" s="37">
        <f>IFERROR(VLOOKUP($B37,'MATRICE ARTICLE'!$A$2:$N$1395,9,FALSE),"")</f>
        <v>7.4499999999999993</v>
      </c>
      <c r="G37" s="37">
        <f>IFERROR(VLOOKUP($B37,'MATRICE ARTICLE'!$A$2:$N$1395,14,FALSE),"")</f>
        <v>0.83</v>
      </c>
      <c r="H37" s="48">
        <f t="shared" si="2"/>
        <v>2.4839999999999995</v>
      </c>
      <c r="I37" s="48">
        <f t="shared" si="3"/>
        <v>1.0764</v>
      </c>
    </row>
    <row r="38" spans="1:9">
      <c r="A38" s="37" t="str">
        <v>OSB 15</v>
      </c>
      <c r="B38" s="57" t="str">
        <f t="shared" si="0"/>
        <v>OSB 15</v>
      </c>
      <c r="C38" s="57"/>
      <c r="D38" s="37" t="str">
        <f>IFERROR(VLOOKUP($B38,'MATRICE ARTICLE'!$A$2:$N$1395,2,FALSE),"")</f>
        <v>m2</v>
      </c>
      <c r="E38" s="37">
        <f t="shared" si="1"/>
        <v>16.945499999999999</v>
      </c>
      <c r="F38" s="37">
        <f>IFERROR(VLOOKUP($B38,'MATRICE ARTICLE'!$A$2:$N$1395,9,FALSE),"")</f>
        <v>11.02</v>
      </c>
      <c r="G38" s="37">
        <f>IFERROR(VLOOKUP($B38,'MATRICE ARTICLE'!$A$2:$N$1395,14,FALSE),"")</f>
        <v>0.83</v>
      </c>
      <c r="H38" s="48">
        <f t="shared" si="2"/>
        <v>3.5549999999999997</v>
      </c>
      <c r="I38" s="48">
        <f t="shared" si="3"/>
        <v>1.5405</v>
      </c>
    </row>
    <row r="39" spans="1:9">
      <c r="A39" s="37" t="str">
        <v>OSB 16 RF</v>
      </c>
      <c r="B39" s="57" t="str">
        <f t="shared" si="0"/>
        <v>OSB 16 RF</v>
      </c>
      <c r="C39" s="57"/>
      <c r="D39" s="37" t="str">
        <f>IFERROR(VLOOKUP($B39,'MATRICE ARTICLE'!$A$2:$N$1395,2,FALSE),"")</f>
        <v>m2</v>
      </c>
      <c r="E39" s="37">
        <f t="shared" si="1"/>
        <v>13.456300000000001</v>
      </c>
      <c r="F39" s="37">
        <f>IFERROR(VLOOKUP($B39,'MATRICE ARTICLE'!$A$2:$N$1395,9,FALSE),"")</f>
        <v>8.58</v>
      </c>
      <c r="G39" s="37">
        <f>IFERROR(VLOOKUP($B39,'MATRICE ARTICLE'!$A$2:$N$1395,14,FALSE),"")</f>
        <v>0.83</v>
      </c>
      <c r="H39" s="48">
        <f t="shared" si="2"/>
        <v>2.823</v>
      </c>
      <c r="I39" s="48">
        <f t="shared" si="3"/>
        <v>1.2233000000000001</v>
      </c>
    </row>
    <row r="40" spans="1:9">
      <c r="A40" s="37" t="str">
        <v>OSB 18</v>
      </c>
      <c r="B40" s="57" t="str">
        <f t="shared" si="0"/>
        <v>OSB 18</v>
      </c>
      <c r="C40" s="57"/>
      <c r="D40" s="37" t="str">
        <f>IFERROR(VLOOKUP($B40,'MATRICE ARTICLE'!$A$2:$N$1395,2,FALSE),"")</f>
        <v>m2</v>
      </c>
      <c r="E40" s="37">
        <f t="shared" si="1"/>
        <v>18.003700000000002</v>
      </c>
      <c r="F40" s="37">
        <f>IFERROR(VLOOKUP($B40,'MATRICE ARTICLE'!$A$2:$N$1395,9,FALSE),"")</f>
        <v>11.76</v>
      </c>
      <c r="G40" s="37">
        <f>IFERROR(VLOOKUP($B40,'MATRICE ARTICLE'!$A$2:$N$1395,14,FALSE),"")</f>
        <v>0.83</v>
      </c>
      <c r="H40" s="48">
        <f t="shared" si="2"/>
        <v>3.7769999999999997</v>
      </c>
      <c r="I40" s="48">
        <f t="shared" si="3"/>
        <v>1.6367000000000003</v>
      </c>
    </row>
    <row r="41" spans="1:9">
      <c r="A41" s="37" t="str">
        <v>OSB 22</v>
      </c>
      <c r="B41" s="57" t="str">
        <f t="shared" si="0"/>
        <v>OSB 22</v>
      </c>
      <c r="C41" s="57"/>
      <c r="D41" s="37" t="str">
        <f>IFERROR(VLOOKUP($B41,'MATRICE ARTICLE'!$A$2:$N$1395,2,FALSE),"")</f>
        <v>m2</v>
      </c>
      <c r="E41" s="37">
        <f t="shared" si="1"/>
        <v>14.657499999999999</v>
      </c>
      <c r="F41" s="37">
        <f>IFERROR(VLOOKUP($B41,'MATRICE ARTICLE'!$A$2:$N$1395,9,FALSE),"")</f>
        <v>9.42</v>
      </c>
      <c r="G41" s="37">
        <f>IFERROR(VLOOKUP($B41,'MATRICE ARTICLE'!$A$2:$N$1395,14,FALSE),"")</f>
        <v>0.83</v>
      </c>
      <c r="H41" s="48">
        <f t="shared" si="2"/>
        <v>3.0749999999999997</v>
      </c>
      <c r="I41" s="48">
        <f t="shared" si="3"/>
        <v>1.3325</v>
      </c>
    </row>
    <row r="42" spans="1:9">
      <c r="A42" s="37" t="str">
        <v>OSB 22 RL</v>
      </c>
      <c r="B42" s="57" t="str">
        <f t="shared" si="0"/>
        <v>OSB 22 RL</v>
      </c>
      <c r="C42" s="57"/>
      <c r="D42" s="37" t="str">
        <f>IFERROR(VLOOKUP($B42,'MATRICE ARTICLE'!$A$2:$N$1395,2,FALSE),"")</f>
        <v>m2</v>
      </c>
      <c r="E42" s="37">
        <f t="shared" si="1"/>
        <v>16.273400000000002</v>
      </c>
      <c r="F42" s="37">
        <f>IFERROR(VLOOKUP($B42,'MATRICE ARTICLE'!$A$2:$N$1395,9,FALSE),"")</f>
        <v>10.14</v>
      </c>
      <c r="G42" s="37">
        <f>IFERROR(VLOOKUP($B42,'MATRICE ARTICLE'!$A$2:$N$1395,14,FALSE),"")</f>
        <v>1.24</v>
      </c>
      <c r="H42" s="48">
        <f t="shared" si="2"/>
        <v>3.4140000000000001</v>
      </c>
      <c r="I42" s="48">
        <f t="shared" si="3"/>
        <v>1.4794</v>
      </c>
    </row>
    <row r="43" spans="1:9">
      <c r="A43" s="37" t="str">
        <v>Fermacell HDl</v>
      </c>
      <c r="B43" s="57" t="str">
        <f t="shared" si="0"/>
        <v>Fermacell HDl</v>
      </c>
      <c r="C43" s="57"/>
      <c r="D43" s="37" t="str">
        <f>IFERROR(VLOOKUP($B43,'MATRICE ARTICLE'!$A$2:$N$1395,2,FALSE),"")</f>
        <v>m2</v>
      </c>
      <c r="E43" s="37">
        <f t="shared" si="1"/>
        <v>42.256499999999988</v>
      </c>
      <c r="F43" s="37">
        <f>IFERROR(VLOOKUP($B43,'MATRICE ARTICLE'!$A$2:$N$1395,9,FALSE),"")</f>
        <v>28.72</v>
      </c>
      <c r="G43" s="37">
        <f>IFERROR(VLOOKUP($B43,'MATRICE ARTICLE'!$A$2:$N$1395,14,FALSE),"")</f>
        <v>0.83</v>
      </c>
      <c r="H43" s="48">
        <f t="shared" si="2"/>
        <v>8.8649999999999984</v>
      </c>
      <c r="I43" s="48">
        <f t="shared" si="3"/>
        <v>3.8414999999999995</v>
      </c>
    </row>
    <row r="44" spans="1:9">
      <c r="A44" s="37" t="str">
        <v>OSB 9</v>
      </c>
      <c r="B44" s="57" t="str">
        <f t="shared" si="0"/>
        <v>OSB 9</v>
      </c>
      <c r="C44" s="57"/>
      <c r="D44" s="37" t="str">
        <f>IFERROR(VLOOKUP($B44,'MATRICE ARTICLE'!$A$2:$N$1395,2,FALSE),"")</f>
        <v>m2</v>
      </c>
      <c r="E44" s="37">
        <f t="shared" si="1"/>
        <v>8.7658999999999985</v>
      </c>
      <c r="F44" s="37">
        <f>IFERROR(VLOOKUP($B44,'MATRICE ARTICLE'!$A$2:$N$1395,9,FALSE),"")</f>
        <v>5.3</v>
      </c>
      <c r="G44" s="37">
        <f>IFERROR(VLOOKUP($B44,'MATRICE ARTICLE'!$A$2:$N$1395,14,FALSE),"")</f>
        <v>0.83</v>
      </c>
      <c r="H44" s="48">
        <f t="shared" si="2"/>
        <v>1.839</v>
      </c>
      <c r="I44" s="48">
        <f t="shared" si="3"/>
        <v>0.79689999999999994</v>
      </c>
    </row>
    <row r="45" spans="1:9">
      <c r="A45" s="37" t="str">
        <v>DWD 16 mm</v>
      </c>
      <c r="B45" s="57" t="str">
        <f t="shared" si="0"/>
        <v>DWD 16 mm</v>
      </c>
      <c r="C45" s="57"/>
      <c r="D45" s="37" t="str">
        <f>IFERROR(VLOOKUP($B45,'MATRICE ARTICLE'!$A$2:$N$1395,2,FALSE),"")</f>
        <v>m2</v>
      </c>
      <c r="E45" s="37">
        <f t="shared" si="1"/>
        <v>22.207899999999999</v>
      </c>
      <c r="F45" s="37">
        <f>IFERROR(VLOOKUP($B45,'MATRICE ARTICLE'!$A$2:$N$1395,9,FALSE),"")</f>
        <v>14.700000000000001</v>
      </c>
      <c r="G45" s="37">
        <f>IFERROR(VLOOKUP($B45,'MATRICE ARTICLE'!$A$2:$N$1395,14,FALSE),"")</f>
        <v>0.83</v>
      </c>
      <c r="H45" s="48">
        <f t="shared" si="2"/>
        <v>4.6589999999999998</v>
      </c>
      <c r="I45" s="48">
        <f t="shared" si="3"/>
        <v>2.0188999999999999</v>
      </c>
    </row>
    <row r="46" spans="1:9">
      <c r="A46" s="37" t="str">
        <v>Agepan THD - chantier</v>
      </c>
      <c r="B46" s="57" t="str">
        <f t="shared" si="0"/>
        <v>Agepan THD - chantier</v>
      </c>
      <c r="C46" s="57"/>
      <c r="D46" s="37" t="str">
        <f>IFERROR(VLOOKUP($B46,'MATRICE ARTICLE'!$A$2:$N$1395,2,FALSE),"")</f>
        <v>m2</v>
      </c>
      <c r="E46" s="37">
        <f t="shared" si="1"/>
        <v>51.279799999999987</v>
      </c>
      <c r="F46" s="37">
        <f>IFERROR(VLOOKUP($B46,'MATRICE ARTICLE'!$A$2:$N$1395,9,FALSE),"")</f>
        <v>33.989999999999995</v>
      </c>
      <c r="G46" s="37">
        <f>IFERROR(VLOOKUP($B46,'MATRICE ARTICLE'!$A$2:$N$1395,14,FALSE),"")</f>
        <v>1.87</v>
      </c>
      <c r="H46" s="48">
        <f t="shared" si="2"/>
        <v>10.757999999999997</v>
      </c>
      <c r="I46" s="48">
        <f t="shared" si="3"/>
        <v>4.6617999999999986</v>
      </c>
    </row>
    <row r="47" spans="1:9">
      <c r="A47" s="37" t="str">
        <v>Enduit  (sac de 25 Kg) - chantier</v>
      </c>
      <c r="B47" s="57" t="str">
        <f t="shared" si="0"/>
        <v>Enduit  (sac de 25 Kg) - chantier</v>
      </c>
      <c r="C47" s="57"/>
      <c r="D47" s="37" t="str">
        <f>IFERROR(VLOOKUP($B47,'MATRICE ARTICLE'!$A$2:$N$1395,2,FALSE),"")</f>
        <v>m2</v>
      </c>
      <c r="E47" s="37">
        <f t="shared" si="1"/>
        <v>6.0202999999999998</v>
      </c>
      <c r="F47" s="37">
        <f>IFERROR(VLOOKUP($B47,'MATRICE ARTICLE'!$A$2:$N$1395,9,FALSE),"")</f>
        <v>2.34</v>
      </c>
      <c r="G47" s="37">
        <f>IFERROR(VLOOKUP($B47,'MATRICE ARTICLE'!$A$2:$N$1395,14,FALSE),"")</f>
        <v>1.87</v>
      </c>
      <c r="H47" s="48">
        <f t="shared" si="2"/>
        <v>1.2629999999999999</v>
      </c>
      <c r="I47" s="48">
        <f t="shared" si="3"/>
        <v>0.54730000000000001</v>
      </c>
    </row>
    <row r="48" spans="1:9">
      <c r="A48" s="37" t="str">
        <v>Lamellé collé en kit - intérieur</v>
      </c>
      <c r="B48" s="57" t="str">
        <f t="shared" si="0"/>
        <v>Lamellé collé en kit - intérieur</v>
      </c>
      <c r="C48" s="57"/>
      <c r="D48" s="37" t="str">
        <f>IFERROR(VLOOKUP($B48,'MATRICE ARTICLE'!$A$2:$N$1395,2,FALSE),"")</f>
        <v>m3</v>
      </c>
      <c r="E48" s="37">
        <f t="shared" si="1"/>
        <v>1590.7606000000003</v>
      </c>
      <c r="F48" s="37">
        <f>IFERROR(VLOOKUP($B48,'MATRICE ARTICLE'!$A$2:$N$1395,9,FALSE),"")</f>
        <v>1093.17</v>
      </c>
      <c r="G48" s="37">
        <f>IFERROR(VLOOKUP($B48,'MATRICE ARTICLE'!$A$2:$N$1395,14,FALSE),"")</f>
        <v>19.25</v>
      </c>
      <c r="H48" s="48">
        <f t="shared" si="2"/>
        <v>333.726</v>
      </c>
      <c r="I48" s="48">
        <f t="shared" si="3"/>
        <v>144.61460000000002</v>
      </c>
    </row>
    <row r="49" spans="1:9">
      <c r="A49" s="37" t="str">
        <v>Structure 260x80 mm en kit</v>
      </c>
      <c r="B49" s="57" t="str">
        <f t="shared" si="0"/>
        <v>Structure 260x80 mm en kit</v>
      </c>
      <c r="C49" s="57"/>
      <c r="D49" s="37" t="str">
        <f>IFERROR(VLOOKUP($B49,'MATRICE ARTICLE'!$A$2:$N$1395,2,FALSE),"")</f>
        <v>ml</v>
      </c>
      <c r="E49" s="37">
        <f t="shared" si="1"/>
        <v>21.01317504</v>
      </c>
      <c r="F49" s="37">
        <f>IFERROR(VLOOKUP($B49,'MATRICE ARTICLE'!$A$2:$N$1395,9,FALSE),"")</f>
        <v>12.174528</v>
      </c>
      <c r="G49" s="37">
        <f>IFERROR(VLOOKUP($B49,'MATRICE ARTICLE'!$A$2:$N$1395,14,FALSE),"")</f>
        <v>2.52</v>
      </c>
      <c r="H49" s="48">
        <f t="shared" si="2"/>
        <v>4.4083584</v>
      </c>
      <c r="I49" s="48">
        <f t="shared" si="3"/>
        <v>1.9102886400000001</v>
      </c>
    </row>
    <row r="50" spans="1:9">
      <c r="A50" s="37" t="str">
        <v>Structure 240x80 mm en kit</v>
      </c>
      <c r="B50" s="57" t="str">
        <f t="shared" si="0"/>
        <v>Structure 240x80 mm en kit</v>
      </c>
      <c r="C50" s="57"/>
      <c r="D50" s="37" t="str">
        <f>IFERROR(VLOOKUP($B50,'MATRICE ARTICLE'!$A$2:$N$1395,2,FALSE),"")</f>
        <v>ml</v>
      </c>
      <c r="E50" s="37">
        <f t="shared" si="1"/>
        <v>19.379176959999999</v>
      </c>
      <c r="F50" s="37">
        <f>IFERROR(VLOOKUP($B50,'MATRICE ARTICLE'!$A$2:$N$1395,9,FALSE),"")</f>
        <v>11.231871999999999</v>
      </c>
      <c r="G50" s="37">
        <f>IFERROR(VLOOKUP($B50,'MATRICE ARTICLE'!$A$2:$N$1395,14,FALSE),"")</f>
        <v>2.3199999999999998</v>
      </c>
      <c r="H50" s="48">
        <f t="shared" si="2"/>
        <v>4.0655615999999997</v>
      </c>
      <c r="I50" s="48">
        <f t="shared" si="3"/>
        <v>1.7617433599999999</v>
      </c>
    </row>
    <row r="51" spans="1:9">
      <c r="A51" s="37" t="str">
        <v>Calage de pente</v>
      </c>
      <c r="B51" s="57" t="str">
        <f t="shared" si="0"/>
        <v>Calage de pente</v>
      </c>
      <c r="C51" s="57"/>
      <c r="D51" s="37" t="str">
        <f>IFERROR(VLOOKUP($B51,'MATRICE ARTICLE'!$A$2:$N$1395,2,FALSE),"")</f>
        <v>ml</v>
      </c>
      <c r="E51" s="37">
        <f t="shared" si="1"/>
        <v>11.746203040000001</v>
      </c>
      <c r="F51" s="37">
        <f>IFERROR(VLOOKUP($B51,'MATRICE ARTICLE'!$A$2:$N$1395,9,FALSE),"")</f>
        <v>5.7441280000000008</v>
      </c>
      <c r="G51" s="37">
        <f>IFERROR(VLOOKUP($B51,'MATRICE ARTICLE'!$A$2:$N$1395,14,FALSE),"")</f>
        <v>2.4699999999999998</v>
      </c>
      <c r="H51" s="48">
        <f t="shared" si="2"/>
        <v>2.4642384000000002</v>
      </c>
      <c r="I51" s="48">
        <f t="shared" si="3"/>
        <v>1.0678366400000001</v>
      </c>
    </row>
    <row r="52" spans="1:9">
      <c r="A52" s="37" t="str">
        <v xml:space="preserve">Baumit Enduit et trame </v>
      </c>
      <c r="B52" s="57" t="str">
        <f t="shared" si="0"/>
        <v xml:space="preserve">Baumit Enduit et trame </v>
      </c>
      <c r="C52" s="57"/>
      <c r="D52" s="37" t="str">
        <f>IFERROR(VLOOKUP($B52,'MATRICE ARTICLE'!$A$2:$N$1395,2,FALSE),"")</f>
        <v>m2</v>
      </c>
      <c r="E52" s="37">
        <f t="shared" si="1"/>
        <v>9.7239999999999984</v>
      </c>
      <c r="F52" s="37">
        <f>IFERROR(VLOOKUP($B52,'MATRICE ARTICLE'!$A$2:$N$1395,9,FALSE),"")</f>
        <v>6.0299999999999994</v>
      </c>
      <c r="G52" s="37">
        <f>IFERROR(VLOOKUP($B52,'MATRICE ARTICLE'!$A$2:$N$1395,14,FALSE),"")</f>
        <v>0.77</v>
      </c>
      <c r="H52" s="48">
        <f t="shared" si="2"/>
        <v>2.0399999999999996</v>
      </c>
      <c r="I52" s="48">
        <f t="shared" si="3"/>
        <v>0.8839999999999999</v>
      </c>
    </row>
    <row r="53" spans="1:9">
      <c r="A53" s="37" t="str">
        <v>Lattage 20x40mm</v>
      </c>
      <c r="B53" s="57" t="str">
        <f t="shared" si="0"/>
        <v>Lattage 20x40mm</v>
      </c>
      <c r="C53" s="57"/>
      <c r="D53" s="37" t="str">
        <f>IFERROR(VLOOKUP($B53,'MATRICE ARTICLE'!$A$2:$N$1395,2,FALSE),"")</f>
        <v>m2</v>
      </c>
      <c r="E53" s="37">
        <f t="shared" si="1"/>
        <v>10.295999999999999</v>
      </c>
      <c r="F53" s="37">
        <f>IFERROR(VLOOKUP($B53,'MATRICE ARTICLE'!$A$2:$N$1395,9,FALSE),"")</f>
        <v>4.45</v>
      </c>
      <c r="G53" s="37">
        <f>IFERROR(VLOOKUP($B53,'MATRICE ARTICLE'!$A$2:$N$1395,14,FALSE),"")</f>
        <v>2.75</v>
      </c>
      <c r="H53" s="48">
        <f t="shared" si="2"/>
        <v>2.16</v>
      </c>
      <c r="I53" s="48">
        <f t="shared" si="3"/>
        <v>0.93599999999999994</v>
      </c>
    </row>
    <row r="54" spans="1:9">
      <c r="A54" s="37" t="str">
        <v>Charpente terrasse cl4</v>
      </c>
      <c r="B54" s="57" t="str">
        <f t="shared" si="0"/>
        <v>Charpente terrasse cl4</v>
      </c>
      <c r="C54" s="57"/>
      <c r="D54" s="37" t="str">
        <f>IFERROR(VLOOKUP($B54,'MATRICE ARTICLE'!$A$2:$N$1395,2,FALSE),"")</f>
        <v>m3</v>
      </c>
      <c r="E54" s="37">
        <f t="shared" si="1"/>
        <v>1609.4506999999999</v>
      </c>
      <c r="F54" s="37">
        <f>IFERROR(VLOOKUP($B54,'MATRICE ARTICLE'!$A$2:$N$1395,9,FALSE),"")</f>
        <v>960.49</v>
      </c>
      <c r="G54" s="37">
        <f>IFERROR(VLOOKUP($B54,'MATRICE ARTICLE'!$A$2:$N$1395,14,FALSE),"")</f>
        <v>165</v>
      </c>
      <c r="H54" s="48">
        <f t="shared" si="2"/>
        <v>337.64699999999999</v>
      </c>
      <c r="I54" s="48">
        <f t="shared" si="3"/>
        <v>146.31370000000001</v>
      </c>
    </row>
    <row r="55" spans="1:9">
      <c r="A55" s="37" t="str">
        <v>bardage sur litelage</v>
      </c>
      <c r="B55" s="57" t="str">
        <f t="shared" si="0"/>
        <v>bardage sur litelage</v>
      </c>
      <c r="C55" s="57"/>
      <c r="D55" s="37" t="str">
        <f>IFERROR(VLOOKUP($B55,'MATRICE ARTICLE'!$A$2:$N$1395,2,FALSE),"")</f>
        <v>m2</v>
      </c>
      <c r="E55" s="37">
        <f t="shared" si="1"/>
        <v>72.114899999999992</v>
      </c>
      <c r="F55" s="37">
        <f>IFERROR(VLOOKUP($B55,'MATRICE ARTICLE'!$A$2:$N$1395,9,FALSE),"")</f>
        <v>44.32</v>
      </c>
      <c r="G55" s="37">
        <f>IFERROR(VLOOKUP($B55,'MATRICE ARTICLE'!$A$2:$N$1395,14,FALSE),"")</f>
        <v>6.11</v>
      </c>
      <c r="H55" s="48">
        <f t="shared" si="2"/>
        <v>15.129</v>
      </c>
      <c r="I55" s="48">
        <f t="shared" si="3"/>
        <v>6.5559000000000003</v>
      </c>
    </row>
    <row r="56" spans="1:9">
      <c r="A56" s="37" t="str">
        <v>Garde corps</v>
      </c>
      <c r="B56" s="57" t="str">
        <f t="shared" si="0"/>
        <v>Garde corps</v>
      </c>
      <c r="C56" s="57"/>
      <c r="D56" s="37" t="str">
        <f>IFERROR(VLOOKUP($B56,'MATRICE ARTICLE'!$A$2:$N$1395,2,FALSE),"")</f>
        <v>ml</v>
      </c>
      <c r="E56" s="37">
        <f t="shared" si="1"/>
        <v>528.09900000000005</v>
      </c>
      <c r="F56" s="37">
        <f>IFERROR(VLOOKUP($B56,'MATRICE ARTICLE'!$A$2:$N$1395,9,FALSE),"")</f>
        <v>369.3</v>
      </c>
      <c r="G56" s="37">
        <f>IFERROR(VLOOKUP($B56,'MATRICE ARTICLE'!$A$2:$N$1395,14,FALSE),"")</f>
        <v>0</v>
      </c>
      <c r="H56" s="48">
        <f t="shared" si="2"/>
        <v>110.79</v>
      </c>
      <c r="I56" s="48">
        <f t="shared" si="3"/>
        <v>48.009000000000007</v>
      </c>
    </row>
    <row r="57" spans="1:9">
      <c r="A57" s="37" t="str">
        <v>Lattage 20x80mm</v>
      </c>
      <c r="B57" s="57" t="str">
        <f t="shared" si="0"/>
        <v>Lattage 20x80mm</v>
      </c>
      <c r="C57" s="57"/>
      <c r="D57" s="37" t="str">
        <f>IFERROR(VLOOKUP($B57,'MATRICE ARTICLE'!$A$2:$N$1395,2,FALSE),"")</f>
        <v>m2</v>
      </c>
      <c r="E57" s="37">
        <f t="shared" si="1"/>
        <v>20.591999999999999</v>
      </c>
      <c r="F57" s="37">
        <f>IFERROR(VLOOKUP($B57,'MATRICE ARTICLE'!$A$2:$N$1395,9,FALSE),"")</f>
        <v>8.9</v>
      </c>
      <c r="G57" s="37">
        <f>IFERROR(VLOOKUP($B57,'MATRICE ARTICLE'!$A$2:$N$1395,14,FALSE),"")</f>
        <v>5.5</v>
      </c>
      <c r="H57" s="48">
        <f t="shared" si="2"/>
        <v>4.32</v>
      </c>
      <c r="I57" s="48">
        <f t="shared" si="3"/>
        <v>1.8719999999999999</v>
      </c>
    </row>
    <row r="58" spans="1:9">
      <c r="A58" s="37" t="str">
        <v>Crochet Walco V60 et montage</v>
      </c>
      <c r="B58" s="57" t="str">
        <f t="shared" si="0"/>
        <v>Crochet Walco V60 et montage</v>
      </c>
      <c r="C58" s="57"/>
      <c r="D58" s="37" t="str">
        <f>IFERROR(VLOOKUP($B58,'MATRICE ARTICLE'!$A$2:$N$1395,2,FALSE),"")</f>
        <v>u</v>
      </c>
      <c r="E58" s="37">
        <f t="shared" si="1"/>
        <v>20.663499999999999</v>
      </c>
      <c r="F58" s="37">
        <f>IFERROR(VLOOKUP($B58,'MATRICE ARTICLE'!$A$2:$N$1395,9,FALSE),"")</f>
        <v>12.25</v>
      </c>
      <c r="G58" s="37">
        <f>IFERROR(VLOOKUP($B58,'MATRICE ARTICLE'!$A$2:$N$1395,14,FALSE),"")</f>
        <v>2.2000000000000002</v>
      </c>
      <c r="H58" s="48">
        <f t="shared" si="2"/>
        <v>4.335</v>
      </c>
      <c r="I58" s="48">
        <f t="shared" si="3"/>
        <v>1.8785000000000001</v>
      </c>
    </row>
    <row r="59" spans="1:9">
      <c r="A59" s="37" t="str">
        <v>Lamellé collé en kit - traitement ext.</v>
      </c>
      <c r="B59" s="57" t="str">
        <f t="shared" si="0"/>
        <v>Lamellé collé en kit - traitement ext.</v>
      </c>
      <c r="C59" s="57"/>
      <c r="D59" s="37" t="str">
        <f>IFERROR(VLOOKUP($B59,'MATRICE ARTICLE'!$A$2:$N$1395,2,FALSE),"")</f>
        <v>m3</v>
      </c>
      <c r="E59" s="37">
        <f t="shared" si="1"/>
        <v>1767.2941000000001</v>
      </c>
      <c r="F59" s="37">
        <f>IFERROR(VLOOKUP($B59,'MATRICE ARTICLE'!$A$2:$N$1395,9,FALSE),"")</f>
        <v>1169.8700000000001</v>
      </c>
      <c r="G59" s="37">
        <f>IFERROR(VLOOKUP($B59,'MATRICE ARTICLE'!$A$2:$N$1395,14,FALSE),"")</f>
        <v>66</v>
      </c>
      <c r="H59" s="48">
        <f t="shared" si="2"/>
        <v>370.76100000000002</v>
      </c>
      <c r="I59" s="48">
        <f t="shared" si="3"/>
        <v>160.66310000000001</v>
      </c>
    </row>
    <row r="60" spans="1:9">
      <c r="A60" s="37" t="str">
        <v>Terrasse et lambourde + vis</v>
      </c>
      <c r="B60" s="57" t="str">
        <f t="shared" si="0"/>
        <v>Terrasse et lambourde + vis</v>
      </c>
      <c r="C60" s="57"/>
      <c r="D60" s="37" t="str">
        <f>IFERROR(VLOOKUP($B60,'MATRICE ARTICLE'!$A$2:$N$1395,2,FALSE),"")</f>
        <v>m2</v>
      </c>
      <c r="E60" s="37">
        <f t="shared" si="1"/>
        <v>102.50239999999999</v>
      </c>
      <c r="F60" s="37">
        <f>IFERROR(VLOOKUP($B60,'MATRICE ARTICLE'!$A$2:$N$1395,9,FALSE),"")</f>
        <v>55.179999999999993</v>
      </c>
      <c r="G60" s="37">
        <f>IFERROR(VLOOKUP($B60,'MATRICE ARTICLE'!$A$2:$N$1395,14,FALSE),"")</f>
        <v>16.5</v>
      </c>
      <c r="H60" s="48">
        <f t="shared" si="2"/>
        <v>21.503999999999998</v>
      </c>
      <c r="I60" s="48">
        <f t="shared" si="3"/>
        <v>9.3184000000000005</v>
      </c>
    </row>
    <row r="61" spans="1:9">
      <c r="A61" s="37" t="str">
        <v>Ouate 150</v>
      </c>
      <c r="B61" s="57" t="str">
        <f t="shared" si="0"/>
        <v>Ouate 150</v>
      </c>
      <c r="C61" s="57"/>
      <c r="D61" s="37" t="str">
        <f>IFERROR(VLOOKUP($B61,'MATRICE ARTICLE'!$A$2:$N$1395,2,FALSE),"")</f>
        <v>m2</v>
      </c>
      <c r="E61" s="37">
        <f t="shared" si="1"/>
        <v>20.02</v>
      </c>
      <c r="F61" s="37">
        <f>IFERROR(VLOOKUP($B61,'MATRICE ARTICLE'!$A$2:$N$1395,9,FALSE),"")</f>
        <v>14</v>
      </c>
      <c r="G61" s="37">
        <f>IFERROR(VLOOKUP($B61,'MATRICE ARTICLE'!$A$2:$N$1395,14,FALSE),"")</f>
        <v>0</v>
      </c>
      <c r="H61" s="48">
        <f t="shared" si="2"/>
        <v>4.2</v>
      </c>
      <c r="I61" s="48">
        <f t="shared" si="3"/>
        <v>1.82</v>
      </c>
    </row>
    <row r="62" spans="1:9">
      <c r="A62" s="37" t="str">
        <v>Ouate 240</v>
      </c>
      <c r="B62" s="57" t="str">
        <f t="shared" si="0"/>
        <v>Ouate 240</v>
      </c>
      <c r="C62" s="57"/>
      <c r="D62" s="37" t="str">
        <f>IFERROR(VLOOKUP($B62,'MATRICE ARTICLE'!$A$2:$N$1395,2,FALSE),"")</f>
        <v>m2</v>
      </c>
      <c r="E62" s="37">
        <f t="shared" si="1"/>
        <v>32.031999999999996</v>
      </c>
      <c r="F62" s="37">
        <f>IFERROR(VLOOKUP($B62,'MATRICE ARTICLE'!$A$2:$N$1395,9,FALSE),"")</f>
        <v>22.4</v>
      </c>
      <c r="G62" s="37">
        <f>IFERROR(VLOOKUP($B62,'MATRICE ARTICLE'!$A$2:$N$1395,14,FALSE),"")</f>
        <v>0</v>
      </c>
      <c r="H62" s="48">
        <f t="shared" si="2"/>
        <v>6.72</v>
      </c>
      <c r="I62" s="48">
        <f t="shared" si="3"/>
        <v>2.9119999999999999</v>
      </c>
    </row>
    <row r="63" spans="1:9">
      <c r="A63" s="37" t="str">
        <v>Ouate 260</v>
      </c>
      <c r="B63" s="57" t="str">
        <f t="shared" si="0"/>
        <v>Ouate 260</v>
      </c>
      <c r="C63" s="57"/>
      <c r="D63" s="37" t="str">
        <f>IFERROR(VLOOKUP($B63,'MATRICE ARTICLE'!$A$2:$N$1395,2,FALSE),"")</f>
        <v>m2</v>
      </c>
      <c r="E63" s="37">
        <f t="shared" si="1"/>
        <v>34.706099999999999</v>
      </c>
      <c r="F63" s="37">
        <f>IFERROR(VLOOKUP($B63,'MATRICE ARTICLE'!$A$2:$N$1395,9,FALSE),"")</f>
        <v>24.27</v>
      </c>
      <c r="G63" s="37">
        <f>IFERROR(VLOOKUP($B63,'MATRICE ARTICLE'!$A$2:$N$1395,14,FALSE),"")</f>
        <v>0</v>
      </c>
      <c r="H63" s="48">
        <f t="shared" si="2"/>
        <v>7.2809999999999997</v>
      </c>
      <c r="I63" s="48">
        <f t="shared" si="3"/>
        <v>3.1551</v>
      </c>
    </row>
    <row r="64" spans="1:9">
      <c r="A64" s="37" t="str">
        <v>ITE bois 40 mm</v>
      </c>
      <c r="B64" s="57" t="str">
        <f t="shared" si="0"/>
        <v>ITE bois 40 mm</v>
      </c>
      <c r="C64" s="57"/>
      <c r="D64" s="37" t="str">
        <f>IFERROR(VLOOKUP($B64,'MATRICE ARTICLE'!$A$2:$N$1395,2,FALSE),"")</f>
        <v>m2</v>
      </c>
      <c r="E64" s="37">
        <f t="shared" si="1"/>
        <v>47.962199999999996</v>
      </c>
      <c r="F64" s="37">
        <f>IFERROR(VLOOKUP($B64,'MATRICE ARTICLE'!$A$2:$N$1395,9,FALSE),"")</f>
        <v>32.44</v>
      </c>
      <c r="G64" s="37">
        <f>IFERROR(VLOOKUP($B64,'MATRICE ARTICLE'!$A$2:$N$1395,14,FALSE),"")</f>
        <v>1.1000000000000001</v>
      </c>
      <c r="H64" s="48">
        <f t="shared" si="2"/>
        <v>10.061999999999999</v>
      </c>
      <c r="I64" s="48">
        <f t="shared" si="3"/>
        <v>4.3601999999999999</v>
      </c>
    </row>
    <row r="65" spans="1:9">
      <c r="A65" s="37" t="str">
        <v>Lattage 20x80 EPDM</v>
      </c>
      <c r="B65" s="57" t="str">
        <f t="shared" si="0"/>
        <v>Lattage 20x80 EPDM</v>
      </c>
      <c r="C65" s="57"/>
      <c r="D65" s="37" t="str">
        <f>IFERROR(VLOOKUP($B65,'MATRICE ARTICLE'!$A$2:$N$1395,2,FALSE),"")</f>
        <v>m2</v>
      </c>
      <c r="E65" s="37">
        <f t="shared" si="1"/>
        <v>21.006700000000002</v>
      </c>
      <c r="F65" s="37">
        <f>IFERROR(VLOOKUP($B65,'MATRICE ARTICLE'!$A$2:$N$1395,9,FALSE),"")</f>
        <v>11.330000000000002</v>
      </c>
      <c r="G65" s="37">
        <f>IFERROR(VLOOKUP($B65,'MATRICE ARTICLE'!$A$2:$N$1395,14,FALSE),"")</f>
        <v>3.36</v>
      </c>
      <c r="H65" s="48">
        <f t="shared" si="2"/>
        <v>4.407</v>
      </c>
      <c r="I65" s="48">
        <f t="shared" si="3"/>
        <v>1.9097000000000002</v>
      </c>
    </row>
    <row r="66" spans="1:9">
      <c r="A66" s="37" t="str">
        <v>Structure lambourde - extérieure</v>
      </c>
      <c r="B66" s="57" t="str">
        <f t="shared" si="0"/>
        <v>Structure lambourde - extérieure</v>
      </c>
      <c r="C66" s="57"/>
      <c r="D66" s="37" t="str">
        <f>IFERROR(VLOOKUP($B66,'MATRICE ARTICLE'!$A$2:$N$1395,2,FALSE),"")</f>
        <v>m2</v>
      </c>
      <c r="E66" s="37">
        <f t="shared" si="1"/>
        <v>48.677200000000013</v>
      </c>
      <c r="F66" s="37">
        <f>IFERROR(VLOOKUP($B66,'MATRICE ARTICLE'!$A$2:$N$1395,9,FALSE),"")</f>
        <v>31.290000000000003</v>
      </c>
      <c r="G66" s="37">
        <f>IFERROR(VLOOKUP($B66,'MATRICE ARTICLE'!$A$2:$N$1395,14,FALSE),"")</f>
        <v>2.75</v>
      </c>
      <c r="H66" s="48">
        <f t="shared" si="2"/>
        <v>10.212000000000002</v>
      </c>
      <c r="I66" s="48">
        <f t="shared" si="3"/>
        <v>4.4252000000000011</v>
      </c>
    </row>
    <row r="67" spans="1:9">
      <c r="A67" s="37" t="str">
        <v>Calage de pente surfacique</v>
      </c>
      <c r="B67" s="57" t="str">
        <f t="shared" ref="B67:B130" si="4">IF(A67=0,"",A67)</f>
        <v>Calage de pente surfacique</v>
      </c>
      <c r="C67" s="57"/>
      <c r="D67" s="37" t="str">
        <f>IFERROR(VLOOKUP($B67,'MATRICE ARTICLE'!$A$2:$N$1395,2,FALSE),"")</f>
        <v>m2</v>
      </c>
      <c r="E67" s="37">
        <f t="shared" ref="E67:E130" si="5">IF(SUM(F67:I67)=0,"",SUM(F67:I67))</f>
        <v>43.772300000000008</v>
      </c>
      <c r="F67" s="37">
        <f>IFERROR(VLOOKUP($B67,'MATRICE ARTICLE'!$A$2:$N$1395,9,FALSE),"")</f>
        <v>20.810000000000002</v>
      </c>
      <c r="G67" s="37">
        <f>IFERROR(VLOOKUP($B67,'MATRICE ARTICLE'!$A$2:$N$1395,14,FALSE),"")</f>
        <v>9.8000000000000007</v>
      </c>
      <c r="H67" s="48">
        <f t="shared" ref="H67:H130" si="6">IF(SUM(F67:G67)*$H$1=0,"",SUM(F67:G67)*$H$1)</f>
        <v>9.1829999999999998</v>
      </c>
      <c r="I67" s="48">
        <f t="shared" ref="I67:I130" si="7">IF(SUM(F67:H67)*$I$1=0,"",SUM(F67:H67)*$I$1)</f>
        <v>3.9793000000000007</v>
      </c>
    </row>
    <row r="68" spans="1:9">
      <c r="A68" s="37" t="str">
        <v>Muralière 10x10</v>
      </c>
      <c r="B68" s="57" t="str">
        <f t="shared" si="4"/>
        <v>Muralière 10x10</v>
      </c>
      <c r="C68" s="57"/>
      <c r="D68" s="37" t="str">
        <f>IFERROR(VLOOKUP($B68,'MATRICE ARTICLE'!$A$2:$N$1395,2,FALSE),"")</f>
        <v>ml</v>
      </c>
      <c r="E68" s="37">
        <f t="shared" si="5"/>
        <v>13.656500000000001</v>
      </c>
      <c r="F68" s="37">
        <f>IFERROR(VLOOKUP($B68,'MATRICE ARTICLE'!$A$2:$N$1395,9,FALSE),"")</f>
        <v>7.68</v>
      </c>
      <c r="G68" s="37">
        <f>IFERROR(VLOOKUP($B68,'MATRICE ARTICLE'!$A$2:$N$1395,14,FALSE),"")</f>
        <v>1.87</v>
      </c>
      <c r="H68" s="48">
        <f t="shared" si="6"/>
        <v>2.8650000000000002</v>
      </c>
      <c r="I68" s="48">
        <f t="shared" si="7"/>
        <v>1.2415000000000003</v>
      </c>
    </row>
    <row r="69" spans="1:9">
      <c r="A69" s="37" t="str">
        <v>Muralière 8x10</v>
      </c>
      <c r="B69" s="57" t="str">
        <f t="shared" si="4"/>
        <v>Muralière 8x10</v>
      </c>
      <c r="C69" s="57"/>
      <c r="D69" s="37" t="str">
        <f>IFERROR(VLOOKUP($B69,'MATRICE ARTICLE'!$A$2:$N$1395,2,FALSE),"")</f>
        <v>ml</v>
      </c>
      <c r="E69" s="37">
        <f t="shared" si="5"/>
        <v>11.668800000000001</v>
      </c>
      <c r="F69" s="37">
        <f>IFERROR(VLOOKUP($B69,'MATRICE ARTICLE'!$A$2:$N$1395,9,FALSE),"")</f>
        <v>6.2899999999999991</v>
      </c>
      <c r="G69" s="37">
        <f>IFERROR(VLOOKUP($B69,'MATRICE ARTICLE'!$A$2:$N$1395,14,FALSE),"")</f>
        <v>1.87</v>
      </c>
      <c r="H69" s="48">
        <f t="shared" si="6"/>
        <v>2.448</v>
      </c>
      <c r="I69" s="48">
        <f t="shared" si="7"/>
        <v>1.0608000000000002</v>
      </c>
    </row>
    <row r="70" spans="1:9">
      <c r="A70" s="37" t="str">
        <v>Muralière 60X70 mm</v>
      </c>
      <c r="B70" s="57" t="str">
        <f t="shared" si="4"/>
        <v>Muralière 60X70 mm</v>
      </c>
      <c r="C70" s="57"/>
      <c r="D70" s="37" t="str">
        <f>IFERROR(VLOOKUP($B70,'MATRICE ARTICLE'!$A$2:$N$1395,2,FALSE),"")</f>
        <v>ml</v>
      </c>
      <c r="E70" s="37">
        <f t="shared" si="5"/>
        <v>7.9222000000000001</v>
      </c>
      <c r="F70" s="37">
        <f>IFERROR(VLOOKUP($B70,'MATRICE ARTICLE'!$A$2:$N$1395,9,FALSE),"")</f>
        <v>3.67</v>
      </c>
      <c r="G70" s="37">
        <f>IFERROR(VLOOKUP($B70,'MATRICE ARTICLE'!$A$2:$N$1395,14,FALSE),"")</f>
        <v>1.87</v>
      </c>
      <c r="H70" s="48">
        <f t="shared" si="6"/>
        <v>1.6619999999999999</v>
      </c>
      <c r="I70" s="48">
        <f t="shared" si="7"/>
        <v>0.72020000000000006</v>
      </c>
    </row>
    <row r="71" spans="1:9">
      <c r="A71" s="37" t="str">
        <v>Volige 24mm</v>
      </c>
      <c r="B71" s="57" t="str">
        <f t="shared" si="4"/>
        <v>Volige 24mm</v>
      </c>
      <c r="C71" s="57"/>
      <c r="D71" s="37" t="str">
        <f>IFERROR(VLOOKUP($B71,'MATRICE ARTICLE'!$A$2:$N$1395,2,FALSE),"")</f>
        <v>m2</v>
      </c>
      <c r="E71" s="37">
        <f t="shared" si="5"/>
        <v>38.61</v>
      </c>
      <c r="F71" s="37">
        <f>IFERROR(VLOOKUP($B71,'MATRICE ARTICLE'!$A$2:$N$1395,9,FALSE),"")</f>
        <v>20.12</v>
      </c>
      <c r="G71" s="37">
        <f>IFERROR(VLOOKUP($B71,'MATRICE ARTICLE'!$A$2:$N$1395,14,FALSE),"")</f>
        <v>6.88</v>
      </c>
      <c r="H71" s="48">
        <f t="shared" si="6"/>
        <v>8.1</v>
      </c>
      <c r="I71" s="48">
        <f t="shared" si="7"/>
        <v>3.5100000000000002</v>
      </c>
    </row>
    <row r="72" spans="1:9">
      <c r="A72" s="37" t="str">
        <v>ITE 4cm EPS80</v>
      </c>
      <c r="B72" s="57" t="str">
        <f t="shared" si="4"/>
        <v>ITE 4cm EPS80</v>
      </c>
      <c r="C72" s="57"/>
      <c r="D72" s="37" t="str">
        <f>IFERROR(VLOOKUP($B72,'MATRICE ARTICLE'!$A$2:$N$1395,2,FALSE),"")</f>
        <v>m2</v>
      </c>
      <c r="E72" s="37">
        <f t="shared" si="5"/>
        <v>13.9282</v>
      </c>
      <c r="F72" s="37">
        <f>IFERROR(VLOOKUP($B72,'MATRICE ARTICLE'!$A$2:$N$1395,9,FALSE),"")</f>
        <v>8.31</v>
      </c>
      <c r="G72" s="37">
        <f>IFERROR(VLOOKUP($B72,'MATRICE ARTICLE'!$A$2:$N$1395,14,FALSE),"")</f>
        <v>1.4300000000000002</v>
      </c>
      <c r="H72" s="48">
        <f t="shared" si="6"/>
        <v>2.9220000000000002</v>
      </c>
      <c r="I72" s="48">
        <f t="shared" si="7"/>
        <v>1.2662000000000002</v>
      </c>
    </row>
    <row r="73" spans="1:9">
      <c r="A73" s="37" t="str">
        <v>Pare-vapeur SD 90</v>
      </c>
      <c r="B73" s="57" t="str">
        <f t="shared" si="4"/>
        <v>Pare-vapeur SD 90</v>
      </c>
      <c r="C73" s="57"/>
      <c r="D73" s="37" t="str">
        <f>IFERROR(VLOOKUP($B73,'MATRICE ARTICLE'!$A$2:$N$1395,2,FALSE),"")</f>
        <v>m2</v>
      </c>
      <c r="E73" s="37">
        <f t="shared" si="5"/>
        <v>3.8180999999999994</v>
      </c>
      <c r="F73" s="37">
        <f>IFERROR(VLOOKUP($B73,'MATRICE ARTICLE'!$A$2:$N$1395,9,FALSE),"")</f>
        <v>2.0599999999999996</v>
      </c>
      <c r="G73" s="37">
        <f>IFERROR(VLOOKUP($B73,'MATRICE ARTICLE'!$A$2:$N$1395,14,FALSE),"")</f>
        <v>0.61</v>
      </c>
      <c r="H73" s="48">
        <f t="shared" si="6"/>
        <v>0.80099999999999982</v>
      </c>
      <c r="I73" s="48">
        <f t="shared" si="7"/>
        <v>0.34709999999999996</v>
      </c>
    </row>
    <row r="74" spans="1:9">
      <c r="A74" s="37" t="str">
        <v>Bache de protection provisoire</v>
      </c>
      <c r="B74" s="57" t="str">
        <f t="shared" si="4"/>
        <v>Bache de protection provisoire</v>
      </c>
      <c r="C74" s="57"/>
      <c r="D74" s="37" t="str">
        <f>IFERROR(VLOOKUP($B74,'MATRICE ARTICLE'!$A$2:$N$1395,2,FALSE),"")</f>
        <v>m2</v>
      </c>
      <c r="E74" s="37">
        <f t="shared" si="5"/>
        <v>1.9161999999999999</v>
      </c>
      <c r="F74" s="37">
        <f>IFERROR(VLOOKUP($B74,'MATRICE ARTICLE'!$A$2:$N$1395,9,FALSE),"")</f>
        <v>0.73000000000000009</v>
      </c>
      <c r="G74" s="37">
        <f>IFERROR(VLOOKUP($B74,'MATRICE ARTICLE'!$A$2:$N$1395,14,FALSE),"")</f>
        <v>0.61</v>
      </c>
      <c r="H74" s="48">
        <f t="shared" si="6"/>
        <v>0.40200000000000002</v>
      </c>
      <c r="I74" s="48">
        <f t="shared" si="7"/>
        <v>0.17420000000000002</v>
      </c>
    </row>
    <row r="75" spans="1:9">
      <c r="A75" s="37" t="str">
        <v>Lattage 30x80mm</v>
      </c>
      <c r="B75" s="57" t="str">
        <f t="shared" si="4"/>
        <v>Lattage 30x80mm</v>
      </c>
      <c r="C75" s="57"/>
      <c r="D75" s="37" t="str">
        <f>IFERROR(VLOOKUP($B75,'MATRICE ARTICLE'!$A$2:$N$1395,2,FALSE),"")</f>
        <v>m2</v>
      </c>
      <c r="E75" s="37">
        <f t="shared" si="5"/>
        <v>21.921900000000001</v>
      </c>
      <c r="F75" s="37">
        <f>IFERROR(VLOOKUP($B75,'MATRICE ARTICLE'!$A$2:$N$1395,9,FALSE),"")</f>
        <v>9.83</v>
      </c>
      <c r="G75" s="37">
        <f>IFERROR(VLOOKUP($B75,'MATRICE ARTICLE'!$A$2:$N$1395,14,FALSE),"")</f>
        <v>5.5</v>
      </c>
      <c r="H75" s="48">
        <f t="shared" si="6"/>
        <v>4.5990000000000002</v>
      </c>
      <c r="I75" s="48">
        <f t="shared" si="7"/>
        <v>1.9929000000000003</v>
      </c>
    </row>
    <row r="76" spans="1:9">
      <c r="A76" s="37" t="str">
        <v>Bande EPDM agrafees</v>
      </c>
      <c r="B76" s="57" t="str">
        <f t="shared" si="4"/>
        <v>Bande EPDM agrafees</v>
      </c>
      <c r="C76" s="57"/>
      <c r="D76" s="37" t="str">
        <f>IFERROR(VLOOKUP($B76,'MATRICE ARTICLE'!$A$2:$N$1395,2,FALSE),"")</f>
        <v>m2</v>
      </c>
      <c r="E76" s="37">
        <f t="shared" si="5"/>
        <v>3.0602</v>
      </c>
      <c r="F76" s="37">
        <f>IFERROR(VLOOKUP($B76,'MATRICE ARTICLE'!$A$2:$N$1395,9,FALSE),"")</f>
        <v>1.53</v>
      </c>
      <c r="G76" s="37">
        <f>IFERROR(VLOOKUP($B76,'MATRICE ARTICLE'!$A$2:$N$1395,14,FALSE),"")</f>
        <v>0.61</v>
      </c>
      <c r="H76" s="48">
        <f t="shared" si="6"/>
        <v>0.64200000000000002</v>
      </c>
      <c r="I76" s="48">
        <f t="shared" si="7"/>
        <v>0.2782</v>
      </c>
    </row>
    <row r="77" spans="1:9">
      <c r="A77" s="37" t="str">
        <v>Pare-pluie support continu</v>
      </c>
      <c r="B77" s="57" t="str">
        <f t="shared" si="4"/>
        <v>Pare-pluie support continu</v>
      </c>
      <c r="C77" s="57"/>
      <c r="D77" s="37" t="str">
        <f>IFERROR(VLOOKUP($B77,'MATRICE ARTICLE'!$A$2:$N$1395,2,FALSE),"")</f>
        <v>m2</v>
      </c>
      <c r="E77" s="37">
        <f t="shared" si="5"/>
        <v>5.2623999999999995</v>
      </c>
      <c r="F77" s="37">
        <f>IFERROR(VLOOKUP($B77,'MATRICE ARTICLE'!$A$2:$N$1395,9,FALSE),"")</f>
        <v>3.07</v>
      </c>
      <c r="G77" s="37">
        <f>IFERROR(VLOOKUP($B77,'MATRICE ARTICLE'!$A$2:$N$1395,14,FALSE),"")</f>
        <v>0.61</v>
      </c>
      <c r="H77" s="48">
        <f t="shared" si="6"/>
        <v>1.1039999999999999</v>
      </c>
      <c r="I77" s="48">
        <f t="shared" si="7"/>
        <v>0.47839999999999999</v>
      </c>
    </row>
    <row r="78" spans="1:9">
      <c r="A78" s="37" t="str">
        <v>Lattage 20x30mm</v>
      </c>
      <c r="B78" s="57" t="str">
        <f t="shared" si="4"/>
        <v>Lattage 20x30mm</v>
      </c>
      <c r="C78" s="57"/>
      <c r="D78" s="37" t="str">
        <f>IFERROR(VLOOKUP($B78,'MATRICE ARTICLE'!$A$2:$N$1395,2,FALSE),"")</f>
        <v>m2</v>
      </c>
      <c r="E78" s="37">
        <f t="shared" si="5"/>
        <v>10.696400000000001</v>
      </c>
      <c r="F78" s="37">
        <f>IFERROR(VLOOKUP($B78,'MATRICE ARTICLE'!$A$2:$N$1395,9,FALSE),"")</f>
        <v>1.98</v>
      </c>
      <c r="G78" s="37">
        <f>IFERROR(VLOOKUP($B78,'MATRICE ARTICLE'!$A$2:$N$1395,14,FALSE),"")</f>
        <v>5.5</v>
      </c>
      <c r="H78" s="48">
        <f t="shared" si="6"/>
        <v>2.2440000000000002</v>
      </c>
      <c r="I78" s="48">
        <f t="shared" si="7"/>
        <v>0.97240000000000004</v>
      </c>
    </row>
    <row r="79" spans="1:9">
      <c r="A79" s="37" t="str">
        <v>Lattage 27x30mm</v>
      </c>
      <c r="B79" s="57" t="str">
        <f t="shared" si="4"/>
        <v>Lattage 27x30mm</v>
      </c>
      <c r="C79" s="57"/>
      <c r="D79" s="37" t="str">
        <f>IFERROR(VLOOKUP($B79,'MATRICE ARTICLE'!$A$2:$N$1395,2,FALSE),"")</f>
        <v>m2</v>
      </c>
      <c r="E79" s="37">
        <f t="shared" si="5"/>
        <v>12.355200000000002</v>
      </c>
      <c r="F79" s="37">
        <f>IFERROR(VLOOKUP($B79,'MATRICE ARTICLE'!$A$2:$N$1395,9,FALSE),"")</f>
        <v>3.1399999999999997</v>
      </c>
      <c r="G79" s="37">
        <f>IFERROR(VLOOKUP($B79,'MATRICE ARTICLE'!$A$2:$N$1395,14,FALSE),"")</f>
        <v>5.5</v>
      </c>
      <c r="H79" s="48">
        <f t="shared" si="6"/>
        <v>2.5920000000000001</v>
      </c>
      <c r="I79" s="48">
        <f t="shared" si="7"/>
        <v>1.1232000000000002</v>
      </c>
    </row>
    <row r="80" spans="1:9">
      <c r="A80" s="37" t="str">
        <v>Lattage 20x45mm</v>
      </c>
      <c r="B80" s="57" t="str">
        <f t="shared" si="4"/>
        <v>Lattage 20x45mm</v>
      </c>
      <c r="C80" s="57"/>
      <c r="D80" s="37" t="str">
        <f>IFERROR(VLOOKUP($B80,'MATRICE ARTICLE'!$A$2:$N$1395,2,FALSE),"")</f>
        <v>m2</v>
      </c>
      <c r="E80" s="37">
        <f t="shared" si="5"/>
        <v>12.507292417649483</v>
      </c>
      <c r="F80" s="37">
        <f>IFERROR(VLOOKUP($B80,'MATRICE ARTICLE'!$A$2:$N$1395,9,FALSE),"")</f>
        <v>3.1063583340206185</v>
      </c>
      <c r="G80" s="37">
        <f>IFERROR(VLOOKUP($B80,'MATRICE ARTICLE'!$A$2:$N$1395,14,FALSE),"")</f>
        <v>5.64</v>
      </c>
      <c r="H80" s="48">
        <f t="shared" si="6"/>
        <v>2.6239075002061854</v>
      </c>
      <c r="I80" s="48">
        <f t="shared" si="7"/>
        <v>1.1370265834226803</v>
      </c>
    </row>
    <row r="81" spans="1:9">
      <c r="A81" s="37" t="str">
        <v>Pare-pluie sur OSB Sd&lt;1,5 m</v>
      </c>
      <c r="B81" s="57" t="str">
        <f t="shared" si="4"/>
        <v>Pare-pluie sur OSB Sd&lt;1,5 m</v>
      </c>
      <c r="C81" s="57"/>
      <c r="D81" s="37" t="str">
        <f>IFERROR(VLOOKUP($B81,'MATRICE ARTICLE'!$A$2:$N$1395,2,FALSE),"")</f>
        <v>m2</v>
      </c>
      <c r="E81" s="37">
        <f t="shared" si="5"/>
        <v>5.2623999999999995</v>
      </c>
      <c r="F81" s="37">
        <f>IFERROR(VLOOKUP($B81,'MATRICE ARTICLE'!$A$2:$N$1395,9,FALSE),"")</f>
        <v>3.07</v>
      </c>
      <c r="G81" s="37">
        <f>IFERROR(VLOOKUP($B81,'MATRICE ARTICLE'!$A$2:$N$1395,14,FALSE),"")</f>
        <v>0.61</v>
      </c>
      <c r="H81" s="48">
        <f t="shared" si="6"/>
        <v>1.1039999999999999</v>
      </c>
      <c r="I81" s="48">
        <f t="shared" si="7"/>
        <v>0.47839999999999999</v>
      </c>
    </row>
    <row r="82" spans="1:9">
      <c r="A82" s="37" t="str">
        <v>Lattage  vertical 30x45mm</v>
      </c>
      <c r="B82" s="57" t="str">
        <f t="shared" si="4"/>
        <v>Lattage  vertical 30x45mm</v>
      </c>
      <c r="C82" s="57"/>
      <c r="D82" s="37" t="str">
        <f>IFERROR(VLOOKUP($B82,'MATRICE ARTICLE'!$A$2:$N$1395,2,FALSE),"")</f>
        <v>m2</v>
      </c>
      <c r="E82" s="37">
        <f t="shared" si="5"/>
        <v>12.097937704577321</v>
      </c>
      <c r="F82" s="37">
        <f>IFERROR(VLOOKUP($B82,'MATRICE ARTICLE'!$A$2:$N$1395,9,FALSE),"")</f>
        <v>2.8400962969072165</v>
      </c>
      <c r="G82" s="37">
        <f>IFERROR(VLOOKUP($B82,'MATRICE ARTICLE'!$A$2:$N$1395,14,FALSE),"")</f>
        <v>5.62</v>
      </c>
      <c r="H82" s="48">
        <f t="shared" si="6"/>
        <v>2.538028889072165</v>
      </c>
      <c r="I82" s="48">
        <f t="shared" si="7"/>
        <v>1.0998125185979384</v>
      </c>
    </row>
    <row r="83" spans="1:9">
      <c r="A83" s="37" t="str">
        <v>Joint dilatation</v>
      </c>
      <c r="B83" s="57" t="str">
        <f t="shared" si="4"/>
        <v>Joint dilatation</v>
      </c>
      <c r="C83" s="57"/>
      <c r="D83" s="37" t="str">
        <f>IFERROR(VLOOKUP($B83,'MATRICE ARTICLE'!$A$2:$N$1395,2,FALSE),"")</f>
        <v>u</v>
      </c>
      <c r="E83" s="37">
        <f t="shared" si="5"/>
        <v>21.693100000000005</v>
      </c>
      <c r="F83" s="37">
        <f>IFERROR(VLOOKUP($B83,'MATRICE ARTICLE'!$A$2:$N$1395,9,FALSE),"")</f>
        <v>13.790000000000001</v>
      </c>
      <c r="G83" s="37">
        <f>IFERROR(VLOOKUP($B83,'MATRICE ARTICLE'!$A$2:$N$1395,14,FALSE),"")</f>
        <v>1.38</v>
      </c>
      <c r="H83" s="48">
        <f t="shared" si="6"/>
        <v>4.5510000000000002</v>
      </c>
      <c r="I83" s="48">
        <f t="shared" si="7"/>
        <v>1.9721000000000004</v>
      </c>
    </row>
    <row r="84" spans="1:9">
      <c r="A84" s="37" t="str">
        <v>Boitier Rothoblaas BSAS46137 + clous</v>
      </c>
      <c r="B84" s="57" t="str">
        <f t="shared" si="4"/>
        <v>Boitier Rothoblaas BSAS46137 + clous</v>
      </c>
      <c r="C84" s="57"/>
      <c r="D84" s="37" t="str">
        <f>IFERROR(VLOOKUP($B84,'MATRICE ARTICLE'!$A$2:$N$1395,2,FALSE),"")</f>
        <v>u</v>
      </c>
      <c r="E84" s="37">
        <f t="shared" si="5"/>
        <v>8.3083000000000009</v>
      </c>
      <c r="F84" s="37">
        <f>IFERROR(VLOOKUP($B84,'MATRICE ARTICLE'!$A$2:$N$1395,9,FALSE),"")</f>
        <v>3.06</v>
      </c>
      <c r="G84" s="37">
        <f>IFERROR(VLOOKUP($B84,'MATRICE ARTICLE'!$A$2:$N$1395,14,FALSE),"")</f>
        <v>2.75</v>
      </c>
      <c r="H84" s="48">
        <f t="shared" si="6"/>
        <v>1.7430000000000001</v>
      </c>
      <c r="I84" s="48">
        <f t="shared" si="7"/>
        <v>0.75530000000000008</v>
      </c>
    </row>
    <row r="85" spans="1:9">
      <c r="A85" s="37" t="str">
        <v>Lambourde 200x45 cl4</v>
      </c>
      <c r="B85" s="57" t="str">
        <f t="shared" si="4"/>
        <v>Lambourde 200x45 cl4</v>
      </c>
      <c r="C85" s="57"/>
      <c r="D85" s="37" t="str">
        <f>IFERROR(VLOOKUP($B85,'MATRICE ARTICLE'!$A$2:$N$1395,2,FALSE),"")</f>
        <v>m2</v>
      </c>
      <c r="E85" s="37">
        <f t="shared" si="5"/>
        <v>13.813800000000001</v>
      </c>
      <c r="F85" s="37">
        <f>IFERROR(VLOOKUP($B85,'MATRICE ARTICLE'!$A$2:$N$1395,9,FALSE),"")</f>
        <v>3.06</v>
      </c>
      <c r="G85" s="37">
        <f>IFERROR(VLOOKUP($B85,'MATRICE ARTICLE'!$A$2:$N$1395,14,FALSE),"")</f>
        <v>6.6000000000000005</v>
      </c>
      <c r="H85" s="48">
        <f t="shared" si="6"/>
        <v>2.8980000000000001</v>
      </c>
      <c r="I85" s="48">
        <f t="shared" si="7"/>
        <v>1.2558</v>
      </c>
    </row>
    <row r="86" spans="1:9">
      <c r="A86" s="37" t="str">
        <v>Lattage 45x50 cl2</v>
      </c>
      <c r="B86" s="57" t="str">
        <f t="shared" si="4"/>
        <v>Lattage 45x50 cl2</v>
      </c>
      <c r="C86" s="57"/>
      <c r="D86" s="37" t="str">
        <f>IFERROR(VLOOKUP($B86,'MATRICE ARTICLE'!$A$2:$N$1395,2,FALSE),"")</f>
        <v>m2</v>
      </c>
      <c r="E86" s="37">
        <f t="shared" si="5"/>
        <v>10.939500000000001</v>
      </c>
      <c r="F86" s="37">
        <f>IFERROR(VLOOKUP($B86,'MATRICE ARTICLE'!$A$2:$N$1395,9,FALSE),"")</f>
        <v>4.8999999999999995</v>
      </c>
      <c r="G86" s="37">
        <f>IFERROR(VLOOKUP($B86,'MATRICE ARTICLE'!$A$2:$N$1395,14,FALSE),"")</f>
        <v>2.75</v>
      </c>
      <c r="H86" s="48">
        <f t="shared" si="6"/>
        <v>2.2949999999999999</v>
      </c>
      <c r="I86" s="48">
        <f t="shared" si="7"/>
        <v>0.99450000000000005</v>
      </c>
    </row>
    <row r="87" spans="1:9">
      <c r="A87" s="37" t="str">
        <v>Lattage 45x20 cl2</v>
      </c>
      <c r="B87" s="57" t="str">
        <f t="shared" si="4"/>
        <v>Lattage 45x20 cl2</v>
      </c>
      <c r="C87" s="57"/>
      <c r="D87" s="37" t="str">
        <f>IFERROR(VLOOKUP($B87,'MATRICE ARTICLE'!$A$2:$N$1395,2,FALSE),"")</f>
        <v>m2</v>
      </c>
      <c r="E87" s="37">
        <f t="shared" si="5"/>
        <v>7.2786999999999997</v>
      </c>
      <c r="F87" s="37">
        <f>IFERROR(VLOOKUP($B87,'MATRICE ARTICLE'!$A$2:$N$1395,9,FALSE),"")</f>
        <v>2.34</v>
      </c>
      <c r="G87" s="37">
        <f>IFERROR(VLOOKUP($B87,'MATRICE ARTICLE'!$A$2:$N$1395,14,FALSE),"")</f>
        <v>2.75</v>
      </c>
      <c r="H87" s="48">
        <f t="shared" si="6"/>
        <v>1.5269999999999999</v>
      </c>
      <c r="I87" s="48">
        <f t="shared" si="7"/>
        <v>0.66170000000000007</v>
      </c>
    </row>
    <row r="88" spans="1:9">
      <c r="A88" s="37" t="str">
        <v>Tableau de fenêtre Steico 20 mm</v>
      </c>
      <c r="B88" s="57" t="str">
        <f t="shared" si="4"/>
        <v>Tableau de fenêtre Steico 20 mm</v>
      </c>
      <c r="C88" s="57"/>
      <c r="D88" s="37" t="str">
        <f>IFERROR(VLOOKUP($B88,'MATRICE ARTICLE'!$A$2:$N$1395,2,FALSE),"")</f>
        <v>ml</v>
      </c>
      <c r="E88" s="37">
        <f t="shared" si="5"/>
        <v>3.718</v>
      </c>
      <c r="F88" s="37">
        <f>IFERROR(VLOOKUP($B88,'MATRICE ARTICLE'!$A$2:$N$1395,9,FALSE),"")</f>
        <v>1.5</v>
      </c>
      <c r="G88" s="37">
        <f>IFERROR(VLOOKUP($B88,'MATRICE ARTICLE'!$A$2:$N$1395,14,FALSE),"")</f>
        <v>1.1000000000000001</v>
      </c>
      <c r="H88" s="48">
        <f t="shared" si="6"/>
        <v>0.78</v>
      </c>
      <c r="I88" s="48">
        <f t="shared" si="7"/>
        <v>0.33800000000000002</v>
      </c>
    </row>
    <row r="89" spans="1:9">
      <c r="A89" s="37" t="str">
        <v xml:space="preserve">Lisse de chainage 45x150mm </v>
      </c>
      <c r="B89" s="57" t="str">
        <f t="shared" si="4"/>
        <v xml:space="preserve">Lisse de chainage 45x150mm </v>
      </c>
      <c r="C89" s="57"/>
      <c r="D89" s="37" t="str">
        <f>IFERROR(VLOOKUP($B89,'MATRICE ARTICLE'!$A$2:$N$1395,2,FALSE),"")</f>
        <v>ml</v>
      </c>
      <c r="E89" s="37">
        <f t="shared" si="5"/>
        <v>8.2845512750000001</v>
      </c>
      <c r="F89" s="37">
        <f>IFERROR(VLOOKUP($B89,'MATRICE ARTICLE'!$A$2:$N$1395,9,FALSE),"")</f>
        <v>4.3233924999999997</v>
      </c>
      <c r="G89" s="37">
        <f>IFERROR(VLOOKUP($B89,'MATRICE ARTICLE'!$A$2:$N$1395,14,FALSE),"")</f>
        <v>1.47</v>
      </c>
      <c r="H89" s="48">
        <f t="shared" si="6"/>
        <v>1.7380177499999998</v>
      </c>
      <c r="I89" s="48">
        <f t="shared" si="7"/>
        <v>0.75314102500000002</v>
      </c>
    </row>
    <row r="90" spans="1:9">
      <c r="A90" s="37" t="str">
        <v xml:space="preserve">Lisse d'implantation 45x150mm cl3 </v>
      </c>
      <c r="B90" s="57" t="str">
        <f t="shared" si="4"/>
        <v xml:space="preserve">Lisse d'implantation 45x150mm cl3 </v>
      </c>
      <c r="C90" s="57"/>
      <c r="D90" s="37" t="str">
        <f>IFERROR(VLOOKUP($B90,'MATRICE ARTICLE'!$A$2:$N$1395,2,FALSE),"")</f>
        <v>ml</v>
      </c>
      <c r="E90" s="37">
        <f t="shared" si="5"/>
        <v>8.2081999999999979</v>
      </c>
      <c r="F90" s="37">
        <f>IFERROR(VLOOKUP($B90,'MATRICE ARTICLE'!$A$2:$N$1395,9,FALSE),"")</f>
        <v>4.2699999999999996</v>
      </c>
      <c r="G90" s="37">
        <f>IFERROR(VLOOKUP($B90,'MATRICE ARTICLE'!$A$2:$N$1395,14,FALSE),"")</f>
        <v>1.47</v>
      </c>
      <c r="H90" s="48">
        <f t="shared" si="6"/>
        <v>1.7219999999999998</v>
      </c>
      <c r="I90" s="48">
        <f t="shared" si="7"/>
        <v>0.74619999999999997</v>
      </c>
    </row>
    <row r="91" spans="1:9">
      <c r="A91" s="37" t="str">
        <v>Lisse d'implantation 45x150mm cl3 + fixations et bande bitumineuse</v>
      </c>
      <c r="B91" s="57" t="str">
        <f t="shared" si="4"/>
        <v>Lisse d'implantation 45x150mm cl3 + fixations et bande bitumineuse</v>
      </c>
      <c r="C91" s="57"/>
      <c r="D91" s="37" t="str">
        <f>IFERROR(VLOOKUP($B91,'MATRICE ARTICLE'!$A$2:$N$1395,2,FALSE),"")</f>
        <v>ml</v>
      </c>
      <c r="E91" s="37">
        <f t="shared" si="5"/>
        <v>16.9026</v>
      </c>
      <c r="F91" s="37">
        <f>IFERROR(VLOOKUP($B91,'MATRICE ARTICLE'!$A$2:$N$1395,9,FALSE),"")</f>
        <v>10.35</v>
      </c>
      <c r="G91" s="37">
        <f>IFERROR(VLOOKUP($B91,'MATRICE ARTICLE'!$A$2:$N$1395,14,FALSE),"")</f>
        <v>1.47</v>
      </c>
      <c r="H91" s="48">
        <f t="shared" si="6"/>
        <v>3.5459999999999998</v>
      </c>
      <c r="I91" s="48">
        <f t="shared" si="7"/>
        <v>1.5366</v>
      </c>
    </row>
    <row r="92" spans="1:9">
      <c r="A92" s="37" t="str">
        <v>Lisse d'implantation 45x100mm cl3 + fixations et bande bitumineuse</v>
      </c>
      <c r="B92" s="57" t="str">
        <f t="shared" si="4"/>
        <v>Lisse d'implantation 45x100mm cl3 + fixations et bande bitumineuse</v>
      </c>
      <c r="C92" s="57"/>
      <c r="D92" s="37" t="str">
        <f>IFERROR(VLOOKUP($B92,'MATRICE ARTICLE'!$A$2:$N$1395,2,FALSE),"")</f>
        <v>ml</v>
      </c>
      <c r="E92" s="37">
        <f t="shared" si="5"/>
        <v>16.9026</v>
      </c>
      <c r="F92" s="37">
        <f>IFERROR(VLOOKUP($B92,'MATRICE ARTICLE'!$A$2:$N$1395,9,FALSE),"")</f>
        <v>10.35</v>
      </c>
      <c r="G92" s="37">
        <f>IFERROR(VLOOKUP($B92,'MATRICE ARTICLE'!$A$2:$N$1395,14,FALSE),"")</f>
        <v>1.47</v>
      </c>
      <c r="H92" s="48">
        <f t="shared" si="6"/>
        <v>3.5459999999999998</v>
      </c>
      <c r="I92" s="48">
        <f t="shared" si="7"/>
        <v>1.5366</v>
      </c>
    </row>
    <row r="93" spans="1:9">
      <c r="A93" s="37" t="str">
        <v>Lisse d'implantation 45x100mm cl3 + fixations et bande bitumineuse avec entailles /1,2m</v>
      </c>
      <c r="B93" s="57" t="str">
        <f t="shared" si="4"/>
        <v>Lisse d'implantation 45x100mm cl3 + fixations et bande bitumineuse avec entailles /1,2m</v>
      </c>
      <c r="C93" s="57"/>
      <c r="D93" s="37" t="str">
        <f>IFERROR(VLOOKUP($B93,'MATRICE ARTICLE'!$A$2:$N$1395,2,FALSE),"")</f>
        <v>ml</v>
      </c>
      <c r="E93" s="37">
        <f t="shared" si="5"/>
        <v>19.519499999999997</v>
      </c>
      <c r="F93" s="37">
        <f>IFERROR(VLOOKUP($B93,'MATRICE ARTICLE'!$A$2:$N$1395,9,FALSE),"")</f>
        <v>10.35</v>
      </c>
      <c r="G93" s="37">
        <f>IFERROR(VLOOKUP($B93,'MATRICE ARTICLE'!$A$2:$N$1395,14,FALSE),"")</f>
        <v>3.3</v>
      </c>
      <c r="H93" s="48">
        <f t="shared" si="6"/>
        <v>4.0949999999999998</v>
      </c>
      <c r="I93" s="48">
        <f t="shared" si="7"/>
        <v>1.7744999999999997</v>
      </c>
    </row>
    <row r="94" spans="1:9">
      <c r="A94" s="37" t="str">
        <v>Bande bitumineuse pour lisse d'implantation et fixation</v>
      </c>
      <c r="B94" s="57" t="str">
        <f t="shared" si="4"/>
        <v>Bande bitumineuse pour lisse d'implantation et fixation</v>
      </c>
      <c r="C94" s="57"/>
      <c r="D94" s="37" t="str">
        <f>IFERROR(VLOOKUP($B94,'MATRICE ARTICLE'!$A$2:$N$1395,2,FALSE),"")</f>
        <v>ml</v>
      </c>
      <c r="E94" s="37">
        <f t="shared" si="5"/>
        <v>8.6943999999999999</v>
      </c>
      <c r="F94" s="37">
        <f>IFERROR(VLOOKUP($B94,'MATRICE ARTICLE'!$A$2:$N$1395,9,FALSE),"")</f>
        <v>6.08</v>
      </c>
      <c r="G94" s="37">
        <f>IFERROR(VLOOKUP($B94,'MATRICE ARTICLE'!$A$2:$N$1395,14,FALSE),"")</f>
        <v>0</v>
      </c>
      <c r="H94" s="48">
        <f t="shared" si="6"/>
        <v>1.8239999999999998</v>
      </c>
      <c r="I94" s="48">
        <f t="shared" si="7"/>
        <v>0.79039999999999999</v>
      </c>
    </row>
    <row r="95" spans="1:9">
      <c r="A95" s="37" t="str">
        <v>Polystiren 40 mm colle et visse avec rousace</v>
      </c>
      <c r="B95" s="57" t="str">
        <f t="shared" si="4"/>
        <v>Polystiren 40 mm colle et visse avec rousace</v>
      </c>
      <c r="C95" s="57"/>
      <c r="D95" s="37" t="str">
        <f>IFERROR(VLOOKUP($B95,'MATRICE ARTICLE'!$A$2:$N$1395,2,FALSE),"")</f>
        <v>m2</v>
      </c>
      <c r="E95" s="37">
        <f t="shared" si="5"/>
        <v>13.556399999999998</v>
      </c>
      <c r="F95" s="37">
        <f>IFERROR(VLOOKUP($B95,'MATRICE ARTICLE'!$A$2:$N$1395,9,FALSE),"")</f>
        <v>8.7099999999999991</v>
      </c>
      <c r="G95" s="37">
        <f>IFERROR(VLOOKUP($B95,'MATRICE ARTICLE'!$A$2:$N$1395,14,FALSE),"")</f>
        <v>0.77</v>
      </c>
      <c r="H95" s="48">
        <f t="shared" si="6"/>
        <v>2.8439999999999994</v>
      </c>
      <c r="I95" s="48">
        <f t="shared" si="7"/>
        <v>1.2323999999999999</v>
      </c>
    </row>
    <row r="96" spans="1:9">
      <c r="A96" s="37" t="str">
        <v>Knauf Diamant 12,5 mm</v>
      </c>
      <c r="B96" s="57" t="str">
        <f t="shared" si="4"/>
        <v>Knauf Diamant 12,5 mm</v>
      </c>
      <c r="C96" s="57"/>
      <c r="D96" s="37" t="str">
        <f>IFERROR(VLOOKUP($B96,'MATRICE ARTICLE'!$A$2:$N$1395,2,FALSE),"")</f>
        <v>m2</v>
      </c>
      <c r="E96" s="37">
        <f t="shared" si="5"/>
        <v>20.062899999999996</v>
      </c>
      <c r="F96" s="37">
        <f>IFERROR(VLOOKUP($B96,'MATRICE ARTICLE'!$A$2:$N$1395,9,FALSE),"")</f>
        <v>13.029999999999998</v>
      </c>
      <c r="G96" s="37">
        <f>IFERROR(VLOOKUP($B96,'MATRICE ARTICLE'!$A$2:$N$1395,14,FALSE),"")</f>
        <v>1</v>
      </c>
      <c r="H96" s="48">
        <f t="shared" si="6"/>
        <v>4.2089999999999987</v>
      </c>
      <c r="I96" s="48">
        <f t="shared" si="7"/>
        <v>1.8238999999999999</v>
      </c>
    </row>
    <row r="97" spans="1:9">
      <c r="A97" s="37" t="str">
        <v>Laine de verre 50 mm</v>
      </c>
      <c r="B97" s="57" t="str">
        <f t="shared" si="4"/>
        <v>Laine de verre 50 mm</v>
      </c>
      <c r="C97" s="57"/>
      <c r="D97" s="37" t="str">
        <f>IFERROR(VLOOKUP($B97,'MATRICE ARTICLE'!$A$2:$N$1395,2,FALSE),"")</f>
        <v>m2</v>
      </c>
      <c r="E97" s="37">
        <f t="shared" si="5"/>
        <v>2.8742999999999994</v>
      </c>
      <c r="F97" s="37">
        <f>IFERROR(VLOOKUP($B97,'MATRICE ARTICLE'!$A$2:$N$1395,9,FALSE),"")</f>
        <v>1.29</v>
      </c>
      <c r="G97" s="37">
        <f>IFERROR(VLOOKUP($B97,'MATRICE ARTICLE'!$A$2:$N$1395,14,FALSE),"")</f>
        <v>0.72</v>
      </c>
      <c r="H97" s="48">
        <f t="shared" si="6"/>
        <v>0.60299999999999987</v>
      </c>
      <c r="I97" s="48">
        <f t="shared" si="7"/>
        <v>0.26129999999999998</v>
      </c>
    </row>
    <row r="98" spans="1:9">
      <c r="A98" s="37" t="str">
        <v>Boite electrique + gaine 3m</v>
      </c>
      <c r="B98" s="57" t="str">
        <f t="shared" si="4"/>
        <v>Boite electrique + gaine 3m</v>
      </c>
      <c r="C98" s="57"/>
      <c r="D98" s="37" t="str">
        <f>IFERROR(VLOOKUP($B98,'MATRICE ARTICLE'!$A$2:$N$1395,2,FALSE),"")</f>
        <v>u</v>
      </c>
      <c r="E98" s="37">
        <f t="shared" si="5"/>
        <v>7.7791999999999994</v>
      </c>
      <c r="F98" s="37">
        <f>IFERROR(VLOOKUP($B98,'MATRICE ARTICLE'!$A$2:$N$1395,9,FALSE),"")</f>
        <v>2.44</v>
      </c>
      <c r="G98" s="37">
        <f>IFERROR(VLOOKUP($B98,'MATRICE ARTICLE'!$A$2:$N$1395,14,FALSE),"")</f>
        <v>3</v>
      </c>
      <c r="H98" s="48">
        <f t="shared" si="6"/>
        <v>1.6319999999999999</v>
      </c>
      <c r="I98" s="48">
        <f t="shared" si="7"/>
        <v>0.70719999999999994</v>
      </c>
    </row>
    <row r="99" spans="1:9">
      <c r="A99" s="37" t="str">
        <v>Pignon</v>
      </c>
      <c r="B99" s="57" t="str">
        <f t="shared" si="4"/>
        <v>Pignon</v>
      </c>
      <c r="C99" s="57"/>
      <c r="D99" s="37" t="str">
        <f>IFERROR(VLOOKUP($B99,'MATRICE ARTICLE'!$A$2:$N$1395,2,FALSE),"")</f>
        <v>m2</v>
      </c>
      <c r="E99" s="37">
        <f t="shared" si="5"/>
        <v>17.703400000000002</v>
      </c>
      <c r="F99" s="37">
        <f>IFERROR(VLOOKUP($B99,'MATRICE ARTICLE'!$A$2:$N$1395,9,FALSE),"")</f>
        <v>0</v>
      </c>
      <c r="G99" s="37">
        <f>IFERROR(VLOOKUP($B99,'MATRICE ARTICLE'!$A$2:$N$1395,14,FALSE),"")</f>
        <v>12.38</v>
      </c>
      <c r="H99" s="48">
        <f t="shared" si="6"/>
        <v>3.714</v>
      </c>
      <c r="I99" s="48">
        <f t="shared" si="7"/>
        <v>1.6094000000000002</v>
      </c>
    </row>
    <row r="100" spans="1:9">
      <c r="A100" s="37" t="str">
        <v xml:space="preserve">Mannequins - coffrage </v>
      </c>
      <c r="B100" s="57" t="str">
        <f t="shared" si="4"/>
        <v xml:space="preserve">Mannequins - coffrage </v>
      </c>
      <c r="C100" s="57"/>
      <c r="D100" s="37" t="str">
        <f>IFERROR(VLOOKUP($B100,'MATRICE ARTICLE'!$A$2:$N$1395,2,FALSE),"")</f>
        <v>u</v>
      </c>
      <c r="E100" s="37">
        <f t="shared" si="5"/>
        <v>27.098499999999998</v>
      </c>
      <c r="F100" s="37">
        <f>IFERROR(VLOOKUP($B100,'MATRICE ARTICLE'!$A$2:$N$1395,9,FALSE),"")</f>
        <v>14.82</v>
      </c>
      <c r="G100" s="37">
        <f>IFERROR(VLOOKUP($B100,'MATRICE ARTICLE'!$A$2:$N$1395,14,FALSE),"")</f>
        <v>4.13</v>
      </c>
      <c r="H100" s="48">
        <f t="shared" si="6"/>
        <v>5.6849999999999996</v>
      </c>
      <c r="I100" s="48">
        <f t="shared" si="7"/>
        <v>2.4634999999999998</v>
      </c>
    </row>
    <row r="101" spans="1:9">
      <c r="A101" s="37" t="str">
        <v>Bois support 750x100x45 mm</v>
      </c>
      <c r="B101" s="57" t="str">
        <f t="shared" si="4"/>
        <v>Bois support 750x100x45 mm</v>
      </c>
      <c r="C101" s="57"/>
      <c r="D101" s="37" t="str">
        <f>IFERROR(VLOOKUP($B101,'MATRICE ARTICLE'!$A$2:$N$1395,2,FALSE),"")</f>
        <v>u</v>
      </c>
      <c r="E101" s="37">
        <f t="shared" si="5"/>
        <v>1.9590999999999998</v>
      </c>
      <c r="F101" s="37">
        <f>IFERROR(VLOOKUP($B101,'MATRICE ARTICLE'!$A$2:$N$1395,9,FALSE),"")</f>
        <v>1.3699999999999999</v>
      </c>
      <c r="G101" s="37">
        <f>IFERROR(VLOOKUP($B101,'MATRICE ARTICLE'!$A$2:$N$1395,14,FALSE),"")</f>
        <v>0</v>
      </c>
      <c r="H101" s="48">
        <f t="shared" si="6"/>
        <v>0.41099999999999998</v>
      </c>
      <c r="I101" s="48">
        <f t="shared" si="7"/>
        <v>0.17810000000000001</v>
      </c>
    </row>
    <row r="102" spans="1:9">
      <c r="A102" s="37" t="str">
        <v>Mannequins - coffrage OSB 22 mm 2500x500 mm</v>
      </c>
      <c r="B102" s="57" t="str">
        <f t="shared" si="4"/>
        <v>Mannequins - coffrage OSB 22 mm 2500x500 mm</v>
      </c>
      <c r="C102" s="57"/>
      <c r="D102" s="37" t="str">
        <f>IFERROR(VLOOKUP($B102,'MATRICE ARTICLE'!$A$2:$N$1395,2,FALSE),"")</f>
        <v>u</v>
      </c>
      <c r="E102" s="37">
        <f t="shared" si="5"/>
        <v>14.914899999999999</v>
      </c>
      <c r="F102" s="37">
        <f>IFERROR(VLOOKUP($B102,'MATRICE ARTICLE'!$A$2:$N$1395,9,FALSE),"")</f>
        <v>10.43</v>
      </c>
      <c r="G102" s="37">
        <f>IFERROR(VLOOKUP($B102,'MATRICE ARTICLE'!$A$2:$N$1395,14,FALSE),"")</f>
        <v>0</v>
      </c>
      <c r="H102" s="48">
        <f t="shared" si="6"/>
        <v>3.129</v>
      </c>
      <c r="I102" s="48">
        <f t="shared" si="7"/>
        <v>1.3559000000000001</v>
      </c>
    </row>
    <row r="103" spans="1:9">
      <c r="A103" s="37" t="str">
        <v>Supports murs</v>
      </c>
      <c r="B103" s="57" t="str">
        <f t="shared" si="4"/>
        <v>Supports murs</v>
      </c>
      <c r="C103" s="57"/>
      <c r="D103" s="37" t="str">
        <f>IFERROR(VLOOKUP($B103,'MATRICE ARTICLE'!$A$2:$N$1395,2,FALSE),"")</f>
        <v>u</v>
      </c>
      <c r="E103" s="37">
        <f t="shared" si="5"/>
        <v>159.79749499999997</v>
      </c>
      <c r="F103" s="37">
        <f>IFERROR(VLOOKUP($B103,'MATRICE ARTICLE'!$A$2:$N$1395,9,FALSE),"")</f>
        <v>75.996499999999997</v>
      </c>
      <c r="G103" s="37">
        <f>IFERROR(VLOOKUP($B103,'MATRICE ARTICLE'!$A$2:$N$1395,14,FALSE),"")</f>
        <v>35.75</v>
      </c>
      <c r="H103" s="48">
        <f t="shared" si="6"/>
        <v>33.523949999999999</v>
      </c>
      <c r="I103" s="48">
        <f t="shared" si="7"/>
        <v>14.527044999999999</v>
      </c>
    </row>
    <row r="104" spans="1:9">
      <c r="A104" s="37" t="str">
        <v>Bardage horizontal cl4</v>
      </c>
      <c r="B104" s="57" t="str">
        <f t="shared" si="4"/>
        <v>Bardage horizontal cl4</v>
      </c>
      <c r="C104" s="57"/>
      <c r="D104" s="37" t="str">
        <f>IFERROR(VLOOKUP($B104,'MATRICE ARTICLE'!$A$2:$N$1395,2,FALSE),"")</f>
        <v>m2</v>
      </c>
      <c r="E104" s="37">
        <f t="shared" si="5"/>
        <v>29.372199999999999</v>
      </c>
      <c r="F104" s="37">
        <f>IFERROR(VLOOKUP($B104,'MATRICE ARTICLE'!$A$2:$N$1395,9,FALSE),"")</f>
        <v>17.52</v>
      </c>
      <c r="G104" s="37">
        <f>IFERROR(VLOOKUP($B104,'MATRICE ARTICLE'!$A$2:$N$1395,14,FALSE),"")</f>
        <v>3.02</v>
      </c>
      <c r="H104" s="48">
        <f t="shared" si="6"/>
        <v>6.1619999999999999</v>
      </c>
      <c r="I104" s="48">
        <f t="shared" si="7"/>
        <v>2.6701999999999999</v>
      </c>
    </row>
    <row r="105" spans="1:9">
      <c r="B105" s="57" t="str">
        <f t="shared" si="4"/>
        <v/>
      </c>
      <c r="C105" s="57"/>
      <c r="D105" s="37" t="str">
        <f>IFERROR(VLOOKUP($B105,'MATRICE ARTICLE'!$A$2:$N$1395,2,FALSE),"")</f>
        <v/>
      </c>
      <c r="E105" s="37" t="str">
        <f t="shared" si="5"/>
        <v/>
      </c>
      <c r="F105" s="37" t="str">
        <f>IFERROR(VLOOKUP($B105,'MATRICE ARTICLE'!$A$2:$N$1395,9,FALSE),"")</f>
        <v/>
      </c>
      <c r="G105" s="37" t="str">
        <f>IFERROR(VLOOKUP($B105,'MATRICE ARTICLE'!$A$2:$N$1395,14,FALSE),"")</f>
        <v/>
      </c>
      <c r="H105" s="48" t="str">
        <f t="shared" si="6"/>
        <v/>
      </c>
      <c r="I105" s="48" t="str">
        <f t="shared" si="7"/>
        <v/>
      </c>
    </row>
    <row r="106" spans="1:9">
      <c r="B106" s="57" t="str">
        <f t="shared" si="4"/>
        <v/>
      </c>
      <c r="C106" s="57"/>
      <c r="D106" s="37" t="str">
        <f>IFERROR(VLOOKUP($B106,'MATRICE ARTICLE'!$A$2:$N$1395,2,FALSE),"")</f>
        <v/>
      </c>
      <c r="E106" s="37" t="str">
        <f t="shared" si="5"/>
        <v/>
      </c>
      <c r="F106" s="37" t="str">
        <f>IFERROR(VLOOKUP($B106,'MATRICE ARTICLE'!$A$2:$N$1395,9,FALSE),"")</f>
        <v/>
      </c>
      <c r="G106" s="37" t="str">
        <f>IFERROR(VLOOKUP($B106,'MATRICE ARTICLE'!$A$2:$N$1395,14,FALSE),"")</f>
        <v/>
      </c>
      <c r="H106" s="48" t="str">
        <f t="shared" si="6"/>
        <v/>
      </c>
      <c r="I106" s="48" t="str">
        <f t="shared" si="7"/>
        <v/>
      </c>
    </row>
    <row r="107" spans="1:9">
      <c r="B107" s="57" t="str">
        <f t="shared" si="4"/>
        <v/>
      </c>
      <c r="C107" s="57"/>
      <c r="D107" s="37" t="str">
        <f>IFERROR(VLOOKUP($B107,'MATRICE ARTICLE'!$A$2:$N$1395,2,FALSE),"")</f>
        <v/>
      </c>
      <c r="E107" s="37" t="str">
        <f t="shared" si="5"/>
        <v/>
      </c>
      <c r="F107" s="37" t="str">
        <f>IFERROR(VLOOKUP($B107,'MATRICE ARTICLE'!$A$2:$N$1395,9,FALSE),"")</f>
        <v/>
      </c>
      <c r="G107" s="37" t="str">
        <f>IFERROR(VLOOKUP($B107,'MATRICE ARTICLE'!$A$2:$N$1395,14,FALSE),"")</f>
        <v/>
      </c>
      <c r="H107" s="48" t="str">
        <f t="shared" si="6"/>
        <v/>
      </c>
      <c r="I107" s="48" t="str">
        <f t="shared" si="7"/>
        <v/>
      </c>
    </row>
    <row r="108" spans="1:9">
      <c r="B108" s="57" t="str">
        <f t="shared" si="4"/>
        <v/>
      </c>
      <c r="C108" s="57"/>
      <c r="D108" s="37" t="str">
        <f>IFERROR(VLOOKUP($B108,'MATRICE ARTICLE'!$A$2:$N$1395,2,FALSE),"")</f>
        <v/>
      </c>
      <c r="E108" s="37" t="str">
        <f t="shared" si="5"/>
        <v/>
      </c>
      <c r="F108" s="37" t="str">
        <f>IFERROR(VLOOKUP($B108,'MATRICE ARTICLE'!$A$2:$N$1395,9,FALSE),"")</f>
        <v/>
      </c>
      <c r="G108" s="37" t="str">
        <f>IFERROR(VLOOKUP($B108,'MATRICE ARTICLE'!$A$2:$N$1395,14,FALSE),"")</f>
        <v/>
      </c>
      <c r="H108" s="48" t="str">
        <f t="shared" si="6"/>
        <v/>
      </c>
      <c r="I108" s="48" t="str">
        <f t="shared" si="7"/>
        <v/>
      </c>
    </row>
    <row r="109" spans="1:9">
      <c r="B109" s="57" t="str">
        <f t="shared" si="4"/>
        <v/>
      </c>
      <c r="C109" s="57"/>
      <c r="D109" s="37" t="str">
        <f>IFERROR(VLOOKUP($B109,'MATRICE ARTICLE'!$A$2:$N$1395,2,FALSE),"")</f>
        <v/>
      </c>
      <c r="E109" s="37" t="str">
        <f t="shared" si="5"/>
        <v/>
      </c>
      <c r="F109" s="37" t="str">
        <f>IFERROR(VLOOKUP($B109,'MATRICE ARTICLE'!$A$2:$N$1395,9,FALSE),"")</f>
        <v/>
      </c>
      <c r="G109" s="37" t="str">
        <f>IFERROR(VLOOKUP($B109,'MATRICE ARTICLE'!$A$2:$N$1395,14,FALSE),"")</f>
        <v/>
      </c>
      <c r="H109" s="48" t="str">
        <f t="shared" si="6"/>
        <v/>
      </c>
      <c r="I109" s="48" t="str">
        <f t="shared" si="7"/>
        <v/>
      </c>
    </row>
    <row r="110" spans="1:9">
      <c r="B110" s="57" t="str">
        <f t="shared" si="4"/>
        <v/>
      </c>
      <c r="C110" s="57"/>
      <c r="D110" s="37" t="str">
        <f>IFERROR(VLOOKUP($B110,'MATRICE ARTICLE'!$A$2:$N$1395,2,FALSE),"")</f>
        <v/>
      </c>
      <c r="E110" s="37" t="str">
        <f t="shared" si="5"/>
        <v/>
      </c>
      <c r="F110" s="37" t="str">
        <f>IFERROR(VLOOKUP($B110,'MATRICE ARTICLE'!$A$2:$N$1395,9,FALSE),"")</f>
        <v/>
      </c>
      <c r="G110" s="37" t="str">
        <f>IFERROR(VLOOKUP($B110,'MATRICE ARTICLE'!$A$2:$N$1395,14,FALSE),"")</f>
        <v/>
      </c>
      <c r="H110" s="48" t="str">
        <f t="shared" si="6"/>
        <v/>
      </c>
      <c r="I110" s="48" t="str">
        <f t="shared" si="7"/>
        <v/>
      </c>
    </row>
    <row r="111" spans="1:9">
      <c r="B111" s="57" t="str">
        <f t="shared" si="4"/>
        <v/>
      </c>
      <c r="C111" s="57"/>
      <c r="D111" s="37" t="str">
        <f>IFERROR(VLOOKUP($B111,'MATRICE ARTICLE'!$A$2:$N$1395,2,FALSE),"")</f>
        <v/>
      </c>
      <c r="E111" s="37" t="str">
        <f t="shared" si="5"/>
        <v/>
      </c>
      <c r="F111" s="37" t="str">
        <f>IFERROR(VLOOKUP($B111,'MATRICE ARTICLE'!$A$2:$N$1395,9,FALSE),"")</f>
        <v/>
      </c>
      <c r="G111" s="37" t="str">
        <f>IFERROR(VLOOKUP($B111,'MATRICE ARTICLE'!$A$2:$N$1395,14,FALSE),"")</f>
        <v/>
      </c>
      <c r="H111" s="48" t="str">
        <f t="shared" si="6"/>
        <v/>
      </c>
      <c r="I111" s="48" t="str">
        <f t="shared" si="7"/>
        <v/>
      </c>
    </row>
    <row r="112" spans="1:9">
      <c r="B112" s="57" t="str">
        <f t="shared" si="4"/>
        <v/>
      </c>
      <c r="C112" s="57"/>
      <c r="D112" s="37" t="str">
        <f>IFERROR(VLOOKUP($B112,'MATRICE ARTICLE'!$A$2:$N$1395,2,FALSE),"")</f>
        <v/>
      </c>
      <c r="E112" s="37" t="str">
        <f t="shared" si="5"/>
        <v/>
      </c>
      <c r="F112" s="37" t="str">
        <f>IFERROR(VLOOKUP($B112,'MATRICE ARTICLE'!$A$2:$N$1395,9,FALSE),"")</f>
        <v/>
      </c>
      <c r="G112" s="37" t="str">
        <f>IFERROR(VLOOKUP($B112,'MATRICE ARTICLE'!$A$2:$N$1395,14,FALSE),"")</f>
        <v/>
      </c>
      <c r="H112" s="48" t="str">
        <f t="shared" si="6"/>
        <v/>
      </c>
      <c r="I112" s="48" t="str">
        <f t="shared" si="7"/>
        <v/>
      </c>
    </row>
    <row r="113" spans="2:9">
      <c r="B113" s="57" t="str">
        <f t="shared" si="4"/>
        <v/>
      </c>
      <c r="C113" s="57"/>
      <c r="D113" s="37" t="str">
        <f>IFERROR(VLOOKUP($B113,'MATRICE ARTICLE'!$A$2:$N$1395,2,FALSE),"")</f>
        <v/>
      </c>
      <c r="E113" s="37" t="str">
        <f t="shared" si="5"/>
        <v/>
      </c>
      <c r="F113" s="37" t="str">
        <f>IFERROR(VLOOKUP($B113,'MATRICE ARTICLE'!$A$2:$N$1395,9,FALSE),"")</f>
        <v/>
      </c>
      <c r="G113" s="37" t="str">
        <f>IFERROR(VLOOKUP($B113,'MATRICE ARTICLE'!$A$2:$N$1395,14,FALSE),"")</f>
        <v/>
      </c>
      <c r="H113" s="48" t="str">
        <f t="shared" si="6"/>
        <v/>
      </c>
      <c r="I113" s="48" t="str">
        <f t="shared" si="7"/>
        <v/>
      </c>
    </row>
    <row r="114" spans="2:9">
      <c r="B114" s="57" t="str">
        <f t="shared" si="4"/>
        <v/>
      </c>
      <c r="C114" s="57"/>
      <c r="D114" s="37" t="str">
        <f>IFERROR(VLOOKUP($B114,'MATRICE ARTICLE'!$A$2:$N$1395,2,FALSE),"")</f>
        <v/>
      </c>
      <c r="E114" s="37" t="str">
        <f t="shared" si="5"/>
        <v/>
      </c>
      <c r="F114" s="37" t="str">
        <f>IFERROR(VLOOKUP($B114,'MATRICE ARTICLE'!$A$2:$N$1395,9,FALSE),"")</f>
        <v/>
      </c>
      <c r="G114" s="37" t="str">
        <f>IFERROR(VLOOKUP($B114,'MATRICE ARTICLE'!$A$2:$N$1395,14,FALSE),"")</f>
        <v/>
      </c>
      <c r="H114" s="48" t="str">
        <f t="shared" si="6"/>
        <v/>
      </c>
      <c r="I114" s="48" t="str">
        <f t="shared" si="7"/>
        <v/>
      </c>
    </row>
    <row r="115" spans="2:9">
      <c r="B115" s="57" t="str">
        <f t="shared" si="4"/>
        <v/>
      </c>
      <c r="C115" s="57"/>
      <c r="D115" s="37" t="str">
        <f>IFERROR(VLOOKUP($B115,'MATRICE ARTICLE'!$A$2:$N$1395,2,FALSE),"")</f>
        <v/>
      </c>
      <c r="E115" s="37" t="str">
        <f t="shared" si="5"/>
        <v/>
      </c>
      <c r="F115" s="37" t="str">
        <f>IFERROR(VLOOKUP($B115,'MATRICE ARTICLE'!$A$2:$N$1395,9,FALSE),"")</f>
        <v/>
      </c>
      <c r="G115" s="37" t="str">
        <f>IFERROR(VLOOKUP($B115,'MATRICE ARTICLE'!$A$2:$N$1395,14,FALSE),"")</f>
        <v/>
      </c>
      <c r="H115" s="48" t="str">
        <f t="shared" si="6"/>
        <v/>
      </c>
      <c r="I115" s="48" t="str">
        <f t="shared" si="7"/>
        <v/>
      </c>
    </row>
    <row r="116" spans="2:9">
      <c r="B116" s="57" t="str">
        <f t="shared" si="4"/>
        <v/>
      </c>
      <c r="C116" s="57"/>
      <c r="D116" s="37" t="str">
        <f>IFERROR(VLOOKUP($B116,'MATRICE ARTICLE'!$A$2:$N$1395,2,FALSE),"")</f>
        <v/>
      </c>
      <c r="E116" s="37" t="str">
        <f t="shared" si="5"/>
        <v/>
      </c>
      <c r="F116" s="37" t="str">
        <f>IFERROR(VLOOKUP($B116,'MATRICE ARTICLE'!$A$2:$N$1395,9,FALSE),"")</f>
        <v/>
      </c>
      <c r="G116" s="37" t="str">
        <f>IFERROR(VLOOKUP($B116,'MATRICE ARTICLE'!$A$2:$N$1395,14,FALSE),"")</f>
        <v/>
      </c>
      <c r="H116" s="48" t="str">
        <f t="shared" si="6"/>
        <v/>
      </c>
      <c r="I116" s="48" t="str">
        <f t="shared" si="7"/>
        <v/>
      </c>
    </row>
    <row r="117" spans="2:9">
      <c r="B117" s="57" t="str">
        <f t="shared" si="4"/>
        <v/>
      </c>
      <c r="C117" s="57"/>
      <c r="D117" s="37" t="str">
        <f>IFERROR(VLOOKUP($B117,'MATRICE ARTICLE'!$A$2:$N$1395,2,FALSE),"")</f>
        <v/>
      </c>
      <c r="E117" s="37" t="str">
        <f t="shared" si="5"/>
        <v/>
      </c>
      <c r="F117" s="37" t="str">
        <f>IFERROR(VLOOKUP($B117,'MATRICE ARTICLE'!$A$2:$N$1395,9,FALSE),"")</f>
        <v/>
      </c>
      <c r="G117" s="37" t="str">
        <f>IFERROR(VLOOKUP($B117,'MATRICE ARTICLE'!$A$2:$N$1395,14,FALSE),"")</f>
        <v/>
      </c>
      <c r="H117" s="48" t="str">
        <f t="shared" si="6"/>
        <v/>
      </c>
      <c r="I117" s="48" t="str">
        <f t="shared" si="7"/>
        <v/>
      </c>
    </row>
    <row r="118" spans="2:9">
      <c r="B118" s="57" t="str">
        <f t="shared" si="4"/>
        <v/>
      </c>
      <c r="C118" s="57"/>
      <c r="D118" s="37" t="str">
        <f>IFERROR(VLOOKUP($B118,'MATRICE ARTICLE'!$A$2:$N$1395,2,FALSE),"")</f>
        <v/>
      </c>
      <c r="E118" s="37" t="str">
        <f t="shared" si="5"/>
        <v/>
      </c>
      <c r="F118" s="37" t="str">
        <f>IFERROR(VLOOKUP($B118,'MATRICE ARTICLE'!$A$2:$N$1395,9,FALSE),"")</f>
        <v/>
      </c>
      <c r="G118" s="37" t="str">
        <f>IFERROR(VLOOKUP($B118,'MATRICE ARTICLE'!$A$2:$N$1395,14,FALSE),"")</f>
        <v/>
      </c>
      <c r="H118" s="48" t="str">
        <f t="shared" si="6"/>
        <v/>
      </c>
      <c r="I118" s="48" t="str">
        <f t="shared" si="7"/>
        <v/>
      </c>
    </row>
    <row r="119" spans="2:9">
      <c r="B119" s="57" t="str">
        <f t="shared" si="4"/>
        <v/>
      </c>
      <c r="C119" s="57"/>
      <c r="D119" s="37" t="str">
        <f>IFERROR(VLOOKUP($B119,'MATRICE ARTICLE'!$A$2:$N$1395,2,FALSE),"")</f>
        <v/>
      </c>
      <c r="E119" s="37" t="str">
        <f t="shared" si="5"/>
        <v/>
      </c>
      <c r="F119" s="37" t="str">
        <f>IFERROR(VLOOKUP($B119,'MATRICE ARTICLE'!$A$2:$N$1395,9,FALSE),"")</f>
        <v/>
      </c>
      <c r="G119" s="37" t="str">
        <f>IFERROR(VLOOKUP($B119,'MATRICE ARTICLE'!$A$2:$N$1395,14,FALSE),"")</f>
        <v/>
      </c>
      <c r="H119" s="48" t="str">
        <f t="shared" si="6"/>
        <v/>
      </c>
      <c r="I119" s="48" t="str">
        <f t="shared" si="7"/>
        <v/>
      </c>
    </row>
    <row r="120" spans="2:9">
      <c r="B120" s="57" t="str">
        <f t="shared" si="4"/>
        <v/>
      </c>
      <c r="C120" s="57"/>
      <c r="D120" s="37" t="str">
        <f>IFERROR(VLOOKUP($B120,'MATRICE ARTICLE'!$A$2:$N$1395,2,FALSE),"")</f>
        <v/>
      </c>
      <c r="E120" s="37" t="str">
        <f t="shared" si="5"/>
        <v/>
      </c>
      <c r="F120" s="37" t="str">
        <f>IFERROR(VLOOKUP($B120,'MATRICE ARTICLE'!$A$2:$N$1395,9,FALSE),"")</f>
        <v/>
      </c>
      <c r="G120" s="37" t="str">
        <f>IFERROR(VLOOKUP($B120,'MATRICE ARTICLE'!$A$2:$N$1395,14,FALSE),"")</f>
        <v/>
      </c>
      <c r="H120" s="48" t="str">
        <f t="shared" si="6"/>
        <v/>
      </c>
      <c r="I120" s="48" t="str">
        <f t="shared" si="7"/>
        <v/>
      </c>
    </row>
    <row r="121" spans="2:9">
      <c r="B121" s="57" t="str">
        <f t="shared" si="4"/>
        <v/>
      </c>
      <c r="C121" s="57"/>
      <c r="D121" s="37" t="str">
        <f>IFERROR(VLOOKUP($B121,'MATRICE ARTICLE'!$A$2:$N$1395,2,FALSE),"")</f>
        <v/>
      </c>
      <c r="E121" s="37" t="str">
        <f t="shared" si="5"/>
        <v/>
      </c>
      <c r="F121" s="37" t="str">
        <f>IFERROR(VLOOKUP($B121,'MATRICE ARTICLE'!$A$2:$N$1395,9,FALSE),"")</f>
        <v/>
      </c>
      <c r="G121" s="37" t="str">
        <f>IFERROR(VLOOKUP($B121,'MATRICE ARTICLE'!$A$2:$N$1395,14,FALSE),"")</f>
        <v/>
      </c>
      <c r="H121" s="48" t="str">
        <f t="shared" si="6"/>
        <v/>
      </c>
      <c r="I121" s="48" t="str">
        <f t="shared" si="7"/>
        <v/>
      </c>
    </row>
    <row r="122" spans="2:9">
      <c r="B122" s="57" t="str">
        <f t="shared" si="4"/>
        <v/>
      </c>
      <c r="C122" s="57"/>
      <c r="D122" s="37" t="str">
        <f>IFERROR(VLOOKUP($B122,'MATRICE ARTICLE'!$A$2:$N$1395,2,FALSE),"")</f>
        <v/>
      </c>
      <c r="E122" s="37" t="str">
        <f t="shared" si="5"/>
        <v/>
      </c>
      <c r="F122" s="37" t="str">
        <f>IFERROR(VLOOKUP($B122,'MATRICE ARTICLE'!$A$2:$N$1395,9,FALSE),"")</f>
        <v/>
      </c>
      <c r="G122" s="37" t="str">
        <f>IFERROR(VLOOKUP($B122,'MATRICE ARTICLE'!$A$2:$N$1395,14,FALSE),"")</f>
        <v/>
      </c>
      <c r="H122" s="48" t="str">
        <f t="shared" si="6"/>
        <v/>
      </c>
      <c r="I122" s="48" t="str">
        <f t="shared" si="7"/>
        <v/>
      </c>
    </row>
    <row r="123" spans="2:9">
      <c r="B123" s="57" t="str">
        <f t="shared" si="4"/>
        <v/>
      </c>
      <c r="C123" s="57"/>
      <c r="D123" s="37" t="str">
        <f>IFERROR(VLOOKUP($B123,'MATRICE ARTICLE'!$A$2:$N$1395,2,FALSE),"")</f>
        <v/>
      </c>
      <c r="E123" s="37" t="str">
        <f t="shared" si="5"/>
        <v/>
      </c>
      <c r="F123" s="37" t="str">
        <f>IFERROR(VLOOKUP($B123,'MATRICE ARTICLE'!$A$2:$N$1395,9,FALSE),"")</f>
        <v/>
      </c>
      <c r="G123" s="37" t="str">
        <f>IFERROR(VLOOKUP($B123,'MATRICE ARTICLE'!$A$2:$N$1395,14,FALSE),"")</f>
        <v/>
      </c>
      <c r="H123" s="48" t="str">
        <f t="shared" si="6"/>
        <v/>
      </c>
      <c r="I123" s="48" t="str">
        <f t="shared" si="7"/>
        <v/>
      </c>
    </row>
    <row r="124" spans="2:9">
      <c r="B124" s="57" t="str">
        <f t="shared" si="4"/>
        <v/>
      </c>
      <c r="C124" s="57"/>
      <c r="D124" s="37" t="str">
        <f>IFERROR(VLOOKUP($B124,'MATRICE ARTICLE'!$A$2:$N$1395,2,FALSE),"")</f>
        <v/>
      </c>
      <c r="E124" s="37" t="str">
        <f t="shared" si="5"/>
        <v/>
      </c>
      <c r="F124" s="37" t="str">
        <f>IFERROR(VLOOKUP($B124,'MATRICE ARTICLE'!$A$2:$N$1395,9,FALSE),"")</f>
        <v/>
      </c>
      <c r="G124" s="37" t="str">
        <f>IFERROR(VLOOKUP($B124,'MATRICE ARTICLE'!$A$2:$N$1395,14,FALSE),"")</f>
        <v/>
      </c>
      <c r="H124" s="48" t="str">
        <f t="shared" si="6"/>
        <v/>
      </c>
      <c r="I124" s="48" t="str">
        <f t="shared" si="7"/>
        <v/>
      </c>
    </row>
    <row r="125" spans="2:9">
      <c r="B125" s="57" t="str">
        <f t="shared" si="4"/>
        <v/>
      </c>
      <c r="C125" s="57"/>
      <c r="D125" s="37" t="str">
        <f>IFERROR(VLOOKUP($B125,'MATRICE ARTICLE'!$A$2:$N$1395,2,FALSE),"")</f>
        <v/>
      </c>
      <c r="E125" s="37" t="str">
        <f t="shared" si="5"/>
        <v/>
      </c>
      <c r="F125" s="37" t="str">
        <f>IFERROR(VLOOKUP($B125,'MATRICE ARTICLE'!$A$2:$N$1395,9,FALSE),"")</f>
        <v/>
      </c>
      <c r="G125" s="37" t="str">
        <f>IFERROR(VLOOKUP($B125,'MATRICE ARTICLE'!$A$2:$N$1395,14,FALSE),"")</f>
        <v/>
      </c>
      <c r="H125" s="48" t="str">
        <f t="shared" si="6"/>
        <v/>
      </c>
      <c r="I125" s="48" t="str">
        <f t="shared" si="7"/>
        <v/>
      </c>
    </row>
    <row r="126" spans="2:9">
      <c r="B126" s="57" t="str">
        <f t="shared" si="4"/>
        <v/>
      </c>
      <c r="C126" s="57"/>
      <c r="D126" s="37" t="str">
        <f>IFERROR(VLOOKUP($B126,'MATRICE ARTICLE'!$A$2:$N$1395,2,FALSE),"")</f>
        <v/>
      </c>
      <c r="E126" s="37" t="str">
        <f t="shared" si="5"/>
        <v/>
      </c>
      <c r="F126" s="37" t="str">
        <f>IFERROR(VLOOKUP($B126,'MATRICE ARTICLE'!$A$2:$N$1395,9,FALSE),"")</f>
        <v/>
      </c>
      <c r="G126" s="37" t="str">
        <f>IFERROR(VLOOKUP($B126,'MATRICE ARTICLE'!$A$2:$N$1395,14,FALSE),"")</f>
        <v/>
      </c>
      <c r="H126" s="48" t="str">
        <f t="shared" si="6"/>
        <v/>
      </c>
      <c r="I126" s="48" t="str">
        <f t="shared" si="7"/>
        <v/>
      </c>
    </row>
    <row r="127" spans="2:9">
      <c r="B127" s="57" t="str">
        <f t="shared" si="4"/>
        <v/>
      </c>
      <c r="C127" s="57"/>
      <c r="D127" s="37" t="str">
        <f>IFERROR(VLOOKUP($B127,'MATRICE ARTICLE'!$A$2:$N$1395,2,FALSE),"")</f>
        <v/>
      </c>
      <c r="E127" s="37" t="str">
        <f t="shared" si="5"/>
        <v/>
      </c>
      <c r="F127" s="37" t="str">
        <f>IFERROR(VLOOKUP($B127,'MATRICE ARTICLE'!$A$2:$N$1395,9,FALSE),"")</f>
        <v/>
      </c>
      <c r="G127" s="37" t="str">
        <f>IFERROR(VLOOKUP($B127,'MATRICE ARTICLE'!$A$2:$N$1395,14,FALSE),"")</f>
        <v/>
      </c>
      <c r="H127" s="48" t="str">
        <f t="shared" si="6"/>
        <v/>
      </c>
      <c r="I127" s="48" t="str">
        <f t="shared" si="7"/>
        <v/>
      </c>
    </row>
    <row r="128" spans="2:9">
      <c r="B128" s="57" t="str">
        <f t="shared" si="4"/>
        <v/>
      </c>
      <c r="C128" s="57"/>
      <c r="D128" s="37" t="str">
        <f>IFERROR(VLOOKUP($B128,'MATRICE ARTICLE'!$A$2:$N$1395,2,FALSE),"")</f>
        <v/>
      </c>
      <c r="E128" s="37" t="str">
        <f t="shared" si="5"/>
        <v/>
      </c>
      <c r="F128" s="37" t="str">
        <f>IFERROR(VLOOKUP($B128,'MATRICE ARTICLE'!$A$2:$N$1395,9,FALSE),"")</f>
        <v/>
      </c>
      <c r="G128" s="37" t="str">
        <f>IFERROR(VLOOKUP($B128,'MATRICE ARTICLE'!$A$2:$N$1395,14,FALSE),"")</f>
        <v/>
      </c>
      <c r="H128" s="48" t="str">
        <f t="shared" si="6"/>
        <v/>
      </c>
      <c r="I128" s="48" t="str">
        <f t="shared" si="7"/>
        <v/>
      </c>
    </row>
    <row r="129" spans="2:9">
      <c r="B129" s="57" t="str">
        <f t="shared" si="4"/>
        <v/>
      </c>
      <c r="C129" s="57"/>
      <c r="D129" s="37" t="str">
        <f>IFERROR(VLOOKUP($B129,'MATRICE ARTICLE'!$A$2:$N$1395,2,FALSE),"")</f>
        <v/>
      </c>
      <c r="E129" s="37" t="str">
        <f t="shared" si="5"/>
        <v/>
      </c>
      <c r="F129" s="37" t="str">
        <f>IFERROR(VLOOKUP($B129,'MATRICE ARTICLE'!$A$2:$N$1395,9,FALSE),"")</f>
        <v/>
      </c>
      <c r="G129" s="37" t="str">
        <f>IFERROR(VLOOKUP($B129,'MATRICE ARTICLE'!$A$2:$N$1395,14,FALSE),"")</f>
        <v/>
      </c>
      <c r="H129" s="48" t="str">
        <f t="shared" si="6"/>
        <v/>
      </c>
      <c r="I129" s="48" t="str">
        <f t="shared" si="7"/>
        <v/>
      </c>
    </row>
    <row r="130" spans="2:9">
      <c r="B130" s="57" t="str">
        <f t="shared" si="4"/>
        <v/>
      </c>
      <c r="C130" s="57"/>
      <c r="D130" s="37" t="str">
        <f>IFERROR(VLOOKUP($B130,'MATRICE ARTICLE'!$A$2:$N$1395,2,FALSE),"")</f>
        <v/>
      </c>
      <c r="E130" s="37" t="str">
        <f t="shared" si="5"/>
        <v/>
      </c>
      <c r="F130" s="37" t="str">
        <f>IFERROR(VLOOKUP($B130,'MATRICE ARTICLE'!$A$2:$N$1395,9,FALSE),"")</f>
        <v/>
      </c>
      <c r="G130" s="37" t="str">
        <f>IFERROR(VLOOKUP($B130,'MATRICE ARTICLE'!$A$2:$N$1395,14,FALSE),"")</f>
        <v/>
      </c>
      <c r="H130" s="48" t="str">
        <f t="shared" si="6"/>
        <v/>
      </c>
      <c r="I130" s="48" t="str">
        <f t="shared" si="7"/>
        <v/>
      </c>
    </row>
    <row r="131" spans="2:9">
      <c r="B131" s="57" t="str">
        <f t="shared" ref="B131:B194" si="8">IF(A131=0,"",A131)</f>
        <v/>
      </c>
      <c r="C131" s="57"/>
      <c r="D131" s="37" t="str">
        <f>IFERROR(VLOOKUP($B131,'MATRICE ARTICLE'!$A$2:$N$1395,2,FALSE),"")</f>
        <v/>
      </c>
      <c r="E131" s="37" t="str">
        <f t="shared" ref="E131:E194" si="9">IF(SUM(F131:I131)=0,"",SUM(F131:I131))</f>
        <v/>
      </c>
      <c r="F131" s="37" t="str">
        <f>IFERROR(VLOOKUP($B131,'MATRICE ARTICLE'!$A$2:$N$1395,9,FALSE),"")</f>
        <v/>
      </c>
      <c r="G131" s="37" t="str">
        <f>IFERROR(VLOOKUP($B131,'MATRICE ARTICLE'!$A$2:$N$1395,14,FALSE),"")</f>
        <v/>
      </c>
      <c r="H131" s="48" t="str">
        <f t="shared" ref="H131:H194" si="10">IF(SUM(F131:G131)*$H$1=0,"",SUM(F131:G131)*$H$1)</f>
        <v/>
      </c>
      <c r="I131" s="48" t="str">
        <f t="shared" ref="I131:I194" si="11">IF(SUM(F131:H131)*$I$1=0,"",SUM(F131:H131)*$I$1)</f>
        <v/>
      </c>
    </row>
    <row r="132" spans="2:9">
      <c r="B132" s="57" t="str">
        <f t="shared" si="8"/>
        <v/>
      </c>
      <c r="C132" s="57"/>
      <c r="D132" s="37" t="str">
        <f>IFERROR(VLOOKUP($B132,'MATRICE ARTICLE'!$A$2:$N$1395,2,FALSE),"")</f>
        <v/>
      </c>
      <c r="E132" s="37" t="str">
        <f t="shared" si="9"/>
        <v/>
      </c>
      <c r="F132" s="37" t="str">
        <f>IFERROR(VLOOKUP($B132,'MATRICE ARTICLE'!$A$2:$N$1395,9,FALSE),"")</f>
        <v/>
      </c>
      <c r="G132" s="37" t="str">
        <f>IFERROR(VLOOKUP($B132,'MATRICE ARTICLE'!$A$2:$N$1395,14,FALSE),"")</f>
        <v/>
      </c>
      <c r="H132" s="48" t="str">
        <f t="shared" si="10"/>
        <v/>
      </c>
      <c r="I132" s="48" t="str">
        <f t="shared" si="11"/>
        <v/>
      </c>
    </row>
    <row r="133" spans="2:9">
      <c r="B133" s="57" t="str">
        <f t="shared" si="8"/>
        <v/>
      </c>
      <c r="C133" s="57"/>
      <c r="D133" s="37" t="str">
        <f>IFERROR(VLOOKUP($B133,'MATRICE ARTICLE'!$A$2:$N$1395,2,FALSE),"")</f>
        <v/>
      </c>
      <c r="E133" s="37" t="str">
        <f t="shared" si="9"/>
        <v/>
      </c>
      <c r="F133" s="37" t="str">
        <f>IFERROR(VLOOKUP($B133,'MATRICE ARTICLE'!$A$2:$N$1395,9,FALSE),"")</f>
        <v/>
      </c>
      <c r="G133" s="37" t="str">
        <f>IFERROR(VLOOKUP($B133,'MATRICE ARTICLE'!$A$2:$N$1395,14,FALSE),"")</f>
        <v/>
      </c>
      <c r="H133" s="48" t="str">
        <f t="shared" si="10"/>
        <v/>
      </c>
      <c r="I133" s="48" t="str">
        <f t="shared" si="11"/>
        <v/>
      </c>
    </row>
    <row r="134" spans="2:9">
      <c r="B134" s="57" t="str">
        <f t="shared" si="8"/>
        <v/>
      </c>
      <c r="C134" s="57"/>
      <c r="D134" s="37" t="str">
        <f>IFERROR(VLOOKUP($B134,'MATRICE ARTICLE'!$A$2:$N$1395,2,FALSE),"")</f>
        <v/>
      </c>
      <c r="E134" s="37" t="str">
        <f t="shared" si="9"/>
        <v/>
      </c>
      <c r="F134" s="37" t="str">
        <f>IFERROR(VLOOKUP($B134,'MATRICE ARTICLE'!$A$2:$N$1395,9,FALSE),"")</f>
        <v/>
      </c>
      <c r="G134" s="37" t="str">
        <f>IFERROR(VLOOKUP($B134,'MATRICE ARTICLE'!$A$2:$N$1395,14,FALSE),"")</f>
        <v/>
      </c>
      <c r="H134" s="48" t="str">
        <f t="shared" si="10"/>
        <v/>
      </c>
      <c r="I134" s="48" t="str">
        <f t="shared" si="11"/>
        <v/>
      </c>
    </row>
    <row r="135" spans="2:9">
      <c r="B135" s="57" t="str">
        <f t="shared" si="8"/>
        <v/>
      </c>
      <c r="C135" s="57"/>
      <c r="D135" s="37" t="str">
        <f>IFERROR(VLOOKUP($B135,'MATRICE ARTICLE'!$A$2:$N$1395,2,FALSE),"")</f>
        <v/>
      </c>
      <c r="E135" s="37" t="str">
        <f t="shared" si="9"/>
        <v/>
      </c>
      <c r="F135" s="37" t="str">
        <f>IFERROR(VLOOKUP($B135,'MATRICE ARTICLE'!$A$2:$N$1395,9,FALSE),"")</f>
        <v/>
      </c>
      <c r="G135" s="37" t="str">
        <f>IFERROR(VLOOKUP($B135,'MATRICE ARTICLE'!$A$2:$N$1395,14,FALSE),"")</f>
        <v/>
      </c>
      <c r="H135" s="48" t="str">
        <f t="shared" si="10"/>
        <v/>
      </c>
      <c r="I135" s="48" t="str">
        <f t="shared" si="11"/>
        <v/>
      </c>
    </row>
    <row r="136" spans="2:9">
      <c r="B136" s="57" t="str">
        <f t="shared" si="8"/>
        <v/>
      </c>
      <c r="C136" s="57"/>
      <c r="D136" s="37" t="str">
        <f>IFERROR(VLOOKUP($B136,'MATRICE ARTICLE'!$A$2:$N$1395,2,FALSE),"")</f>
        <v/>
      </c>
      <c r="E136" s="37" t="str">
        <f t="shared" si="9"/>
        <v/>
      </c>
      <c r="F136" s="37" t="str">
        <f>IFERROR(VLOOKUP($B136,'MATRICE ARTICLE'!$A$2:$N$1395,9,FALSE),"")</f>
        <v/>
      </c>
      <c r="G136" s="37" t="str">
        <f>IFERROR(VLOOKUP($B136,'MATRICE ARTICLE'!$A$2:$N$1395,14,FALSE),"")</f>
        <v/>
      </c>
      <c r="H136" s="48" t="str">
        <f t="shared" si="10"/>
        <v/>
      </c>
      <c r="I136" s="48" t="str">
        <f t="shared" si="11"/>
        <v/>
      </c>
    </row>
    <row r="137" spans="2:9">
      <c r="B137" s="57" t="str">
        <f t="shared" si="8"/>
        <v/>
      </c>
      <c r="C137" s="57"/>
      <c r="D137" s="37" t="str">
        <f>IFERROR(VLOOKUP($B137,'MATRICE ARTICLE'!$A$2:$N$1395,2,FALSE),"")</f>
        <v/>
      </c>
      <c r="E137" s="37" t="str">
        <f t="shared" si="9"/>
        <v/>
      </c>
      <c r="F137" s="37" t="str">
        <f>IFERROR(VLOOKUP($B137,'MATRICE ARTICLE'!$A$2:$N$1395,9,FALSE),"")</f>
        <v/>
      </c>
      <c r="G137" s="37" t="str">
        <f>IFERROR(VLOOKUP($B137,'MATRICE ARTICLE'!$A$2:$N$1395,14,FALSE),"")</f>
        <v/>
      </c>
      <c r="H137" s="48" t="str">
        <f t="shared" si="10"/>
        <v/>
      </c>
      <c r="I137" s="48" t="str">
        <f t="shared" si="11"/>
        <v/>
      </c>
    </row>
    <row r="138" spans="2:9">
      <c r="B138" s="57" t="str">
        <f t="shared" si="8"/>
        <v/>
      </c>
      <c r="C138" s="57"/>
      <c r="D138" s="37" t="str">
        <f>IFERROR(VLOOKUP($B138,'MATRICE ARTICLE'!$A$2:$N$1395,2,FALSE),"")</f>
        <v/>
      </c>
      <c r="E138" s="37" t="str">
        <f t="shared" si="9"/>
        <v/>
      </c>
      <c r="F138" s="37" t="str">
        <f>IFERROR(VLOOKUP($B138,'MATRICE ARTICLE'!$A$2:$N$1395,9,FALSE),"")</f>
        <v/>
      </c>
      <c r="G138" s="37" t="str">
        <f>IFERROR(VLOOKUP($B138,'MATRICE ARTICLE'!$A$2:$N$1395,14,FALSE),"")</f>
        <v/>
      </c>
      <c r="H138" s="48" t="str">
        <f t="shared" si="10"/>
        <v/>
      </c>
      <c r="I138" s="48" t="str">
        <f t="shared" si="11"/>
        <v/>
      </c>
    </row>
    <row r="139" spans="2:9">
      <c r="B139" s="57" t="str">
        <f t="shared" si="8"/>
        <v/>
      </c>
      <c r="C139" s="57"/>
      <c r="D139" s="37" t="str">
        <f>IFERROR(VLOOKUP($B139,'MATRICE ARTICLE'!$A$2:$N$1395,2,FALSE),"")</f>
        <v/>
      </c>
      <c r="E139" s="37" t="str">
        <f t="shared" si="9"/>
        <v/>
      </c>
      <c r="F139" s="37" t="str">
        <f>IFERROR(VLOOKUP($B139,'MATRICE ARTICLE'!$A$2:$N$1395,9,FALSE),"")</f>
        <v/>
      </c>
      <c r="G139" s="37" t="str">
        <f>IFERROR(VLOOKUP($B139,'MATRICE ARTICLE'!$A$2:$N$1395,14,FALSE),"")</f>
        <v/>
      </c>
      <c r="H139" s="48" t="str">
        <f t="shared" si="10"/>
        <v/>
      </c>
      <c r="I139" s="48" t="str">
        <f t="shared" si="11"/>
        <v/>
      </c>
    </row>
    <row r="140" spans="2:9">
      <c r="B140" s="57" t="str">
        <f t="shared" si="8"/>
        <v/>
      </c>
      <c r="C140" s="57"/>
      <c r="D140" s="37" t="str">
        <f>IFERROR(VLOOKUP($B140,'MATRICE ARTICLE'!$A$2:$N$1395,2,FALSE),"")</f>
        <v/>
      </c>
      <c r="E140" s="37" t="str">
        <f t="shared" si="9"/>
        <v/>
      </c>
      <c r="F140" s="37" t="str">
        <f>IFERROR(VLOOKUP($B140,'MATRICE ARTICLE'!$A$2:$N$1395,9,FALSE),"")</f>
        <v/>
      </c>
      <c r="G140" s="37" t="str">
        <f>IFERROR(VLOOKUP($B140,'MATRICE ARTICLE'!$A$2:$N$1395,14,FALSE),"")</f>
        <v/>
      </c>
      <c r="H140" s="48" t="str">
        <f t="shared" si="10"/>
        <v/>
      </c>
      <c r="I140" s="48" t="str">
        <f t="shared" si="11"/>
        <v/>
      </c>
    </row>
    <row r="141" spans="2:9">
      <c r="B141" s="57" t="str">
        <f t="shared" si="8"/>
        <v/>
      </c>
      <c r="C141" s="57"/>
      <c r="D141" s="37" t="str">
        <f>IFERROR(VLOOKUP($B141,'MATRICE ARTICLE'!$A$2:$N$1395,2,FALSE),"")</f>
        <v/>
      </c>
      <c r="E141" s="37" t="str">
        <f t="shared" si="9"/>
        <v/>
      </c>
      <c r="F141" s="37" t="str">
        <f>IFERROR(VLOOKUP($B141,'MATRICE ARTICLE'!$A$2:$N$1395,9,FALSE),"")</f>
        <v/>
      </c>
      <c r="G141" s="37" t="str">
        <f>IFERROR(VLOOKUP($B141,'MATRICE ARTICLE'!$A$2:$N$1395,14,FALSE),"")</f>
        <v/>
      </c>
      <c r="H141" s="48" t="str">
        <f t="shared" si="10"/>
        <v/>
      </c>
      <c r="I141" s="48" t="str">
        <f t="shared" si="11"/>
        <v/>
      </c>
    </row>
    <row r="142" spans="2:9">
      <c r="B142" s="57" t="str">
        <f t="shared" si="8"/>
        <v/>
      </c>
      <c r="C142" s="57"/>
      <c r="D142" s="37" t="str">
        <f>IFERROR(VLOOKUP($B142,'MATRICE ARTICLE'!$A$2:$N$1395,2,FALSE),"")</f>
        <v/>
      </c>
      <c r="E142" s="37" t="str">
        <f t="shared" si="9"/>
        <v/>
      </c>
      <c r="F142" s="37" t="str">
        <f>IFERROR(VLOOKUP($B142,'MATRICE ARTICLE'!$A$2:$N$1395,9,FALSE),"")</f>
        <v/>
      </c>
      <c r="G142" s="37" t="str">
        <f>IFERROR(VLOOKUP($B142,'MATRICE ARTICLE'!$A$2:$N$1395,14,FALSE),"")</f>
        <v/>
      </c>
      <c r="H142" s="48" t="str">
        <f t="shared" si="10"/>
        <v/>
      </c>
      <c r="I142" s="48" t="str">
        <f t="shared" si="11"/>
        <v/>
      </c>
    </row>
    <row r="143" spans="2:9">
      <c r="B143" s="57" t="str">
        <f t="shared" si="8"/>
        <v/>
      </c>
      <c r="C143" s="57"/>
      <c r="D143" s="37" t="str">
        <f>IFERROR(VLOOKUP($B143,'MATRICE ARTICLE'!$A$2:$N$1395,2,FALSE),"")</f>
        <v/>
      </c>
      <c r="E143" s="37" t="str">
        <f t="shared" si="9"/>
        <v/>
      </c>
      <c r="F143" s="37" t="str">
        <f>IFERROR(VLOOKUP($B143,'MATRICE ARTICLE'!$A$2:$N$1395,9,FALSE),"")</f>
        <v/>
      </c>
      <c r="G143" s="37" t="str">
        <f>IFERROR(VLOOKUP($B143,'MATRICE ARTICLE'!$A$2:$N$1395,14,FALSE),"")</f>
        <v/>
      </c>
      <c r="H143" s="48" t="str">
        <f t="shared" si="10"/>
        <v/>
      </c>
      <c r="I143" s="48" t="str">
        <f t="shared" si="11"/>
        <v/>
      </c>
    </row>
    <row r="144" spans="2:9">
      <c r="B144" s="57" t="str">
        <f t="shared" si="8"/>
        <v/>
      </c>
      <c r="C144" s="57"/>
      <c r="D144" s="37" t="str">
        <f>IFERROR(VLOOKUP($B144,'MATRICE ARTICLE'!$A$2:$N$1395,2,FALSE),"")</f>
        <v/>
      </c>
      <c r="E144" s="37" t="str">
        <f t="shared" si="9"/>
        <v/>
      </c>
      <c r="F144" s="37" t="str">
        <f>IFERROR(VLOOKUP($B144,'MATRICE ARTICLE'!$A$2:$N$1395,9,FALSE),"")</f>
        <v/>
      </c>
      <c r="G144" s="37" t="str">
        <f>IFERROR(VLOOKUP($B144,'MATRICE ARTICLE'!$A$2:$N$1395,14,FALSE),"")</f>
        <v/>
      </c>
      <c r="H144" s="48" t="str">
        <f t="shared" si="10"/>
        <v/>
      </c>
      <c r="I144" s="48" t="str">
        <f t="shared" si="11"/>
        <v/>
      </c>
    </row>
    <row r="145" spans="2:9">
      <c r="B145" s="57" t="str">
        <f t="shared" si="8"/>
        <v/>
      </c>
      <c r="C145" s="57"/>
      <c r="D145" s="37" t="str">
        <f>IFERROR(VLOOKUP($B145,'MATRICE ARTICLE'!$A$2:$N$1395,2,FALSE),"")</f>
        <v/>
      </c>
      <c r="E145" s="37" t="str">
        <f t="shared" si="9"/>
        <v/>
      </c>
      <c r="F145" s="37" t="str">
        <f>IFERROR(VLOOKUP($B145,'MATRICE ARTICLE'!$A$2:$N$1395,9,FALSE),"")</f>
        <v/>
      </c>
      <c r="G145" s="37" t="str">
        <f>IFERROR(VLOOKUP($B145,'MATRICE ARTICLE'!$A$2:$N$1395,14,FALSE),"")</f>
        <v/>
      </c>
      <c r="H145" s="48" t="str">
        <f t="shared" si="10"/>
        <v/>
      </c>
      <c r="I145" s="48" t="str">
        <f t="shared" si="11"/>
        <v/>
      </c>
    </row>
    <row r="146" spans="2:9">
      <c r="B146" s="57" t="str">
        <f t="shared" si="8"/>
        <v/>
      </c>
      <c r="C146" s="57"/>
      <c r="D146" s="37" t="str">
        <f>IFERROR(VLOOKUP($B146,'MATRICE ARTICLE'!$A$2:$N$1395,2,FALSE),"")</f>
        <v/>
      </c>
      <c r="E146" s="37" t="str">
        <f t="shared" si="9"/>
        <v/>
      </c>
      <c r="F146" s="37" t="str">
        <f>IFERROR(VLOOKUP($B146,'MATRICE ARTICLE'!$A$2:$N$1395,9,FALSE),"")</f>
        <v/>
      </c>
      <c r="G146" s="37" t="str">
        <f>IFERROR(VLOOKUP($B146,'MATRICE ARTICLE'!$A$2:$N$1395,14,FALSE),"")</f>
        <v/>
      </c>
      <c r="H146" s="48" t="str">
        <f t="shared" si="10"/>
        <v/>
      </c>
      <c r="I146" s="48" t="str">
        <f t="shared" si="11"/>
        <v/>
      </c>
    </row>
    <row r="147" spans="2:9">
      <c r="B147" s="57" t="str">
        <f t="shared" si="8"/>
        <v/>
      </c>
      <c r="C147" s="57"/>
      <c r="D147" s="37" t="str">
        <f>IFERROR(VLOOKUP($B147,'MATRICE ARTICLE'!$A$2:$N$1395,2,FALSE),"")</f>
        <v/>
      </c>
      <c r="E147" s="37" t="str">
        <f t="shared" si="9"/>
        <v/>
      </c>
      <c r="F147" s="37" t="str">
        <f>IFERROR(VLOOKUP($B147,'MATRICE ARTICLE'!$A$2:$N$1395,9,FALSE),"")</f>
        <v/>
      </c>
      <c r="G147" s="37" t="str">
        <f>IFERROR(VLOOKUP($B147,'MATRICE ARTICLE'!$A$2:$N$1395,14,FALSE),"")</f>
        <v/>
      </c>
      <c r="H147" s="48" t="str">
        <f t="shared" si="10"/>
        <v/>
      </c>
      <c r="I147" s="48" t="str">
        <f t="shared" si="11"/>
        <v/>
      </c>
    </row>
    <row r="148" spans="2:9">
      <c r="B148" s="57" t="str">
        <f t="shared" si="8"/>
        <v/>
      </c>
      <c r="C148" s="57"/>
      <c r="D148" s="37" t="str">
        <f>IFERROR(VLOOKUP($B148,'MATRICE ARTICLE'!$A$2:$N$1395,2,FALSE),"")</f>
        <v/>
      </c>
      <c r="E148" s="37" t="str">
        <f t="shared" si="9"/>
        <v/>
      </c>
      <c r="F148" s="37" t="str">
        <f>IFERROR(VLOOKUP($B148,'MATRICE ARTICLE'!$A$2:$N$1395,9,FALSE),"")</f>
        <v/>
      </c>
      <c r="G148" s="37" t="str">
        <f>IFERROR(VLOOKUP($B148,'MATRICE ARTICLE'!$A$2:$N$1395,14,FALSE),"")</f>
        <v/>
      </c>
      <c r="H148" s="48" t="str">
        <f t="shared" si="10"/>
        <v/>
      </c>
      <c r="I148" s="48" t="str">
        <f t="shared" si="11"/>
        <v/>
      </c>
    </row>
    <row r="149" spans="2:9">
      <c r="B149" s="57" t="str">
        <f t="shared" si="8"/>
        <v/>
      </c>
      <c r="C149" s="57"/>
      <c r="D149" s="37" t="str">
        <f>IFERROR(VLOOKUP($B149,'MATRICE ARTICLE'!$A$2:$N$1395,2,FALSE),"")</f>
        <v/>
      </c>
      <c r="E149" s="37" t="str">
        <f t="shared" si="9"/>
        <v/>
      </c>
      <c r="F149" s="37" t="str">
        <f>IFERROR(VLOOKUP($B149,'MATRICE ARTICLE'!$A$2:$N$1395,9,FALSE),"")</f>
        <v/>
      </c>
      <c r="G149" s="37" t="str">
        <f>IFERROR(VLOOKUP($B149,'MATRICE ARTICLE'!$A$2:$N$1395,14,FALSE),"")</f>
        <v/>
      </c>
      <c r="H149" s="48" t="str">
        <f t="shared" si="10"/>
        <v/>
      </c>
      <c r="I149" s="48" t="str">
        <f t="shared" si="11"/>
        <v/>
      </c>
    </row>
    <row r="150" spans="2:9">
      <c r="B150" s="57" t="str">
        <f t="shared" si="8"/>
        <v/>
      </c>
      <c r="C150" s="57"/>
      <c r="D150" s="37" t="str">
        <f>IFERROR(VLOOKUP($B150,'MATRICE ARTICLE'!$A$2:$N$1395,2,FALSE),"")</f>
        <v/>
      </c>
      <c r="E150" s="37" t="str">
        <f t="shared" si="9"/>
        <v/>
      </c>
      <c r="F150" s="37" t="str">
        <f>IFERROR(VLOOKUP($B150,'MATRICE ARTICLE'!$A$2:$N$1395,9,FALSE),"")</f>
        <v/>
      </c>
      <c r="G150" s="37" t="str">
        <f>IFERROR(VLOOKUP($B150,'MATRICE ARTICLE'!$A$2:$N$1395,14,FALSE),"")</f>
        <v/>
      </c>
      <c r="H150" s="48" t="str">
        <f t="shared" si="10"/>
        <v/>
      </c>
      <c r="I150" s="48" t="str">
        <f t="shared" si="11"/>
        <v/>
      </c>
    </row>
    <row r="151" spans="2:9">
      <c r="B151" s="57" t="str">
        <f t="shared" si="8"/>
        <v/>
      </c>
      <c r="C151" s="57"/>
      <c r="D151" s="37" t="str">
        <f>IFERROR(VLOOKUP($B151,'MATRICE ARTICLE'!$A$2:$N$1395,2,FALSE),"")</f>
        <v/>
      </c>
      <c r="E151" s="37" t="str">
        <f t="shared" si="9"/>
        <v/>
      </c>
      <c r="F151" s="37" t="str">
        <f>IFERROR(VLOOKUP($B151,'MATRICE ARTICLE'!$A$2:$N$1395,9,FALSE),"")</f>
        <v/>
      </c>
      <c r="G151" s="37" t="str">
        <f>IFERROR(VLOOKUP($B151,'MATRICE ARTICLE'!$A$2:$N$1395,14,FALSE),"")</f>
        <v/>
      </c>
      <c r="H151" s="48" t="str">
        <f t="shared" si="10"/>
        <v/>
      </c>
      <c r="I151" s="48" t="str">
        <f t="shared" si="11"/>
        <v/>
      </c>
    </row>
    <row r="152" spans="2:9">
      <c r="B152" s="57" t="str">
        <f t="shared" si="8"/>
        <v/>
      </c>
      <c r="C152" s="57"/>
      <c r="D152" s="37" t="str">
        <f>IFERROR(VLOOKUP($B152,'MATRICE ARTICLE'!$A$2:$N$1395,2,FALSE),"")</f>
        <v/>
      </c>
      <c r="E152" s="37" t="str">
        <f t="shared" si="9"/>
        <v/>
      </c>
      <c r="F152" s="37" t="str">
        <f>IFERROR(VLOOKUP($B152,'MATRICE ARTICLE'!$A$2:$N$1395,9,FALSE),"")</f>
        <v/>
      </c>
      <c r="G152" s="37" t="str">
        <f>IFERROR(VLOOKUP($B152,'MATRICE ARTICLE'!$A$2:$N$1395,14,FALSE),"")</f>
        <v/>
      </c>
      <c r="H152" s="48" t="str">
        <f t="shared" si="10"/>
        <v/>
      </c>
      <c r="I152" s="48" t="str">
        <f t="shared" si="11"/>
        <v/>
      </c>
    </row>
    <row r="153" spans="2:9">
      <c r="B153" s="57" t="str">
        <f t="shared" si="8"/>
        <v/>
      </c>
      <c r="C153" s="57"/>
      <c r="D153" s="37" t="str">
        <f>IFERROR(VLOOKUP($B153,'MATRICE ARTICLE'!$A$2:$N$1395,2,FALSE),"")</f>
        <v/>
      </c>
      <c r="E153" s="37" t="str">
        <f t="shared" si="9"/>
        <v/>
      </c>
      <c r="F153" s="37" t="str">
        <f>IFERROR(VLOOKUP($B153,'MATRICE ARTICLE'!$A$2:$N$1395,9,FALSE),"")</f>
        <v/>
      </c>
      <c r="G153" s="37" t="str">
        <f>IFERROR(VLOOKUP($B153,'MATRICE ARTICLE'!$A$2:$N$1395,14,FALSE),"")</f>
        <v/>
      </c>
      <c r="H153" s="48" t="str">
        <f t="shared" si="10"/>
        <v/>
      </c>
      <c r="I153" s="48" t="str">
        <f t="shared" si="11"/>
        <v/>
      </c>
    </row>
    <row r="154" spans="2:9">
      <c r="B154" s="57" t="str">
        <f t="shared" si="8"/>
        <v/>
      </c>
      <c r="C154" s="57"/>
      <c r="D154" s="37" t="str">
        <f>IFERROR(VLOOKUP($B154,'MATRICE ARTICLE'!$A$2:$N$1395,2,FALSE),"")</f>
        <v/>
      </c>
      <c r="E154" s="37" t="str">
        <f t="shared" si="9"/>
        <v/>
      </c>
      <c r="F154" s="37" t="str">
        <f>IFERROR(VLOOKUP($B154,'MATRICE ARTICLE'!$A$2:$N$1395,9,FALSE),"")</f>
        <v/>
      </c>
      <c r="G154" s="37" t="str">
        <f>IFERROR(VLOOKUP($B154,'MATRICE ARTICLE'!$A$2:$N$1395,14,FALSE),"")</f>
        <v/>
      </c>
      <c r="H154" s="48" t="str">
        <f t="shared" si="10"/>
        <v/>
      </c>
      <c r="I154" s="48" t="str">
        <f t="shared" si="11"/>
        <v/>
      </c>
    </row>
    <row r="155" spans="2:9">
      <c r="B155" s="57" t="str">
        <f t="shared" si="8"/>
        <v/>
      </c>
      <c r="C155" s="57"/>
      <c r="D155" s="37" t="str">
        <f>IFERROR(VLOOKUP($B155,'MATRICE ARTICLE'!$A$2:$N$1395,2,FALSE),"")</f>
        <v/>
      </c>
      <c r="E155" s="37" t="str">
        <f t="shared" si="9"/>
        <v/>
      </c>
      <c r="F155" s="37" t="str">
        <f>IFERROR(VLOOKUP($B155,'MATRICE ARTICLE'!$A$2:$N$1395,9,FALSE),"")</f>
        <v/>
      </c>
      <c r="G155" s="37" t="str">
        <f>IFERROR(VLOOKUP($B155,'MATRICE ARTICLE'!$A$2:$N$1395,14,FALSE),"")</f>
        <v/>
      </c>
      <c r="H155" s="48" t="str">
        <f t="shared" si="10"/>
        <v/>
      </c>
      <c r="I155" s="48" t="str">
        <f t="shared" si="11"/>
        <v/>
      </c>
    </row>
    <row r="156" spans="2:9">
      <c r="B156" s="57" t="str">
        <f t="shared" si="8"/>
        <v/>
      </c>
      <c r="C156" s="57"/>
      <c r="D156" s="37" t="str">
        <f>IFERROR(VLOOKUP($B156,'MATRICE ARTICLE'!$A$2:$N$1395,2,FALSE),"")</f>
        <v/>
      </c>
      <c r="E156" s="37" t="str">
        <f t="shared" si="9"/>
        <v/>
      </c>
      <c r="F156" s="37" t="str">
        <f>IFERROR(VLOOKUP($B156,'MATRICE ARTICLE'!$A$2:$N$1395,9,FALSE),"")</f>
        <v/>
      </c>
      <c r="G156" s="37" t="str">
        <f>IFERROR(VLOOKUP($B156,'MATRICE ARTICLE'!$A$2:$N$1395,14,FALSE),"")</f>
        <v/>
      </c>
      <c r="H156" s="48" t="str">
        <f t="shared" si="10"/>
        <v/>
      </c>
      <c r="I156" s="48" t="str">
        <f t="shared" si="11"/>
        <v/>
      </c>
    </row>
    <row r="157" spans="2:9">
      <c r="B157" s="57" t="str">
        <f t="shared" si="8"/>
        <v/>
      </c>
      <c r="C157" s="57"/>
      <c r="D157" s="37" t="str">
        <f>IFERROR(VLOOKUP($B157,'MATRICE ARTICLE'!$A$2:$N$1395,2,FALSE),"")</f>
        <v/>
      </c>
      <c r="E157" s="37" t="str">
        <f t="shared" si="9"/>
        <v/>
      </c>
      <c r="F157" s="37" t="str">
        <f>IFERROR(VLOOKUP($B157,'MATRICE ARTICLE'!$A$2:$N$1395,9,FALSE),"")</f>
        <v/>
      </c>
      <c r="G157" s="37" t="str">
        <f>IFERROR(VLOOKUP($B157,'MATRICE ARTICLE'!$A$2:$N$1395,14,FALSE),"")</f>
        <v/>
      </c>
      <c r="H157" s="48" t="str">
        <f t="shared" si="10"/>
        <v/>
      </c>
      <c r="I157" s="48" t="str">
        <f t="shared" si="11"/>
        <v/>
      </c>
    </row>
    <row r="158" spans="2:9">
      <c r="B158" s="57" t="str">
        <f t="shared" si="8"/>
        <v/>
      </c>
      <c r="C158" s="57"/>
      <c r="D158" s="37" t="str">
        <f>IFERROR(VLOOKUP($B158,'MATRICE ARTICLE'!$A$2:$N$1395,2,FALSE),"")</f>
        <v/>
      </c>
      <c r="E158" s="37" t="str">
        <f t="shared" si="9"/>
        <v/>
      </c>
      <c r="F158" s="37" t="str">
        <f>IFERROR(VLOOKUP($B158,'MATRICE ARTICLE'!$A$2:$N$1395,9,FALSE),"")</f>
        <v/>
      </c>
      <c r="G158" s="37" t="str">
        <f>IFERROR(VLOOKUP($B158,'MATRICE ARTICLE'!$A$2:$N$1395,14,FALSE),"")</f>
        <v/>
      </c>
      <c r="H158" s="48" t="str">
        <f t="shared" si="10"/>
        <v/>
      </c>
      <c r="I158" s="48" t="str">
        <f t="shared" si="11"/>
        <v/>
      </c>
    </row>
    <row r="159" spans="2:9">
      <c r="B159" s="57" t="str">
        <f t="shared" si="8"/>
        <v/>
      </c>
      <c r="C159" s="57"/>
      <c r="D159" s="37" t="str">
        <f>IFERROR(VLOOKUP($B159,'MATRICE ARTICLE'!$A$2:$N$1395,2,FALSE),"")</f>
        <v/>
      </c>
      <c r="E159" s="37" t="str">
        <f t="shared" si="9"/>
        <v/>
      </c>
      <c r="F159" s="37" t="str">
        <f>IFERROR(VLOOKUP($B159,'MATRICE ARTICLE'!$A$2:$N$1395,9,FALSE),"")</f>
        <v/>
      </c>
      <c r="G159" s="37" t="str">
        <f>IFERROR(VLOOKUP($B159,'MATRICE ARTICLE'!$A$2:$N$1395,14,FALSE),"")</f>
        <v/>
      </c>
      <c r="H159" s="48" t="str">
        <f t="shared" si="10"/>
        <v/>
      </c>
      <c r="I159" s="48" t="str">
        <f t="shared" si="11"/>
        <v/>
      </c>
    </row>
    <row r="160" spans="2:9">
      <c r="B160" s="57" t="str">
        <f t="shared" si="8"/>
        <v/>
      </c>
      <c r="C160" s="57"/>
      <c r="D160" s="37" t="str">
        <f>IFERROR(VLOOKUP($B160,'MATRICE ARTICLE'!$A$2:$N$1395,2,FALSE),"")</f>
        <v/>
      </c>
      <c r="E160" s="37" t="str">
        <f t="shared" si="9"/>
        <v/>
      </c>
      <c r="F160" s="37" t="str">
        <f>IFERROR(VLOOKUP($B160,'MATRICE ARTICLE'!$A$2:$N$1395,9,FALSE),"")</f>
        <v/>
      </c>
      <c r="G160" s="37" t="str">
        <f>IFERROR(VLOOKUP($B160,'MATRICE ARTICLE'!$A$2:$N$1395,14,FALSE),"")</f>
        <v/>
      </c>
      <c r="H160" s="48" t="str">
        <f t="shared" si="10"/>
        <v/>
      </c>
      <c r="I160" s="48" t="str">
        <f t="shared" si="11"/>
        <v/>
      </c>
    </row>
    <row r="161" spans="2:9">
      <c r="B161" s="57" t="str">
        <f t="shared" si="8"/>
        <v/>
      </c>
      <c r="C161" s="57"/>
      <c r="D161" s="37" t="str">
        <f>IFERROR(VLOOKUP($B161,'MATRICE ARTICLE'!$A$2:$N$1395,2,FALSE),"")</f>
        <v/>
      </c>
      <c r="E161" s="37" t="str">
        <f t="shared" si="9"/>
        <v/>
      </c>
      <c r="F161" s="37" t="str">
        <f>IFERROR(VLOOKUP($B161,'MATRICE ARTICLE'!$A$2:$N$1395,9,FALSE),"")</f>
        <v/>
      </c>
      <c r="G161" s="37" t="str">
        <f>IFERROR(VLOOKUP($B161,'MATRICE ARTICLE'!$A$2:$N$1395,14,FALSE),"")</f>
        <v/>
      </c>
      <c r="H161" s="48" t="str">
        <f t="shared" si="10"/>
        <v/>
      </c>
      <c r="I161" s="48" t="str">
        <f t="shared" si="11"/>
        <v/>
      </c>
    </row>
    <row r="162" spans="2:9">
      <c r="B162" s="57" t="str">
        <f t="shared" si="8"/>
        <v/>
      </c>
      <c r="C162" s="57"/>
      <c r="D162" s="37" t="str">
        <f>IFERROR(VLOOKUP($B162,'MATRICE ARTICLE'!$A$2:$N$1395,2,FALSE),"")</f>
        <v/>
      </c>
      <c r="E162" s="37" t="str">
        <f t="shared" si="9"/>
        <v/>
      </c>
      <c r="F162" s="37" t="str">
        <f>IFERROR(VLOOKUP($B162,'MATRICE ARTICLE'!$A$2:$N$1395,9,FALSE),"")</f>
        <v/>
      </c>
      <c r="G162" s="37" t="str">
        <f>IFERROR(VLOOKUP($B162,'MATRICE ARTICLE'!$A$2:$N$1395,14,FALSE),"")</f>
        <v/>
      </c>
      <c r="H162" s="48" t="str">
        <f t="shared" si="10"/>
        <v/>
      </c>
      <c r="I162" s="48" t="str">
        <f t="shared" si="11"/>
        <v/>
      </c>
    </row>
    <row r="163" spans="2:9">
      <c r="B163" s="57" t="str">
        <f t="shared" si="8"/>
        <v/>
      </c>
      <c r="C163" s="57"/>
      <c r="D163" s="37" t="str">
        <f>IFERROR(VLOOKUP($B163,'MATRICE ARTICLE'!$A$2:$N$1395,2,FALSE),"")</f>
        <v/>
      </c>
      <c r="E163" s="37" t="str">
        <f t="shared" si="9"/>
        <v/>
      </c>
      <c r="F163" s="37" t="str">
        <f>IFERROR(VLOOKUP($B163,'MATRICE ARTICLE'!$A$2:$N$1395,9,FALSE),"")</f>
        <v/>
      </c>
      <c r="G163" s="37" t="str">
        <f>IFERROR(VLOOKUP($B163,'MATRICE ARTICLE'!$A$2:$N$1395,14,FALSE),"")</f>
        <v/>
      </c>
      <c r="H163" s="48" t="str">
        <f t="shared" si="10"/>
        <v/>
      </c>
      <c r="I163" s="48" t="str">
        <f t="shared" si="11"/>
        <v/>
      </c>
    </row>
    <row r="164" spans="2:9">
      <c r="B164" s="57" t="str">
        <f t="shared" si="8"/>
        <v/>
      </c>
      <c r="C164" s="57"/>
      <c r="D164" s="37" t="str">
        <f>IFERROR(VLOOKUP($B164,'MATRICE ARTICLE'!$A$2:$N$1395,2,FALSE),"")</f>
        <v/>
      </c>
      <c r="E164" s="37" t="str">
        <f t="shared" si="9"/>
        <v/>
      </c>
      <c r="F164" s="37" t="str">
        <f>IFERROR(VLOOKUP($B164,'MATRICE ARTICLE'!$A$2:$N$1395,9,FALSE),"")</f>
        <v/>
      </c>
      <c r="G164" s="37" t="str">
        <f>IFERROR(VLOOKUP($B164,'MATRICE ARTICLE'!$A$2:$N$1395,14,FALSE),"")</f>
        <v/>
      </c>
      <c r="H164" s="48" t="str">
        <f t="shared" si="10"/>
        <v/>
      </c>
      <c r="I164" s="48" t="str">
        <f t="shared" si="11"/>
        <v/>
      </c>
    </row>
    <row r="165" spans="2:9">
      <c r="B165" s="57" t="str">
        <f t="shared" si="8"/>
        <v/>
      </c>
      <c r="C165" s="57"/>
      <c r="D165" s="37" t="str">
        <f>IFERROR(VLOOKUP($B165,'MATRICE ARTICLE'!$A$2:$N$1395,2,FALSE),"")</f>
        <v/>
      </c>
      <c r="E165" s="37" t="str">
        <f t="shared" si="9"/>
        <v/>
      </c>
      <c r="F165" s="37" t="str">
        <f>IFERROR(VLOOKUP($B165,'MATRICE ARTICLE'!$A$2:$N$1395,9,FALSE),"")</f>
        <v/>
      </c>
      <c r="G165" s="37" t="str">
        <f>IFERROR(VLOOKUP($B165,'MATRICE ARTICLE'!$A$2:$N$1395,14,FALSE),"")</f>
        <v/>
      </c>
      <c r="H165" s="48" t="str">
        <f t="shared" si="10"/>
        <v/>
      </c>
      <c r="I165" s="48" t="str">
        <f t="shared" si="11"/>
        <v/>
      </c>
    </row>
    <row r="166" spans="2:9">
      <c r="B166" s="57" t="str">
        <f t="shared" si="8"/>
        <v/>
      </c>
      <c r="C166" s="57"/>
      <c r="D166" s="37" t="str">
        <f>IFERROR(VLOOKUP($B166,'MATRICE ARTICLE'!$A$2:$N$1395,2,FALSE),"")</f>
        <v/>
      </c>
      <c r="E166" s="37" t="str">
        <f t="shared" si="9"/>
        <v/>
      </c>
      <c r="F166" s="37" t="str">
        <f>IFERROR(VLOOKUP($B166,'MATRICE ARTICLE'!$A$2:$N$1395,9,FALSE),"")</f>
        <v/>
      </c>
      <c r="G166" s="37" t="str">
        <f>IFERROR(VLOOKUP($B166,'MATRICE ARTICLE'!$A$2:$N$1395,14,FALSE),"")</f>
        <v/>
      </c>
      <c r="H166" s="48" t="str">
        <f t="shared" si="10"/>
        <v/>
      </c>
      <c r="I166" s="48" t="str">
        <f t="shared" si="11"/>
        <v/>
      </c>
    </row>
    <row r="167" spans="2:9">
      <c r="B167" s="57" t="str">
        <f t="shared" si="8"/>
        <v/>
      </c>
      <c r="C167" s="57"/>
      <c r="D167" s="37" t="str">
        <f>IFERROR(VLOOKUP($B167,'MATRICE ARTICLE'!$A$2:$N$1395,2,FALSE),"")</f>
        <v/>
      </c>
      <c r="E167" s="37" t="str">
        <f t="shared" si="9"/>
        <v/>
      </c>
      <c r="F167" s="37" t="str">
        <f>IFERROR(VLOOKUP($B167,'MATRICE ARTICLE'!$A$2:$N$1395,9,FALSE),"")</f>
        <v/>
      </c>
      <c r="G167" s="37" t="str">
        <f>IFERROR(VLOOKUP($B167,'MATRICE ARTICLE'!$A$2:$N$1395,14,FALSE),"")</f>
        <v/>
      </c>
      <c r="H167" s="48" t="str">
        <f t="shared" si="10"/>
        <v/>
      </c>
      <c r="I167" s="48" t="str">
        <f t="shared" si="11"/>
        <v/>
      </c>
    </row>
    <row r="168" spans="2:9">
      <c r="B168" s="57" t="str">
        <f t="shared" si="8"/>
        <v/>
      </c>
      <c r="C168" s="57"/>
      <c r="D168" s="37" t="str">
        <f>IFERROR(VLOOKUP($B168,'MATRICE ARTICLE'!$A$2:$N$1395,2,FALSE),"")</f>
        <v/>
      </c>
      <c r="E168" s="37" t="str">
        <f t="shared" si="9"/>
        <v/>
      </c>
      <c r="F168" s="37" t="str">
        <f>IFERROR(VLOOKUP($B168,'MATRICE ARTICLE'!$A$2:$N$1395,9,FALSE),"")</f>
        <v/>
      </c>
      <c r="G168" s="37" t="str">
        <f>IFERROR(VLOOKUP($B168,'MATRICE ARTICLE'!$A$2:$N$1395,14,FALSE),"")</f>
        <v/>
      </c>
      <c r="H168" s="48" t="str">
        <f t="shared" si="10"/>
        <v/>
      </c>
      <c r="I168" s="48" t="str">
        <f t="shared" si="11"/>
        <v/>
      </c>
    </row>
    <row r="169" spans="2:9">
      <c r="B169" s="57" t="str">
        <f t="shared" si="8"/>
        <v/>
      </c>
      <c r="C169" s="57"/>
      <c r="D169" s="37" t="str">
        <f>IFERROR(VLOOKUP($B169,'MATRICE ARTICLE'!$A$2:$N$1395,2,FALSE),"")</f>
        <v/>
      </c>
      <c r="E169" s="37" t="str">
        <f t="shared" si="9"/>
        <v/>
      </c>
      <c r="F169" s="37" t="str">
        <f>IFERROR(VLOOKUP($B169,'MATRICE ARTICLE'!$A$2:$N$1395,9,FALSE),"")</f>
        <v/>
      </c>
      <c r="G169" s="37" t="str">
        <f>IFERROR(VLOOKUP($B169,'MATRICE ARTICLE'!$A$2:$N$1395,14,FALSE),"")</f>
        <v/>
      </c>
      <c r="H169" s="48" t="str">
        <f t="shared" si="10"/>
        <v/>
      </c>
      <c r="I169" s="48" t="str">
        <f t="shared" si="11"/>
        <v/>
      </c>
    </row>
    <row r="170" spans="2:9">
      <c r="B170" s="57" t="str">
        <f t="shared" si="8"/>
        <v/>
      </c>
      <c r="C170" s="57"/>
      <c r="D170" s="37" t="str">
        <f>IFERROR(VLOOKUP($B170,'MATRICE ARTICLE'!$A$2:$N$1395,2,FALSE),"")</f>
        <v/>
      </c>
      <c r="E170" s="37" t="str">
        <f t="shared" si="9"/>
        <v/>
      </c>
      <c r="F170" s="37" t="str">
        <f>IFERROR(VLOOKUP($B170,'MATRICE ARTICLE'!$A$2:$N$1395,9,FALSE),"")</f>
        <v/>
      </c>
      <c r="G170" s="37" t="str">
        <f>IFERROR(VLOOKUP($B170,'MATRICE ARTICLE'!$A$2:$N$1395,14,FALSE),"")</f>
        <v/>
      </c>
      <c r="H170" s="48" t="str">
        <f t="shared" si="10"/>
        <v/>
      </c>
      <c r="I170" s="48" t="str">
        <f t="shared" si="11"/>
        <v/>
      </c>
    </row>
    <row r="171" spans="2:9">
      <c r="B171" s="57" t="str">
        <f t="shared" si="8"/>
        <v/>
      </c>
      <c r="C171" s="57"/>
      <c r="D171" s="37" t="str">
        <f>IFERROR(VLOOKUP($B171,'MATRICE ARTICLE'!$A$2:$N$1395,2,FALSE),"")</f>
        <v/>
      </c>
      <c r="E171" s="37" t="str">
        <f t="shared" si="9"/>
        <v/>
      </c>
      <c r="F171" s="37" t="str">
        <f>IFERROR(VLOOKUP($B171,'MATRICE ARTICLE'!$A$2:$N$1395,9,FALSE),"")</f>
        <v/>
      </c>
      <c r="G171" s="37" t="str">
        <f>IFERROR(VLOOKUP($B171,'MATRICE ARTICLE'!$A$2:$N$1395,14,FALSE),"")</f>
        <v/>
      </c>
      <c r="H171" s="48" t="str">
        <f t="shared" si="10"/>
        <v/>
      </c>
      <c r="I171" s="48" t="str">
        <f t="shared" si="11"/>
        <v/>
      </c>
    </row>
    <row r="172" spans="2:9">
      <c r="B172" s="57" t="str">
        <f t="shared" si="8"/>
        <v/>
      </c>
      <c r="C172" s="57"/>
      <c r="D172" s="37" t="str">
        <f>IFERROR(VLOOKUP($B172,'MATRICE ARTICLE'!$A$2:$N$1395,2,FALSE),"")</f>
        <v/>
      </c>
      <c r="E172" s="37" t="str">
        <f t="shared" si="9"/>
        <v/>
      </c>
      <c r="F172" s="37" t="str">
        <f>IFERROR(VLOOKUP($B172,'MATRICE ARTICLE'!$A$2:$N$1395,9,FALSE),"")</f>
        <v/>
      </c>
      <c r="G172" s="37" t="str">
        <f>IFERROR(VLOOKUP($B172,'MATRICE ARTICLE'!$A$2:$N$1395,14,FALSE),"")</f>
        <v/>
      </c>
      <c r="H172" s="48" t="str">
        <f t="shared" si="10"/>
        <v/>
      </c>
      <c r="I172" s="48" t="str">
        <f t="shared" si="11"/>
        <v/>
      </c>
    </row>
    <row r="173" spans="2:9">
      <c r="B173" s="57" t="str">
        <f t="shared" si="8"/>
        <v/>
      </c>
      <c r="C173" s="57"/>
      <c r="D173" s="37" t="str">
        <f>IFERROR(VLOOKUP($B173,'MATRICE ARTICLE'!$A$2:$N$1395,2,FALSE),"")</f>
        <v/>
      </c>
      <c r="E173" s="37" t="str">
        <f t="shared" si="9"/>
        <v/>
      </c>
      <c r="F173" s="37" t="str">
        <f>IFERROR(VLOOKUP($B173,'MATRICE ARTICLE'!$A$2:$N$1395,9,FALSE),"")</f>
        <v/>
      </c>
      <c r="G173" s="37" t="str">
        <f>IFERROR(VLOOKUP($B173,'MATRICE ARTICLE'!$A$2:$N$1395,14,FALSE),"")</f>
        <v/>
      </c>
      <c r="H173" s="48" t="str">
        <f t="shared" si="10"/>
        <v/>
      </c>
      <c r="I173" s="48" t="str">
        <f t="shared" si="11"/>
        <v/>
      </c>
    </row>
    <row r="174" spans="2:9">
      <c r="B174" s="57" t="str">
        <f t="shared" si="8"/>
        <v/>
      </c>
      <c r="C174" s="57"/>
      <c r="D174" s="37" t="str">
        <f>IFERROR(VLOOKUP($B174,'MATRICE ARTICLE'!$A$2:$N$1395,2,FALSE),"")</f>
        <v/>
      </c>
      <c r="E174" s="37" t="str">
        <f t="shared" si="9"/>
        <v/>
      </c>
      <c r="F174" s="37" t="str">
        <f>IFERROR(VLOOKUP($B174,'MATRICE ARTICLE'!$A$2:$N$1395,9,FALSE),"")</f>
        <v/>
      </c>
      <c r="G174" s="37" t="str">
        <f>IFERROR(VLOOKUP($B174,'MATRICE ARTICLE'!$A$2:$N$1395,14,FALSE),"")</f>
        <v/>
      </c>
      <c r="H174" s="48" t="str">
        <f t="shared" si="10"/>
        <v/>
      </c>
      <c r="I174" s="48" t="str">
        <f t="shared" si="11"/>
        <v/>
      </c>
    </row>
    <row r="175" spans="2:9">
      <c r="B175" s="57" t="str">
        <f t="shared" si="8"/>
        <v/>
      </c>
      <c r="C175" s="57"/>
      <c r="D175" s="37" t="str">
        <f>IFERROR(VLOOKUP($B175,'MATRICE ARTICLE'!$A$2:$N$1395,2,FALSE),"")</f>
        <v/>
      </c>
      <c r="E175" s="37" t="str">
        <f t="shared" si="9"/>
        <v/>
      </c>
      <c r="F175" s="37" t="str">
        <f>IFERROR(VLOOKUP($B175,'MATRICE ARTICLE'!$A$2:$N$1395,9,FALSE),"")</f>
        <v/>
      </c>
      <c r="G175" s="37" t="str">
        <f>IFERROR(VLOOKUP($B175,'MATRICE ARTICLE'!$A$2:$N$1395,14,FALSE),"")</f>
        <v/>
      </c>
      <c r="H175" s="48" t="str">
        <f t="shared" si="10"/>
        <v/>
      </c>
      <c r="I175" s="48" t="str">
        <f t="shared" si="11"/>
        <v/>
      </c>
    </row>
    <row r="176" spans="2:9">
      <c r="B176" s="57" t="str">
        <f t="shared" si="8"/>
        <v/>
      </c>
      <c r="C176" s="57"/>
      <c r="D176" s="37" t="str">
        <f>IFERROR(VLOOKUP($B176,'MATRICE ARTICLE'!$A$2:$N$1395,2,FALSE),"")</f>
        <v/>
      </c>
      <c r="E176" s="37" t="str">
        <f t="shared" si="9"/>
        <v/>
      </c>
      <c r="F176" s="37" t="str">
        <f>IFERROR(VLOOKUP($B176,'MATRICE ARTICLE'!$A$2:$N$1395,9,FALSE),"")</f>
        <v/>
      </c>
      <c r="G176" s="37" t="str">
        <f>IFERROR(VLOOKUP($B176,'MATRICE ARTICLE'!$A$2:$N$1395,14,FALSE),"")</f>
        <v/>
      </c>
      <c r="H176" s="48" t="str">
        <f t="shared" si="10"/>
        <v/>
      </c>
      <c r="I176" s="48" t="str">
        <f t="shared" si="11"/>
        <v/>
      </c>
    </row>
    <row r="177" spans="2:9">
      <c r="B177" s="57" t="str">
        <f t="shared" si="8"/>
        <v/>
      </c>
      <c r="C177" s="57"/>
      <c r="D177" s="37" t="str">
        <f>IFERROR(VLOOKUP($B177,'MATRICE ARTICLE'!$A$2:$N$1395,2,FALSE),"")</f>
        <v/>
      </c>
      <c r="E177" s="37" t="str">
        <f t="shared" si="9"/>
        <v/>
      </c>
      <c r="F177" s="37" t="str">
        <f>IFERROR(VLOOKUP($B177,'MATRICE ARTICLE'!$A$2:$N$1395,9,FALSE),"")</f>
        <v/>
      </c>
      <c r="G177" s="37" t="str">
        <f>IFERROR(VLOOKUP($B177,'MATRICE ARTICLE'!$A$2:$N$1395,14,FALSE),"")</f>
        <v/>
      </c>
      <c r="H177" s="48" t="str">
        <f t="shared" si="10"/>
        <v/>
      </c>
      <c r="I177" s="48" t="str">
        <f t="shared" si="11"/>
        <v/>
      </c>
    </row>
    <row r="178" spans="2:9">
      <c r="B178" s="57" t="str">
        <f t="shared" si="8"/>
        <v/>
      </c>
      <c r="C178" s="57"/>
      <c r="D178" s="37" t="str">
        <f>IFERROR(VLOOKUP($B178,'MATRICE ARTICLE'!$A$2:$N$1395,2,FALSE),"")</f>
        <v/>
      </c>
      <c r="E178" s="37" t="str">
        <f t="shared" si="9"/>
        <v/>
      </c>
      <c r="F178" s="37" t="str">
        <f>IFERROR(VLOOKUP($B178,'MATRICE ARTICLE'!$A$2:$N$1395,9,FALSE),"")</f>
        <v/>
      </c>
      <c r="G178" s="37" t="str">
        <f>IFERROR(VLOOKUP($B178,'MATRICE ARTICLE'!$A$2:$N$1395,14,FALSE),"")</f>
        <v/>
      </c>
      <c r="H178" s="48" t="str">
        <f t="shared" si="10"/>
        <v/>
      </c>
      <c r="I178" s="48" t="str">
        <f t="shared" si="11"/>
        <v/>
      </c>
    </row>
    <row r="179" spans="2:9">
      <c r="B179" s="57" t="str">
        <f t="shared" si="8"/>
        <v/>
      </c>
      <c r="C179" s="57"/>
      <c r="D179" s="37" t="str">
        <f>IFERROR(VLOOKUP($B179,'MATRICE ARTICLE'!$A$2:$N$1395,2,FALSE),"")</f>
        <v/>
      </c>
      <c r="E179" s="37" t="str">
        <f t="shared" si="9"/>
        <v/>
      </c>
      <c r="F179" s="37" t="str">
        <f>IFERROR(VLOOKUP($B179,'MATRICE ARTICLE'!$A$2:$N$1395,9,FALSE),"")</f>
        <v/>
      </c>
      <c r="G179" s="37" t="str">
        <f>IFERROR(VLOOKUP($B179,'MATRICE ARTICLE'!$A$2:$N$1395,14,FALSE),"")</f>
        <v/>
      </c>
      <c r="H179" s="48" t="str">
        <f t="shared" si="10"/>
        <v/>
      </c>
      <c r="I179" s="48" t="str">
        <f t="shared" si="11"/>
        <v/>
      </c>
    </row>
    <row r="180" spans="2:9">
      <c r="B180" s="57" t="str">
        <f t="shared" si="8"/>
        <v/>
      </c>
      <c r="C180" s="57"/>
      <c r="D180" s="37" t="str">
        <f>IFERROR(VLOOKUP($B180,'MATRICE ARTICLE'!$A$2:$N$1395,2,FALSE),"")</f>
        <v/>
      </c>
      <c r="E180" s="37" t="str">
        <f t="shared" si="9"/>
        <v/>
      </c>
      <c r="F180" s="37" t="str">
        <f>IFERROR(VLOOKUP($B180,'MATRICE ARTICLE'!$A$2:$N$1395,9,FALSE),"")</f>
        <v/>
      </c>
      <c r="G180" s="37" t="str">
        <f>IFERROR(VLOOKUP($B180,'MATRICE ARTICLE'!$A$2:$N$1395,14,FALSE),"")</f>
        <v/>
      </c>
      <c r="H180" s="48" t="str">
        <f t="shared" si="10"/>
        <v/>
      </c>
      <c r="I180" s="48" t="str">
        <f t="shared" si="11"/>
        <v/>
      </c>
    </row>
    <row r="181" spans="2:9">
      <c r="B181" s="57" t="str">
        <f t="shared" si="8"/>
        <v/>
      </c>
      <c r="C181" s="57"/>
      <c r="D181" s="37" t="str">
        <f>IFERROR(VLOOKUP($B181,'MATRICE ARTICLE'!$A$2:$N$1395,2,FALSE),"")</f>
        <v/>
      </c>
      <c r="E181" s="37" t="str">
        <f t="shared" si="9"/>
        <v/>
      </c>
      <c r="F181" s="37" t="str">
        <f>IFERROR(VLOOKUP($B181,'MATRICE ARTICLE'!$A$2:$N$1395,9,FALSE),"")</f>
        <v/>
      </c>
      <c r="G181" s="37" t="str">
        <f>IFERROR(VLOOKUP($B181,'MATRICE ARTICLE'!$A$2:$N$1395,14,FALSE),"")</f>
        <v/>
      </c>
      <c r="H181" s="48" t="str">
        <f t="shared" si="10"/>
        <v/>
      </c>
      <c r="I181" s="48" t="str">
        <f t="shared" si="11"/>
        <v/>
      </c>
    </row>
    <row r="182" spans="2:9">
      <c r="B182" s="57" t="str">
        <f t="shared" si="8"/>
        <v/>
      </c>
      <c r="C182" s="57"/>
      <c r="D182" s="37" t="str">
        <f>IFERROR(VLOOKUP($B182,'MATRICE ARTICLE'!$A$2:$N$1395,2,FALSE),"")</f>
        <v/>
      </c>
      <c r="E182" s="37" t="str">
        <f t="shared" si="9"/>
        <v/>
      </c>
      <c r="F182" s="37" t="str">
        <f>IFERROR(VLOOKUP($B182,'MATRICE ARTICLE'!$A$2:$N$1395,9,FALSE),"")</f>
        <v/>
      </c>
      <c r="G182" s="37" t="str">
        <f>IFERROR(VLOOKUP($B182,'MATRICE ARTICLE'!$A$2:$N$1395,14,FALSE),"")</f>
        <v/>
      </c>
      <c r="H182" s="48" t="str">
        <f t="shared" si="10"/>
        <v/>
      </c>
      <c r="I182" s="48" t="str">
        <f t="shared" si="11"/>
        <v/>
      </c>
    </row>
    <row r="183" spans="2:9">
      <c r="B183" s="57" t="str">
        <f t="shared" si="8"/>
        <v/>
      </c>
      <c r="C183" s="57"/>
      <c r="D183" s="37" t="str">
        <f>IFERROR(VLOOKUP($B183,'MATRICE ARTICLE'!$A$2:$N$1395,2,FALSE),"")</f>
        <v/>
      </c>
      <c r="E183" s="37" t="str">
        <f t="shared" si="9"/>
        <v/>
      </c>
      <c r="F183" s="37" t="str">
        <f>IFERROR(VLOOKUP($B183,'MATRICE ARTICLE'!$A$2:$N$1395,9,FALSE),"")</f>
        <v/>
      </c>
      <c r="G183" s="37" t="str">
        <f>IFERROR(VLOOKUP($B183,'MATRICE ARTICLE'!$A$2:$N$1395,14,FALSE),"")</f>
        <v/>
      </c>
      <c r="H183" s="48" t="str">
        <f t="shared" si="10"/>
        <v/>
      </c>
      <c r="I183" s="48" t="str">
        <f t="shared" si="11"/>
        <v/>
      </c>
    </row>
    <row r="184" spans="2:9">
      <c r="B184" s="57" t="str">
        <f t="shared" si="8"/>
        <v/>
      </c>
      <c r="C184" s="57"/>
      <c r="D184" s="37" t="str">
        <f>IFERROR(VLOOKUP($B184,'MATRICE ARTICLE'!$A$2:$N$1395,2,FALSE),"")</f>
        <v/>
      </c>
      <c r="E184" s="37" t="str">
        <f t="shared" si="9"/>
        <v/>
      </c>
      <c r="F184" s="37" t="str">
        <f>IFERROR(VLOOKUP($B184,'MATRICE ARTICLE'!$A$2:$N$1395,9,FALSE),"")</f>
        <v/>
      </c>
      <c r="G184" s="37" t="str">
        <f>IFERROR(VLOOKUP($B184,'MATRICE ARTICLE'!$A$2:$N$1395,14,FALSE),"")</f>
        <v/>
      </c>
      <c r="H184" s="48" t="str">
        <f t="shared" si="10"/>
        <v/>
      </c>
      <c r="I184" s="48" t="str">
        <f t="shared" si="11"/>
        <v/>
      </c>
    </row>
    <row r="185" spans="2:9">
      <c r="B185" s="57" t="str">
        <f t="shared" si="8"/>
        <v/>
      </c>
      <c r="C185" s="57"/>
      <c r="D185" s="37" t="str">
        <f>IFERROR(VLOOKUP($B185,'MATRICE ARTICLE'!$A$2:$N$1395,2,FALSE),"")</f>
        <v/>
      </c>
      <c r="E185" s="37" t="str">
        <f t="shared" si="9"/>
        <v/>
      </c>
      <c r="F185" s="37" t="str">
        <f>IFERROR(VLOOKUP($B185,'MATRICE ARTICLE'!$A$2:$N$1395,9,FALSE),"")</f>
        <v/>
      </c>
      <c r="G185" s="37" t="str">
        <f>IFERROR(VLOOKUP($B185,'MATRICE ARTICLE'!$A$2:$N$1395,14,FALSE),"")</f>
        <v/>
      </c>
      <c r="H185" s="48" t="str">
        <f t="shared" si="10"/>
        <v/>
      </c>
      <c r="I185" s="48" t="str">
        <f t="shared" si="11"/>
        <v/>
      </c>
    </row>
    <row r="186" spans="2:9">
      <c r="B186" s="57" t="str">
        <f t="shared" si="8"/>
        <v/>
      </c>
      <c r="C186" s="57"/>
      <c r="D186" s="37" t="str">
        <f>IFERROR(VLOOKUP($B186,'MATRICE ARTICLE'!$A$2:$N$1395,2,FALSE),"")</f>
        <v/>
      </c>
      <c r="E186" s="37" t="str">
        <f t="shared" si="9"/>
        <v/>
      </c>
      <c r="F186" s="37" t="str">
        <f>IFERROR(VLOOKUP($B186,'MATRICE ARTICLE'!$A$2:$N$1395,9,FALSE),"")</f>
        <v/>
      </c>
      <c r="G186" s="37" t="str">
        <f>IFERROR(VLOOKUP($B186,'MATRICE ARTICLE'!$A$2:$N$1395,14,FALSE),"")</f>
        <v/>
      </c>
      <c r="H186" s="48" t="str">
        <f t="shared" si="10"/>
        <v/>
      </c>
      <c r="I186" s="48" t="str">
        <f t="shared" si="11"/>
        <v/>
      </c>
    </row>
    <row r="187" spans="2:9">
      <c r="B187" s="57" t="str">
        <f t="shared" si="8"/>
        <v/>
      </c>
      <c r="C187" s="57"/>
      <c r="D187" s="37" t="str">
        <f>IFERROR(VLOOKUP($B187,'MATRICE ARTICLE'!$A$2:$N$1395,2,FALSE),"")</f>
        <v/>
      </c>
      <c r="E187" s="37" t="str">
        <f t="shared" si="9"/>
        <v/>
      </c>
      <c r="F187" s="37" t="str">
        <f>IFERROR(VLOOKUP($B187,'MATRICE ARTICLE'!$A$2:$N$1395,9,FALSE),"")</f>
        <v/>
      </c>
      <c r="G187" s="37" t="str">
        <f>IFERROR(VLOOKUP($B187,'MATRICE ARTICLE'!$A$2:$N$1395,14,FALSE),"")</f>
        <v/>
      </c>
      <c r="H187" s="48" t="str">
        <f t="shared" si="10"/>
        <v/>
      </c>
      <c r="I187" s="48" t="str">
        <f t="shared" si="11"/>
        <v/>
      </c>
    </row>
    <row r="188" spans="2:9">
      <c r="B188" s="57" t="str">
        <f t="shared" si="8"/>
        <v/>
      </c>
      <c r="C188" s="57"/>
      <c r="D188" s="37" t="str">
        <f>IFERROR(VLOOKUP($B188,'MATRICE ARTICLE'!$A$2:$N$1395,2,FALSE),"")</f>
        <v/>
      </c>
      <c r="E188" s="37" t="str">
        <f t="shared" si="9"/>
        <v/>
      </c>
      <c r="F188" s="37" t="str">
        <f>IFERROR(VLOOKUP($B188,'MATRICE ARTICLE'!$A$2:$N$1395,9,FALSE),"")</f>
        <v/>
      </c>
      <c r="G188" s="37" t="str">
        <f>IFERROR(VLOOKUP($B188,'MATRICE ARTICLE'!$A$2:$N$1395,14,FALSE),"")</f>
        <v/>
      </c>
      <c r="H188" s="48" t="str">
        <f t="shared" si="10"/>
        <v/>
      </c>
      <c r="I188" s="48" t="str">
        <f t="shared" si="11"/>
        <v/>
      </c>
    </row>
    <row r="189" spans="2:9">
      <c r="B189" s="57" t="str">
        <f t="shared" si="8"/>
        <v/>
      </c>
      <c r="C189" s="57"/>
      <c r="D189" s="37" t="str">
        <f>IFERROR(VLOOKUP($B189,'MATRICE ARTICLE'!$A$2:$N$1395,2,FALSE),"")</f>
        <v/>
      </c>
      <c r="E189" s="37" t="str">
        <f t="shared" si="9"/>
        <v/>
      </c>
      <c r="F189" s="37" t="str">
        <f>IFERROR(VLOOKUP($B189,'MATRICE ARTICLE'!$A$2:$N$1395,9,FALSE),"")</f>
        <v/>
      </c>
      <c r="G189" s="37" t="str">
        <f>IFERROR(VLOOKUP($B189,'MATRICE ARTICLE'!$A$2:$N$1395,14,FALSE),"")</f>
        <v/>
      </c>
      <c r="H189" s="48" t="str">
        <f t="shared" si="10"/>
        <v/>
      </c>
      <c r="I189" s="48" t="str">
        <f t="shared" si="11"/>
        <v/>
      </c>
    </row>
    <row r="190" spans="2:9">
      <c r="B190" s="57" t="str">
        <f t="shared" si="8"/>
        <v/>
      </c>
      <c r="C190" s="57"/>
      <c r="D190" s="37" t="str">
        <f>IFERROR(VLOOKUP($B190,'MATRICE ARTICLE'!$A$2:$N$1395,2,FALSE),"")</f>
        <v/>
      </c>
      <c r="E190" s="37" t="str">
        <f t="shared" si="9"/>
        <v/>
      </c>
      <c r="F190" s="37" t="str">
        <f>IFERROR(VLOOKUP($B190,'MATRICE ARTICLE'!$A$2:$N$1395,9,FALSE),"")</f>
        <v/>
      </c>
      <c r="G190" s="37" t="str">
        <f>IFERROR(VLOOKUP($B190,'MATRICE ARTICLE'!$A$2:$N$1395,14,FALSE),"")</f>
        <v/>
      </c>
      <c r="H190" s="48" t="str">
        <f t="shared" si="10"/>
        <v/>
      </c>
      <c r="I190" s="48" t="str">
        <f t="shared" si="11"/>
        <v/>
      </c>
    </row>
    <row r="191" spans="2:9">
      <c r="B191" s="57" t="str">
        <f t="shared" si="8"/>
        <v/>
      </c>
      <c r="C191" s="57"/>
      <c r="D191" s="37" t="str">
        <f>IFERROR(VLOOKUP($B191,'MATRICE ARTICLE'!$A$2:$N$1395,2,FALSE),"")</f>
        <v/>
      </c>
      <c r="E191" s="37" t="str">
        <f t="shared" si="9"/>
        <v/>
      </c>
      <c r="F191" s="37" t="str">
        <f>IFERROR(VLOOKUP($B191,'MATRICE ARTICLE'!$A$2:$N$1395,9,FALSE),"")</f>
        <v/>
      </c>
      <c r="G191" s="37" t="str">
        <f>IFERROR(VLOOKUP($B191,'MATRICE ARTICLE'!$A$2:$N$1395,14,FALSE),"")</f>
        <v/>
      </c>
      <c r="H191" s="48" t="str">
        <f t="shared" si="10"/>
        <v/>
      </c>
      <c r="I191" s="48" t="str">
        <f t="shared" si="11"/>
        <v/>
      </c>
    </row>
    <row r="192" spans="2:9">
      <c r="B192" s="57" t="str">
        <f t="shared" si="8"/>
        <v/>
      </c>
      <c r="C192" s="57"/>
      <c r="D192" s="37" t="str">
        <f>IFERROR(VLOOKUP($B192,'MATRICE ARTICLE'!$A$2:$N$1395,2,FALSE),"")</f>
        <v/>
      </c>
      <c r="E192" s="37" t="str">
        <f t="shared" si="9"/>
        <v/>
      </c>
      <c r="F192" s="37" t="str">
        <f>IFERROR(VLOOKUP($B192,'MATRICE ARTICLE'!$A$2:$N$1395,9,FALSE),"")</f>
        <v/>
      </c>
      <c r="G192" s="37" t="str">
        <f>IFERROR(VLOOKUP($B192,'MATRICE ARTICLE'!$A$2:$N$1395,14,FALSE),"")</f>
        <v/>
      </c>
      <c r="H192" s="48" t="str">
        <f t="shared" si="10"/>
        <v/>
      </c>
      <c r="I192" s="48" t="str">
        <f t="shared" si="11"/>
        <v/>
      </c>
    </row>
    <row r="193" spans="2:9">
      <c r="B193" s="57" t="str">
        <f t="shared" si="8"/>
        <v/>
      </c>
      <c r="C193" s="57"/>
      <c r="D193" s="37" t="str">
        <f>IFERROR(VLOOKUP($B193,'MATRICE ARTICLE'!$A$2:$N$1395,2,FALSE),"")</f>
        <v/>
      </c>
      <c r="E193" s="37" t="str">
        <f t="shared" si="9"/>
        <v/>
      </c>
      <c r="F193" s="37" t="str">
        <f>IFERROR(VLOOKUP($B193,'MATRICE ARTICLE'!$A$2:$N$1395,9,FALSE),"")</f>
        <v/>
      </c>
      <c r="G193" s="37" t="str">
        <f>IFERROR(VLOOKUP($B193,'MATRICE ARTICLE'!$A$2:$N$1395,14,FALSE),"")</f>
        <v/>
      </c>
      <c r="H193" s="48" t="str">
        <f t="shared" si="10"/>
        <v/>
      </c>
      <c r="I193" s="48" t="str">
        <f t="shared" si="11"/>
        <v/>
      </c>
    </row>
    <row r="194" spans="2:9">
      <c r="B194" s="57" t="str">
        <f t="shared" si="8"/>
        <v/>
      </c>
      <c r="C194" s="57"/>
      <c r="D194" s="37" t="str">
        <f>IFERROR(VLOOKUP($B194,'MATRICE ARTICLE'!$A$2:$N$1395,2,FALSE),"")</f>
        <v/>
      </c>
      <c r="E194" s="37" t="str">
        <f t="shared" si="9"/>
        <v/>
      </c>
      <c r="F194" s="37" t="str">
        <f>IFERROR(VLOOKUP($B194,'MATRICE ARTICLE'!$A$2:$N$1395,9,FALSE),"")</f>
        <v/>
      </c>
      <c r="G194" s="37" t="str">
        <f>IFERROR(VLOOKUP($B194,'MATRICE ARTICLE'!$A$2:$N$1395,14,FALSE),"")</f>
        <v/>
      </c>
      <c r="H194" s="48" t="str">
        <f t="shared" si="10"/>
        <v/>
      </c>
      <c r="I194" s="48" t="str">
        <f t="shared" si="11"/>
        <v/>
      </c>
    </row>
    <row r="195" spans="2:9">
      <c r="B195" s="57" t="str">
        <f t="shared" ref="B195:B258" si="12">IF(A195=0,"",A195)</f>
        <v/>
      </c>
      <c r="C195" s="57"/>
      <c r="D195" s="37" t="str">
        <f>IFERROR(VLOOKUP($B195,'MATRICE ARTICLE'!$A$2:$N$1395,2,FALSE),"")</f>
        <v/>
      </c>
      <c r="E195" s="37" t="str">
        <f t="shared" ref="E195:E258" si="13">IF(SUM(F195:I195)=0,"",SUM(F195:I195))</f>
        <v/>
      </c>
      <c r="F195" s="37" t="str">
        <f>IFERROR(VLOOKUP($B195,'MATRICE ARTICLE'!$A$2:$N$1395,9,FALSE),"")</f>
        <v/>
      </c>
      <c r="G195" s="37" t="str">
        <f>IFERROR(VLOOKUP($B195,'MATRICE ARTICLE'!$A$2:$N$1395,14,FALSE),"")</f>
        <v/>
      </c>
      <c r="H195" s="48" t="str">
        <f t="shared" ref="H195:H258" si="14">IF(SUM(F195:G195)*$H$1=0,"",SUM(F195:G195)*$H$1)</f>
        <v/>
      </c>
      <c r="I195" s="48" t="str">
        <f t="shared" ref="I195:I258" si="15">IF(SUM(F195:H195)*$I$1=0,"",SUM(F195:H195)*$I$1)</f>
        <v/>
      </c>
    </row>
    <row r="196" spans="2:9">
      <c r="B196" s="57" t="str">
        <f t="shared" si="12"/>
        <v/>
      </c>
      <c r="C196" s="57"/>
      <c r="D196" s="37" t="str">
        <f>IFERROR(VLOOKUP($B196,'MATRICE ARTICLE'!$A$2:$N$1395,2,FALSE),"")</f>
        <v/>
      </c>
      <c r="E196" s="37" t="str">
        <f t="shared" si="13"/>
        <v/>
      </c>
      <c r="F196" s="37" t="str">
        <f>IFERROR(VLOOKUP($B196,'MATRICE ARTICLE'!$A$2:$N$1395,9,FALSE),"")</f>
        <v/>
      </c>
      <c r="G196" s="37" t="str">
        <f>IFERROR(VLOOKUP($B196,'MATRICE ARTICLE'!$A$2:$N$1395,14,FALSE),"")</f>
        <v/>
      </c>
      <c r="H196" s="48" t="str">
        <f t="shared" si="14"/>
        <v/>
      </c>
      <c r="I196" s="48" t="str">
        <f t="shared" si="15"/>
        <v/>
      </c>
    </row>
    <row r="197" spans="2:9">
      <c r="B197" s="57" t="str">
        <f t="shared" si="12"/>
        <v/>
      </c>
      <c r="C197" s="57"/>
      <c r="D197" s="37" t="str">
        <f>IFERROR(VLOOKUP($B197,'MATRICE ARTICLE'!$A$2:$N$1395,2,FALSE),"")</f>
        <v/>
      </c>
      <c r="E197" s="37" t="str">
        <f t="shared" si="13"/>
        <v/>
      </c>
      <c r="F197" s="37" t="str">
        <f>IFERROR(VLOOKUP($B197,'MATRICE ARTICLE'!$A$2:$N$1395,9,FALSE),"")</f>
        <v/>
      </c>
      <c r="G197" s="37" t="str">
        <f>IFERROR(VLOOKUP($B197,'MATRICE ARTICLE'!$A$2:$N$1395,14,FALSE),"")</f>
        <v/>
      </c>
      <c r="H197" s="48" t="str">
        <f t="shared" si="14"/>
        <v/>
      </c>
      <c r="I197" s="48" t="str">
        <f t="shared" si="15"/>
        <v/>
      </c>
    </row>
    <row r="198" spans="2:9">
      <c r="B198" s="57" t="str">
        <f t="shared" si="12"/>
        <v/>
      </c>
      <c r="C198" s="57"/>
      <c r="D198" s="37" t="str">
        <f>IFERROR(VLOOKUP($B198,'MATRICE ARTICLE'!$A$2:$N$1395,2,FALSE),"")</f>
        <v/>
      </c>
      <c r="E198" s="37" t="str">
        <f t="shared" si="13"/>
        <v/>
      </c>
      <c r="F198" s="37" t="str">
        <f>IFERROR(VLOOKUP($B198,'MATRICE ARTICLE'!$A$2:$N$1395,9,FALSE),"")</f>
        <v/>
      </c>
      <c r="G198" s="37" t="str">
        <f>IFERROR(VLOOKUP($B198,'MATRICE ARTICLE'!$A$2:$N$1395,14,FALSE),"")</f>
        <v/>
      </c>
      <c r="H198" s="48" t="str">
        <f t="shared" si="14"/>
        <v/>
      </c>
      <c r="I198" s="48" t="str">
        <f t="shared" si="15"/>
        <v/>
      </c>
    </row>
    <row r="199" spans="2:9">
      <c r="B199" s="57" t="str">
        <f t="shared" si="12"/>
        <v/>
      </c>
      <c r="C199" s="57"/>
      <c r="D199" s="37" t="str">
        <f>IFERROR(VLOOKUP($B199,'MATRICE ARTICLE'!$A$2:$N$1395,2,FALSE),"")</f>
        <v/>
      </c>
      <c r="E199" s="37" t="str">
        <f t="shared" si="13"/>
        <v/>
      </c>
      <c r="F199" s="37" t="str">
        <f>IFERROR(VLOOKUP($B199,'MATRICE ARTICLE'!$A$2:$N$1395,9,FALSE),"")</f>
        <v/>
      </c>
      <c r="G199" s="37" t="str">
        <f>IFERROR(VLOOKUP($B199,'MATRICE ARTICLE'!$A$2:$N$1395,14,FALSE),"")</f>
        <v/>
      </c>
      <c r="H199" s="48" t="str">
        <f t="shared" si="14"/>
        <v/>
      </c>
      <c r="I199" s="48" t="str">
        <f t="shared" si="15"/>
        <v/>
      </c>
    </row>
    <row r="200" spans="2:9">
      <c r="B200" s="57" t="str">
        <f t="shared" si="12"/>
        <v/>
      </c>
      <c r="C200" s="57"/>
      <c r="D200" s="37" t="str">
        <f>IFERROR(VLOOKUP($B200,'MATRICE ARTICLE'!$A$2:$N$1395,2,FALSE),"")</f>
        <v/>
      </c>
      <c r="E200" s="37" t="str">
        <f t="shared" si="13"/>
        <v/>
      </c>
      <c r="F200" s="37" t="str">
        <f>IFERROR(VLOOKUP($B200,'MATRICE ARTICLE'!$A$2:$N$1395,9,FALSE),"")</f>
        <v/>
      </c>
      <c r="G200" s="37" t="str">
        <f>IFERROR(VLOOKUP($B200,'MATRICE ARTICLE'!$A$2:$N$1395,14,FALSE),"")</f>
        <v/>
      </c>
      <c r="H200" s="48" t="str">
        <f t="shared" si="14"/>
        <v/>
      </c>
      <c r="I200" s="48" t="str">
        <f t="shared" si="15"/>
        <v/>
      </c>
    </row>
    <row r="201" spans="2:9">
      <c r="B201" s="57" t="str">
        <f t="shared" si="12"/>
        <v/>
      </c>
      <c r="C201" s="57"/>
      <c r="D201" s="37" t="str">
        <f>IFERROR(VLOOKUP($B201,'MATRICE ARTICLE'!$A$2:$N$1395,2,FALSE),"")</f>
        <v/>
      </c>
      <c r="E201" s="37" t="str">
        <f t="shared" si="13"/>
        <v/>
      </c>
      <c r="F201" s="37" t="str">
        <f>IFERROR(VLOOKUP($B201,'MATRICE ARTICLE'!$A$2:$N$1395,9,FALSE),"")</f>
        <v/>
      </c>
      <c r="G201" s="37" t="str">
        <f>IFERROR(VLOOKUP($B201,'MATRICE ARTICLE'!$A$2:$N$1395,14,FALSE),"")</f>
        <v/>
      </c>
      <c r="H201" s="48" t="str">
        <f t="shared" si="14"/>
        <v/>
      </c>
      <c r="I201" s="48" t="str">
        <f t="shared" si="15"/>
        <v/>
      </c>
    </row>
    <row r="202" spans="2:9">
      <c r="B202" s="57" t="str">
        <f t="shared" si="12"/>
        <v/>
      </c>
      <c r="C202" s="57"/>
      <c r="D202" s="37" t="str">
        <f>IFERROR(VLOOKUP($B202,'MATRICE ARTICLE'!$A$2:$N$1395,2,FALSE),"")</f>
        <v/>
      </c>
      <c r="E202" s="37" t="str">
        <f t="shared" si="13"/>
        <v/>
      </c>
      <c r="F202" s="37" t="str">
        <f>IFERROR(VLOOKUP($B202,'MATRICE ARTICLE'!$A$2:$N$1395,9,FALSE),"")</f>
        <v/>
      </c>
      <c r="G202" s="37" t="str">
        <f>IFERROR(VLOOKUP($B202,'MATRICE ARTICLE'!$A$2:$N$1395,14,FALSE),"")</f>
        <v/>
      </c>
      <c r="H202" s="48" t="str">
        <f t="shared" si="14"/>
        <v/>
      </c>
      <c r="I202" s="48" t="str">
        <f t="shared" si="15"/>
        <v/>
      </c>
    </row>
    <row r="203" spans="2:9">
      <c r="B203" s="57" t="str">
        <f t="shared" si="12"/>
        <v/>
      </c>
      <c r="C203" s="57"/>
      <c r="D203" s="37" t="str">
        <f>IFERROR(VLOOKUP($B203,'MATRICE ARTICLE'!$A$2:$N$1395,2,FALSE),"")</f>
        <v/>
      </c>
      <c r="E203" s="37" t="str">
        <f t="shared" si="13"/>
        <v/>
      </c>
      <c r="F203" s="37" t="str">
        <f>IFERROR(VLOOKUP($B203,'MATRICE ARTICLE'!$A$2:$N$1395,9,FALSE),"")</f>
        <v/>
      </c>
      <c r="G203" s="37" t="str">
        <f>IFERROR(VLOOKUP($B203,'MATRICE ARTICLE'!$A$2:$N$1395,14,FALSE),"")</f>
        <v/>
      </c>
      <c r="H203" s="48" t="str">
        <f t="shared" si="14"/>
        <v/>
      </c>
      <c r="I203" s="48" t="str">
        <f t="shared" si="15"/>
        <v/>
      </c>
    </row>
    <row r="204" spans="2:9">
      <c r="B204" s="57" t="str">
        <f t="shared" si="12"/>
        <v/>
      </c>
      <c r="C204" s="57"/>
      <c r="D204" s="37" t="str">
        <f>IFERROR(VLOOKUP($B204,'MATRICE ARTICLE'!$A$2:$N$1395,2,FALSE),"")</f>
        <v/>
      </c>
      <c r="E204" s="37" t="str">
        <f t="shared" si="13"/>
        <v/>
      </c>
      <c r="F204" s="37" t="str">
        <f>IFERROR(VLOOKUP($B204,'MATRICE ARTICLE'!$A$2:$N$1395,9,FALSE),"")</f>
        <v/>
      </c>
      <c r="G204" s="37" t="str">
        <f>IFERROR(VLOOKUP($B204,'MATRICE ARTICLE'!$A$2:$N$1395,14,FALSE),"")</f>
        <v/>
      </c>
      <c r="H204" s="48" t="str">
        <f t="shared" si="14"/>
        <v/>
      </c>
      <c r="I204" s="48" t="str">
        <f t="shared" si="15"/>
        <v/>
      </c>
    </row>
    <row r="205" spans="2:9">
      <c r="B205" s="57" t="str">
        <f t="shared" si="12"/>
        <v/>
      </c>
      <c r="C205" s="57"/>
      <c r="D205" s="37" t="str">
        <f>IFERROR(VLOOKUP($B205,'MATRICE ARTICLE'!$A$2:$N$1395,2,FALSE),"")</f>
        <v/>
      </c>
      <c r="E205" s="37" t="str">
        <f t="shared" si="13"/>
        <v/>
      </c>
      <c r="F205" s="37" t="str">
        <f>IFERROR(VLOOKUP($B205,'MATRICE ARTICLE'!$A$2:$N$1395,9,FALSE),"")</f>
        <v/>
      </c>
      <c r="G205" s="37" t="str">
        <f>IFERROR(VLOOKUP($B205,'MATRICE ARTICLE'!$A$2:$N$1395,14,FALSE),"")</f>
        <v/>
      </c>
      <c r="H205" s="48" t="str">
        <f t="shared" si="14"/>
        <v/>
      </c>
      <c r="I205" s="48" t="str">
        <f t="shared" si="15"/>
        <v/>
      </c>
    </row>
    <row r="206" spans="2:9">
      <c r="B206" s="57" t="str">
        <f t="shared" si="12"/>
        <v/>
      </c>
      <c r="C206" s="57"/>
      <c r="D206" s="37" t="str">
        <f>IFERROR(VLOOKUP($B206,'MATRICE ARTICLE'!$A$2:$N$1395,2,FALSE),"")</f>
        <v/>
      </c>
      <c r="E206" s="37" t="str">
        <f t="shared" si="13"/>
        <v/>
      </c>
      <c r="F206" s="37" t="str">
        <f>IFERROR(VLOOKUP($B206,'MATRICE ARTICLE'!$A$2:$N$1395,9,FALSE),"")</f>
        <v/>
      </c>
      <c r="G206" s="37" t="str">
        <f>IFERROR(VLOOKUP($B206,'MATRICE ARTICLE'!$A$2:$N$1395,14,FALSE),"")</f>
        <v/>
      </c>
      <c r="H206" s="48" t="str">
        <f t="shared" si="14"/>
        <v/>
      </c>
      <c r="I206" s="48" t="str">
        <f t="shared" si="15"/>
        <v/>
      </c>
    </row>
    <row r="207" spans="2:9">
      <c r="B207" s="57" t="str">
        <f t="shared" si="12"/>
        <v/>
      </c>
      <c r="C207" s="57"/>
      <c r="D207" s="37" t="str">
        <f>IFERROR(VLOOKUP($B207,'MATRICE ARTICLE'!$A$2:$N$1395,2,FALSE),"")</f>
        <v/>
      </c>
      <c r="E207" s="37" t="str">
        <f t="shared" si="13"/>
        <v/>
      </c>
      <c r="F207" s="37" t="str">
        <f>IFERROR(VLOOKUP($B207,'MATRICE ARTICLE'!$A$2:$N$1395,9,FALSE),"")</f>
        <v/>
      </c>
      <c r="G207" s="37" t="str">
        <f>IFERROR(VLOOKUP($B207,'MATRICE ARTICLE'!$A$2:$N$1395,14,FALSE),"")</f>
        <v/>
      </c>
      <c r="H207" s="48" t="str">
        <f t="shared" si="14"/>
        <v/>
      </c>
      <c r="I207" s="48" t="str">
        <f t="shared" si="15"/>
        <v/>
      </c>
    </row>
    <row r="208" spans="2:9">
      <c r="B208" s="57" t="str">
        <f t="shared" si="12"/>
        <v/>
      </c>
      <c r="C208" s="57"/>
      <c r="D208" s="37" t="str">
        <f>IFERROR(VLOOKUP($B208,'MATRICE ARTICLE'!$A$2:$N$1395,2,FALSE),"")</f>
        <v/>
      </c>
      <c r="E208" s="37" t="str">
        <f t="shared" si="13"/>
        <v/>
      </c>
      <c r="F208" s="37" t="str">
        <f>IFERROR(VLOOKUP($B208,'MATRICE ARTICLE'!$A$2:$N$1395,9,FALSE),"")</f>
        <v/>
      </c>
      <c r="G208" s="37" t="str">
        <f>IFERROR(VLOOKUP($B208,'MATRICE ARTICLE'!$A$2:$N$1395,14,FALSE),"")</f>
        <v/>
      </c>
      <c r="H208" s="48" t="str">
        <f t="shared" si="14"/>
        <v/>
      </c>
      <c r="I208" s="48" t="str">
        <f t="shared" si="15"/>
        <v/>
      </c>
    </row>
    <row r="209" spans="2:9">
      <c r="B209" s="57" t="str">
        <f t="shared" si="12"/>
        <v/>
      </c>
      <c r="C209" s="57"/>
      <c r="D209" s="37" t="str">
        <f>IFERROR(VLOOKUP($B209,'MATRICE ARTICLE'!$A$2:$N$1395,2,FALSE),"")</f>
        <v/>
      </c>
      <c r="E209" s="37" t="str">
        <f t="shared" si="13"/>
        <v/>
      </c>
      <c r="F209" s="37" t="str">
        <f>IFERROR(VLOOKUP($B209,'MATRICE ARTICLE'!$A$2:$N$1395,9,FALSE),"")</f>
        <v/>
      </c>
      <c r="G209" s="37" t="str">
        <f>IFERROR(VLOOKUP($B209,'MATRICE ARTICLE'!$A$2:$N$1395,14,FALSE),"")</f>
        <v/>
      </c>
      <c r="H209" s="48" t="str">
        <f t="shared" si="14"/>
        <v/>
      </c>
      <c r="I209" s="48" t="str">
        <f t="shared" si="15"/>
        <v/>
      </c>
    </row>
    <row r="210" spans="2:9">
      <c r="B210" s="57" t="str">
        <f t="shared" si="12"/>
        <v/>
      </c>
      <c r="C210" s="57"/>
      <c r="D210" s="37" t="str">
        <f>IFERROR(VLOOKUP($B210,'MATRICE ARTICLE'!$A$2:$N$1395,2,FALSE),"")</f>
        <v/>
      </c>
      <c r="E210" s="37" t="str">
        <f t="shared" si="13"/>
        <v/>
      </c>
      <c r="F210" s="37" t="str">
        <f>IFERROR(VLOOKUP($B210,'MATRICE ARTICLE'!$A$2:$N$1395,9,FALSE),"")</f>
        <v/>
      </c>
      <c r="G210" s="37" t="str">
        <f>IFERROR(VLOOKUP($B210,'MATRICE ARTICLE'!$A$2:$N$1395,14,FALSE),"")</f>
        <v/>
      </c>
      <c r="H210" s="48" t="str">
        <f t="shared" si="14"/>
        <v/>
      </c>
      <c r="I210" s="48" t="str">
        <f t="shared" si="15"/>
        <v/>
      </c>
    </row>
    <row r="211" spans="2:9">
      <c r="B211" s="57" t="str">
        <f t="shared" si="12"/>
        <v/>
      </c>
      <c r="C211" s="57"/>
      <c r="D211" s="37" t="str">
        <f>IFERROR(VLOOKUP($B211,'MATRICE ARTICLE'!$A$2:$N$1395,2,FALSE),"")</f>
        <v/>
      </c>
      <c r="E211" s="37" t="str">
        <f t="shared" si="13"/>
        <v/>
      </c>
      <c r="F211" s="37" t="str">
        <f>IFERROR(VLOOKUP($B211,'MATRICE ARTICLE'!$A$2:$N$1395,9,FALSE),"")</f>
        <v/>
      </c>
      <c r="G211" s="37" t="str">
        <f>IFERROR(VLOOKUP($B211,'MATRICE ARTICLE'!$A$2:$N$1395,14,FALSE),"")</f>
        <v/>
      </c>
      <c r="H211" s="48" t="str">
        <f t="shared" si="14"/>
        <v/>
      </c>
      <c r="I211" s="48" t="str">
        <f t="shared" si="15"/>
        <v/>
      </c>
    </row>
    <row r="212" spans="2:9">
      <c r="B212" s="57" t="str">
        <f t="shared" si="12"/>
        <v/>
      </c>
      <c r="C212" s="57"/>
      <c r="D212" s="37" t="str">
        <f>IFERROR(VLOOKUP($B212,'MATRICE ARTICLE'!$A$2:$N$1395,2,FALSE),"")</f>
        <v/>
      </c>
      <c r="E212" s="37" t="str">
        <f t="shared" si="13"/>
        <v/>
      </c>
      <c r="F212" s="37" t="str">
        <f>IFERROR(VLOOKUP($B212,'MATRICE ARTICLE'!$A$2:$N$1395,9,FALSE),"")</f>
        <v/>
      </c>
      <c r="G212" s="37" t="str">
        <f>IFERROR(VLOOKUP($B212,'MATRICE ARTICLE'!$A$2:$N$1395,14,FALSE),"")</f>
        <v/>
      </c>
      <c r="H212" s="48" t="str">
        <f t="shared" si="14"/>
        <v/>
      </c>
      <c r="I212" s="48" t="str">
        <f t="shared" si="15"/>
        <v/>
      </c>
    </row>
    <row r="213" spans="2:9">
      <c r="B213" s="57" t="str">
        <f t="shared" si="12"/>
        <v/>
      </c>
      <c r="C213" s="57"/>
      <c r="D213" s="37" t="str">
        <f>IFERROR(VLOOKUP($B213,'MATRICE ARTICLE'!$A$2:$N$1395,2,FALSE),"")</f>
        <v/>
      </c>
      <c r="E213" s="37" t="str">
        <f t="shared" si="13"/>
        <v/>
      </c>
      <c r="F213" s="37" t="str">
        <f>IFERROR(VLOOKUP($B213,'MATRICE ARTICLE'!$A$2:$N$1395,9,FALSE),"")</f>
        <v/>
      </c>
      <c r="G213" s="37" t="str">
        <f>IFERROR(VLOOKUP($B213,'MATRICE ARTICLE'!$A$2:$N$1395,14,FALSE),"")</f>
        <v/>
      </c>
      <c r="H213" s="48" t="str">
        <f t="shared" si="14"/>
        <v/>
      </c>
      <c r="I213" s="48" t="str">
        <f t="shared" si="15"/>
        <v/>
      </c>
    </row>
    <row r="214" spans="2:9">
      <c r="B214" s="57" t="str">
        <f t="shared" si="12"/>
        <v/>
      </c>
      <c r="C214" s="57"/>
      <c r="D214" s="37" t="str">
        <f>IFERROR(VLOOKUP($B214,'MATRICE ARTICLE'!$A$2:$N$1395,2,FALSE),"")</f>
        <v/>
      </c>
      <c r="E214" s="37" t="str">
        <f t="shared" si="13"/>
        <v/>
      </c>
      <c r="F214" s="37" t="str">
        <f>IFERROR(VLOOKUP($B214,'MATRICE ARTICLE'!$A$2:$N$1395,9,FALSE),"")</f>
        <v/>
      </c>
      <c r="G214" s="37" t="str">
        <f>IFERROR(VLOOKUP($B214,'MATRICE ARTICLE'!$A$2:$N$1395,14,FALSE),"")</f>
        <v/>
      </c>
      <c r="H214" s="48" t="str">
        <f t="shared" si="14"/>
        <v/>
      </c>
      <c r="I214" s="48" t="str">
        <f t="shared" si="15"/>
        <v/>
      </c>
    </row>
    <row r="215" spans="2:9">
      <c r="B215" s="57" t="str">
        <f t="shared" si="12"/>
        <v/>
      </c>
      <c r="C215" s="57"/>
      <c r="D215" s="37" t="str">
        <f>IFERROR(VLOOKUP($B215,'MATRICE ARTICLE'!$A$2:$N$1395,2,FALSE),"")</f>
        <v/>
      </c>
      <c r="E215" s="37" t="str">
        <f t="shared" si="13"/>
        <v/>
      </c>
      <c r="F215" s="37" t="str">
        <f>IFERROR(VLOOKUP($B215,'MATRICE ARTICLE'!$A$2:$N$1395,9,FALSE),"")</f>
        <v/>
      </c>
      <c r="G215" s="37" t="str">
        <f>IFERROR(VLOOKUP($B215,'MATRICE ARTICLE'!$A$2:$N$1395,14,FALSE),"")</f>
        <v/>
      </c>
      <c r="H215" s="48" t="str">
        <f t="shared" si="14"/>
        <v/>
      </c>
      <c r="I215" s="48" t="str">
        <f t="shared" si="15"/>
        <v/>
      </c>
    </row>
    <row r="216" spans="2:9">
      <c r="B216" s="57" t="str">
        <f t="shared" si="12"/>
        <v/>
      </c>
      <c r="C216" s="57"/>
      <c r="D216" s="37" t="str">
        <f>IFERROR(VLOOKUP($B216,'MATRICE ARTICLE'!$A$2:$N$1395,2,FALSE),"")</f>
        <v/>
      </c>
      <c r="E216" s="37" t="str">
        <f t="shared" si="13"/>
        <v/>
      </c>
      <c r="F216" s="37" t="str">
        <f>IFERROR(VLOOKUP($B216,'MATRICE ARTICLE'!$A$2:$N$1395,9,FALSE),"")</f>
        <v/>
      </c>
      <c r="G216" s="37" t="str">
        <f>IFERROR(VLOOKUP($B216,'MATRICE ARTICLE'!$A$2:$N$1395,14,FALSE),"")</f>
        <v/>
      </c>
      <c r="H216" s="48" t="str">
        <f t="shared" si="14"/>
        <v/>
      </c>
      <c r="I216" s="48" t="str">
        <f t="shared" si="15"/>
        <v/>
      </c>
    </row>
    <row r="217" spans="2:9">
      <c r="B217" s="57" t="str">
        <f t="shared" si="12"/>
        <v/>
      </c>
      <c r="C217" s="57"/>
      <c r="D217" s="37" t="str">
        <f>IFERROR(VLOOKUP($B217,'MATRICE ARTICLE'!$A$2:$N$1395,2,FALSE),"")</f>
        <v/>
      </c>
      <c r="E217" s="37" t="str">
        <f t="shared" si="13"/>
        <v/>
      </c>
      <c r="F217" s="37" t="str">
        <f>IFERROR(VLOOKUP($B217,'MATRICE ARTICLE'!$A$2:$N$1395,9,FALSE),"")</f>
        <v/>
      </c>
      <c r="G217" s="37" t="str">
        <f>IFERROR(VLOOKUP($B217,'MATRICE ARTICLE'!$A$2:$N$1395,14,FALSE),"")</f>
        <v/>
      </c>
      <c r="H217" s="48" t="str">
        <f t="shared" si="14"/>
        <v/>
      </c>
      <c r="I217" s="48" t="str">
        <f t="shared" si="15"/>
        <v/>
      </c>
    </row>
    <row r="218" spans="2:9">
      <c r="B218" s="57" t="str">
        <f t="shared" si="12"/>
        <v/>
      </c>
      <c r="C218" s="57"/>
      <c r="D218" s="37" t="str">
        <f>IFERROR(VLOOKUP($B218,'MATRICE ARTICLE'!$A$2:$N$1395,2,FALSE),"")</f>
        <v/>
      </c>
      <c r="E218" s="37" t="str">
        <f t="shared" si="13"/>
        <v/>
      </c>
      <c r="F218" s="37" t="str">
        <f>IFERROR(VLOOKUP($B218,'MATRICE ARTICLE'!$A$2:$N$1395,9,FALSE),"")</f>
        <v/>
      </c>
      <c r="G218" s="37" t="str">
        <f>IFERROR(VLOOKUP($B218,'MATRICE ARTICLE'!$A$2:$N$1395,14,FALSE),"")</f>
        <v/>
      </c>
      <c r="H218" s="48" t="str">
        <f t="shared" si="14"/>
        <v/>
      </c>
      <c r="I218" s="48" t="str">
        <f t="shared" si="15"/>
        <v/>
      </c>
    </row>
    <row r="219" spans="2:9">
      <c r="B219" s="57" t="str">
        <f t="shared" si="12"/>
        <v/>
      </c>
      <c r="C219" s="57"/>
      <c r="D219" s="37" t="str">
        <f>IFERROR(VLOOKUP($B219,'MATRICE ARTICLE'!$A$2:$N$1395,2,FALSE),"")</f>
        <v/>
      </c>
      <c r="E219" s="37" t="str">
        <f t="shared" si="13"/>
        <v/>
      </c>
      <c r="F219" s="37" t="str">
        <f>IFERROR(VLOOKUP($B219,'MATRICE ARTICLE'!$A$2:$N$1395,9,FALSE),"")</f>
        <v/>
      </c>
      <c r="G219" s="37" t="str">
        <f>IFERROR(VLOOKUP($B219,'MATRICE ARTICLE'!$A$2:$N$1395,14,FALSE),"")</f>
        <v/>
      </c>
      <c r="H219" s="48" t="str">
        <f t="shared" si="14"/>
        <v/>
      </c>
      <c r="I219" s="48" t="str">
        <f t="shared" si="15"/>
        <v/>
      </c>
    </row>
    <row r="220" spans="2:9">
      <c r="B220" s="57" t="str">
        <f t="shared" si="12"/>
        <v/>
      </c>
      <c r="C220" s="57"/>
      <c r="D220" s="37" t="str">
        <f>IFERROR(VLOOKUP($B220,'MATRICE ARTICLE'!$A$2:$N$1395,2,FALSE),"")</f>
        <v/>
      </c>
      <c r="E220" s="37" t="str">
        <f t="shared" si="13"/>
        <v/>
      </c>
      <c r="F220" s="37" t="str">
        <f>IFERROR(VLOOKUP($B220,'MATRICE ARTICLE'!$A$2:$N$1395,9,FALSE),"")</f>
        <v/>
      </c>
      <c r="G220" s="37" t="str">
        <f>IFERROR(VLOOKUP($B220,'MATRICE ARTICLE'!$A$2:$N$1395,14,FALSE),"")</f>
        <v/>
      </c>
      <c r="H220" s="48" t="str">
        <f t="shared" si="14"/>
        <v/>
      </c>
      <c r="I220" s="48" t="str">
        <f t="shared" si="15"/>
        <v/>
      </c>
    </row>
    <row r="221" spans="2:9">
      <c r="B221" s="57" t="str">
        <f t="shared" si="12"/>
        <v/>
      </c>
      <c r="C221" s="57"/>
      <c r="D221" s="37" t="str">
        <f>IFERROR(VLOOKUP($B221,'MATRICE ARTICLE'!$A$2:$N$1395,2,FALSE),"")</f>
        <v/>
      </c>
      <c r="E221" s="37" t="str">
        <f t="shared" si="13"/>
        <v/>
      </c>
      <c r="F221" s="37" t="str">
        <f>IFERROR(VLOOKUP($B221,'MATRICE ARTICLE'!$A$2:$N$1395,9,FALSE),"")</f>
        <v/>
      </c>
      <c r="G221" s="37" t="str">
        <f>IFERROR(VLOOKUP($B221,'MATRICE ARTICLE'!$A$2:$N$1395,14,FALSE),"")</f>
        <v/>
      </c>
      <c r="H221" s="48" t="str">
        <f t="shared" si="14"/>
        <v/>
      </c>
      <c r="I221" s="48" t="str">
        <f t="shared" si="15"/>
        <v/>
      </c>
    </row>
    <row r="222" spans="2:9">
      <c r="B222" s="57" t="str">
        <f t="shared" si="12"/>
        <v/>
      </c>
      <c r="C222" s="57"/>
      <c r="D222" s="37" t="str">
        <f>IFERROR(VLOOKUP($B222,'MATRICE ARTICLE'!$A$2:$N$1395,2,FALSE),"")</f>
        <v/>
      </c>
      <c r="E222" s="37" t="str">
        <f t="shared" si="13"/>
        <v/>
      </c>
      <c r="F222" s="37" t="str">
        <f>IFERROR(VLOOKUP($B222,'MATRICE ARTICLE'!$A$2:$N$1395,9,FALSE),"")</f>
        <v/>
      </c>
      <c r="G222" s="37" t="str">
        <f>IFERROR(VLOOKUP($B222,'MATRICE ARTICLE'!$A$2:$N$1395,14,FALSE),"")</f>
        <v/>
      </c>
      <c r="H222" s="48" t="str">
        <f t="shared" si="14"/>
        <v/>
      </c>
      <c r="I222" s="48" t="str">
        <f t="shared" si="15"/>
        <v/>
      </c>
    </row>
    <row r="223" spans="2:9">
      <c r="B223" s="57" t="str">
        <f t="shared" si="12"/>
        <v/>
      </c>
      <c r="C223" s="57"/>
      <c r="D223" s="37" t="str">
        <f>IFERROR(VLOOKUP($B223,'MATRICE ARTICLE'!$A$2:$N$1395,2,FALSE),"")</f>
        <v/>
      </c>
      <c r="E223" s="37" t="str">
        <f t="shared" si="13"/>
        <v/>
      </c>
      <c r="F223" s="37" t="str">
        <f>IFERROR(VLOOKUP($B223,'MATRICE ARTICLE'!$A$2:$N$1395,9,FALSE),"")</f>
        <v/>
      </c>
      <c r="G223" s="37" t="str">
        <f>IFERROR(VLOOKUP($B223,'MATRICE ARTICLE'!$A$2:$N$1395,14,FALSE),"")</f>
        <v/>
      </c>
      <c r="H223" s="48" t="str">
        <f t="shared" si="14"/>
        <v/>
      </c>
      <c r="I223" s="48" t="str">
        <f t="shared" si="15"/>
        <v/>
      </c>
    </row>
    <row r="224" spans="2:9">
      <c r="B224" s="57" t="str">
        <f t="shared" si="12"/>
        <v/>
      </c>
      <c r="C224" s="57"/>
      <c r="D224" s="37" t="str">
        <f>IFERROR(VLOOKUP($B224,'MATRICE ARTICLE'!$A$2:$N$1395,2,FALSE),"")</f>
        <v/>
      </c>
      <c r="E224" s="37" t="str">
        <f t="shared" si="13"/>
        <v/>
      </c>
      <c r="F224" s="37" t="str">
        <f>IFERROR(VLOOKUP($B224,'MATRICE ARTICLE'!$A$2:$N$1395,9,FALSE),"")</f>
        <v/>
      </c>
      <c r="G224" s="37" t="str">
        <f>IFERROR(VLOOKUP($B224,'MATRICE ARTICLE'!$A$2:$N$1395,14,FALSE),"")</f>
        <v/>
      </c>
      <c r="H224" s="48" t="str">
        <f t="shared" si="14"/>
        <v/>
      </c>
      <c r="I224" s="48" t="str">
        <f t="shared" si="15"/>
        <v/>
      </c>
    </row>
    <row r="225" spans="2:9">
      <c r="B225" s="57" t="str">
        <f t="shared" si="12"/>
        <v/>
      </c>
      <c r="C225" s="57"/>
      <c r="D225" s="37" t="str">
        <f>IFERROR(VLOOKUP($B225,'MATRICE ARTICLE'!$A$2:$N$1395,2,FALSE),"")</f>
        <v/>
      </c>
      <c r="E225" s="37" t="str">
        <f t="shared" si="13"/>
        <v/>
      </c>
      <c r="F225" s="37" t="str">
        <f>IFERROR(VLOOKUP($B225,'MATRICE ARTICLE'!$A$2:$N$1395,9,FALSE),"")</f>
        <v/>
      </c>
      <c r="G225" s="37" t="str">
        <f>IFERROR(VLOOKUP($B225,'MATRICE ARTICLE'!$A$2:$N$1395,14,FALSE),"")</f>
        <v/>
      </c>
      <c r="H225" s="48" t="str">
        <f t="shared" si="14"/>
        <v/>
      </c>
      <c r="I225" s="48" t="str">
        <f t="shared" si="15"/>
        <v/>
      </c>
    </row>
    <row r="226" spans="2:9">
      <c r="B226" s="57" t="str">
        <f t="shared" si="12"/>
        <v/>
      </c>
      <c r="C226" s="57"/>
      <c r="D226" s="37" t="str">
        <f>IFERROR(VLOOKUP($B226,'MATRICE ARTICLE'!$A$2:$N$1395,2,FALSE),"")</f>
        <v/>
      </c>
      <c r="E226" s="37" t="str">
        <f t="shared" si="13"/>
        <v/>
      </c>
      <c r="F226" s="37" t="str">
        <f>IFERROR(VLOOKUP($B226,'MATRICE ARTICLE'!$A$2:$N$1395,9,FALSE),"")</f>
        <v/>
      </c>
      <c r="G226" s="37" t="str">
        <f>IFERROR(VLOOKUP($B226,'MATRICE ARTICLE'!$A$2:$N$1395,14,FALSE),"")</f>
        <v/>
      </c>
      <c r="H226" s="48" t="str">
        <f t="shared" si="14"/>
        <v/>
      </c>
      <c r="I226" s="48" t="str">
        <f t="shared" si="15"/>
        <v/>
      </c>
    </row>
    <row r="227" spans="2:9">
      <c r="B227" s="57" t="str">
        <f t="shared" si="12"/>
        <v/>
      </c>
      <c r="C227" s="57"/>
      <c r="D227" s="37" t="str">
        <f>IFERROR(VLOOKUP($B227,'MATRICE ARTICLE'!$A$2:$N$1395,2,FALSE),"")</f>
        <v/>
      </c>
      <c r="E227" s="37" t="str">
        <f t="shared" si="13"/>
        <v/>
      </c>
      <c r="F227" s="37" t="str">
        <f>IFERROR(VLOOKUP($B227,'MATRICE ARTICLE'!$A$2:$N$1395,9,FALSE),"")</f>
        <v/>
      </c>
      <c r="G227" s="37" t="str">
        <f>IFERROR(VLOOKUP($B227,'MATRICE ARTICLE'!$A$2:$N$1395,14,FALSE),"")</f>
        <v/>
      </c>
      <c r="H227" s="48" t="str">
        <f t="shared" si="14"/>
        <v/>
      </c>
      <c r="I227" s="48" t="str">
        <f t="shared" si="15"/>
        <v/>
      </c>
    </row>
    <row r="228" spans="2:9">
      <c r="B228" s="57" t="str">
        <f t="shared" si="12"/>
        <v/>
      </c>
      <c r="C228" s="57"/>
      <c r="D228" s="37" t="str">
        <f>IFERROR(VLOOKUP($B228,'MATRICE ARTICLE'!$A$2:$N$1395,2,FALSE),"")</f>
        <v/>
      </c>
      <c r="E228" s="37" t="str">
        <f t="shared" si="13"/>
        <v/>
      </c>
      <c r="F228" s="37" t="str">
        <f>IFERROR(VLOOKUP($B228,'MATRICE ARTICLE'!$A$2:$N$1395,9,FALSE),"")</f>
        <v/>
      </c>
      <c r="G228" s="37" t="str">
        <f>IFERROR(VLOOKUP($B228,'MATRICE ARTICLE'!$A$2:$N$1395,14,FALSE),"")</f>
        <v/>
      </c>
      <c r="H228" s="48" t="str">
        <f t="shared" si="14"/>
        <v/>
      </c>
      <c r="I228" s="48" t="str">
        <f t="shared" si="15"/>
        <v/>
      </c>
    </row>
    <row r="229" spans="2:9">
      <c r="B229" s="57" t="str">
        <f t="shared" si="12"/>
        <v/>
      </c>
      <c r="C229" s="57"/>
      <c r="D229" s="37" t="str">
        <f>IFERROR(VLOOKUP($B229,'MATRICE ARTICLE'!$A$2:$N$1395,2,FALSE),"")</f>
        <v/>
      </c>
      <c r="E229" s="37" t="str">
        <f t="shared" si="13"/>
        <v/>
      </c>
      <c r="F229" s="37" t="str">
        <f>IFERROR(VLOOKUP($B229,'MATRICE ARTICLE'!$A$2:$N$1395,9,FALSE),"")</f>
        <v/>
      </c>
      <c r="G229" s="37" t="str">
        <f>IFERROR(VLOOKUP($B229,'MATRICE ARTICLE'!$A$2:$N$1395,14,FALSE),"")</f>
        <v/>
      </c>
      <c r="H229" s="48" t="str">
        <f t="shared" si="14"/>
        <v/>
      </c>
      <c r="I229" s="48" t="str">
        <f t="shared" si="15"/>
        <v/>
      </c>
    </row>
    <row r="230" spans="2:9">
      <c r="B230" s="57" t="str">
        <f t="shared" si="12"/>
        <v/>
      </c>
      <c r="C230" s="57"/>
      <c r="D230" s="37" t="str">
        <f>IFERROR(VLOOKUP($B230,'MATRICE ARTICLE'!$A$2:$N$1395,2,FALSE),"")</f>
        <v/>
      </c>
      <c r="E230" s="37" t="str">
        <f t="shared" si="13"/>
        <v/>
      </c>
      <c r="F230" s="37" t="str">
        <f>IFERROR(VLOOKUP($B230,'MATRICE ARTICLE'!$A$2:$N$1395,9,FALSE),"")</f>
        <v/>
      </c>
      <c r="G230" s="37" t="str">
        <f>IFERROR(VLOOKUP($B230,'MATRICE ARTICLE'!$A$2:$N$1395,14,FALSE),"")</f>
        <v/>
      </c>
      <c r="H230" s="48" t="str">
        <f t="shared" si="14"/>
        <v/>
      </c>
      <c r="I230" s="48" t="str">
        <f t="shared" si="15"/>
        <v/>
      </c>
    </row>
    <row r="231" spans="2:9">
      <c r="B231" s="57" t="str">
        <f t="shared" si="12"/>
        <v/>
      </c>
      <c r="C231" s="57"/>
      <c r="D231" s="37" t="str">
        <f>IFERROR(VLOOKUP($B231,'MATRICE ARTICLE'!$A$2:$N$1395,2,FALSE),"")</f>
        <v/>
      </c>
      <c r="E231" s="37" t="str">
        <f t="shared" si="13"/>
        <v/>
      </c>
      <c r="F231" s="37" t="str">
        <f>IFERROR(VLOOKUP($B231,'MATRICE ARTICLE'!$A$2:$N$1395,9,FALSE),"")</f>
        <v/>
      </c>
      <c r="G231" s="37" t="str">
        <f>IFERROR(VLOOKUP($B231,'MATRICE ARTICLE'!$A$2:$N$1395,14,FALSE),"")</f>
        <v/>
      </c>
      <c r="H231" s="48" t="str">
        <f t="shared" si="14"/>
        <v/>
      </c>
      <c r="I231" s="48" t="str">
        <f t="shared" si="15"/>
        <v/>
      </c>
    </row>
    <row r="232" spans="2:9">
      <c r="B232" s="57" t="str">
        <f t="shared" si="12"/>
        <v/>
      </c>
      <c r="C232" s="57"/>
      <c r="D232" s="37" t="str">
        <f>IFERROR(VLOOKUP($B232,'MATRICE ARTICLE'!$A$2:$N$1395,2,FALSE),"")</f>
        <v/>
      </c>
      <c r="E232" s="37" t="str">
        <f t="shared" si="13"/>
        <v/>
      </c>
      <c r="F232" s="37" t="str">
        <f>IFERROR(VLOOKUP($B232,'MATRICE ARTICLE'!$A$2:$N$1395,9,FALSE),"")</f>
        <v/>
      </c>
      <c r="G232" s="37" t="str">
        <f>IFERROR(VLOOKUP($B232,'MATRICE ARTICLE'!$A$2:$N$1395,14,FALSE),"")</f>
        <v/>
      </c>
      <c r="H232" s="48" t="str">
        <f t="shared" si="14"/>
        <v/>
      </c>
      <c r="I232" s="48" t="str">
        <f t="shared" si="15"/>
        <v/>
      </c>
    </row>
    <row r="233" spans="2:9">
      <c r="B233" s="57" t="str">
        <f t="shared" si="12"/>
        <v/>
      </c>
      <c r="C233" s="57"/>
      <c r="D233" s="37" t="str">
        <f>IFERROR(VLOOKUP($B233,'MATRICE ARTICLE'!$A$2:$N$1395,2,FALSE),"")</f>
        <v/>
      </c>
      <c r="E233" s="37" t="str">
        <f t="shared" si="13"/>
        <v/>
      </c>
      <c r="F233" s="37" t="str">
        <f>IFERROR(VLOOKUP($B233,'MATRICE ARTICLE'!$A$2:$N$1395,9,FALSE),"")</f>
        <v/>
      </c>
      <c r="G233" s="37" t="str">
        <f>IFERROR(VLOOKUP($B233,'MATRICE ARTICLE'!$A$2:$N$1395,14,FALSE),"")</f>
        <v/>
      </c>
      <c r="H233" s="48" t="str">
        <f t="shared" si="14"/>
        <v/>
      </c>
      <c r="I233" s="48" t="str">
        <f t="shared" si="15"/>
        <v/>
      </c>
    </row>
    <row r="234" spans="2:9">
      <c r="B234" s="57" t="str">
        <f t="shared" si="12"/>
        <v/>
      </c>
      <c r="C234" s="57"/>
      <c r="D234" s="37" t="str">
        <f>IFERROR(VLOOKUP($B234,'MATRICE ARTICLE'!$A$2:$N$1395,2,FALSE),"")</f>
        <v/>
      </c>
      <c r="E234" s="37" t="str">
        <f t="shared" si="13"/>
        <v/>
      </c>
      <c r="F234" s="37" t="str">
        <f>IFERROR(VLOOKUP($B234,'MATRICE ARTICLE'!$A$2:$N$1395,9,FALSE),"")</f>
        <v/>
      </c>
      <c r="G234" s="37" t="str">
        <f>IFERROR(VLOOKUP($B234,'MATRICE ARTICLE'!$A$2:$N$1395,14,FALSE),"")</f>
        <v/>
      </c>
      <c r="H234" s="48" t="str">
        <f t="shared" si="14"/>
        <v/>
      </c>
      <c r="I234" s="48" t="str">
        <f t="shared" si="15"/>
        <v/>
      </c>
    </row>
    <row r="235" spans="2:9">
      <c r="B235" s="57" t="str">
        <f t="shared" si="12"/>
        <v/>
      </c>
      <c r="C235" s="57"/>
      <c r="D235" s="37" t="str">
        <f>IFERROR(VLOOKUP($B235,'MATRICE ARTICLE'!$A$2:$N$1395,2,FALSE),"")</f>
        <v/>
      </c>
      <c r="E235" s="37" t="str">
        <f t="shared" si="13"/>
        <v/>
      </c>
      <c r="F235" s="37" t="str">
        <f>IFERROR(VLOOKUP($B235,'MATRICE ARTICLE'!$A$2:$N$1395,9,FALSE),"")</f>
        <v/>
      </c>
      <c r="G235" s="37" t="str">
        <f>IFERROR(VLOOKUP($B235,'MATRICE ARTICLE'!$A$2:$N$1395,14,FALSE),"")</f>
        <v/>
      </c>
      <c r="H235" s="48" t="str">
        <f t="shared" si="14"/>
        <v/>
      </c>
      <c r="I235" s="48" t="str">
        <f t="shared" si="15"/>
        <v/>
      </c>
    </row>
    <row r="236" spans="2:9">
      <c r="B236" s="57" t="str">
        <f t="shared" si="12"/>
        <v/>
      </c>
      <c r="C236" s="57"/>
      <c r="D236" s="37" t="str">
        <f>IFERROR(VLOOKUP($B236,'MATRICE ARTICLE'!$A$2:$N$1395,2,FALSE),"")</f>
        <v/>
      </c>
      <c r="E236" s="37" t="str">
        <f t="shared" si="13"/>
        <v/>
      </c>
      <c r="F236" s="37" t="str">
        <f>IFERROR(VLOOKUP($B236,'MATRICE ARTICLE'!$A$2:$N$1395,9,FALSE),"")</f>
        <v/>
      </c>
      <c r="G236" s="37" t="str">
        <f>IFERROR(VLOOKUP($B236,'MATRICE ARTICLE'!$A$2:$N$1395,14,FALSE),"")</f>
        <v/>
      </c>
      <c r="H236" s="48" t="str">
        <f t="shared" si="14"/>
        <v/>
      </c>
      <c r="I236" s="48" t="str">
        <f t="shared" si="15"/>
        <v/>
      </c>
    </row>
    <row r="237" spans="2:9">
      <c r="B237" s="57" t="str">
        <f t="shared" si="12"/>
        <v/>
      </c>
      <c r="C237" s="57"/>
      <c r="D237" s="37" t="str">
        <f>IFERROR(VLOOKUP($B237,'MATRICE ARTICLE'!$A$2:$N$1395,2,FALSE),"")</f>
        <v/>
      </c>
      <c r="E237" s="37" t="str">
        <f t="shared" si="13"/>
        <v/>
      </c>
      <c r="F237" s="37" t="str">
        <f>IFERROR(VLOOKUP($B237,'MATRICE ARTICLE'!$A$2:$N$1395,9,FALSE),"")</f>
        <v/>
      </c>
      <c r="G237" s="37" t="str">
        <f>IFERROR(VLOOKUP($B237,'MATRICE ARTICLE'!$A$2:$N$1395,14,FALSE),"")</f>
        <v/>
      </c>
      <c r="H237" s="48" t="str">
        <f t="shared" si="14"/>
        <v/>
      </c>
      <c r="I237" s="48" t="str">
        <f t="shared" si="15"/>
        <v/>
      </c>
    </row>
    <row r="238" spans="2:9">
      <c r="B238" s="57" t="str">
        <f t="shared" si="12"/>
        <v/>
      </c>
      <c r="C238" s="57"/>
      <c r="D238" s="37" t="str">
        <f>IFERROR(VLOOKUP($B238,'MATRICE ARTICLE'!$A$2:$N$1395,2,FALSE),"")</f>
        <v/>
      </c>
      <c r="E238" s="37" t="str">
        <f t="shared" si="13"/>
        <v/>
      </c>
      <c r="F238" s="37" t="str">
        <f>IFERROR(VLOOKUP($B238,'MATRICE ARTICLE'!$A$2:$N$1395,9,FALSE),"")</f>
        <v/>
      </c>
      <c r="G238" s="37" t="str">
        <f>IFERROR(VLOOKUP($B238,'MATRICE ARTICLE'!$A$2:$N$1395,14,FALSE),"")</f>
        <v/>
      </c>
      <c r="H238" s="48" t="str">
        <f t="shared" si="14"/>
        <v/>
      </c>
      <c r="I238" s="48" t="str">
        <f t="shared" si="15"/>
        <v/>
      </c>
    </row>
    <row r="239" spans="2:9">
      <c r="B239" s="57" t="str">
        <f t="shared" si="12"/>
        <v/>
      </c>
      <c r="C239" s="57"/>
      <c r="D239" s="37" t="str">
        <f>IFERROR(VLOOKUP($B239,'MATRICE ARTICLE'!$A$2:$N$1395,2,FALSE),"")</f>
        <v/>
      </c>
      <c r="E239" s="37" t="str">
        <f t="shared" si="13"/>
        <v/>
      </c>
      <c r="F239" s="37" t="str">
        <f>IFERROR(VLOOKUP($B239,'MATRICE ARTICLE'!$A$2:$N$1395,9,FALSE),"")</f>
        <v/>
      </c>
      <c r="G239" s="37" t="str">
        <f>IFERROR(VLOOKUP($B239,'MATRICE ARTICLE'!$A$2:$N$1395,14,FALSE),"")</f>
        <v/>
      </c>
      <c r="H239" s="48" t="str">
        <f t="shared" si="14"/>
        <v/>
      </c>
      <c r="I239" s="48" t="str">
        <f t="shared" si="15"/>
        <v/>
      </c>
    </row>
    <row r="240" spans="2:9">
      <c r="B240" s="57" t="str">
        <f t="shared" si="12"/>
        <v/>
      </c>
      <c r="C240" s="57"/>
      <c r="D240" s="37" t="str">
        <f>IFERROR(VLOOKUP($B240,'MATRICE ARTICLE'!$A$2:$N$1395,2,FALSE),"")</f>
        <v/>
      </c>
      <c r="E240" s="37" t="str">
        <f t="shared" si="13"/>
        <v/>
      </c>
      <c r="F240" s="37" t="str">
        <f>IFERROR(VLOOKUP($B240,'MATRICE ARTICLE'!$A$2:$N$1395,9,FALSE),"")</f>
        <v/>
      </c>
      <c r="G240" s="37" t="str">
        <f>IFERROR(VLOOKUP($B240,'MATRICE ARTICLE'!$A$2:$N$1395,14,FALSE),"")</f>
        <v/>
      </c>
      <c r="H240" s="48" t="str">
        <f t="shared" si="14"/>
        <v/>
      </c>
      <c r="I240" s="48" t="str">
        <f t="shared" si="15"/>
        <v/>
      </c>
    </row>
    <row r="241" spans="2:9">
      <c r="B241" s="57" t="str">
        <f t="shared" si="12"/>
        <v/>
      </c>
      <c r="C241" s="57"/>
      <c r="D241" s="37" t="str">
        <f>IFERROR(VLOOKUP($B241,'MATRICE ARTICLE'!$A$2:$N$1395,2,FALSE),"")</f>
        <v/>
      </c>
      <c r="E241" s="37" t="str">
        <f t="shared" si="13"/>
        <v/>
      </c>
      <c r="F241" s="37" t="str">
        <f>IFERROR(VLOOKUP($B241,'MATRICE ARTICLE'!$A$2:$N$1395,9,FALSE),"")</f>
        <v/>
      </c>
      <c r="G241" s="37" t="str">
        <f>IFERROR(VLOOKUP($B241,'MATRICE ARTICLE'!$A$2:$N$1395,14,FALSE),"")</f>
        <v/>
      </c>
      <c r="H241" s="48" t="str">
        <f t="shared" si="14"/>
        <v/>
      </c>
      <c r="I241" s="48" t="str">
        <f t="shared" si="15"/>
        <v/>
      </c>
    </row>
    <row r="242" spans="2:9">
      <c r="B242" s="57" t="str">
        <f t="shared" si="12"/>
        <v/>
      </c>
      <c r="C242" s="57"/>
      <c r="D242" s="37" t="str">
        <f>IFERROR(VLOOKUP($B242,'MATRICE ARTICLE'!$A$2:$N$1395,2,FALSE),"")</f>
        <v/>
      </c>
      <c r="E242" s="37" t="str">
        <f t="shared" si="13"/>
        <v/>
      </c>
      <c r="F242" s="37" t="str">
        <f>IFERROR(VLOOKUP($B242,'MATRICE ARTICLE'!$A$2:$N$1395,9,FALSE),"")</f>
        <v/>
      </c>
      <c r="G242" s="37" t="str">
        <f>IFERROR(VLOOKUP($B242,'MATRICE ARTICLE'!$A$2:$N$1395,14,FALSE),"")</f>
        <v/>
      </c>
      <c r="H242" s="48" t="str">
        <f t="shared" si="14"/>
        <v/>
      </c>
      <c r="I242" s="48" t="str">
        <f t="shared" si="15"/>
        <v/>
      </c>
    </row>
    <row r="243" spans="2:9">
      <c r="B243" s="57" t="str">
        <f t="shared" si="12"/>
        <v/>
      </c>
      <c r="C243" s="57"/>
      <c r="D243" s="37" t="str">
        <f>IFERROR(VLOOKUP($B243,'MATRICE ARTICLE'!$A$2:$N$1395,2,FALSE),"")</f>
        <v/>
      </c>
      <c r="E243" s="37" t="str">
        <f t="shared" si="13"/>
        <v/>
      </c>
      <c r="F243" s="37" t="str">
        <f>IFERROR(VLOOKUP($B243,'MATRICE ARTICLE'!$A$2:$N$1395,9,FALSE),"")</f>
        <v/>
      </c>
      <c r="G243" s="37" t="str">
        <f>IFERROR(VLOOKUP($B243,'MATRICE ARTICLE'!$A$2:$N$1395,14,FALSE),"")</f>
        <v/>
      </c>
      <c r="H243" s="48" t="str">
        <f t="shared" si="14"/>
        <v/>
      </c>
      <c r="I243" s="48" t="str">
        <f t="shared" si="15"/>
        <v/>
      </c>
    </row>
    <row r="244" spans="2:9">
      <c r="B244" s="57" t="str">
        <f t="shared" si="12"/>
        <v/>
      </c>
      <c r="C244" s="57"/>
      <c r="D244" s="37" t="str">
        <f>IFERROR(VLOOKUP($B244,'MATRICE ARTICLE'!$A$2:$N$1395,2,FALSE),"")</f>
        <v/>
      </c>
      <c r="E244" s="37" t="str">
        <f t="shared" si="13"/>
        <v/>
      </c>
      <c r="F244" s="37" t="str">
        <f>IFERROR(VLOOKUP($B244,'MATRICE ARTICLE'!$A$2:$N$1395,9,FALSE),"")</f>
        <v/>
      </c>
      <c r="G244" s="37" t="str">
        <f>IFERROR(VLOOKUP($B244,'MATRICE ARTICLE'!$A$2:$N$1395,14,FALSE),"")</f>
        <v/>
      </c>
      <c r="H244" s="48" t="str">
        <f t="shared" si="14"/>
        <v/>
      </c>
      <c r="I244" s="48" t="str">
        <f t="shared" si="15"/>
        <v/>
      </c>
    </row>
    <row r="245" spans="2:9">
      <c r="B245" s="57" t="str">
        <f t="shared" si="12"/>
        <v/>
      </c>
      <c r="C245" s="57"/>
      <c r="D245" s="37" t="str">
        <f>IFERROR(VLOOKUP($B245,'MATRICE ARTICLE'!$A$2:$N$1395,2,FALSE),"")</f>
        <v/>
      </c>
      <c r="E245" s="37" t="str">
        <f t="shared" si="13"/>
        <v/>
      </c>
      <c r="F245" s="37" t="str">
        <f>IFERROR(VLOOKUP($B245,'MATRICE ARTICLE'!$A$2:$N$1395,9,FALSE),"")</f>
        <v/>
      </c>
      <c r="G245" s="37" t="str">
        <f>IFERROR(VLOOKUP($B245,'MATRICE ARTICLE'!$A$2:$N$1395,14,FALSE),"")</f>
        <v/>
      </c>
      <c r="H245" s="48" t="str">
        <f t="shared" si="14"/>
        <v/>
      </c>
      <c r="I245" s="48" t="str">
        <f t="shared" si="15"/>
        <v/>
      </c>
    </row>
    <row r="246" spans="2:9">
      <c r="B246" s="57" t="str">
        <f t="shared" si="12"/>
        <v/>
      </c>
      <c r="C246" s="57"/>
      <c r="D246" s="37" t="str">
        <f>IFERROR(VLOOKUP($B246,'MATRICE ARTICLE'!$A$2:$N$1395,2,FALSE),"")</f>
        <v/>
      </c>
      <c r="E246" s="37" t="str">
        <f t="shared" si="13"/>
        <v/>
      </c>
      <c r="F246" s="37" t="str">
        <f>IFERROR(VLOOKUP($B246,'MATRICE ARTICLE'!$A$2:$N$1395,9,FALSE),"")</f>
        <v/>
      </c>
      <c r="G246" s="37" t="str">
        <f>IFERROR(VLOOKUP($B246,'MATRICE ARTICLE'!$A$2:$N$1395,14,FALSE),"")</f>
        <v/>
      </c>
      <c r="H246" s="48" t="str">
        <f t="shared" si="14"/>
        <v/>
      </c>
      <c r="I246" s="48" t="str">
        <f t="shared" si="15"/>
        <v/>
      </c>
    </row>
    <row r="247" spans="2:9">
      <c r="B247" s="57" t="str">
        <f t="shared" si="12"/>
        <v/>
      </c>
      <c r="C247" s="57"/>
      <c r="D247" s="37" t="str">
        <f>IFERROR(VLOOKUP($B247,'MATRICE ARTICLE'!$A$2:$N$1395,2,FALSE),"")</f>
        <v/>
      </c>
      <c r="E247" s="37" t="str">
        <f t="shared" si="13"/>
        <v/>
      </c>
      <c r="F247" s="37" t="str">
        <f>IFERROR(VLOOKUP($B247,'MATRICE ARTICLE'!$A$2:$N$1395,9,FALSE),"")</f>
        <v/>
      </c>
      <c r="G247" s="37" t="str">
        <f>IFERROR(VLOOKUP($B247,'MATRICE ARTICLE'!$A$2:$N$1395,14,FALSE),"")</f>
        <v/>
      </c>
      <c r="H247" s="48" t="str">
        <f t="shared" si="14"/>
        <v/>
      </c>
      <c r="I247" s="48" t="str">
        <f t="shared" si="15"/>
        <v/>
      </c>
    </row>
    <row r="248" spans="2:9">
      <c r="B248" s="57" t="str">
        <f t="shared" si="12"/>
        <v/>
      </c>
      <c r="C248" s="57"/>
      <c r="D248" s="37" t="str">
        <f>IFERROR(VLOOKUP($B248,'MATRICE ARTICLE'!$A$2:$N$1395,2,FALSE),"")</f>
        <v/>
      </c>
      <c r="E248" s="37" t="str">
        <f t="shared" si="13"/>
        <v/>
      </c>
      <c r="F248" s="37" t="str">
        <f>IFERROR(VLOOKUP($B248,'MATRICE ARTICLE'!$A$2:$N$1395,9,FALSE),"")</f>
        <v/>
      </c>
      <c r="G248" s="37" t="str">
        <f>IFERROR(VLOOKUP($B248,'MATRICE ARTICLE'!$A$2:$N$1395,14,FALSE),"")</f>
        <v/>
      </c>
      <c r="H248" s="48" t="str">
        <f t="shared" si="14"/>
        <v/>
      </c>
      <c r="I248" s="48" t="str">
        <f t="shared" si="15"/>
        <v/>
      </c>
    </row>
    <row r="249" spans="2:9">
      <c r="B249" s="57" t="str">
        <f t="shared" si="12"/>
        <v/>
      </c>
      <c r="C249" s="57"/>
      <c r="D249" s="37" t="str">
        <f>IFERROR(VLOOKUP($B249,'MATRICE ARTICLE'!$A$2:$N$1395,2,FALSE),"")</f>
        <v/>
      </c>
      <c r="E249" s="37" t="str">
        <f t="shared" si="13"/>
        <v/>
      </c>
      <c r="F249" s="37" t="str">
        <f>IFERROR(VLOOKUP($B249,'MATRICE ARTICLE'!$A$2:$N$1395,9,FALSE),"")</f>
        <v/>
      </c>
      <c r="G249" s="37" t="str">
        <f>IFERROR(VLOOKUP($B249,'MATRICE ARTICLE'!$A$2:$N$1395,14,FALSE),"")</f>
        <v/>
      </c>
      <c r="H249" s="48" t="str">
        <f t="shared" si="14"/>
        <v/>
      </c>
      <c r="I249" s="48" t="str">
        <f t="shared" si="15"/>
        <v/>
      </c>
    </row>
    <row r="250" spans="2:9">
      <c r="B250" s="57" t="str">
        <f t="shared" si="12"/>
        <v/>
      </c>
      <c r="C250" s="57"/>
      <c r="D250" s="37" t="str">
        <f>IFERROR(VLOOKUP($B250,'MATRICE ARTICLE'!$A$2:$N$1395,2,FALSE),"")</f>
        <v/>
      </c>
      <c r="E250" s="37" t="str">
        <f t="shared" si="13"/>
        <v/>
      </c>
      <c r="F250" s="37" t="str">
        <f>IFERROR(VLOOKUP($B250,'MATRICE ARTICLE'!$A$2:$N$1395,9,FALSE),"")</f>
        <v/>
      </c>
      <c r="G250" s="37" t="str">
        <f>IFERROR(VLOOKUP($B250,'MATRICE ARTICLE'!$A$2:$N$1395,14,FALSE),"")</f>
        <v/>
      </c>
      <c r="H250" s="48" t="str">
        <f t="shared" si="14"/>
        <v/>
      </c>
      <c r="I250" s="48" t="str">
        <f t="shared" si="15"/>
        <v/>
      </c>
    </row>
    <row r="251" spans="2:9">
      <c r="B251" s="57" t="str">
        <f t="shared" si="12"/>
        <v/>
      </c>
      <c r="C251" s="57"/>
      <c r="D251" s="37" t="str">
        <f>IFERROR(VLOOKUP($B251,'MATRICE ARTICLE'!$A$2:$N$1395,2,FALSE),"")</f>
        <v/>
      </c>
      <c r="E251" s="37" t="str">
        <f t="shared" si="13"/>
        <v/>
      </c>
      <c r="F251" s="37" t="str">
        <f>IFERROR(VLOOKUP($B251,'MATRICE ARTICLE'!$A$2:$N$1395,9,FALSE),"")</f>
        <v/>
      </c>
      <c r="G251" s="37" t="str">
        <f>IFERROR(VLOOKUP($B251,'MATRICE ARTICLE'!$A$2:$N$1395,14,FALSE),"")</f>
        <v/>
      </c>
      <c r="H251" s="48" t="str">
        <f t="shared" si="14"/>
        <v/>
      </c>
      <c r="I251" s="48" t="str">
        <f t="shared" si="15"/>
        <v/>
      </c>
    </row>
    <row r="252" spans="2:9">
      <c r="B252" s="57" t="str">
        <f t="shared" si="12"/>
        <v/>
      </c>
      <c r="C252" s="57"/>
      <c r="D252" s="37" t="str">
        <f>IFERROR(VLOOKUP($B252,'MATRICE ARTICLE'!$A$2:$N$1395,2,FALSE),"")</f>
        <v/>
      </c>
      <c r="E252" s="37" t="str">
        <f t="shared" si="13"/>
        <v/>
      </c>
      <c r="F252" s="37" t="str">
        <f>IFERROR(VLOOKUP($B252,'MATRICE ARTICLE'!$A$2:$N$1395,9,FALSE),"")</f>
        <v/>
      </c>
      <c r="G252" s="37" t="str">
        <f>IFERROR(VLOOKUP($B252,'MATRICE ARTICLE'!$A$2:$N$1395,14,FALSE),"")</f>
        <v/>
      </c>
      <c r="H252" s="48" t="str">
        <f t="shared" si="14"/>
        <v/>
      </c>
      <c r="I252" s="48" t="str">
        <f t="shared" si="15"/>
        <v/>
      </c>
    </row>
    <row r="253" spans="2:9">
      <c r="B253" s="57" t="str">
        <f t="shared" si="12"/>
        <v/>
      </c>
      <c r="C253" s="57"/>
      <c r="D253" s="37" t="str">
        <f>IFERROR(VLOOKUP($B253,'MATRICE ARTICLE'!$A$2:$N$1395,2,FALSE),"")</f>
        <v/>
      </c>
      <c r="E253" s="37" t="str">
        <f t="shared" si="13"/>
        <v/>
      </c>
      <c r="F253" s="37" t="str">
        <f>IFERROR(VLOOKUP($B253,'MATRICE ARTICLE'!$A$2:$N$1395,9,FALSE),"")</f>
        <v/>
      </c>
      <c r="G253" s="37" t="str">
        <f>IFERROR(VLOOKUP($B253,'MATRICE ARTICLE'!$A$2:$N$1395,14,FALSE),"")</f>
        <v/>
      </c>
      <c r="H253" s="48" t="str">
        <f t="shared" si="14"/>
        <v/>
      </c>
      <c r="I253" s="48" t="str">
        <f t="shared" si="15"/>
        <v/>
      </c>
    </row>
    <row r="254" spans="2:9">
      <c r="B254" s="57" t="str">
        <f t="shared" si="12"/>
        <v/>
      </c>
      <c r="C254" s="57"/>
      <c r="D254" s="37" t="str">
        <f>IFERROR(VLOOKUP($B254,'MATRICE ARTICLE'!$A$2:$N$1395,2,FALSE),"")</f>
        <v/>
      </c>
      <c r="E254" s="37" t="str">
        <f t="shared" si="13"/>
        <v/>
      </c>
      <c r="F254" s="37" t="str">
        <f>IFERROR(VLOOKUP($B254,'MATRICE ARTICLE'!$A$2:$N$1395,9,FALSE),"")</f>
        <v/>
      </c>
      <c r="G254" s="37" t="str">
        <f>IFERROR(VLOOKUP($B254,'MATRICE ARTICLE'!$A$2:$N$1395,14,FALSE),"")</f>
        <v/>
      </c>
      <c r="H254" s="48" t="str">
        <f t="shared" si="14"/>
        <v/>
      </c>
      <c r="I254" s="48" t="str">
        <f t="shared" si="15"/>
        <v/>
      </c>
    </row>
    <row r="255" spans="2:9">
      <c r="B255" s="57" t="str">
        <f t="shared" si="12"/>
        <v/>
      </c>
      <c r="C255" s="57"/>
      <c r="D255" s="37" t="str">
        <f>IFERROR(VLOOKUP($B255,'MATRICE ARTICLE'!$A$2:$N$1395,2,FALSE),"")</f>
        <v/>
      </c>
      <c r="E255" s="37" t="str">
        <f t="shared" si="13"/>
        <v/>
      </c>
      <c r="F255" s="37" t="str">
        <f>IFERROR(VLOOKUP($B255,'MATRICE ARTICLE'!$A$2:$N$1395,9,FALSE),"")</f>
        <v/>
      </c>
      <c r="G255" s="37" t="str">
        <f>IFERROR(VLOOKUP($B255,'MATRICE ARTICLE'!$A$2:$N$1395,14,FALSE),"")</f>
        <v/>
      </c>
      <c r="H255" s="48" t="str">
        <f t="shared" si="14"/>
        <v/>
      </c>
      <c r="I255" s="48" t="str">
        <f t="shared" si="15"/>
        <v/>
      </c>
    </row>
    <row r="256" spans="2:9">
      <c r="B256" s="57" t="str">
        <f t="shared" si="12"/>
        <v/>
      </c>
      <c r="C256" s="57"/>
      <c r="D256" s="37" t="str">
        <f>IFERROR(VLOOKUP($B256,'MATRICE ARTICLE'!$A$2:$N$1395,2,FALSE),"")</f>
        <v/>
      </c>
      <c r="E256" s="37" t="str">
        <f t="shared" si="13"/>
        <v/>
      </c>
      <c r="F256" s="37" t="str">
        <f>IFERROR(VLOOKUP($B256,'MATRICE ARTICLE'!$A$2:$N$1395,9,FALSE),"")</f>
        <v/>
      </c>
      <c r="G256" s="37" t="str">
        <f>IFERROR(VLOOKUP($B256,'MATRICE ARTICLE'!$A$2:$N$1395,14,FALSE),"")</f>
        <v/>
      </c>
      <c r="H256" s="48" t="str">
        <f t="shared" si="14"/>
        <v/>
      </c>
      <c r="I256" s="48" t="str">
        <f t="shared" si="15"/>
        <v/>
      </c>
    </row>
    <row r="257" spans="2:9">
      <c r="B257" s="57" t="str">
        <f t="shared" si="12"/>
        <v/>
      </c>
      <c r="C257" s="57"/>
      <c r="D257" s="37" t="str">
        <f>IFERROR(VLOOKUP($B257,'MATRICE ARTICLE'!$A$2:$N$1395,2,FALSE),"")</f>
        <v/>
      </c>
      <c r="E257" s="37" t="str">
        <f t="shared" si="13"/>
        <v/>
      </c>
      <c r="F257" s="37" t="str">
        <f>IFERROR(VLOOKUP($B257,'MATRICE ARTICLE'!$A$2:$N$1395,9,FALSE),"")</f>
        <v/>
      </c>
      <c r="G257" s="37" t="str">
        <f>IFERROR(VLOOKUP($B257,'MATRICE ARTICLE'!$A$2:$N$1395,14,FALSE),"")</f>
        <v/>
      </c>
      <c r="H257" s="48" t="str">
        <f t="shared" si="14"/>
        <v/>
      </c>
      <c r="I257" s="48" t="str">
        <f t="shared" si="15"/>
        <v/>
      </c>
    </row>
    <row r="258" spans="2:9">
      <c r="B258" s="57" t="str">
        <f t="shared" si="12"/>
        <v/>
      </c>
      <c r="C258" s="57"/>
      <c r="D258" s="37" t="str">
        <f>IFERROR(VLOOKUP($B258,'MATRICE ARTICLE'!$A$2:$N$1395,2,FALSE),"")</f>
        <v/>
      </c>
      <c r="E258" s="37" t="str">
        <f t="shared" si="13"/>
        <v/>
      </c>
      <c r="F258" s="37" t="str">
        <f>IFERROR(VLOOKUP($B258,'MATRICE ARTICLE'!$A$2:$N$1395,9,FALSE),"")</f>
        <v/>
      </c>
      <c r="G258" s="37" t="str">
        <f>IFERROR(VLOOKUP($B258,'MATRICE ARTICLE'!$A$2:$N$1395,14,FALSE),"")</f>
        <v/>
      </c>
      <c r="H258" s="48" t="str">
        <f t="shared" si="14"/>
        <v/>
      </c>
      <c r="I258" s="48" t="str">
        <f t="shared" si="15"/>
        <v/>
      </c>
    </row>
    <row r="259" spans="2:9">
      <c r="B259" s="57" t="str">
        <f t="shared" ref="B259:B322" si="16">IF(A259=0,"",A259)</f>
        <v/>
      </c>
      <c r="C259" s="57"/>
      <c r="D259" s="37" t="str">
        <f>IFERROR(VLOOKUP($B259,'MATRICE ARTICLE'!$A$2:$N$1395,2,FALSE),"")</f>
        <v/>
      </c>
      <c r="E259" s="37" t="str">
        <f t="shared" ref="E259:E322" si="17">IF(SUM(F259:I259)=0,"",SUM(F259:I259))</f>
        <v/>
      </c>
      <c r="F259" s="37" t="str">
        <f>IFERROR(VLOOKUP($B259,'MATRICE ARTICLE'!$A$2:$N$1395,9,FALSE),"")</f>
        <v/>
      </c>
      <c r="G259" s="37" t="str">
        <f>IFERROR(VLOOKUP($B259,'MATRICE ARTICLE'!$A$2:$N$1395,14,FALSE),"")</f>
        <v/>
      </c>
      <c r="H259" s="48" t="str">
        <f t="shared" ref="H259:H322" si="18">IF(SUM(F259:G259)*$H$1=0,"",SUM(F259:G259)*$H$1)</f>
        <v/>
      </c>
      <c r="I259" s="48" t="str">
        <f t="shared" ref="I259:I322" si="19">IF(SUM(F259:H259)*$I$1=0,"",SUM(F259:H259)*$I$1)</f>
        <v/>
      </c>
    </row>
    <row r="260" spans="2:9">
      <c r="B260" s="57" t="str">
        <f t="shared" si="16"/>
        <v/>
      </c>
      <c r="C260" s="57"/>
      <c r="D260" s="37" t="str">
        <f>IFERROR(VLOOKUP($B260,'MATRICE ARTICLE'!$A$2:$N$1395,2,FALSE),"")</f>
        <v/>
      </c>
      <c r="E260" s="37" t="str">
        <f t="shared" si="17"/>
        <v/>
      </c>
      <c r="F260" s="37" t="str">
        <f>IFERROR(VLOOKUP($B260,'MATRICE ARTICLE'!$A$2:$N$1395,9,FALSE),"")</f>
        <v/>
      </c>
      <c r="G260" s="37" t="str">
        <f>IFERROR(VLOOKUP($B260,'MATRICE ARTICLE'!$A$2:$N$1395,14,FALSE),"")</f>
        <v/>
      </c>
      <c r="H260" s="48" t="str">
        <f t="shared" si="18"/>
        <v/>
      </c>
      <c r="I260" s="48" t="str">
        <f t="shared" si="19"/>
        <v/>
      </c>
    </row>
    <row r="261" spans="2:9">
      <c r="B261" s="57" t="str">
        <f t="shared" si="16"/>
        <v/>
      </c>
      <c r="C261" s="57"/>
      <c r="D261" s="37" t="str">
        <f>IFERROR(VLOOKUP($B261,'MATRICE ARTICLE'!$A$2:$N$1395,2,FALSE),"")</f>
        <v/>
      </c>
      <c r="E261" s="37" t="str">
        <f t="shared" si="17"/>
        <v/>
      </c>
      <c r="F261" s="37" t="str">
        <f>IFERROR(VLOOKUP($B261,'MATRICE ARTICLE'!$A$2:$N$1395,9,FALSE),"")</f>
        <v/>
      </c>
      <c r="G261" s="37" t="str">
        <f>IFERROR(VLOOKUP($B261,'MATRICE ARTICLE'!$A$2:$N$1395,14,FALSE),"")</f>
        <v/>
      </c>
      <c r="H261" s="48" t="str">
        <f t="shared" si="18"/>
        <v/>
      </c>
      <c r="I261" s="48" t="str">
        <f t="shared" si="19"/>
        <v/>
      </c>
    </row>
    <row r="262" spans="2:9">
      <c r="B262" s="57" t="str">
        <f t="shared" si="16"/>
        <v/>
      </c>
      <c r="C262" s="57"/>
      <c r="D262" s="37" t="str">
        <f>IFERROR(VLOOKUP($B262,'MATRICE ARTICLE'!$A$2:$N$1395,2,FALSE),"")</f>
        <v/>
      </c>
      <c r="E262" s="37" t="str">
        <f t="shared" si="17"/>
        <v/>
      </c>
      <c r="F262" s="37" t="str">
        <f>IFERROR(VLOOKUP($B262,'MATRICE ARTICLE'!$A$2:$N$1395,9,FALSE),"")</f>
        <v/>
      </c>
      <c r="G262" s="37" t="str">
        <f>IFERROR(VLOOKUP($B262,'MATRICE ARTICLE'!$A$2:$N$1395,14,FALSE),"")</f>
        <v/>
      </c>
      <c r="H262" s="48" t="str">
        <f t="shared" si="18"/>
        <v/>
      </c>
      <c r="I262" s="48" t="str">
        <f t="shared" si="19"/>
        <v/>
      </c>
    </row>
    <row r="263" spans="2:9">
      <c r="B263" s="57" t="str">
        <f t="shared" si="16"/>
        <v/>
      </c>
      <c r="C263" s="57"/>
      <c r="D263" s="37" t="str">
        <f>IFERROR(VLOOKUP($B263,'MATRICE ARTICLE'!$A$2:$N$1395,2,FALSE),"")</f>
        <v/>
      </c>
      <c r="E263" s="37" t="str">
        <f t="shared" si="17"/>
        <v/>
      </c>
      <c r="F263" s="37" t="str">
        <f>IFERROR(VLOOKUP($B263,'MATRICE ARTICLE'!$A$2:$N$1395,9,FALSE),"")</f>
        <v/>
      </c>
      <c r="G263" s="37" t="str">
        <f>IFERROR(VLOOKUP($B263,'MATRICE ARTICLE'!$A$2:$N$1395,14,FALSE),"")</f>
        <v/>
      </c>
      <c r="H263" s="48" t="str">
        <f t="shared" si="18"/>
        <v/>
      </c>
      <c r="I263" s="48" t="str">
        <f t="shared" si="19"/>
        <v/>
      </c>
    </row>
    <row r="264" spans="2:9">
      <c r="B264" s="57" t="str">
        <f t="shared" si="16"/>
        <v/>
      </c>
      <c r="C264" s="57"/>
      <c r="D264" s="37" t="str">
        <f>IFERROR(VLOOKUP($B264,'MATRICE ARTICLE'!$A$2:$N$1395,2,FALSE),"")</f>
        <v/>
      </c>
      <c r="E264" s="37" t="str">
        <f t="shared" si="17"/>
        <v/>
      </c>
      <c r="F264" s="37" t="str">
        <f>IFERROR(VLOOKUP($B264,'MATRICE ARTICLE'!$A$2:$N$1395,9,FALSE),"")</f>
        <v/>
      </c>
      <c r="G264" s="37" t="str">
        <f>IFERROR(VLOOKUP($B264,'MATRICE ARTICLE'!$A$2:$N$1395,14,FALSE),"")</f>
        <v/>
      </c>
      <c r="H264" s="48" t="str">
        <f t="shared" si="18"/>
        <v/>
      </c>
      <c r="I264" s="48" t="str">
        <f t="shared" si="19"/>
        <v/>
      </c>
    </row>
    <row r="265" spans="2:9">
      <c r="B265" s="57" t="str">
        <f t="shared" si="16"/>
        <v/>
      </c>
      <c r="C265" s="57"/>
      <c r="D265" s="37" t="str">
        <f>IFERROR(VLOOKUP($B265,'MATRICE ARTICLE'!$A$2:$N$1395,2,FALSE),"")</f>
        <v/>
      </c>
      <c r="E265" s="37" t="str">
        <f t="shared" si="17"/>
        <v/>
      </c>
      <c r="F265" s="37" t="str">
        <f>IFERROR(VLOOKUP($B265,'MATRICE ARTICLE'!$A$2:$N$1395,9,FALSE),"")</f>
        <v/>
      </c>
      <c r="G265" s="37" t="str">
        <f>IFERROR(VLOOKUP($B265,'MATRICE ARTICLE'!$A$2:$N$1395,14,FALSE),"")</f>
        <v/>
      </c>
      <c r="H265" s="48" t="str">
        <f t="shared" si="18"/>
        <v/>
      </c>
      <c r="I265" s="48" t="str">
        <f t="shared" si="19"/>
        <v/>
      </c>
    </row>
    <row r="266" spans="2:9">
      <c r="B266" s="57" t="str">
        <f t="shared" si="16"/>
        <v/>
      </c>
      <c r="C266" s="57"/>
      <c r="D266" s="37" t="str">
        <f>IFERROR(VLOOKUP($B266,'MATRICE ARTICLE'!$A$2:$N$1395,2,FALSE),"")</f>
        <v/>
      </c>
      <c r="E266" s="37" t="str">
        <f t="shared" si="17"/>
        <v/>
      </c>
      <c r="F266" s="37" t="str">
        <f>IFERROR(VLOOKUP($B266,'MATRICE ARTICLE'!$A$2:$N$1395,9,FALSE),"")</f>
        <v/>
      </c>
      <c r="G266" s="37" t="str">
        <f>IFERROR(VLOOKUP($B266,'MATRICE ARTICLE'!$A$2:$N$1395,14,FALSE),"")</f>
        <v/>
      </c>
      <c r="H266" s="48" t="str">
        <f t="shared" si="18"/>
        <v/>
      </c>
      <c r="I266" s="48" t="str">
        <f t="shared" si="19"/>
        <v/>
      </c>
    </row>
    <row r="267" spans="2:9">
      <c r="B267" s="57" t="str">
        <f t="shared" si="16"/>
        <v/>
      </c>
      <c r="C267" s="57"/>
      <c r="D267" s="37" t="str">
        <f>IFERROR(VLOOKUP($B267,'MATRICE ARTICLE'!$A$2:$N$1395,2,FALSE),"")</f>
        <v/>
      </c>
      <c r="E267" s="37" t="str">
        <f t="shared" si="17"/>
        <v/>
      </c>
      <c r="F267" s="37" t="str">
        <f>IFERROR(VLOOKUP($B267,'MATRICE ARTICLE'!$A$2:$N$1395,9,FALSE),"")</f>
        <v/>
      </c>
      <c r="G267" s="37" t="str">
        <f>IFERROR(VLOOKUP($B267,'MATRICE ARTICLE'!$A$2:$N$1395,14,FALSE),"")</f>
        <v/>
      </c>
      <c r="H267" s="48" t="str">
        <f t="shared" si="18"/>
        <v/>
      </c>
      <c r="I267" s="48" t="str">
        <f t="shared" si="19"/>
        <v/>
      </c>
    </row>
    <row r="268" spans="2:9">
      <c r="B268" s="57" t="str">
        <f t="shared" si="16"/>
        <v/>
      </c>
      <c r="C268" s="57"/>
      <c r="D268" s="37" t="str">
        <f>IFERROR(VLOOKUP($B268,'MATRICE ARTICLE'!$A$2:$N$1395,2,FALSE),"")</f>
        <v/>
      </c>
      <c r="E268" s="37" t="str">
        <f t="shared" si="17"/>
        <v/>
      </c>
      <c r="F268" s="37" t="str">
        <f>IFERROR(VLOOKUP($B268,'MATRICE ARTICLE'!$A$2:$N$1395,9,FALSE),"")</f>
        <v/>
      </c>
      <c r="G268" s="37" t="str">
        <f>IFERROR(VLOOKUP($B268,'MATRICE ARTICLE'!$A$2:$N$1395,14,FALSE),"")</f>
        <v/>
      </c>
      <c r="H268" s="48" t="str">
        <f t="shared" si="18"/>
        <v/>
      </c>
      <c r="I268" s="48" t="str">
        <f t="shared" si="19"/>
        <v/>
      </c>
    </row>
    <row r="269" spans="2:9">
      <c r="B269" s="57" t="str">
        <f t="shared" si="16"/>
        <v/>
      </c>
      <c r="C269" s="57"/>
      <c r="D269" s="37" t="str">
        <f>IFERROR(VLOOKUP($B269,'MATRICE ARTICLE'!$A$2:$N$1395,2,FALSE),"")</f>
        <v/>
      </c>
      <c r="E269" s="37" t="str">
        <f t="shared" si="17"/>
        <v/>
      </c>
      <c r="F269" s="37" t="str">
        <f>IFERROR(VLOOKUP($B269,'MATRICE ARTICLE'!$A$2:$N$1395,9,FALSE),"")</f>
        <v/>
      </c>
      <c r="G269" s="37" t="str">
        <f>IFERROR(VLOOKUP($B269,'MATRICE ARTICLE'!$A$2:$N$1395,14,FALSE),"")</f>
        <v/>
      </c>
      <c r="H269" s="48" t="str">
        <f t="shared" si="18"/>
        <v/>
      </c>
      <c r="I269" s="48" t="str">
        <f t="shared" si="19"/>
        <v/>
      </c>
    </row>
    <row r="270" spans="2:9">
      <c r="B270" s="57" t="str">
        <f t="shared" si="16"/>
        <v/>
      </c>
      <c r="C270" s="57"/>
      <c r="D270" s="37" t="str">
        <f>IFERROR(VLOOKUP($B270,'MATRICE ARTICLE'!$A$2:$N$1395,2,FALSE),"")</f>
        <v/>
      </c>
      <c r="E270" s="37" t="str">
        <f t="shared" si="17"/>
        <v/>
      </c>
      <c r="F270" s="37" t="str">
        <f>IFERROR(VLOOKUP($B270,'MATRICE ARTICLE'!$A$2:$N$1395,9,FALSE),"")</f>
        <v/>
      </c>
      <c r="G270" s="37" t="str">
        <f>IFERROR(VLOOKUP($B270,'MATRICE ARTICLE'!$A$2:$N$1395,14,FALSE),"")</f>
        <v/>
      </c>
      <c r="H270" s="48" t="str">
        <f t="shared" si="18"/>
        <v/>
      </c>
      <c r="I270" s="48" t="str">
        <f t="shared" si="19"/>
        <v/>
      </c>
    </row>
    <row r="271" spans="2:9">
      <c r="B271" s="57" t="str">
        <f t="shared" si="16"/>
        <v/>
      </c>
      <c r="C271" s="57"/>
      <c r="D271" s="37" t="str">
        <f>IFERROR(VLOOKUP($B271,'MATRICE ARTICLE'!$A$2:$N$1395,2,FALSE),"")</f>
        <v/>
      </c>
      <c r="E271" s="37" t="str">
        <f t="shared" si="17"/>
        <v/>
      </c>
      <c r="F271" s="37" t="str">
        <f>IFERROR(VLOOKUP($B271,'MATRICE ARTICLE'!$A$2:$N$1395,9,FALSE),"")</f>
        <v/>
      </c>
      <c r="G271" s="37" t="str">
        <f>IFERROR(VLOOKUP($B271,'MATRICE ARTICLE'!$A$2:$N$1395,14,FALSE),"")</f>
        <v/>
      </c>
      <c r="H271" s="48" t="str">
        <f t="shared" si="18"/>
        <v/>
      </c>
      <c r="I271" s="48" t="str">
        <f t="shared" si="19"/>
        <v/>
      </c>
    </row>
    <row r="272" spans="2:9">
      <c r="B272" s="57" t="str">
        <f t="shared" si="16"/>
        <v/>
      </c>
      <c r="C272" s="57"/>
      <c r="D272" s="37" t="str">
        <f>IFERROR(VLOOKUP($B272,'MATRICE ARTICLE'!$A$2:$N$1395,2,FALSE),"")</f>
        <v/>
      </c>
      <c r="E272" s="37" t="str">
        <f t="shared" si="17"/>
        <v/>
      </c>
      <c r="F272" s="37" t="str">
        <f>IFERROR(VLOOKUP($B272,'MATRICE ARTICLE'!$A$2:$N$1395,9,FALSE),"")</f>
        <v/>
      </c>
      <c r="G272" s="37" t="str">
        <f>IFERROR(VLOOKUP($B272,'MATRICE ARTICLE'!$A$2:$N$1395,14,FALSE),"")</f>
        <v/>
      </c>
      <c r="H272" s="48" t="str">
        <f t="shared" si="18"/>
        <v/>
      </c>
      <c r="I272" s="48" t="str">
        <f t="shared" si="19"/>
        <v/>
      </c>
    </row>
    <row r="273" spans="2:9">
      <c r="B273" s="57" t="str">
        <f t="shared" si="16"/>
        <v/>
      </c>
      <c r="C273" s="57"/>
      <c r="D273" s="37" t="str">
        <f>IFERROR(VLOOKUP($B273,'MATRICE ARTICLE'!$A$2:$N$1395,2,FALSE),"")</f>
        <v/>
      </c>
      <c r="E273" s="37" t="str">
        <f t="shared" si="17"/>
        <v/>
      </c>
      <c r="F273" s="37" t="str">
        <f>IFERROR(VLOOKUP($B273,'MATRICE ARTICLE'!$A$2:$N$1395,9,FALSE),"")</f>
        <v/>
      </c>
      <c r="G273" s="37" t="str">
        <f>IFERROR(VLOOKUP($B273,'MATRICE ARTICLE'!$A$2:$N$1395,14,FALSE),"")</f>
        <v/>
      </c>
      <c r="H273" s="48" t="str">
        <f t="shared" si="18"/>
        <v/>
      </c>
      <c r="I273" s="48" t="str">
        <f t="shared" si="19"/>
        <v/>
      </c>
    </row>
    <row r="274" spans="2:9">
      <c r="B274" s="57" t="str">
        <f t="shared" si="16"/>
        <v/>
      </c>
      <c r="C274" s="57"/>
      <c r="D274" s="37" t="str">
        <f>IFERROR(VLOOKUP($B274,'MATRICE ARTICLE'!$A$2:$N$1395,2,FALSE),"")</f>
        <v/>
      </c>
      <c r="E274" s="37" t="str">
        <f t="shared" si="17"/>
        <v/>
      </c>
      <c r="F274" s="37" t="str">
        <f>IFERROR(VLOOKUP($B274,'MATRICE ARTICLE'!$A$2:$N$1395,9,FALSE),"")</f>
        <v/>
      </c>
      <c r="G274" s="37" t="str">
        <f>IFERROR(VLOOKUP($B274,'MATRICE ARTICLE'!$A$2:$N$1395,14,FALSE),"")</f>
        <v/>
      </c>
      <c r="H274" s="48" t="str">
        <f t="shared" si="18"/>
        <v/>
      </c>
      <c r="I274" s="48" t="str">
        <f t="shared" si="19"/>
        <v/>
      </c>
    </row>
    <row r="275" spans="2:9">
      <c r="B275" s="57" t="str">
        <f t="shared" si="16"/>
        <v/>
      </c>
      <c r="C275" s="57"/>
      <c r="D275" s="37" t="str">
        <f>IFERROR(VLOOKUP($B275,'MATRICE ARTICLE'!$A$2:$N$1395,2,FALSE),"")</f>
        <v/>
      </c>
      <c r="E275" s="37" t="str">
        <f t="shared" si="17"/>
        <v/>
      </c>
      <c r="F275" s="37" t="str">
        <f>IFERROR(VLOOKUP($B275,'MATRICE ARTICLE'!$A$2:$N$1395,9,FALSE),"")</f>
        <v/>
      </c>
      <c r="G275" s="37" t="str">
        <f>IFERROR(VLOOKUP($B275,'MATRICE ARTICLE'!$A$2:$N$1395,14,FALSE),"")</f>
        <v/>
      </c>
      <c r="H275" s="48" t="str">
        <f t="shared" si="18"/>
        <v/>
      </c>
      <c r="I275" s="48" t="str">
        <f t="shared" si="19"/>
        <v/>
      </c>
    </row>
    <row r="276" spans="2:9">
      <c r="B276" s="57" t="str">
        <f t="shared" si="16"/>
        <v/>
      </c>
      <c r="C276" s="57"/>
      <c r="D276" s="37" t="str">
        <f>IFERROR(VLOOKUP($B276,'MATRICE ARTICLE'!$A$2:$N$1395,2,FALSE),"")</f>
        <v/>
      </c>
      <c r="E276" s="37" t="str">
        <f t="shared" si="17"/>
        <v/>
      </c>
      <c r="F276" s="37" t="str">
        <f>IFERROR(VLOOKUP($B276,'MATRICE ARTICLE'!$A$2:$N$1395,9,FALSE),"")</f>
        <v/>
      </c>
      <c r="G276" s="37" t="str">
        <f>IFERROR(VLOOKUP($B276,'MATRICE ARTICLE'!$A$2:$N$1395,14,FALSE),"")</f>
        <v/>
      </c>
      <c r="H276" s="48" t="str">
        <f t="shared" si="18"/>
        <v/>
      </c>
      <c r="I276" s="48" t="str">
        <f t="shared" si="19"/>
        <v/>
      </c>
    </row>
    <row r="277" spans="2:9">
      <c r="B277" s="57" t="str">
        <f t="shared" si="16"/>
        <v/>
      </c>
      <c r="C277" s="57"/>
      <c r="D277" s="37" t="str">
        <f>IFERROR(VLOOKUP($B277,'MATRICE ARTICLE'!$A$2:$N$1395,2,FALSE),"")</f>
        <v/>
      </c>
      <c r="E277" s="37" t="str">
        <f t="shared" si="17"/>
        <v/>
      </c>
      <c r="F277" s="37" t="str">
        <f>IFERROR(VLOOKUP($B277,'MATRICE ARTICLE'!$A$2:$N$1395,9,FALSE),"")</f>
        <v/>
      </c>
      <c r="G277" s="37" t="str">
        <f>IFERROR(VLOOKUP($B277,'MATRICE ARTICLE'!$A$2:$N$1395,14,FALSE),"")</f>
        <v/>
      </c>
      <c r="H277" s="48" t="str">
        <f t="shared" si="18"/>
        <v/>
      </c>
      <c r="I277" s="48" t="str">
        <f t="shared" si="19"/>
        <v/>
      </c>
    </row>
    <row r="278" spans="2:9">
      <c r="B278" s="57" t="str">
        <f t="shared" si="16"/>
        <v/>
      </c>
      <c r="C278" s="57"/>
      <c r="D278" s="37" t="str">
        <f>IFERROR(VLOOKUP($B278,'MATRICE ARTICLE'!$A$2:$N$1395,2,FALSE),"")</f>
        <v/>
      </c>
      <c r="E278" s="37" t="str">
        <f t="shared" si="17"/>
        <v/>
      </c>
      <c r="F278" s="37" t="str">
        <f>IFERROR(VLOOKUP($B278,'MATRICE ARTICLE'!$A$2:$N$1395,9,FALSE),"")</f>
        <v/>
      </c>
      <c r="G278" s="37" t="str">
        <f>IFERROR(VLOOKUP($B278,'MATRICE ARTICLE'!$A$2:$N$1395,14,FALSE),"")</f>
        <v/>
      </c>
      <c r="H278" s="48" t="str">
        <f t="shared" si="18"/>
        <v/>
      </c>
      <c r="I278" s="48" t="str">
        <f t="shared" si="19"/>
        <v/>
      </c>
    </row>
    <row r="279" spans="2:9">
      <c r="B279" s="57" t="str">
        <f t="shared" si="16"/>
        <v/>
      </c>
      <c r="C279" s="57"/>
      <c r="D279" s="37" t="str">
        <f>IFERROR(VLOOKUP($B279,'MATRICE ARTICLE'!$A$2:$N$1395,2,FALSE),"")</f>
        <v/>
      </c>
      <c r="E279" s="37" t="str">
        <f t="shared" si="17"/>
        <v/>
      </c>
      <c r="F279" s="37" t="str">
        <f>IFERROR(VLOOKUP($B279,'MATRICE ARTICLE'!$A$2:$N$1395,9,FALSE),"")</f>
        <v/>
      </c>
      <c r="G279" s="37" t="str">
        <f>IFERROR(VLOOKUP($B279,'MATRICE ARTICLE'!$A$2:$N$1395,14,FALSE),"")</f>
        <v/>
      </c>
      <c r="H279" s="48" t="str">
        <f t="shared" si="18"/>
        <v/>
      </c>
      <c r="I279" s="48" t="str">
        <f t="shared" si="19"/>
        <v/>
      </c>
    </row>
    <row r="280" spans="2:9">
      <c r="B280" s="57" t="str">
        <f t="shared" si="16"/>
        <v/>
      </c>
      <c r="C280" s="57"/>
      <c r="D280" s="37" t="str">
        <f>IFERROR(VLOOKUP($B280,'MATRICE ARTICLE'!$A$2:$N$1395,2,FALSE),"")</f>
        <v/>
      </c>
      <c r="E280" s="37" t="str">
        <f t="shared" si="17"/>
        <v/>
      </c>
      <c r="F280" s="37" t="str">
        <f>IFERROR(VLOOKUP($B280,'MATRICE ARTICLE'!$A$2:$N$1395,9,FALSE),"")</f>
        <v/>
      </c>
      <c r="G280" s="37" t="str">
        <f>IFERROR(VLOOKUP($B280,'MATRICE ARTICLE'!$A$2:$N$1395,14,FALSE),"")</f>
        <v/>
      </c>
      <c r="H280" s="48" t="str">
        <f t="shared" si="18"/>
        <v/>
      </c>
      <c r="I280" s="48" t="str">
        <f t="shared" si="19"/>
        <v/>
      </c>
    </row>
    <row r="281" spans="2:9">
      <c r="B281" s="57" t="str">
        <f t="shared" si="16"/>
        <v/>
      </c>
      <c r="C281" s="57"/>
      <c r="D281" s="37" t="str">
        <f>IFERROR(VLOOKUP($B281,'MATRICE ARTICLE'!$A$2:$N$1395,2,FALSE),"")</f>
        <v/>
      </c>
      <c r="E281" s="37" t="str">
        <f t="shared" si="17"/>
        <v/>
      </c>
      <c r="F281" s="37" t="str">
        <f>IFERROR(VLOOKUP($B281,'MATRICE ARTICLE'!$A$2:$N$1395,9,FALSE),"")</f>
        <v/>
      </c>
      <c r="G281" s="37" t="str">
        <f>IFERROR(VLOOKUP($B281,'MATRICE ARTICLE'!$A$2:$N$1395,14,FALSE),"")</f>
        <v/>
      </c>
      <c r="H281" s="48" t="str">
        <f t="shared" si="18"/>
        <v/>
      </c>
      <c r="I281" s="48" t="str">
        <f t="shared" si="19"/>
        <v/>
      </c>
    </row>
    <row r="282" spans="2:9">
      <c r="B282" s="57" t="str">
        <f t="shared" si="16"/>
        <v/>
      </c>
      <c r="C282" s="57"/>
      <c r="D282" s="37" t="str">
        <f>IFERROR(VLOOKUP($B282,'MATRICE ARTICLE'!$A$2:$N$1395,2,FALSE),"")</f>
        <v/>
      </c>
      <c r="E282" s="37" t="str">
        <f t="shared" si="17"/>
        <v/>
      </c>
      <c r="F282" s="37" t="str">
        <f>IFERROR(VLOOKUP($B282,'MATRICE ARTICLE'!$A$2:$N$1395,9,FALSE),"")</f>
        <v/>
      </c>
      <c r="G282" s="37" t="str">
        <f>IFERROR(VLOOKUP($B282,'MATRICE ARTICLE'!$A$2:$N$1395,14,FALSE),"")</f>
        <v/>
      </c>
      <c r="H282" s="48" t="str">
        <f t="shared" si="18"/>
        <v/>
      </c>
      <c r="I282" s="48" t="str">
        <f t="shared" si="19"/>
        <v/>
      </c>
    </row>
    <row r="283" spans="2:9">
      <c r="B283" s="57" t="str">
        <f t="shared" si="16"/>
        <v/>
      </c>
      <c r="C283" s="57"/>
      <c r="D283" s="37" t="str">
        <f>IFERROR(VLOOKUP($B283,'MATRICE ARTICLE'!$A$2:$N$1395,2,FALSE),"")</f>
        <v/>
      </c>
      <c r="E283" s="37" t="str">
        <f t="shared" si="17"/>
        <v/>
      </c>
      <c r="F283" s="37" t="str">
        <f>IFERROR(VLOOKUP($B283,'MATRICE ARTICLE'!$A$2:$N$1395,9,FALSE),"")</f>
        <v/>
      </c>
      <c r="G283" s="37" t="str">
        <f>IFERROR(VLOOKUP($B283,'MATRICE ARTICLE'!$A$2:$N$1395,14,FALSE),"")</f>
        <v/>
      </c>
      <c r="H283" s="48" t="str">
        <f t="shared" si="18"/>
        <v/>
      </c>
      <c r="I283" s="48" t="str">
        <f t="shared" si="19"/>
        <v/>
      </c>
    </row>
    <row r="284" spans="2:9">
      <c r="B284" s="57" t="str">
        <f t="shared" si="16"/>
        <v/>
      </c>
      <c r="C284" s="57"/>
      <c r="D284" s="37" t="str">
        <f>IFERROR(VLOOKUP($B284,'MATRICE ARTICLE'!$A$2:$N$1395,2,FALSE),"")</f>
        <v/>
      </c>
      <c r="E284" s="37" t="str">
        <f t="shared" si="17"/>
        <v/>
      </c>
      <c r="F284" s="37" t="str">
        <f>IFERROR(VLOOKUP($B284,'MATRICE ARTICLE'!$A$2:$N$1395,9,FALSE),"")</f>
        <v/>
      </c>
      <c r="G284" s="37" t="str">
        <f>IFERROR(VLOOKUP($B284,'MATRICE ARTICLE'!$A$2:$N$1395,14,FALSE),"")</f>
        <v/>
      </c>
      <c r="H284" s="48" t="str">
        <f t="shared" si="18"/>
        <v/>
      </c>
      <c r="I284" s="48" t="str">
        <f t="shared" si="19"/>
        <v/>
      </c>
    </row>
    <row r="285" spans="2:9">
      <c r="B285" s="57" t="str">
        <f t="shared" si="16"/>
        <v/>
      </c>
      <c r="C285" s="57"/>
      <c r="D285" s="37" t="str">
        <f>IFERROR(VLOOKUP($B285,'MATRICE ARTICLE'!$A$2:$N$1395,2,FALSE),"")</f>
        <v/>
      </c>
      <c r="E285" s="37" t="str">
        <f t="shared" si="17"/>
        <v/>
      </c>
      <c r="F285" s="37" t="str">
        <f>IFERROR(VLOOKUP($B285,'MATRICE ARTICLE'!$A$2:$N$1395,9,FALSE),"")</f>
        <v/>
      </c>
      <c r="G285" s="37" t="str">
        <f>IFERROR(VLOOKUP($B285,'MATRICE ARTICLE'!$A$2:$N$1395,14,FALSE),"")</f>
        <v/>
      </c>
      <c r="H285" s="48" t="str">
        <f t="shared" si="18"/>
        <v/>
      </c>
      <c r="I285" s="48" t="str">
        <f t="shared" si="19"/>
        <v/>
      </c>
    </row>
    <row r="286" spans="2:9">
      <c r="B286" s="57" t="str">
        <f t="shared" si="16"/>
        <v/>
      </c>
      <c r="C286" s="57"/>
      <c r="D286" s="37" t="str">
        <f>IFERROR(VLOOKUP($B286,'MATRICE ARTICLE'!$A$2:$N$1395,2,FALSE),"")</f>
        <v/>
      </c>
      <c r="E286" s="37" t="str">
        <f t="shared" si="17"/>
        <v/>
      </c>
      <c r="F286" s="37" t="str">
        <f>IFERROR(VLOOKUP($B286,'MATRICE ARTICLE'!$A$2:$N$1395,9,FALSE),"")</f>
        <v/>
      </c>
      <c r="G286" s="37" t="str">
        <f>IFERROR(VLOOKUP($B286,'MATRICE ARTICLE'!$A$2:$N$1395,14,FALSE),"")</f>
        <v/>
      </c>
      <c r="H286" s="48" t="str">
        <f t="shared" si="18"/>
        <v/>
      </c>
      <c r="I286" s="48" t="str">
        <f t="shared" si="19"/>
        <v/>
      </c>
    </row>
    <row r="287" spans="2:9">
      <c r="B287" s="57" t="str">
        <f t="shared" si="16"/>
        <v/>
      </c>
      <c r="C287" s="57"/>
      <c r="D287" s="37" t="str">
        <f>IFERROR(VLOOKUP($B287,'MATRICE ARTICLE'!$A$2:$N$1395,2,FALSE),"")</f>
        <v/>
      </c>
      <c r="E287" s="37" t="str">
        <f t="shared" si="17"/>
        <v/>
      </c>
      <c r="F287" s="37" t="str">
        <f>IFERROR(VLOOKUP($B287,'MATRICE ARTICLE'!$A$2:$N$1395,9,FALSE),"")</f>
        <v/>
      </c>
      <c r="G287" s="37" t="str">
        <f>IFERROR(VLOOKUP($B287,'MATRICE ARTICLE'!$A$2:$N$1395,14,FALSE),"")</f>
        <v/>
      </c>
      <c r="H287" s="48" t="str">
        <f t="shared" si="18"/>
        <v/>
      </c>
      <c r="I287" s="48" t="str">
        <f t="shared" si="19"/>
        <v/>
      </c>
    </row>
    <row r="288" spans="2:9">
      <c r="B288" s="57" t="str">
        <f t="shared" si="16"/>
        <v/>
      </c>
      <c r="C288" s="57"/>
      <c r="D288" s="37" t="str">
        <f>IFERROR(VLOOKUP($B288,'MATRICE ARTICLE'!$A$2:$N$1395,2,FALSE),"")</f>
        <v/>
      </c>
      <c r="E288" s="37" t="str">
        <f t="shared" si="17"/>
        <v/>
      </c>
      <c r="F288" s="37" t="str">
        <f>IFERROR(VLOOKUP($B288,'MATRICE ARTICLE'!$A$2:$N$1395,9,FALSE),"")</f>
        <v/>
      </c>
      <c r="G288" s="37" t="str">
        <f>IFERROR(VLOOKUP($B288,'MATRICE ARTICLE'!$A$2:$N$1395,14,FALSE),"")</f>
        <v/>
      </c>
      <c r="H288" s="48" t="str">
        <f t="shared" si="18"/>
        <v/>
      </c>
      <c r="I288" s="48" t="str">
        <f t="shared" si="19"/>
        <v/>
      </c>
    </row>
    <row r="289" spans="2:9">
      <c r="B289" s="57" t="str">
        <f t="shared" si="16"/>
        <v/>
      </c>
      <c r="C289" s="57"/>
      <c r="D289" s="37" t="str">
        <f>IFERROR(VLOOKUP($B289,'MATRICE ARTICLE'!$A$2:$N$1395,2,FALSE),"")</f>
        <v/>
      </c>
      <c r="E289" s="37" t="str">
        <f t="shared" si="17"/>
        <v/>
      </c>
      <c r="F289" s="37" t="str">
        <f>IFERROR(VLOOKUP($B289,'MATRICE ARTICLE'!$A$2:$N$1395,9,FALSE),"")</f>
        <v/>
      </c>
      <c r="G289" s="37" t="str">
        <f>IFERROR(VLOOKUP($B289,'MATRICE ARTICLE'!$A$2:$N$1395,14,FALSE),"")</f>
        <v/>
      </c>
      <c r="H289" s="48" t="str">
        <f t="shared" si="18"/>
        <v/>
      </c>
      <c r="I289" s="48" t="str">
        <f t="shared" si="19"/>
        <v/>
      </c>
    </row>
    <row r="290" spans="2:9">
      <c r="B290" s="57" t="str">
        <f t="shared" si="16"/>
        <v/>
      </c>
      <c r="C290" s="57"/>
      <c r="D290" s="37" t="str">
        <f>IFERROR(VLOOKUP($B290,'MATRICE ARTICLE'!$A$2:$N$1395,2,FALSE),"")</f>
        <v/>
      </c>
      <c r="E290" s="37" t="str">
        <f t="shared" si="17"/>
        <v/>
      </c>
      <c r="F290" s="37" t="str">
        <f>IFERROR(VLOOKUP($B290,'MATRICE ARTICLE'!$A$2:$N$1395,9,FALSE),"")</f>
        <v/>
      </c>
      <c r="G290" s="37" t="str">
        <f>IFERROR(VLOOKUP($B290,'MATRICE ARTICLE'!$A$2:$N$1395,14,FALSE),"")</f>
        <v/>
      </c>
      <c r="H290" s="48" t="str">
        <f t="shared" si="18"/>
        <v/>
      </c>
      <c r="I290" s="48" t="str">
        <f t="shared" si="19"/>
        <v/>
      </c>
    </row>
    <row r="291" spans="2:9">
      <c r="B291" s="57" t="str">
        <f t="shared" si="16"/>
        <v/>
      </c>
      <c r="C291" s="57"/>
      <c r="D291" s="37" t="str">
        <f>IFERROR(VLOOKUP($B291,'MATRICE ARTICLE'!$A$2:$N$1395,2,FALSE),"")</f>
        <v/>
      </c>
      <c r="E291" s="37" t="str">
        <f t="shared" si="17"/>
        <v/>
      </c>
      <c r="F291" s="37" t="str">
        <f>IFERROR(VLOOKUP($B291,'MATRICE ARTICLE'!$A$2:$N$1395,9,FALSE),"")</f>
        <v/>
      </c>
      <c r="G291" s="37" t="str">
        <f>IFERROR(VLOOKUP($B291,'MATRICE ARTICLE'!$A$2:$N$1395,14,FALSE),"")</f>
        <v/>
      </c>
      <c r="H291" s="48" t="str">
        <f t="shared" si="18"/>
        <v/>
      </c>
      <c r="I291" s="48" t="str">
        <f t="shared" si="19"/>
        <v/>
      </c>
    </row>
    <row r="292" spans="2:9">
      <c r="B292" s="57" t="str">
        <f t="shared" si="16"/>
        <v/>
      </c>
      <c r="C292" s="57"/>
      <c r="D292" s="37" t="str">
        <f>IFERROR(VLOOKUP($B292,'MATRICE ARTICLE'!$A$2:$N$1395,2,FALSE),"")</f>
        <v/>
      </c>
      <c r="E292" s="37" t="str">
        <f t="shared" si="17"/>
        <v/>
      </c>
      <c r="F292" s="37" t="str">
        <f>IFERROR(VLOOKUP($B292,'MATRICE ARTICLE'!$A$2:$N$1395,9,FALSE),"")</f>
        <v/>
      </c>
      <c r="G292" s="37" t="str">
        <f>IFERROR(VLOOKUP($B292,'MATRICE ARTICLE'!$A$2:$N$1395,14,FALSE),"")</f>
        <v/>
      </c>
      <c r="H292" s="48" t="str">
        <f t="shared" si="18"/>
        <v/>
      </c>
      <c r="I292" s="48" t="str">
        <f t="shared" si="19"/>
        <v/>
      </c>
    </row>
    <row r="293" spans="2:9">
      <c r="B293" s="57" t="str">
        <f t="shared" si="16"/>
        <v/>
      </c>
      <c r="C293" s="57"/>
      <c r="D293" s="37" t="str">
        <f>IFERROR(VLOOKUP($B293,'MATRICE ARTICLE'!$A$2:$N$1395,2,FALSE),"")</f>
        <v/>
      </c>
      <c r="E293" s="37" t="str">
        <f t="shared" si="17"/>
        <v/>
      </c>
      <c r="F293" s="37" t="str">
        <f>IFERROR(VLOOKUP($B293,'MATRICE ARTICLE'!$A$2:$N$1395,9,FALSE),"")</f>
        <v/>
      </c>
      <c r="G293" s="37" t="str">
        <f>IFERROR(VLOOKUP($B293,'MATRICE ARTICLE'!$A$2:$N$1395,14,FALSE),"")</f>
        <v/>
      </c>
      <c r="H293" s="48" t="str">
        <f t="shared" si="18"/>
        <v/>
      </c>
      <c r="I293" s="48" t="str">
        <f t="shared" si="19"/>
        <v/>
      </c>
    </row>
    <row r="294" spans="2:9">
      <c r="B294" s="57" t="str">
        <f t="shared" si="16"/>
        <v/>
      </c>
      <c r="C294" s="57"/>
      <c r="D294" s="37" t="str">
        <f>IFERROR(VLOOKUP($B294,'MATRICE ARTICLE'!$A$2:$N$1395,2,FALSE),"")</f>
        <v/>
      </c>
      <c r="E294" s="37" t="str">
        <f t="shared" si="17"/>
        <v/>
      </c>
      <c r="F294" s="37" t="str">
        <f>IFERROR(VLOOKUP($B294,'MATRICE ARTICLE'!$A$2:$N$1395,9,FALSE),"")</f>
        <v/>
      </c>
      <c r="G294" s="37" t="str">
        <f>IFERROR(VLOOKUP($B294,'MATRICE ARTICLE'!$A$2:$N$1395,14,FALSE),"")</f>
        <v/>
      </c>
      <c r="H294" s="48" t="str">
        <f t="shared" si="18"/>
        <v/>
      </c>
      <c r="I294" s="48" t="str">
        <f t="shared" si="19"/>
        <v/>
      </c>
    </row>
    <row r="295" spans="2:9">
      <c r="B295" s="57" t="str">
        <f t="shared" si="16"/>
        <v/>
      </c>
      <c r="C295" s="57"/>
      <c r="D295" s="37" t="str">
        <f>IFERROR(VLOOKUP($B295,'MATRICE ARTICLE'!$A$2:$N$1395,2,FALSE),"")</f>
        <v/>
      </c>
      <c r="E295" s="37" t="str">
        <f t="shared" si="17"/>
        <v/>
      </c>
      <c r="F295" s="37" t="str">
        <f>IFERROR(VLOOKUP($B295,'MATRICE ARTICLE'!$A$2:$N$1395,9,FALSE),"")</f>
        <v/>
      </c>
      <c r="G295" s="37" t="str">
        <f>IFERROR(VLOOKUP($B295,'MATRICE ARTICLE'!$A$2:$N$1395,14,FALSE),"")</f>
        <v/>
      </c>
      <c r="H295" s="48" t="str">
        <f t="shared" si="18"/>
        <v/>
      </c>
      <c r="I295" s="48" t="str">
        <f t="shared" si="19"/>
        <v/>
      </c>
    </row>
    <row r="296" spans="2:9">
      <c r="B296" s="57" t="str">
        <f t="shared" si="16"/>
        <v/>
      </c>
      <c r="C296" s="57"/>
      <c r="D296" s="37" t="str">
        <f>IFERROR(VLOOKUP($B296,'MATRICE ARTICLE'!$A$2:$N$1395,2,FALSE),"")</f>
        <v/>
      </c>
      <c r="E296" s="37" t="str">
        <f t="shared" si="17"/>
        <v/>
      </c>
      <c r="F296" s="37" t="str">
        <f>IFERROR(VLOOKUP($B296,'MATRICE ARTICLE'!$A$2:$N$1395,9,FALSE),"")</f>
        <v/>
      </c>
      <c r="G296" s="37" t="str">
        <f>IFERROR(VLOOKUP($B296,'MATRICE ARTICLE'!$A$2:$N$1395,14,FALSE),"")</f>
        <v/>
      </c>
      <c r="H296" s="48" t="str">
        <f t="shared" si="18"/>
        <v/>
      </c>
      <c r="I296" s="48" t="str">
        <f t="shared" si="19"/>
        <v/>
      </c>
    </row>
    <row r="297" spans="2:9">
      <c r="B297" s="57" t="str">
        <f t="shared" si="16"/>
        <v/>
      </c>
      <c r="C297" s="57"/>
      <c r="D297" s="37" t="str">
        <f>IFERROR(VLOOKUP($B297,'MATRICE ARTICLE'!$A$2:$N$1395,2,FALSE),"")</f>
        <v/>
      </c>
      <c r="E297" s="37" t="str">
        <f t="shared" si="17"/>
        <v/>
      </c>
      <c r="F297" s="37" t="str">
        <f>IFERROR(VLOOKUP($B297,'MATRICE ARTICLE'!$A$2:$N$1395,9,FALSE),"")</f>
        <v/>
      </c>
      <c r="G297" s="37" t="str">
        <f>IFERROR(VLOOKUP($B297,'MATRICE ARTICLE'!$A$2:$N$1395,14,FALSE),"")</f>
        <v/>
      </c>
      <c r="H297" s="48" t="str">
        <f t="shared" si="18"/>
        <v/>
      </c>
      <c r="I297" s="48" t="str">
        <f t="shared" si="19"/>
        <v/>
      </c>
    </row>
    <row r="298" spans="2:9">
      <c r="B298" s="57" t="str">
        <f t="shared" si="16"/>
        <v/>
      </c>
      <c r="C298" s="57"/>
      <c r="D298" s="37" t="str">
        <f>IFERROR(VLOOKUP($B298,'MATRICE ARTICLE'!$A$2:$N$1395,2,FALSE),"")</f>
        <v/>
      </c>
      <c r="E298" s="37" t="str">
        <f t="shared" si="17"/>
        <v/>
      </c>
      <c r="F298" s="37" t="str">
        <f>IFERROR(VLOOKUP($B298,'MATRICE ARTICLE'!$A$2:$N$1395,9,FALSE),"")</f>
        <v/>
      </c>
      <c r="G298" s="37" t="str">
        <f>IFERROR(VLOOKUP($B298,'MATRICE ARTICLE'!$A$2:$N$1395,14,FALSE),"")</f>
        <v/>
      </c>
      <c r="H298" s="48" t="str">
        <f t="shared" si="18"/>
        <v/>
      </c>
      <c r="I298" s="48" t="str">
        <f t="shared" si="19"/>
        <v/>
      </c>
    </row>
    <row r="299" spans="2:9">
      <c r="B299" s="57" t="str">
        <f t="shared" si="16"/>
        <v/>
      </c>
      <c r="C299" s="57"/>
      <c r="D299" s="37" t="str">
        <f>IFERROR(VLOOKUP($B299,'MATRICE ARTICLE'!$A$2:$N$1395,2,FALSE),"")</f>
        <v/>
      </c>
      <c r="E299" s="37" t="str">
        <f t="shared" si="17"/>
        <v/>
      </c>
      <c r="F299" s="37" t="str">
        <f>IFERROR(VLOOKUP($B299,'MATRICE ARTICLE'!$A$2:$N$1395,9,FALSE),"")</f>
        <v/>
      </c>
      <c r="G299" s="37" t="str">
        <f>IFERROR(VLOOKUP($B299,'MATRICE ARTICLE'!$A$2:$N$1395,14,FALSE),"")</f>
        <v/>
      </c>
      <c r="H299" s="48" t="str">
        <f t="shared" si="18"/>
        <v/>
      </c>
      <c r="I299" s="48" t="str">
        <f t="shared" si="19"/>
        <v/>
      </c>
    </row>
    <row r="300" spans="2:9">
      <c r="B300" s="57" t="str">
        <f t="shared" si="16"/>
        <v/>
      </c>
      <c r="C300" s="57"/>
      <c r="D300" s="37" t="str">
        <f>IFERROR(VLOOKUP($B300,'MATRICE ARTICLE'!$A$2:$N$1395,2,FALSE),"")</f>
        <v/>
      </c>
      <c r="E300" s="37" t="str">
        <f t="shared" si="17"/>
        <v/>
      </c>
      <c r="F300" s="37" t="str">
        <f>IFERROR(VLOOKUP($B300,'MATRICE ARTICLE'!$A$2:$N$1395,9,FALSE),"")</f>
        <v/>
      </c>
      <c r="G300" s="37" t="str">
        <f>IFERROR(VLOOKUP($B300,'MATRICE ARTICLE'!$A$2:$N$1395,14,FALSE),"")</f>
        <v/>
      </c>
      <c r="H300" s="48" t="str">
        <f t="shared" si="18"/>
        <v/>
      </c>
      <c r="I300" s="48" t="str">
        <f t="shared" si="19"/>
        <v/>
      </c>
    </row>
    <row r="301" spans="2:9">
      <c r="B301" s="57" t="str">
        <f t="shared" si="16"/>
        <v/>
      </c>
      <c r="C301" s="57"/>
      <c r="D301" s="37" t="str">
        <f>IFERROR(VLOOKUP($B301,'MATRICE ARTICLE'!$A$2:$N$1395,2,FALSE),"")</f>
        <v/>
      </c>
      <c r="E301" s="37" t="str">
        <f t="shared" si="17"/>
        <v/>
      </c>
      <c r="F301" s="37" t="str">
        <f>IFERROR(VLOOKUP($B301,'MATRICE ARTICLE'!$A$2:$N$1395,9,FALSE),"")</f>
        <v/>
      </c>
      <c r="G301" s="37" t="str">
        <f>IFERROR(VLOOKUP($B301,'MATRICE ARTICLE'!$A$2:$N$1395,14,FALSE),"")</f>
        <v/>
      </c>
      <c r="H301" s="48" t="str">
        <f t="shared" si="18"/>
        <v/>
      </c>
      <c r="I301" s="48" t="str">
        <f t="shared" si="19"/>
        <v/>
      </c>
    </row>
    <row r="302" spans="2:9">
      <c r="B302" s="57" t="str">
        <f t="shared" si="16"/>
        <v/>
      </c>
      <c r="C302" s="57"/>
      <c r="D302" s="37" t="str">
        <f>IFERROR(VLOOKUP($B302,'MATRICE ARTICLE'!$A$2:$N$1395,2,FALSE),"")</f>
        <v/>
      </c>
      <c r="E302" s="37" t="str">
        <f t="shared" si="17"/>
        <v/>
      </c>
      <c r="F302" s="37" t="str">
        <f>IFERROR(VLOOKUP($B302,'MATRICE ARTICLE'!$A$2:$N$1395,9,FALSE),"")</f>
        <v/>
      </c>
      <c r="G302" s="37" t="str">
        <f>IFERROR(VLOOKUP($B302,'MATRICE ARTICLE'!$A$2:$N$1395,14,FALSE),"")</f>
        <v/>
      </c>
      <c r="H302" s="48" t="str">
        <f t="shared" si="18"/>
        <v/>
      </c>
      <c r="I302" s="48" t="str">
        <f t="shared" si="19"/>
        <v/>
      </c>
    </row>
    <row r="303" spans="2:9">
      <c r="B303" s="57" t="str">
        <f t="shared" si="16"/>
        <v/>
      </c>
      <c r="C303" s="57"/>
      <c r="D303" s="37" t="str">
        <f>IFERROR(VLOOKUP($B303,'MATRICE ARTICLE'!$A$2:$N$1395,2,FALSE),"")</f>
        <v/>
      </c>
      <c r="E303" s="37" t="str">
        <f t="shared" si="17"/>
        <v/>
      </c>
      <c r="F303" s="37" t="str">
        <f>IFERROR(VLOOKUP($B303,'MATRICE ARTICLE'!$A$2:$N$1395,9,FALSE),"")</f>
        <v/>
      </c>
      <c r="G303" s="37" t="str">
        <f>IFERROR(VLOOKUP($B303,'MATRICE ARTICLE'!$A$2:$N$1395,14,FALSE),"")</f>
        <v/>
      </c>
      <c r="H303" s="48" t="str">
        <f t="shared" si="18"/>
        <v/>
      </c>
      <c r="I303" s="48" t="str">
        <f t="shared" si="19"/>
        <v/>
      </c>
    </row>
    <row r="304" spans="2:9">
      <c r="B304" s="57" t="str">
        <f t="shared" si="16"/>
        <v/>
      </c>
      <c r="C304" s="57"/>
      <c r="D304" s="37" t="str">
        <f>IFERROR(VLOOKUP($B304,'MATRICE ARTICLE'!$A$2:$N$1395,2,FALSE),"")</f>
        <v/>
      </c>
      <c r="E304" s="37" t="str">
        <f t="shared" si="17"/>
        <v/>
      </c>
      <c r="F304" s="37" t="str">
        <f>IFERROR(VLOOKUP($B304,'MATRICE ARTICLE'!$A$2:$N$1395,9,FALSE),"")</f>
        <v/>
      </c>
      <c r="G304" s="37" t="str">
        <f>IFERROR(VLOOKUP($B304,'MATRICE ARTICLE'!$A$2:$N$1395,14,FALSE),"")</f>
        <v/>
      </c>
      <c r="H304" s="48" t="str">
        <f t="shared" si="18"/>
        <v/>
      </c>
      <c r="I304" s="48" t="str">
        <f t="shared" si="19"/>
        <v/>
      </c>
    </row>
    <row r="305" spans="2:9">
      <c r="B305" s="57" t="str">
        <f t="shared" si="16"/>
        <v/>
      </c>
      <c r="C305" s="57"/>
      <c r="D305" s="37" t="str">
        <f>IFERROR(VLOOKUP($B305,'MATRICE ARTICLE'!$A$2:$N$1395,2,FALSE),"")</f>
        <v/>
      </c>
      <c r="E305" s="37" t="str">
        <f t="shared" si="17"/>
        <v/>
      </c>
      <c r="F305" s="37" t="str">
        <f>IFERROR(VLOOKUP($B305,'MATRICE ARTICLE'!$A$2:$N$1395,9,FALSE),"")</f>
        <v/>
      </c>
      <c r="G305" s="37" t="str">
        <f>IFERROR(VLOOKUP($B305,'MATRICE ARTICLE'!$A$2:$N$1395,14,FALSE),"")</f>
        <v/>
      </c>
      <c r="H305" s="48" t="str">
        <f t="shared" si="18"/>
        <v/>
      </c>
      <c r="I305" s="48" t="str">
        <f t="shared" si="19"/>
        <v/>
      </c>
    </row>
    <row r="306" spans="2:9">
      <c r="B306" s="57" t="str">
        <f t="shared" si="16"/>
        <v/>
      </c>
      <c r="C306" s="57"/>
      <c r="D306" s="37" t="str">
        <f>IFERROR(VLOOKUP($B306,'MATRICE ARTICLE'!$A$2:$N$1395,2,FALSE),"")</f>
        <v/>
      </c>
      <c r="E306" s="37" t="str">
        <f t="shared" si="17"/>
        <v/>
      </c>
      <c r="F306" s="37" t="str">
        <f>IFERROR(VLOOKUP($B306,'MATRICE ARTICLE'!$A$2:$N$1395,9,FALSE),"")</f>
        <v/>
      </c>
      <c r="G306" s="37" t="str">
        <f>IFERROR(VLOOKUP($B306,'MATRICE ARTICLE'!$A$2:$N$1395,14,FALSE),"")</f>
        <v/>
      </c>
      <c r="H306" s="48" t="str">
        <f t="shared" si="18"/>
        <v/>
      </c>
      <c r="I306" s="48" t="str">
        <f t="shared" si="19"/>
        <v/>
      </c>
    </row>
    <row r="307" spans="2:9">
      <c r="B307" s="57" t="str">
        <f t="shared" si="16"/>
        <v/>
      </c>
      <c r="C307" s="57"/>
      <c r="D307" s="37" t="str">
        <f>IFERROR(VLOOKUP($B307,'MATRICE ARTICLE'!$A$2:$N$1395,2,FALSE),"")</f>
        <v/>
      </c>
      <c r="E307" s="37" t="str">
        <f t="shared" si="17"/>
        <v/>
      </c>
      <c r="F307" s="37" t="str">
        <f>IFERROR(VLOOKUP($B307,'MATRICE ARTICLE'!$A$2:$N$1395,9,FALSE),"")</f>
        <v/>
      </c>
      <c r="G307" s="37" t="str">
        <f>IFERROR(VLOOKUP($B307,'MATRICE ARTICLE'!$A$2:$N$1395,14,FALSE),"")</f>
        <v/>
      </c>
      <c r="H307" s="48" t="str">
        <f t="shared" si="18"/>
        <v/>
      </c>
      <c r="I307" s="48" t="str">
        <f t="shared" si="19"/>
        <v/>
      </c>
    </row>
    <row r="308" spans="2:9">
      <c r="B308" s="57" t="str">
        <f t="shared" si="16"/>
        <v/>
      </c>
      <c r="C308" s="57"/>
      <c r="D308" s="37" t="str">
        <f>IFERROR(VLOOKUP($B308,'MATRICE ARTICLE'!$A$2:$N$1395,2,FALSE),"")</f>
        <v/>
      </c>
      <c r="E308" s="37" t="str">
        <f t="shared" si="17"/>
        <v/>
      </c>
      <c r="F308" s="37" t="str">
        <f>IFERROR(VLOOKUP($B308,'MATRICE ARTICLE'!$A$2:$N$1395,9,FALSE),"")</f>
        <v/>
      </c>
      <c r="G308" s="37" t="str">
        <f>IFERROR(VLOOKUP($B308,'MATRICE ARTICLE'!$A$2:$N$1395,14,FALSE),"")</f>
        <v/>
      </c>
      <c r="H308" s="48" t="str">
        <f t="shared" si="18"/>
        <v/>
      </c>
      <c r="I308" s="48" t="str">
        <f t="shared" si="19"/>
        <v/>
      </c>
    </row>
    <row r="309" spans="2:9">
      <c r="B309" s="57" t="str">
        <f t="shared" si="16"/>
        <v/>
      </c>
      <c r="C309" s="57"/>
      <c r="D309" s="37" t="str">
        <f>IFERROR(VLOOKUP($B309,'MATRICE ARTICLE'!$A$2:$N$1395,2,FALSE),"")</f>
        <v/>
      </c>
      <c r="E309" s="37" t="str">
        <f t="shared" si="17"/>
        <v/>
      </c>
      <c r="F309" s="37" t="str">
        <f>IFERROR(VLOOKUP($B309,'MATRICE ARTICLE'!$A$2:$N$1395,9,FALSE),"")</f>
        <v/>
      </c>
      <c r="G309" s="37" t="str">
        <f>IFERROR(VLOOKUP($B309,'MATRICE ARTICLE'!$A$2:$N$1395,14,FALSE),"")</f>
        <v/>
      </c>
      <c r="H309" s="48" t="str">
        <f t="shared" si="18"/>
        <v/>
      </c>
      <c r="I309" s="48" t="str">
        <f t="shared" si="19"/>
        <v/>
      </c>
    </row>
    <row r="310" spans="2:9">
      <c r="B310" s="57" t="str">
        <f t="shared" si="16"/>
        <v/>
      </c>
      <c r="C310" s="57"/>
      <c r="D310" s="37" t="str">
        <f>IFERROR(VLOOKUP($B310,'MATRICE ARTICLE'!$A$2:$N$1395,2,FALSE),"")</f>
        <v/>
      </c>
      <c r="E310" s="37" t="str">
        <f t="shared" si="17"/>
        <v/>
      </c>
      <c r="F310" s="37" t="str">
        <f>IFERROR(VLOOKUP($B310,'MATRICE ARTICLE'!$A$2:$N$1395,9,FALSE),"")</f>
        <v/>
      </c>
      <c r="G310" s="37" t="str">
        <f>IFERROR(VLOOKUP($B310,'MATRICE ARTICLE'!$A$2:$N$1395,14,FALSE),"")</f>
        <v/>
      </c>
      <c r="H310" s="48" t="str">
        <f t="shared" si="18"/>
        <v/>
      </c>
      <c r="I310" s="48" t="str">
        <f t="shared" si="19"/>
        <v/>
      </c>
    </row>
    <row r="311" spans="2:9">
      <c r="B311" s="57" t="str">
        <f t="shared" si="16"/>
        <v/>
      </c>
      <c r="C311" s="57"/>
      <c r="D311" s="37" t="str">
        <f>IFERROR(VLOOKUP($B311,'MATRICE ARTICLE'!$A$2:$N$1395,2,FALSE),"")</f>
        <v/>
      </c>
      <c r="E311" s="37" t="str">
        <f t="shared" si="17"/>
        <v/>
      </c>
      <c r="F311" s="37" t="str">
        <f>IFERROR(VLOOKUP($B311,'MATRICE ARTICLE'!$A$2:$N$1395,9,FALSE),"")</f>
        <v/>
      </c>
      <c r="G311" s="37" t="str">
        <f>IFERROR(VLOOKUP($B311,'MATRICE ARTICLE'!$A$2:$N$1395,14,FALSE),"")</f>
        <v/>
      </c>
      <c r="H311" s="48" t="str">
        <f t="shared" si="18"/>
        <v/>
      </c>
      <c r="I311" s="48" t="str">
        <f t="shared" si="19"/>
        <v/>
      </c>
    </row>
    <row r="312" spans="2:9">
      <c r="B312" s="57" t="str">
        <f t="shared" si="16"/>
        <v/>
      </c>
      <c r="C312" s="57"/>
      <c r="D312" s="37" t="str">
        <f>IFERROR(VLOOKUP($B312,'MATRICE ARTICLE'!$A$2:$N$1395,2,FALSE),"")</f>
        <v/>
      </c>
      <c r="E312" s="37" t="str">
        <f t="shared" si="17"/>
        <v/>
      </c>
      <c r="F312" s="37" t="str">
        <f>IFERROR(VLOOKUP($B312,'MATRICE ARTICLE'!$A$2:$N$1395,9,FALSE),"")</f>
        <v/>
      </c>
      <c r="G312" s="37" t="str">
        <f>IFERROR(VLOOKUP($B312,'MATRICE ARTICLE'!$A$2:$N$1395,14,FALSE),"")</f>
        <v/>
      </c>
      <c r="H312" s="48" t="str">
        <f t="shared" si="18"/>
        <v/>
      </c>
      <c r="I312" s="48" t="str">
        <f t="shared" si="19"/>
        <v/>
      </c>
    </row>
    <row r="313" spans="2:9">
      <c r="B313" s="57" t="str">
        <f t="shared" si="16"/>
        <v/>
      </c>
      <c r="C313" s="57"/>
      <c r="D313" s="37" t="str">
        <f>IFERROR(VLOOKUP($B313,'MATRICE ARTICLE'!$A$2:$N$1395,2,FALSE),"")</f>
        <v/>
      </c>
      <c r="E313" s="37" t="str">
        <f t="shared" si="17"/>
        <v/>
      </c>
      <c r="F313" s="37" t="str">
        <f>IFERROR(VLOOKUP($B313,'MATRICE ARTICLE'!$A$2:$N$1395,9,FALSE),"")</f>
        <v/>
      </c>
      <c r="G313" s="37" t="str">
        <f>IFERROR(VLOOKUP($B313,'MATRICE ARTICLE'!$A$2:$N$1395,14,FALSE),"")</f>
        <v/>
      </c>
      <c r="H313" s="48" t="str">
        <f t="shared" si="18"/>
        <v/>
      </c>
      <c r="I313" s="48" t="str">
        <f t="shared" si="19"/>
        <v/>
      </c>
    </row>
    <row r="314" spans="2:9">
      <c r="B314" s="57" t="str">
        <f t="shared" si="16"/>
        <v/>
      </c>
      <c r="C314" s="57"/>
      <c r="D314" s="37" t="str">
        <f>IFERROR(VLOOKUP($B314,'MATRICE ARTICLE'!$A$2:$N$1395,2,FALSE),"")</f>
        <v/>
      </c>
      <c r="E314" s="37" t="str">
        <f t="shared" si="17"/>
        <v/>
      </c>
      <c r="F314" s="37" t="str">
        <f>IFERROR(VLOOKUP($B314,'MATRICE ARTICLE'!$A$2:$N$1395,9,FALSE),"")</f>
        <v/>
      </c>
      <c r="G314" s="37" t="str">
        <f>IFERROR(VLOOKUP($B314,'MATRICE ARTICLE'!$A$2:$N$1395,14,FALSE),"")</f>
        <v/>
      </c>
      <c r="H314" s="48" t="str">
        <f t="shared" si="18"/>
        <v/>
      </c>
      <c r="I314" s="48" t="str">
        <f t="shared" si="19"/>
        <v/>
      </c>
    </row>
    <row r="315" spans="2:9">
      <c r="B315" s="57" t="str">
        <f t="shared" si="16"/>
        <v/>
      </c>
      <c r="C315" s="57"/>
      <c r="D315" s="37" t="str">
        <f>IFERROR(VLOOKUP($B315,'MATRICE ARTICLE'!$A$2:$N$1395,2,FALSE),"")</f>
        <v/>
      </c>
      <c r="E315" s="37" t="str">
        <f t="shared" si="17"/>
        <v/>
      </c>
      <c r="F315" s="37" t="str">
        <f>IFERROR(VLOOKUP($B315,'MATRICE ARTICLE'!$A$2:$N$1395,9,FALSE),"")</f>
        <v/>
      </c>
      <c r="G315" s="37" t="str">
        <f>IFERROR(VLOOKUP($B315,'MATRICE ARTICLE'!$A$2:$N$1395,14,FALSE),"")</f>
        <v/>
      </c>
      <c r="H315" s="48" t="str">
        <f t="shared" si="18"/>
        <v/>
      </c>
      <c r="I315" s="48" t="str">
        <f t="shared" si="19"/>
        <v/>
      </c>
    </row>
    <row r="316" spans="2:9">
      <c r="B316" s="57" t="str">
        <f t="shared" si="16"/>
        <v/>
      </c>
      <c r="C316" s="57"/>
      <c r="D316" s="37" t="str">
        <f>IFERROR(VLOOKUP($B316,'MATRICE ARTICLE'!$A$2:$N$1395,2,FALSE),"")</f>
        <v/>
      </c>
      <c r="E316" s="37" t="str">
        <f t="shared" si="17"/>
        <v/>
      </c>
      <c r="F316" s="37" t="str">
        <f>IFERROR(VLOOKUP($B316,'MATRICE ARTICLE'!$A$2:$N$1395,9,FALSE),"")</f>
        <v/>
      </c>
      <c r="G316" s="37" t="str">
        <f>IFERROR(VLOOKUP($B316,'MATRICE ARTICLE'!$A$2:$N$1395,14,FALSE),"")</f>
        <v/>
      </c>
      <c r="H316" s="48" t="str">
        <f t="shared" si="18"/>
        <v/>
      </c>
      <c r="I316" s="48" t="str">
        <f t="shared" si="19"/>
        <v/>
      </c>
    </row>
    <row r="317" spans="2:9">
      <c r="B317" s="57" t="str">
        <f t="shared" si="16"/>
        <v/>
      </c>
      <c r="C317" s="57"/>
      <c r="D317" s="37" t="str">
        <f>IFERROR(VLOOKUP($B317,'MATRICE ARTICLE'!$A$2:$N$1395,2,FALSE),"")</f>
        <v/>
      </c>
      <c r="E317" s="37" t="str">
        <f t="shared" si="17"/>
        <v/>
      </c>
      <c r="F317" s="37" t="str">
        <f>IFERROR(VLOOKUP($B317,'MATRICE ARTICLE'!$A$2:$N$1395,9,FALSE),"")</f>
        <v/>
      </c>
      <c r="G317" s="37" t="str">
        <f>IFERROR(VLOOKUP($B317,'MATRICE ARTICLE'!$A$2:$N$1395,14,FALSE),"")</f>
        <v/>
      </c>
      <c r="H317" s="48" t="str">
        <f t="shared" si="18"/>
        <v/>
      </c>
      <c r="I317" s="48" t="str">
        <f t="shared" si="19"/>
        <v/>
      </c>
    </row>
    <row r="318" spans="2:9">
      <c r="B318" s="57" t="str">
        <f t="shared" si="16"/>
        <v/>
      </c>
      <c r="C318" s="57"/>
      <c r="D318" s="37" t="str">
        <f>IFERROR(VLOOKUP($B318,'MATRICE ARTICLE'!$A$2:$N$1395,2,FALSE),"")</f>
        <v/>
      </c>
      <c r="E318" s="37" t="str">
        <f t="shared" si="17"/>
        <v/>
      </c>
      <c r="F318" s="37" t="str">
        <f>IFERROR(VLOOKUP($B318,'MATRICE ARTICLE'!$A$2:$N$1395,9,FALSE),"")</f>
        <v/>
      </c>
      <c r="G318" s="37" t="str">
        <f>IFERROR(VLOOKUP($B318,'MATRICE ARTICLE'!$A$2:$N$1395,14,FALSE),"")</f>
        <v/>
      </c>
      <c r="H318" s="48" t="str">
        <f t="shared" si="18"/>
        <v/>
      </c>
      <c r="I318" s="48" t="str">
        <f t="shared" si="19"/>
        <v/>
      </c>
    </row>
    <row r="319" spans="2:9">
      <c r="B319" s="57" t="str">
        <f t="shared" si="16"/>
        <v/>
      </c>
      <c r="C319" s="57"/>
      <c r="D319" s="37" t="str">
        <f>IFERROR(VLOOKUP($B319,'MATRICE ARTICLE'!$A$2:$N$1395,2,FALSE),"")</f>
        <v/>
      </c>
      <c r="E319" s="37" t="str">
        <f t="shared" si="17"/>
        <v/>
      </c>
      <c r="F319" s="37" t="str">
        <f>IFERROR(VLOOKUP($B319,'MATRICE ARTICLE'!$A$2:$N$1395,9,FALSE),"")</f>
        <v/>
      </c>
      <c r="G319" s="37" t="str">
        <f>IFERROR(VLOOKUP($B319,'MATRICE ARTICLE'!$A$2:$N$1395,14,FALSE),"")</f>
        <v/>
      </c>
      <c r="H319" s="48" t="str">
        <f t="shared" si="18"/>
        <v/>
      </c>
      <c r="I319" s="48" t="str">
        <f t="shared" si="19"/>
        <v/>
      </c>
    </row>
    <row r="320" spans="2:9">
      <c r="B320" s="57" t="str">
        <f t="shared" si="16"/>
        <v/>
      </c>
      <c r="C320" s="57"/>
      <c r="D320" s="37" t="str">
        <f>IFERROR(VLOOKUP($B320,'MATRICE ARTICLE'!$A$2:$N$1395,2,FALSE),"")</f>
        <v/>
      </c>
      <c r="E320" s="37" t="str">
        <f t="shared" si="17"/>
        <v/>
      </c>
      <c r="F320" s="37" t="str">
        <f>IFERROR(VLOOKUP($B320,'MATRICE ARTICLE'!$A$2:$N$1395,9,FALSE),"")</f>
        <v/>
      </c>
      <c r="G320" s="37" t="str">
        <f>IFERROR(VLOOKUP($B320,'MATRICE ARTICLE'!$A$2:$N$1395,14,FALSE),"")</f>
        <v/>
      </c>
      <c r="H320" s="48" t="str">
        <f t="shared" si="18"/>
        <v/>
      </c>
      <c r="I320" s="48" t="str">
        <f t="shared" si="19"/>
        <v/>
      </c>
    </row>
    <row r="321" spans="2:9">
      <c r="B321" s="57" t="str">
        <f t="shared" si="16"/>
        <v/>
      </c>
      <c r="C321" s="57"/>
      <c r="D321" s="37" t="str">
        <f>IFERROR(VLOOKUP($B321,'MATRICE ARTICLE'!$A$2:$N$1395,2,FALSE),"")</f>
        <v/>
      </c>
      <c r="E321" s="37" t="str">
        <f t="shared" si="17"/>
        <v/>
      </c>
      <c r="F321" s="37" t="str">
        <f>IFERROR(VLOOKUP($B321,'MATRICE ARTICLE'!$A$2:$N$1395,9,FALSE),"")</f>
        <v/>
      </c>
      <c r="G321" s="37" t="str">
        <f>IFERROR(VLOOKUP($B321,'MATRICE ARTICLE'!$A$2:$N$1395,14,FALSE),"")</f>
        <v/>
      </c>
      <c r="H321" s="48" t="str">
        <f t="shared" si="18"/>
        <v/>
      </c>
      <c r="I321" s="48" t="str">
        <f t="shared" si="19"/>
        <v/>
      </c>
    </row>
    <row r="322" spans="2:9">
      <c r="B322" s="57" t="str">
        <f t="shared" si="16"/>
        <v/>
      </c>
      <c r="C322" s="57"/>
      <c r="D322" s="37" t="str">
        <f>IFERROR(VLOOKUP($B322,'MATRICE ARTICLE'!$A$2:$N$1395,2,FALSE),"")</f>
        <v/>
      </c>
      <c r="E322" s="37" t="str">
        <f t="shared" si="17"/>
        <v/>
      </c>
      <c r="F322" s="37" t="str">
        <f>IFERROR(VLOOKUP($B322,'MATRICE ARTICLE'!$A$2:$N$1395,9,FALSE),"")</f>
        <v/>
      </c>
      <c r="G322" s="37" t="str">
        <f>IFERROR(VLOOKUP($B322,'MATRICE ARTICLE'!$A$2:$N$1395,14,FALSE),"")</f>
        <v/>
      </c>
      <c r="H322" s="48" t="str">
        <f t="shared" si="18"/>
        <v/>
      </c>
      <c r="I322" s="48" t="str">
        <f t="shared" si="19"/>
        <v/>
      </c>
    </row>
    <row r="323" spans="2:9">
      <c r="B323" s="57" t="str">
        <f t="shared" ref="B323:B386" si="20">IF(A323=0,"",A323)</f>
        <v/>
      </c>
      <c r="C323" s="57"/>
      <c r="D323" s="37" t="str">
        <f>IFERROR(VLOOKUP($B323,'MATRICE ARTICLE'!$A$2:$N$1395,2,FALSE),"")</f>
        <v/>
      </c>
      <c r="E323" s="37" t="str">
        <f t="shared" ref="E323:E386" si="21">IF(SUM(F323:I323)=0,"",SUM(F323:I323))</f>
        <v/>
      </c>
      <c r="F323" s="37" t="str">
        <f>IFERROR(VLOOKUP($B323,'MATRICE ARTICLE'!$A$2:$N$1395,9,FALSE),"")</f>
        <v/>
      </c>
      <c r="G323" s="37" t="str">
        <f>IFERROR(VLOOKUP($B323,'MATRICE ARTICLE'!$A$2:$N$1395,14,FALSE),"")</f>
        <v/>
      </c>
      <c r="H323" s="48" t="str">
        <f t="shared" ref="H323:H386" si="22">IF(SUM(F323:G323)*$H$1=0,"",SUM(F323:G323)*$H$1)</f>
        <v/>
      </c>
      <c r="I323" s="48" t="str">
        <f t="shared" ref="I323:I386" si="23">IF(SUM(F323:H323)*$I$1=0,"",SUM(F323:H323)*$I$1)</f>
        <v/>
      </c>
    </row>
    <row r="324" spans="2:9">
      <c r="B324" s="57" t="str">
        <f t="shared" si="20"/>
        <v/>
      </c>
      <c r="C324" s="57"/>
      <c r="D324" s="37" t="str">
        <f>IFERROR(VLOOKUP($B324,'MATRICE ARTICLE'!$A$2:$N$1395,2,FALSE),"")</f>
        <v/>
      </c>
      <c r="E324" s="37" t="str">
        <f t="shared" si="21"/>
        <v/>
      </c>
      <c r="F324" s="37" t="str">
        <f>IFERROR(VLOOKUP($B324,'MATRICE ARTICLE'!$A$2:$N$1395,9,FALSE),"")</f>
        <v/>
      </c>
      <c r="G324" s="37" t="str">
        <f>IFERROR(VLOOKUP($B324,'MATRICE ARTICLE'!$A$2:$N$1395,14,FALSE),"")</f>
        <v/>
      </c>
      <c r="H324" s="48" t="str">
        <f t="shared" si="22"/>
        <v/>
      </c>
      <c r="I324" s="48" t="str">
        <f t="shared" si="23"/>
        <v/>
      </c>
    </row>
    <row r="325" spans="2:9">
      <c r="B325" s="57" t="str">
        <f t="shared" si="20"/>
        <v/>
      </c>
      <c r="C325" s="57"/>
      <c r="D325" s="37" t="str">
        <f>IFERROR(VLOOKUP($B325,'MATRICE ARTICLE'!$A$2:$N$1395,2,FALSE),"")</f>
        <v/>
      </c>
      <c r="E325" s="37" t="str">
        <f t="shared" si="21"/>
        <v/>
      </c>
      <c r="F325" s="37" t="str">
        <f>IFERROR(VLOOKUP($B325,'MATRICE ARTICLE'!$A$2:$N$1395,9,FALSE),"")</f>
        <v/>
      </c>
      <c r="G325" s="37" t="str">
        <f>IFERROR(VLOOKUP($B325,'MATRICE ARTICLE'!$A$2:$N$1395,14,FALSE),"")</f>
        <v/>
      </c>
      <c r="H325" s="48" t="str">
        <f t="shared" si="22"/>
        <v/>
      </c>
      <c r="I325" s="48" t="str">
        <f t="shared" si="23"/>
        <v/>
      </c>
    </row>
    <row r="326" spans="2:9">
      <c r="B326" s="57" t="str">
        <f t="shared" si="20"/>
        <v/>
      </c>
      <c r="C326" s="57"/>
      <c r="D326" s="37" t="str">
        <f>IFERROR(VLOOKUP($B326,'MATRICE ARTICLE'!$A$2:$N$1395,2,FALSE),"")</f>
        <v/>
      </c>
      <c r="E326" s="37" t="str">
        <f t="shared" si="21"/>
        <v/>
      </c>
      <c r="F326" s="37" t="str">
        <f>IFERROR(VLOOKUP($B326,'MATRICE ARTICLE'!$A$2:$N$1395,9,FALSE),"")</f>
        <v/>
      </c>
      <c r="G326" s="37" t="str">
        <f>IFERROR(VLOOKUP($B326,'MATRICE ARTICLE'!$A$2:$N$1395,14,FALSE),"")</f>
        <v/>
      </c>
      <c r="H326" s="48" t="str">
        <f t="shared" si="22"/>
        <v/>
      </c>
      <c r="I326" s="48" t="str">
        <f t="shared" si="23"/>
        <v/>
      </c>
    </row>
    <row r="327" spans="2:9">
      <c r="B327" s="57" t="str">
        <f t="shared" si="20"/>
        <v/>
      </c>
      <c r="C327" s="57"/>
      <c r="D327" s="37" t="str">
        <f>IFERROR(VLOOKUP($B327,'MATRICE ARTICLE'!$A$2:$N$1395,2,FALSE),"")</f>
        <v/>
      </c>
      <c r="E327" s="37" t="str">
        <f t="shared" si="21"/>
        <v/>
      </c>
      <c r="F327" s="37" t="str">
        <f>IFERROR(VLOOKUP($B327,'MATRICE ARTICLE'!$A$2:$N$1395,9,FALSE),"")</f>
        <v/>
      </c>
      <c r="G327" s="37" t="str">
        <f>IFERROR(VLOOKUP($B327,'MATRICE ARTICLE'!$A$2:$N$1395,14,FALSE),"")</f>
        <v/>
      </c>
      <c r="H327" s="48" t="str">
        <f t="shared" si="22"/>
        <v/>
      </c>
      <c r="I327" s="48" t="str">
        <f t="shared" si="23"/>
        <v/>
      </c>
    </row>
    <row r="328" spans="2:9">
      <c r="B328" s="57" t="str">
        <f t="shared" si="20"/>
        <v/>
      </c>
      <c r="C328" s="57"/>
      <c r="D328" s="37" t="str">
        <f>IFERROR(VLOOKUP($B328,'MATRICE ARTICLE'!$A$2:$N$1395,2,FALSE),"")</f>
        <v/>
      </c>
      <c r="E328" s="37" t="str">
        <f t="shared" si="21"/>
        <v/>
      </c>
      <c r="F328" s="37" t="str">
        <f>IFERROR(VLOOKUP($B328,'MATRICE ARTICLE'!$A$2:$N$1395,9,FALSE),"")</f>
        <v/>
      </c>
      <c r="G328" s="37" t="str">
        <f>IFERROR(VLOOKUP($B328,'MATRICE ARTICLE'!$A$2:$N$1395,14,FALSE),"")</f>
        <v/>
      </c>
      <c r="H328" s="48" t="str">
        <f t="shared" si="22"/>
        <v/>
      </c>
      <c r="I328" s="48" t="str">
        <f t="shared" si="23"/>
        <v/>
      </c>
    </row>
    <row r="329" spans="2:9">
      <c r="B329" s="57" t="str">
        <f t="shared" si="20"/>
        <v/>
      </c>
      <c r="C329" s="57"/>
      <c r="D329" s="37" t="str">
        <f>IFERROR(VLOOKUP($B329,'MATRICE ARTICLE'!$A$2:$N$1395,2,FALSE),"")</f>
        <v/>
      </c>
      <c r="E329" s="37" t="str">
        <f t="shared" si="21"/>
        <v/>
      </c>
      <c r="F329" s="37" t="str">
        <f>IFERROR(VLOOKUP($B329,'MATRICE ARTICLE'!$A$2:$N$1395,9,FALSE),"")</f>
        <v/>
      </c>
      <c r="G329" s="37" t="str">
        <f>IFERROR(VLOOKUP($B329,'MATRICE ARTICLE'!$A$2:$N$1395,14,FALSE),"")</f>
        <v/>
      </c>
      <c r="H329" s="48" t="str">
        <f t="shared" si="22"/>
        <v/>
      </c>
      <c r="I329" s="48" t="str">
        <f t="shared" si="23"/>
        <v/>
      </c>
    </row>
    <row r="330" spans="2:9">
      <c r="B330" s="57" t="str">
        <f t="shared" si="20"/>
        <v/>
      </c>
      <c r="C330" s="57"/>
      <c r="D330" s="37" t="str">
        <f>IFERROR(VLOOKUP($B330,'MATRICE ARTICLE'!$A$2:$N$1395,2,FALSE),"")</f>
        <v/>
      </c>
      <c r="E330" s="37" t="str">
        <f t="shared" si="21"/>
        <v/>
      </c>
      <c r="F330" s="37" t="str">
        <f>IFERROR(VLOOKUP($B330,'MATRICE ARTICLE'!$A$2:$N$1395,9,FALSE),"")</f>
        <v/>
      </c>
      <c r="G330" s="37" t="str">
        <f>IFERROR(VLOOKUP($B330,'MATRICE ARTICLE'!$A$2:$N$1395,14,FALSE),"")</f>
        <v/>
      </c>
      <c r="H330" s="48" t="str">
        <f t="shared" si="22"/>
        <v/>
      </c>
      <c r="I330" s="48" t="str">
        <f t="shared" si="23"/>
        <v/>
      </c>
    </row>
    <row r="331" spans="2:9">
      <c r="B331" s="57" t="str">
        <f t="shared" si="20"/>
        <v/>
      </c>
      <c r="C331" s="57"/>
      <c r="D331" s="37" t="str">
        <f>IFERROR(VLOOKUP($B331,'MATRICE ARTICLE'!$A$2:$N$1395,2,FALSE),"")</f>
        <v/>
      </c>
      <c r="E331" s="37" t="str">
        <f t="shared" si="21"/>
        <v/>
      </c>
      <c r="F331" s="37" t="str">
        <f>IFERROR(VLOOKUP($B331,'MATRICE ARTICLE'!$A$2:$N$1395,9,FALSE),"")</f>
        <v/>
      </c>
      <c r="G331" s="37" t="str">
        <f>IFERROR(VLOOKUP($B331,'MATRICE ARTICLE'!$A$2:$N$1395,14,FALSE),"")</f>
        <v/>
      </c>
      <c r="H331" s="48" t="str">
        <f t="shared" si="22"/>
        <v/>
      </c>
      <c r="I331" s="48" t="str">
        <f t="shared" si="23"/>
        <v/>
      </c>
    </row>
    <row r="332" spans="2:9">
      <c r="B332" s="57" t="str">
        <f t="shared" si="20"/>
        <v/>
      </c>
      <c r="C332" s="57"/>
      <c r="D332" s="37" t="str">
        <f>IFERROR(VLOOKUP($B332,'MATRICE ARTICLE'!$A$2:$N$1395,2,FALSE),"")</f>
        <v/>
      </c>
      <c r="E332" s="37" t="str">
        <f t="shared" si="21"/>
        <v/>
      </c>
      <c r="F332" s="37" t="str">
        <f>IFERROR(VLOOKUP($B332,'MATRICE ARTICLE'!$A$2:$N$1395,9,FALSE),"")</f>
        <v/>
      </c>
      <c r="G332" s="37" t="str">
        <f>IFERROR(VLOOKUP($B332,'MATRICE ARTICLE'!$A$2:$N$1395,14,FALSE),"")</f>
        <v/>
      </c>
      <c r="H332" s="48" t="str">
        <f t="shared" si="22"/>
        <v/>
      </c>
      <c r="I332" s="48" t="str">
        <f t="shared" si="23"/>
        <v/>
      </c>
    </row>
    <row r="333" spans="2:9">
      <c r="B333" s="57" t="str">
        <f t="shared" si="20"/>
        <v/>
      </c>
      <c r="C333" s="57"/>
      <c r="D333" s="37" t="str">
        <f>IFERROR(VLOOKUP($B333,'MATRICE ARTICLE'!$A$2:$N$1395,2,FALSE),"")</f>
        <v/>
      </c>
      <c r="E333" s="37" t="str">
        <f t="shared" si="21"/>
        <v/>
      </c>
      <c r="F333" s="37" t="str">
        <f>IFERROR(VLOOKUP($B333,'MATRICE ARTICLE'!$A$2:$N$1395,9,FALSE),"")</f>
        <v/>
      </c>
      <c r="G333" s="37" t="str">
        <f>IFERROR(VLOOKUP($B333,'MATRICE ARTICLE'!$A$2:$N$1395,14,FALSE),"")</f>
        <v/>
      </c>
      <c r="H333" s="48" t="str">
        <f t="shared" si="22"/>
        <v/>
      </c>
      <c r="I333" s="48" t="str">
        <f t="shared" si="23"/>
        <v/>
      </c>
    </row>
    <row r="334" spans="2:9">
      <c r="B334" s="57" t="str">
        <f t="shared" si="20"/>
        <v/>
      </c>
      <c r="C334" s="57"/>
      <c r="D334" s="37" t="str">
        <f>IFERROR(VLOOKUP($B334,'MATRICE ARTICLE'!$A$2:$N$1395,2,FALSE),"")</f>
        <v/>
      </c>
      <c r="E334" s="37" t="str">
        <f t="shared" si="21"/>
        <v/>
      </c>
      <c r="F334" s="37" t="str">
        <f>IFERROR(VLOOKUP($B334,'MATRICE ARTICLE'!$A$2:$N$1395,9,FALSE),"")</f>
        <v/>
      </c>
      <c r="G334" s="37" t="str">
        <f>IFERROR(VLOOKUP($B334,'MATRICE ARTICLE'!$A$2:$N$1395,14,FALSE),"")</f>
        <v/>
      </c>
      <c r="H334" s="48" t="str">
        <f t="shared" si="22"/>
        <v/>
      </c>
      <c r="I334" s="48" t="str">
        <f t="shared" si="23"/>
        <v/>
      </c>
    </row>
    <row r="335" spans="2:9">
      <c r="B335" s="57" t="str">
        <f t="shared" si="20"/>
        <v/>
      </c>
      <c r="C335" s="57"/>
      <c r="D335" s="37" t="str">
        <f>IFERROR(VLOOKUP($B335,'MATRICE ARTICLE'!$A$2:$N$1395,2,FALSE),"")</f>
        <v/>
      </c>
      <c r="E335" s="37" t="str">
        <f t="shared" si="21"/>
        <v/>
      </c>
      <c r="F335" s="37" t="str">
        <f>IFERROR(VLOOKUP($B335,'MATRICE ARTICLE'!$A$2:$N$1395,9,FALSE),"")</f>
        <v/>
      </c>
      <c r="G335" s="37" t="str">
        <f>IFERROR(VLOOKUP($B335,'MATRICE ARTICLE'!$A$2:$N$1395,14,FALSE),"")</f>
        <v/>
      </c>
      <c r="H335" s="48" t="str">
        <f t="shared" si="22"/>
        <v/>
      </c>
      <c r="I335" s="48" t="str">
        <f t="shared" si="23"/>
        <v/>
      </c>
    </row>
    <row r="336" spans="2:9">
      <c r="B336" s="57" t="str">
        <f t="shared" si="20"/>
        <v/>
      </c>
      <c r="C336" s="57"/>
      <c r="D336" s="37" t="str">
        <f>IFERROR(VLOOKUP($B336,'MATRICE ARTICLE'!$A$2:$N$1395,2,FALSE),"")</f>
        <v/>
      </c>
      <c r="E336" s="37" t="str">
        <f t="shared" si="21"/>
        <v/>
      </c>
      <c r="F336" s="37" t="str">
        <f>IFERROR(VLOOKUP($B336,'MATRICE ARTICLE'!$A$2:$N$1395,9,FALSE),"")</f>
        <v/>
      </c>
      <c r="G336" s="37" t="str">
        <f>IFERROR(VLOOKUP($B336,'MATRICE ARTICLE'!$A$2:$N$1395,14,FALSE),"")</f>
        <v/>
      </c>
      <c r="H336" s="48" t="str">
        <f t="shared" si="22"/>
        <v/>
      </c>
      <c r="I336" s="48" t="str">
        <f t="shared" si="23"/>
        <v/>
      </c>
    </row>
    <row r="337" spans="2:9">
      <c r="B337" s="57" t="str">
        <f t="shared" si="20"/>
        <v/>
      </c>
      <c r="C337" s="57"/>
      <c r="D337" s="37" t="str">
        <f>IFERROR(VLOOKUP($B337,'MATRICE ARTICLE'!$A$2:$N$1395,2,FALSE),"")</f>
        <v/>
      </c>
      <c r="E337" s="37" t="str">
        <f t="shared" si="21"/>
        <v/>
      </c>
      <c r="F337" s="37" t="str">
        <f>IFERROR(VLOOKUP($B337,'MATRICE ARTICLE'!$A$2:$N$1395,9,FALSE),"")</f>
        <v/>
      </c>
      <c r="G337" s="37" t="str">
        <f>IFERROR(VLOOKUP($B337,'MATRICE ARTICLE'!$A$2:$N$1395,14,FALSE),"")</f>
        <v/>
      </c>
      <c r="H337" s="48" t="str">
        <f t="shared" si="22"/>
        <v/>
      </c>
      <c r="I337" s="48" t="str">
        <f t="shared" si="23"/>
        <v/>
      </c>
    </row>
    <row r="338" spans="2:9">
      <c r="B338" s="57" t="str">
        <f t="shared" si="20"/>
        <v/>
      </c>
      <c r="C338" s="57"/>
      <c r="D338" s="37" t="str">
        <f>IFERROR(VLOOKUP($B338,'MATRICE ARTICLE'!$A$2:$N$1395,2,FALSE),"")</f>
        <v/>
      </c>
      <c r="E338" s="37" t="str">
        <f t="shared" si="21"/>
        <v/>
      </c>
      <c r="F338" s="37" t="str">
        <f>IFERROR(VLOOKUP($B338,'MATRICE ARTICLE'!$A$2:$N$1395,9,FALSE),"")</f>
        <v/>
      </c>
      <c r="G338" s="37" t="str">
        <f>IFERROR(VLOOKUP($B338,'MATRICE ARTICLE'!$A$2:$N$1395,14,FALSE),"")</f>
        <v/>
      </c>
      <c r="H338" s="48" t="str">
        <f t="shared" si="22"/>
        <v/>
      </c>
      <c r="I338" s="48" t="str">
        <f t="shared" si="23"/>
        <v/>
      </c>
    </row>
    <row r="339" spans="2:9">
      <c r="B339" s="57" t="str">
        <f t="shared" si="20"/>
        <v/>
      </c>
      <c r="C339" s="57"/>
      <c r="D339" s="37" t="str">
        <f>IFERROR(VLOOKUP($B339,'MATRICE ARTICLE'!$A$2:$N$1395,2,FALSE),"")</f>
        <v/>
      </c>
      <c r="E339" s="37" t="str">
        <f t="shared" si="21"/>
        <v/>
      </c>
      <c r="F339" s="37" t="str">
        <f>IFERROR(VLOOKUP($B339,'MATRICE ARTICLE'!$A$2:$N$1395,9,FALSE),"")</f>
        <v/>
      </c>
      <c r="G339" s="37" t="str">
        <f>IFERROR(VLOOKUP($B339,'MATRICE ARTICLE'!$A$2:$N$1395,14,FALSE),"")</f>
        <v/>
      </c>
      <c r="H339" s="48" t="str">
        <f t="shared" si="22"/>
        <v/>
      </c>
      <c r="I339" s="48" t="str">
        <f t="shared" si="23"/>
        <v/>
      </c>
    </row>
    <row r="340" spans="2:9">
      <c r="B340" s="57" t="str">
        <f t="shared" si="20"/>
        <v/>
      </c>
      <c r="C340" s="57"/>
      <c r="D340" s="37" t="str">
        <f>IFERROR(VLOOKUP($B340,'MATRICE ARTICLE'!$A$2:$N$1395,2,FALSE),"")</f>
        <v/>
      </c>
      <c r="E340" s="37" t="str">
        <f t="shared" si="21"/>
        <v/>
      </c>
      <c r="F340" s="37" t="str">
        <f>IFERROR(VLOOKUP($B340,'MATRICE ARTICLE'!$A$2:$N$1395,9,FALSE),"")</f>
        <v/>
      </c>
      <c r="G340" s="37" t="str">
        <f>IFERROR(VLOOKUP($B340,'MATRICE ARTICLE'!$A$2:$N$1395,14,FALSE),"")</f>
        <v/>
      </c>
      <c r="H340" s="48" t="str">
        <f t="shared" si="22"/>
        <v/>
      </c>
      <c r="I340" s="48" t="str">
        <f t="shared" si="23"/>
        <v/>
      </c>
    </row>
    <row r="341" spans="2:9">
      <c r="B341" s="57" t="str">
        <f t="shared" si="20"/>
        <v/>
      </c>
      <c r="C341" s="57"/>
      <c r="D341" s="37" t="str">
        <f>IFERROR(VLOOKUP($B341,'MATRICE ARTICLE'!$A$2:$N$1395,2,FALSE),"")</f>
        <v/>
      </c>
      <c r="E341" s="37" t="str">
        <f t="shared" si="21"/>
        <v/>
      </c>
      <c r="F341" s="37" t="str">
        <f>IFERROR(VLOOKUP($B341,'MATRICE ARTICLE'!$A$2:$N$1395,9,FALSE),"")</f>
        <v/>
      </c>
      <c r="G341" s="37" t="str">
        <f>IFERROR(VLOOKUP($B341,'MATRICE ARTICLE'!$A$2:$N$1395,14,FALSE),"")</f>
        <v/>
      </c>
      <c r="H341" s="48" t="str">
        <f t="shared" si="22"/>
        <v/>
      </c>
      <c r="I341" s="48" t="str">
        <f t="shared" si="23"/>
        <v/>
      </c>
    </row>
    <row r="342" spans="2:9">
      <c r="B342" s="57" t="str">
        <f t="shared" si="20"/>
        <v/>
      </c>
      <c r="C342" s="57"/>
      <c r="D342" s="37" t="str">
        <f>IFERROR(VLOOKUP($B342,'MATRICE ARTICLE'!$A$2:$N$1395,2,FALSE),"")</f>
        <v/>
      </c>
      <c r="E342" s="37" t="str">
        <f t="shared" si="21"/>
        <v/>
      </c>
      <c r="F342" s="37" t="str">
        <f>IFERROR(VLOOKUP($B342,'MATRICE ARTICLE'!$A$2:$N$1395,9,FALSE),"")</f>
        <v/>
      </c>
      <c r="G342" s="37" t="str">
        <f>IFERROR(VLOOKUP($B342,'MATRICE ARTICLE'!$A$2:$N$1395,14,FALSE),"")</f>
        <v/>
      </c>
      <c r="H342" s="48" t="str">
        <f t="shared" si="22"/>
        <v/>
      </c>
      <c r="I342" s="48" t="str">
        <f t="shared" si="23"/>
        <v/>
      </c>
    </row>
    <row r="343" spans="2:9">
      <c r="B343" s="57" t="str">
        <f t="shared" si="20"/>
        <v/>
      </c>
      <c r="C343" s="57"/>
      <c r="D343" s="37" t="str">
        <f>IFERROR(VLOOKUP($B343,'MATRICE ARTICLE'!$A$2:$N$1395,2,FALSE),"")</f>
        <v/>
      </c>
      <c r="E343" s="37" t="str">
        <f t="shared" si="21"/>
        <v/>
      </c>
      <c r="F343" s="37" t="str">
        <f>IFERROR(VLOOKUP($B343,'MATRICE ARTICLE'!$A$2:$N$1395,9,FALSE),"")</f>
        <v/>
      </c>
      <c r="G343" s="37" t="str">
        <f>IFERROR(VLOOKUP($B343,'MATRICE ARTICLE'!$A$2:$N$1395,14,FALSE),"")</f>
        <v/>
      </c>
      <c r="H343" s="48" t="str">
        <f t="shared" si="22"/>
        <v/>
      </c>
      <c r="I343" s="48" t="str">
        <f t="shared" si="23"/>
        <v/>
      </c>
    </row>
    <row r="344" spans="2:9">
      <c r="B344" s="57" t="str">
        <f t="shared" si="20"/>
        <v/>
      </c>
      <c r="C344" s="57"/>
      <c r="D344" s="37" t="str">
        <f>IFERROR(VLOOKUP($B344,'MATRICE ARTICLE'!$A$2:$N$1395,2,FALSE),"")</f>
        <v/>
      </c>
      <c r="E344" s="37" t="str">
        <f t="shared" si="21"/>
        <v/>
      </c>
      <c r="F344" s="37" t="str">
        <f>IFERROR(VLOOKUP($B344,'MATRICE ARTICLE'!$A$2:$N$1395,9,FALSE),"")</f>
        <v/>
      </c>
      <c r="G344" s="37" t="str">
        <f>IFERROR(VLOOKUP($B344,'MATRICE ARTICLE'!$A$2:$N$1395,14,FALSE),"")</f>
        <v/>
      </c>
      <c r="H344" s="48" t="str">
        <f t="shared" si="22"/>
        <v/>
      </c>
      <c r="I344" s="48" t="str">
        <f t="shared" si="23"/>
        <v/>
      </c>
    </row>
    <row r="345" spans="2:9">
      <c r="B345" s="57" t="str">
        <f t="shared" si="20"/>
        <v/>
      </c>
      <c r="C345" s="57"/>
      <c r="D345" s="37" t="str">
        <f>IFERROR(VLOOKUP($B345,'MATRICE ARTICLE'!$A$2:$N$1395,2,FALSE),"")</f>
        <v/>
      </c>
      <c r="E345" s="37" t="str">
        <f t="shared" si="21"/>
        <v/>
      </c>
      <c r="F345" s="37" t="str">
        <f>IFERROR(VLOOKUP($B345,'MATRICE ARTICLE'!$A$2:$N$1395,9,FALSE),"")</f>
        <v/>
      </c>
      <c r="G345" s="37" t="str">
        <f>IFERROR(VLOOKUP($B345,'MATRICE ARTICLE'!$A$2:$N$1395,14,FALSE),"")</f>
        <v/>
      </c>
      <c r="H345" s="48" t="str">
        <f t="shared" si="22"/>
        <v/>
      </c>
      <c r="I345" s="48" t="str">
        <f t="shared" si="23"/>
        <v/>
      </c>
    </row>
    <row r="346" spans="2:9">
      <c r="B346" s="57" t="str">
        <f t="shared" si="20"/>
        <v/>
      </c>
      <c r="C346" s="57"/>
      <c r="D346" s="37" t="str">
        <f>IFERROR(VLOOKUP($B346,'MATRICE ARTICLE'!$A$2:$N$1395,2,FALSE),"")</f>
        <v/>
      </c>
      <c r="E346" s="37" t="str">
        <f t="shared" si="21"/>
        <v/>
      </c>
      <c r="F346" s="37" t="str">
        <f>IFERROR(VLOOKUP($B346,'MATRICE ARTICLE'!$A$2:$N$1395,9,FALSE),"")</f>
        <v/>
      </c>
      <c r="G346" s="37" t="str">
        <f>IFERROR(VLOOKUP($B346,'MATRICE ARTICLE'!$A$2:$N$1395,14,FALSE),"")</f>
        <v/>
      </c>
      <c r="H346" s="48" t="str">
        <f t="shared" si="22"/>
        <v/>
      </c>
      <c r="I346" s="48" t="str">
        <f t="shared" si="23"/>
        <v/>
      </c>
    </row>
    <row r="347" spans="2:9">
      <c r="B347" s="57" t="str">
        <f t="shared" si="20"/>
        <v/>
      </c>
      <c r="C347" s="57"/>
      <c r="D347" s="37" t="str">
        <f>IFERROR(VLOOKUP($B347,'MATRICE ARTICLE'!$A$2:$N$1395,2,FALSE),"")</f>
        <v/>
      </c>
      <c r="E347" s="37" t="str">
        <f t="shared" si="21"/>
        <v/>
      </c>
      <c r="F347" s="37" t="str">
        <f>IFERROR(VLOOKUP($B347,'MATRICE ARTICLE'!$A$2:$N$1395,9,FALSE),"")</f>
        <v/>
      </c>
      <c r="G347" s="37" t="str">
        <f>IFERROR(VLOOKUP($B347,'MATRICE ARTICLE'!$A$2:$N$1395,14,FALSE),"")</f>
        <v/>
      </c>
      <c r="H347" s="48" t="str">
        <f t="shared" si="22"/>
        <v/>
      </c>
      <c r="I347" s="48" t="str">
        <f t="shared" si="23"/>
        <v/>
      </c>
    </row>
    <row r="348" spans="2:9">
      <c r="B348" s="57" t="str">
        <f t="shared" si="20"/>
        <v/>
      </c>
      <c r="C348" s="57"/>
      <c r="D348" s="37" t="str">
        <f>IFERROR(VLOOKUP($B348,'MATRICE ARTICLE'!$A$2:$N$1395,2,FALSE),"")</f>
        <v/>
      </c>
      <c r="E348" s="37" t="str">
        <f t="shared" si="21"/>
        <v/>
      </c>
      <c r="F348" s="37" t="str">
        <f>IFERROR(VLOOKUP($B348,'MATRICE ARTICLE'!$A$2:$N$1395,9,FALSE),"")</f>
        <v/>
      </c>
      <c r="G348" s="37" t="str">
        <f>IFERROR(VLOOKUP($B348,'MATRICE ARTICLE'!$A$2:$N$1395,14,FALSE),"")</f>
        <v/>
      </c>
      <c r="H348" s="48" t="str">
        <f t="shared" si="22"/>
        <v/>
      </c>
      <c r="I348" s="48" t="str">
        <f t="shared" si="23"/>
        <v/>
      </c>
    </row>
    <row r="349" spans="2:9">
      <c r="B349" s="57" t="str">
        <f t="shared" si="20"/>
        <v/>
      </c>
      <c r="C349" s="57"/>
      <c r="D349" s="37" t="str">
        <f>IFERROR(VLOOKUP($B349,'MATRICE ARTICLE'!$A$2:$N$1395,2,FALSE),"")</f>
        <v/>
      </c>
      <c r="E349" s="37" t="str">
        <f t="shared" si="21"/>
        <v/>
      </c>
      <c r="F349" s="37" t="str">
        <f>IFERROR(VLOOKUP($B349,'MATRICE ARTICLE'!$A$2:$N$1395,9,FALSE),"")</f>
        <v/>
      </c>
      <c r="G349" s="37" t="str">
        <f>IFERROR(VLOOKUP($B349,'MATRICE ARTICLE'!$A$2:$N$1395,14,FALSE),"")</f>
        <v/>
      </c>
      <c r="H349" s="48" t="str">
        <f t="shared" si="22"/>
        <v/>
      </c>
      <c r="I349" s="48" t="str">
        <f t="shared" si="23"/>
        <v/>
      </c>
    </row>
    <row r="350" spans="2:9">
      <c r="B350" s="57" t="str">
        <f t="shared" si="20"/>
        <v/>
      </c>
      <c r="C350" s="57"/>
      <c r="D350" s="37" t="str">
        <f>IFERROR(VLOOKUP($B350,'MATRICE ARTICLE'!$A$2:$N$1395,2,FALSE),"")</f>
        <v/>
      </c>
      <c r="E350" s="37" t="str">
        <f t="shared" si="21"/>
        <v/>
      </c>
      <c r="F350" s="37" t="str">
        <f>IFERROR(VLOOKUP($B350,'MATRICE ARTICLE'!$A$2:$N$1395,9,FALSE),"")</f>
        <v/>
      </c>
      <c r="G350" s="37" t="str">
        <f>IFERROR(VLOOKUP($B350,'MATRICE ARTICLE'!$A$2:$N$1395,14,FALSE),"")</f>
        <v/>
      </c>
      <c r="H350" s="48" t="str">
        <f t="shared" si="22"/>
        <v/>
      </c>
      <c r="I350" s="48" t="str">
        <f t="shared" si="23"/>
        <v/>
      </c>
    </row>
    <row r="351" spans="2:9">
      <c r="B351" s="57" t="str">
        <f t="shared" si="20"/>
        <v/>
      </c>
      <c r="C351" s="57"/>
      <c r="D351" s="37" t="str">
        <f>IFERROR(VLOOKUP($B351,'MATRICE ARTICLE'!$A$2:$N$1395,2,FALSE),"")</f>
        <v/>
      </c>
      <c r="E351" s="37" t="str">
        <f t="shared" si="21"/>
        <v/>
      </c>
      <c r="F351" s="37" t="str">
        <f>IFERROR(VLOOKUP($B351,'MATRICE ARTICLE'!$A$2:$N$1395,9,FALSE),"")</f>
        <v/>
      </c>
      <c r="G351" s="37" t="str">
        <f>IFERROR(VLOOKUP($B351,'MATRICE ARTICLE'!$A$2:$N$1395,14,FALSE),"")</f>
        <v/>
      </c>
      <c r="H351" s="48" t="str">
        <f t="shared" si="22"/>
        <v/>
      </c>
      <c r="I351" s="48" t="str">
        <f t="shared" si="23"/>
        <v/>
      </c>
    </row>
    <row r="352" spans="2:9">
      <c r="B352" s="57" t="str">
        <f t="shared" si="20"/>
        <v/>
      </c>
      <c r="C352" s="57"/>
      <c r="D352" s="37" t="str">
        <f>IFERROR(VLOOKUP($B352,'MATRICE ARTICLE'!$A$2:$N$1395,2,FALSE),"")</f>
        <v/>
      </c>
      <c r="E352" s="37" t="str">
        <f t="shared" si="21"/>
        <v/>
      </c>
      <c r="F352" s="37" t="str">
        <f>IFERROR(VLOOKUP($B352,'MATRICE ARTICLE'!$A$2:$N$1395,9,FALSE),"")</f>
        <v/>
      </c>
      <c r="G352" s="37" t="str">
        <f>IFERROR(VLOOKUP($B352,'MATRICE ARTICLE'!$A$2:$N$1395,14,FALSE),"")</f>
        <v/>
      </c>
      <c r="H352" s="48" t="str">
        <f t="shared" si="22"/>
        <v/>
      </c>
      <c r="I352" s="48" t="str">
        <f t="shared" si="23"/>
        <v/>
      </c>
    </row>
    <row r="353" spans="2:9">
      <c r="B353" s="57" t="str">
        <f t="shared" si="20"/>
        <v/>
      </c>
      <c r="C353" s="57"/>
      <c r="D353" s="37" t="str">
        <f>IFERROR(VLOOKUP($B353,'MATRICE ARTICLE'!$A$2:$N$1395,2,FALSE),"")</f>
        <v/>
      </c>
      <c r="E353" s="37" t="str">
        <f t="shared" si="21"/>
        <v/>
      </c>
      <c r="F353" s="37" t="str">
        <f>IFERROR(VLOOKUP($B353,'MATRICE ARTICLE'!$A$2:$N$1395,9,FALSE),"")</f>
        <v/>
      </c>
      <c r="G353" s="37" t="str">
        <f>IFERROR(VLOOKUP($B353,'MATRICE ARTICLE'!$A$2:$N$1395,14,FALSE),"")</f>
        <v/>
      </c>
      <c r="H353" s="48" t="str">
        <f t="shared" si="22"/>
        <v/>
      </c>
      <c r="I353" s="48" t="str">
        <f t="shared" si="23"/>
        <v/>
      </c>
    </row>
    <row r="354" spans="2:9">
      <c r="B354" s="57" t="str">
        <f t="shared" si="20"/>
        <v/>
      </c>
      <c r="C354" s="57"/>
      <c r="D354" s="37" t="str">
        <f>IFERROR(VLOOKUP($B354,'MATRICE ARTICLE'!$A$2:$N$1395,2,FALSE),"")</f>
        <v/>
      </c>
      <c r="E354" s="37" t="str">
        <f t="shared" si="21"/>
        <v/>
      </c>
      <c r="F354" s="37" t="str">
        <f>IFERROR(VLOOKUP($B354,'MATRICE ARTICLE'!$A$2:$N$1395,9,FALSE),"")</f>
        <v/>
      </c>
      <c r="G354" s="37" t="str">
        <f>IFERROR(VLOOKUP($B354,'MATRICE ARTICLE'!$A$2:$N$1395,14,FALSE),"")</f>
        <v/>
      </c>
      <c r="H354" s="48" t="str">
        <f t="shared" si="22"/>
        <v/>
      </c>
      <c r="I354" s="48" t="str">
        <f t="shared" si="23"/>
        <v/>
      </c>
    </row>
    <row r="355" spans="2:9">
      <c r="B355" s="57" t="str">
        <f t="shared" si="20"/>
        <v/>
      </c>
      <c r="C355" s="57"/>
      <c r="D355" s="37" t="str">
        <f>IFERROR(VLOOKUP($B355,'MATRICE ARTICLE'!$A$2:$N$1395,2,FALSE),"")</f>
        <v/>
      </c>
      <c r="E355" s="37" t="str">
        <f t="shared" si="21"/>
        <v/>
      </c>
      <c r="F355" s="37" t="str">
        <f>IFERROR(VLOOKUP($B355,'MATRICE ARTICLE'!$A$2:$N$1395,9,FALSE),"")</f>
        <v/>
      </c>
      <c r="G355" s="37" t="str">
        <f>IFERROR(VLOOKUP($B355,'MATRICE ARTICLE'!$A$2:$N$1395,14,FALSE),"")</f>
        <v/>
      </c>
      <c r="H355" s="48" t="str">
        <f t="shared" si="22"/>
        <v/>
      </c>
      <c r="I355" s="48" t="str">
        <f t="shared" si="23"/>
        <v/>
      </c>
    </row>
    <row r="356" spans="2:9">
      <c r="B356" s="57" t="str">
        <f t="shared" si="20"/>
        <v/>
      </c>
      <c r="C356" s="57"/>
      <c r="D356" s="37" t="str">
        <f>IFERROR(VLOOKUP($B356,'MATRICE ARTICLE'!$A$2:$N$1395,2,FALSE),"")</f>
        <v/>
      </c>
      <c r="E356" s="37" t="str">
        <f t="shared" si="21"/>
        <v/>
      </c>
      <c r="F356" s="37" t="str">
        <f>IFERROR(VLOOKUP($B356,'MATRICE ARTICLE'!$A$2:$N$1395,9,FALSE),"")</f>
        <v/>
      </c>
      <c r="G356" s="37" t="str">
        <f>IFERROR(VLOOKUP($B356,'MATRICE ARTICLE'!$A$2:$N$1395,14,FALSE),"")</f>
        <v/>
      </c>
      <c r="H356" s="48" t="str">
        <f t="shared" si="22"/>
        <v/>
      </c>
      <c r="I356" s="48" t="str">
        <f t="shared" si="23"/>
        <v/>
      </c>
    </row>
    <row r="357" spans="2:9">
      <c r="B357" s="57" t="str">
        <f t="shared" si="20"/>
        <v/>
      </c>
      <c r="C357" s="57"/>
      <c r="D357" s="37" t="str">
        <f>IFERROR(VLOOKUP($B357,'MATRICE ARTICLE'!$A$2:$N$1395,2,FALSE),"")</f>
        <v/>
      </c>
      <c r="E357" s="37" t="str">
        <f t="shared" si="21"/>
        <v/>
      </c>
      <c r="F357" s="37" t="str">
        <f>IFERROR(VLOOKUP($B357,'MATRICE ARTICLE'!$A$2:$N$1395,9,FALSE),"")</f>
        <v/>
      </c>
      <c r="G357" s="37" t="str">
        <f>IFERROR(VLOOKUP($B357,'MATRICE ARTICLE'!$A$2:$N$1395,14,FALSE),"")</f>
        <v/>
      </c>
      <c r="H357" s="48" t="str">
        <f t="shared" si="22"/>
        <v/>
      </c>
      <c r="I357" s="48" t="str">
        <f t="shared" si="23"/>
        <v/>
      </c>
    </row>
    <row r="358" spans="2:9">
      <c r="B358" s="57" t="str">
        <f t="shared" si="20"/>
        <v/>
      </c>
      <c r="C358" s="57"/>
      <c r="D358" s="37" t="str">
        <f>IFERROR(VLOOKUP($B358,'MATRICE ARTICLE'!$A$2:$N$1395,2,FALSE),"")</f>
        <v/>
      </c>
      <c r="E358" s="37" t="str">
        <f t="shared" si="21"/>
        <v/>
      </c>
      <c r="F358" s="37" t="str">
        <f>IFERROR(VLOOKUP($B358,'MATRICE ARTICLE'!$A$2:$N$1395,9,FALSE),"")</f>
        <v/>
      </c>
      <c r="G358" s="37" t="str">
        <f>IFERROR(VLOOKUP($B358,'MATRICE ARTICLE'!$A$2:$N$1395,14,FALSE),"")</f>
        <v/>
      </c>
      <c r="H358" s="48" t="str">
        <f t="shared" si="22"/>
        <v/>
      </c>
      <c r="I358" s="48" t="str">
        <f t="shared" si="23"/>
        <v/>
      </c>
    </row>
    <row r="359" spans="2:9">
      <c r="B359" s="57" t="str">
        <f t="shared" si="20"/>
        <v/>
      </c>
      <c r="C359" s="57"/>
      <c r="D359" s="37" t="str">
        <f>IFERROR(VLOOKUP($B359,'MATRICE ARTICLE'!$A$2:$N$1395,2,FALSE),"")</f>
        <v/>
      </c>
      <c r="E359" s="37" t="str">
        <f t="shared" si="21"/>
        <v/>
      </c>
      <c r="F359" s="37" t="str">
        <f>IFERROR(VLOOKUP($B359,'MATRICE ARTICLE'!$A$2:$N$1395,9,FALSE),"")</f>
        <v/>
      </c>
      <c r="G359" s="37" t="str">
        <f>IFERROR(VLOOKUP($B359,'MATRICE ARTICLE'!$A$2:$N$1395,14,FALSE),"")</f>
        <v/>
      </c>
      <c r="H359" s="48" t="str">
        <f t="shared" si="22"/>
        <v/>
      </c>
      <c r="I359" s="48" t="str">
        <f t="shared" si="23"/>
        <v/>
      </c>
    </row>
    <row r="360" spans="2:9">
      <c r="B360" s="57" t="str">
        <f t="shared" si="20"/>
        <v/>
      </c>
      <c r="C360" s="57"/>
      <c r="D360" s="37" t="str">
        <f>IFERROR(VLOOKUP($B360,'MATRICE ARTICLE'!$A$2:$N$1395,2,FALSE),"")</f>
        <v/>
      </c>
      <c r="E360" s="37" t="str">
        <f t="shared" si="21"/>
        <v/>
      </c>
      <c r="F360" s="37" t="str">
        <f>IFERROR(VLOOKUP($B360,'MATRICE ARTICLE'!$A$2:$N$1395,9,FALSE),"")</f>
        <v/>
      </c>
      <c r="G360" s="37" t="str">
        <f>IFERROR(VLOOKUP($B360,'MATRICE ARTICLE'!$A$2:$N$1395,14,FALSE),"")</f>
        <v/>
      </c>
      <c r="H360" s="48" t="str">
        <f t="shared" si="22"/>
        <v/>
      </c>
      <c r="I360" s="48" t="str">
        <f t="shared" si="23"/>
        <v/>
      </c>
    </row>
    <row r="361" spans="2:9">
      <c r="B361" s="57" t="str">
        <f t="shared" si="20"/>
        <v/>
      </c>
      <c r="C361" s="57"/>
      <c r="D361" s="37" t="str">
        <f>IFERROR(VLOOKUP($B361,'MATRICE ARTICLE'!$A$2:$N$1395,2,FALSE),"")</f>
        <v/>
      </c>
      <c r="E361" s="37" t="str">
        <f t="shared" si="21"/>
        <v/>
      </c>
      <c r="F361" s="37" t="str">
        <f>IFERROR(VLOOKUP($B361,'MATRICE ARTICLE'!$A$2:$N$1395,9,FALSE),"")</f>
        <v/>
      </c>
      <c r="G361" s="37" t="str">
        <f>IFERROR(VLOOKUP($B361,'MATRICE ARTICLE'!$A$2:$N$1395,14,FALSE),"")</f>
        <v/>
      </c>
      <c r="H361" s="48" t="str">
        <f t="shared" si="22"/>
        <v/>
      </c>
      <c r="I361" s="48" t="str">
        <f t="shared" si="23"/>
        <v/>
      </c>
    </row>
    <row r="362" spans="2:9">
      <c r="B362" s="57" t="str">
        <f t="shared" si="20"/>
        <v/>
      </c>
      <c r="C362" s="57"/>
      <c r="D362" s="37" t="str">
        <f>IFERROR(VLOOKUP($B362,'MATRICE ARTICLE'!$A$2:$N$1395,2,FALSE),"")</f>
        <v/>
      </c>
      <c r="E362" s="37" t="str">
        <f t="shared" si="21"/>
        <v/>
      </c>
      <c r="F362" s="37" t="str">
        <f>IFERROR(VLOOKUP($B362,'MATRICE ARTICLE'!$A$2:$N$1395,9,FALSE),"")</f>
        <v/>
      </c>
      <c r="G362" s="37" t="str">
        <f>IFERROR(VLOOKUP($B362,'MATRICE ARTICLE'!$A$2:$N$1395,14,FALSE),"")</f>
        <v/>
      </c>
      <c r="H362" s="48" t="str">
        <f t="shared" si="22"/>
        <v/>
      </c>
      <c r="I362" s="48" t="str">
        <f t="shared" si="23"/>
        <v/>
      </c>
    </row>
    <row r="363" spans="2:9">
      <c r="B363" s="57" t="str">
        <f t="shared" si="20"/>
        <v/>
      </c>
      <c r="C363" s="57"/>
      <c r="D363" s="37" t="str">
        <f>IFERROR(VLOOKUP($B363,'MATRICE ARTICLE'!$A$2:$N$1395,2,FALSE),"")</f>
        <v/>
      </c>
      <c r="E363" s="37" t="str">
        <f t="shared" si="21"/>
        <v/>
      </c>
      <c r="F363" s="37" t="str">
        <f>IFERROR(VLOOKUP($B363,'MATRICE ARTICLE'!$A$2:$N$1395,9,FALSE),"")</f>
        <v/>
      </c>
      <c r="G363" s="37" t="str">
        <f>IFERROR(VLOOKUP($B363,'MATRICE ARTICLE'!$A$2:$N$1395,14,FALSE),"")</f>
        <v/>
      </c>
      <c r="H363" s="48" t="str">
        <f t="shared" si="22"/>
        <v/>
      </c>
      <c r="I363" s="48" t="str">
        <f t="shared" si="23"/>
        <v/>
      </c>
    </row>
    <row r="364" spans="2:9">
      <c r="B364" s="57" t="str">
        <f t="shared" si="20"/>
        <v/>
      </c>
      <c r="C364" s="57"/>
      <c r="D364" s="37" t="str">
        <f>IFERROR(VLOOKUP($B364,'MATRICE ARTICLE'!$A$2:$N$1395,2,FALSE),"")</f>
        <v/>
      </c>
      <c r="E364" s="37" t="str">
        <f t="shared" si="21"/>
        <v/>
      </c>
      <c r="F364" s="37" t="str">
        <f>IFERROR(VLOOKUP($B364,'MATRICE ARTICLE'!$A$2:$N$1395,9,FALSE),"")</f>
        <v/>
      </c>
      <c r="G364" s="37" t="str">
        <f>IFERROR(VLOOKUP($B364,'MATRICE ARTICLE'!$A$2:$N$1395,14,FALSE),"")</f>
        <v/>
      </c>
      <c r="H364" s="48" t="str">
        <f t="shared" si="22"/>
        <v/>
      </c>
      <c r="I364" s="48" t="str">
        <f t="shared" si="23"/>
        <v/>
      </c>
    </row>
    <row r="365" spans="2:9">
      <c r="B365" s="57" t="str">
        <f t="shared" si="20"/>
        <v/>
      </c>
      <c r="C365" s="57"/>
      <c r="D365" s="37" t="str">
        <f>IFERROR(VLOOKUP($B365,'MATRICE ARTICLE'!$A$2:$N$1395,2,FALSE),"")</f>
        <v/>
      </c>
      <c r="E365" s="37" t="str">
        <f t="shared" si="21"/>
        <v/>
      </c>
      <c r="F365" s="37" t="str">
        <f>IFERROR(VLOOKUP($B365,'MATRICE ARTICLE'!$A$2:$N$1395,9,FALSE),"")</f>
        <v/>
      </c>
      <c r="G365" s="37" t="str">
        <f>IFERROR(VLOOKUP($B365,'MATRICE ARTICLE'!$A$2:$N$1395,14,FALSE),"")</f>
        <v/>
      </c>
      <c r="H365" s="48" t="str">
        <f t="shared" si="22"/>
        <v/>
      </c>
      <c r="I365" s="48" t="str">
        <f t="shared" si="23"/>
        <v/>
      </c>
    </row>
    <row r="366" spans="2:9">
      <c r="B366" s="57" t="str">
        <f t="shared" si="20"/>
        <v/>
      </c>
      <c r="C366" s="57"/>
      <c r="D366" s="37" t="str">
        <f>IFERROR(VLOOKUP($B366,'MATRICE ARTICLE'!$A$2:$N$1395,2,FALSE),"")</f>
        <v/>
      </c>
      <c r="E366" s="37" t="str">
        <f t="shared" si="21"/>
        <v/>
      </c>
      <c r="F366" s="37" t="str">
        <f>IFERROR(VLOOKUP($B366,'MATRICE ARTICLE'!$A$2:$N$1395,9,FALSE),"")</f>
        <v/>
      </c>
      <c r="G366" s="37" t="str">
        <f>IFERROR(VLOOKUP($B366,'MATRICE ARTICLE'!$A$2:$N$1395,14,FALSE),"")</f>
        <v/>
      </c>
      <c r="H366" s="48" t="str">
        <f t="shared" si="22"/>
        <v/>
      </c>
      <c r="I366" s="48" t="str">
        <f t="shared" si="23"/>
        <v/>
      </c>
    </row>
    <row r="367" spans="2:9">
      <c r="B367" s="57" t="str">
        <f t="shared" si="20"/>
        <v/>
      </c>
      <c r="C367" s="57"/>
      <c r="D367" s="37" t="str">
        <f>IFERROR(VLOOKUP($B367,'MATRICE ARTICLE'!$A$2:$N$1395,2,FALSE),"")</f>
        <v/>
      </c>
      <c r="E367" s="37" t="str">
        <f t="shared" si="21"/>
        <v/>
      </c>
      <c r="F367" s="37" t="str">
        <f>IFERROR(VLOOKUP($B367,'MATRICE ARTICLE'!$A$2:$N$1395,9,FALSE),"")</f>
        <v/>
      </c>
      <c r="G367" s="37" t="str">
        <f>IFERROR(VLOOKUP($B367,'MATRICE ARTICLE'!$A$2:$N$1395,14,FALSE),"")</f>
        <v/>
      </c>
      <c r="H367" s="48" t="str">
        <f t="shared" si="22"/>
        <v/>
      </c>
      <c r="I367" s="48" t="str">
        <f t="shared" si="23"/>
        <v/>
      </c>
    </row>
    <row r="368" spans="2:9">
      <c r="B368" s="57" t="str">
        <f t="shared" si="20"/>
        <v/>
      </c>
      <c r="C368" s="57"/>
      <c r="D368" s="37" t="str">
        <f>IFERROR(VLOOKUP($B368,'MATRICE ARTICLE'!$A$2:$N$1395,2,FALSE),"")</f>
        <v/>
      </c>
      <c r="E368" s="37" t="str">
        <f t="shared" si="21"/>
        <v/>
      </c>
      <c r="F368" s="37" t="str">
        <f>IFERROR(VLOOKUP($B368,'MATRICE ARTICLE'!$A$2:$N$1395,9,FALSE),"")</f>
        <v/>
      </c>
      <c r="G368" s="37" t="str">
        <f>IFERROR(VLOOKUP($B368,'MATRICE ARTICLE'!$A$2:$N$1395,14,FALSE),"")</f>
        <v/>
      </c>
      <c r="H368" s="48" t="str">
        <f t="shared" si="22"/>
        <v/>
      </c>
      <c r="I368" s="48" t="str">
        <f t="shared" si="23"/>
        <v/>
      </c>
    </row>
    <row r="369" spans="2:9">
      <c r="B369" s="57" t="str">
        <f t="shared" si="20"/>
        <v/>
      </c>
      <c r="C369" s="57"/>
      <c r="D369" s="37" t="str">
        <f>IFERROR(VLOOKUP($B369,'MATRICE ARTICLE'!$A$2:$N$1395,2,FALSE),"")</f>
        <v/>
      </c>
      <c r="E369" s="37" t="str">
        <f t="shared" si="21"/>
        <v/>
      </c>
      <c r="F369" s="37" t="str">
        <f>IFERROR(VLOOKUP($B369,'MATRICE ARTICLE'!$A$2:$N$1395,9,FALSE),"")</f>
        <v/>
      </c>
      <c r="G369" s="37" t="str">
        <f>IFERROR(VLOOKUP($B369,'MATRICE ARTICLE'!$A$2:$N$1395,14,FALSE),"")</f>
        <v/>
      </c>
      <c r="H369" s="48" t="str">
        <f t="shared" si="22"/>
        <v/>
      </c>
      <c r="I369" s="48" t="str">
        <f t="shared" si="23"/>
        <v/>
      </c>
    </row>
    <row r="370" spans="2:9">
      <c r="B370" s="57" t="str">
        <f t="shared" si="20"/>
        <v/>
      </c>
      <c r="C370" s="57"/>
      <c r="D370" s="37" t="str">
        <f>IFERROR(VLOOKUP($B370,'MATRICE ARTICLE'!$A$2:$N$1395,2,FALSE),"")</f>
        <v/>
      </c>
      <c r="E370" s="37" t="str">
        <f t="shared" si="21"/>
        <v/>
      </c>
      <c r="F370" s="37" t="str">
        <f>IFERROR(VLOOKUP($B370,'MATRICE ARTICLE'!$A$2:$N$1395,9,FALSE),"")</f>
        <v/>
      </c>
      <c r="G370" s="37" t="str">
        <f>IFERROR(VLOOKUP($B370,'MATRICE ARTICLE'!$A$2:$N$1395,14,FALSE),"")</f>
        <v/>
      </c>
      <c r="H370" s="48" t="str">
        <f t="shared" si="22"/>
        <v/>
      </c>
      <c r="I370" s="48" t="str">
        <f t="shared" si="23"/>
        <v/>
      </c>
    </row>
    <row r="371" spans="2:9">
      <c r="B371" s="57" t="str">
        <f t="shared" si="20"/>
        <v/>
      </c>
      <c r="C371" s="57"/>
      <c r="D371" s="37" t="str">
        <f>IFERROR(VLOOKUP($B371,'MATRICE ARTICLE'!$A$2:$N$1395,2,FALSE),"")</f>
        <v/>
      </c>
      <c r="E371" s="37" t="str">
        <f t="shared" si="21"/>
        <v/>
      </c>
      <c r="F371" s="37" t="str">
        <f>IFERROR(VLOOKUP($B371,'MATRICE ARTICLE'!$A$2:$N$1395,9,FALSE),"")</f>
        <v/>
      </c>
      <c r="G371" s="37" t="str">
        <f>IFERROR(VLOOKUP($B371,'MATRICE ARTICLE'!$A$2:$N$1395,14,FALSE),"")</f>
        <v/>
      </c>
      <c r="H371" s="48" t="str">
        <f t="shared" si="22"/>
        <v/>
      </c>
      <c r="I371" s="48" t="str">
        <f t="shared" si="23"/>
        <v/>
      </c>
    </row>
    <row r="372" spans="2:9">
      <c r="B372" s="57" t="str">
        <f t="shared" si="20"/>
        <v/>
      </c>
      <c r="C372" s="57"/>
      <c r="D372" s="37" t="str">
        <f>IFERROR(VLOOKUP($B372,'MATRICE ARTICLE'!$A$2:$N$1395,2,FALSE),"")</f>
        <v/>
      </c>
      <c r="E372" s="37" t="str">
        <f t="shared" si="21"/>
        <v/>
      </c>
      <c r="F372" s="37" t="str">
        <f>IFERROR(VLOOKUP($B372,'MATRICE ARTICLE'!$A$2:$N$1395,9,FALSE),"")</f>
        <v/>
      </c>
      <c r="G372" s="37" t="str">
        <f>IFERROR(VLOOKUP($B372,'MATRICE ARTICLE'!$A$2:$N$1395,14,FALSE),"")</f>
        <v/>
      </c>
      <c r="H372" s="48" t="str">
        <f t="shared" si="22"/>
        <v/>
      </c>
      <c r="I372" s="48" t="str">
        <f t="shared" si="23"/>
        <v/>
      </c>
    </row>
    <row r="373" spans="2:9">
      <c r="B373" s="57" t="str">
        <f t="shared" si="20"/>
        <v/>
      </c>
      <c r="C373" s="57"/>
      <c r="D373" s="37" t="str">
        <f>IFERROR(VLOOKUP($B373,'MATRICE ARTICLE'!$A$2:$N$1395,2,FALSE),"")</f>
        <v/>
      </c>
      <c r="E373" s="37" t="str">
        <f t="shared" si="21"/>
        <v/>
      </c>
      <c r="F373" s="37" t="str">
        <f>IFERROR(VLOOKUP($B373,'MATRICE ARTICLE'!$A$2:$N$1395,9,FALSE),"")</f>
        <v/>
      </c>
      <c r="G373" s="37" t="str">
        <f>IFERROR(VLOOKUP($B373,'MATRICE ARTICLE'!$A$2:$N$1395,14,FALSE),"")</f>
        <v/>
      </c>
      <c r="H373" s="48" t="str">
        <f t="shared" si="22"/>
        <v/>
      </c>
      <c r="I373" s="48" t="str">
        <f t="shared" si="23"/>
        <v/>
      </c>
    </row>
    <row r="374" spans="2:9">
      <c r="B374" s="57" t="str">
        <f t="shared" si="20"/>
        <v/>
      </c>
      <c r="C374" s="57"/>
      <c r="D374" s="37" t="str">
        <f>IFERROR(VLOOKUP($B374,'MATRICE ARTICLE'!$A$2:$N$1395,2,FALSE),"")</f>
        <v/>
      </c>
      <c r="E374" s="37" t="str">
        <f t="shared" si="21"/>
        <v/>
      </c>
      <c r="F374" s="37" t="str">
        <f>IFERROR(VLOOKUP($B374,'MATRICE ARTICLE'!$A$2:$N$1395,9,FALSE),"")</f>
        <v/>
      </c>
      <c r="G374" s="37" t="str">
        <f>IFERROR(VLOOKUP($B374,'MATRICE ARTICLE'!$A$2:$N$1395,14,FALSE),"")</f>
        <v/>
      </c>
      <c r="H374" s="48" t="str">
        <f t="shared" si="22"/>
        <v/>
      </c>
      <c r="I374" s="48" t="str">
        <f t="shared" si="23"/>
        <v/>
      </c>
    </row>
    <row r="375" spans="2:9">
      <c r="B375" s="57" t="str">
        <f t="shared" si="20"/>
        <v/>
      </c>
      <c r="C375" s="57"/>
      <c r="D375" s="37" t="str">
        <f>IFERROR(VLOOKUP($B375,'MATRICE ARTICLE'!$A$2:$N$1395,2,FALSE),"")</f>
        <v/>
      </c>
      <c r="E375" s="37" t="str">
        <f t="shared" si="21"/>
        <v/>
      </c>
      <c r="F375" s="37" t="str">
        <f>IFERROR(VLOOKUP($B375,'MATRICE ARTICLE'!$A$2:$N$1395,9,FALSE),"")</f>
        <v/>
      </c>
      <c r="G375" s="37" t="str">
        <f>IFERROR(VLOOKUP($B375,'MATRICE ARTICLE'!$A$2:$N$1395,14,FALSE),"")</f>
        <v/>
      </c>
      <c r="H375" s="48" t="str">
        <f t="shared" si="22"/>
        <v/>
      </c>
      <c r="I375" s="48" t="str">
        <f t="shared" si="23"/>
        <v/>
      </c>
    </row>
    <row r="376" spans="2:9">
      <c r="B376" s="57" t="str">
        <f t="shared" si="20"/>
        <v/>
      </c>
      <c r="C376" s="57"/>
      <c r="D376" s="37" t="str">
        <f>IFERROR(VLOOKUP($B376,'MATRICE ARTICLE'!$A$2:$N$1395,2,FALSE),"")</f>
        <v/>
      </c>
      <c r="E376" s="37" t="str">
        <f t="shared" si="21"/>
        <v/>
      </c>
      <c r="F376" s="37" t="str">
        <f>IFERROR(VLOOKUP($B376,'MATRICE ARTICLE'!$A$2:$N$1395,9,FALSE),"")</f>
        <v/>
      </c>
      <c r="G376" s="37" t="str">
        <f>IFERROR(VLOOKUP($B376,'MATRICE ARTICLE'!$A$2:$N$1395,14,FALSE),"")</f>
        <v/>
      </c>
      <c r="H376" s="48" t="str">
        <f t="shared" si="22"/>
        <v/>
      </c>
      <c r="I376" s="48" t="str">
        <f t="shared" si="23"/>
        <v/>
      </c>
    </row>
    <row r="377" spans="2:9">
      <c r="B377" s="57" t="str">
        <f t="shared" si="20"/>
        <v/>
      </c>
      <c r="C377" s="57"/>
      <c r="D377" s="37" t="str">
        <f>IFERROR(VLOOKUP($B377,'MATRICE ARTICLE'!$A$2:$N$1395,2,FALSE),"")</f>
        <v/>
      </c>
      <c r="E377" s="37" t="str">
        <f t="shared" si="21"/>
        <v/>
      </c>
      <c r="F377" s="37" t="str">
        <f>IFERROR(VLOOKUP($B377,'MATRICE ARTICLE'!$A$2:$N$1395,9,FALSE),"")</f>
        <v/>
      </c>
      <c r="G377" s="37" t="str">
        <f>IFERROR(VLOOKUP($B377,'MATRICE ARTICLE'!$A$2:$N$1395,14,FALSE),"")</f>
        <v/>
      </c>
      <c r="H377" s="48" t="str">
        <f t="shared" si="22"/>
        <v/>
      </c>
      <c r="I377" s="48" t="str">
        <f t="shared" si="23"/>
        <v/>
      </c>
    </row>
    <row r="378" spans="2:9">
      <c r="B378" s="57" t="str">
        <f t="shared" si="20"/>
        <v/>
      </c>
      <c r="C378" s="57"/>
      <c r="D378" s="37" t="str">
        <f>IFERROR(VLOOKUP($B378,'MATRICE ARTICLE'!$A$2:$N$1395,2,FALSE),"")</f>
        <v/>
      </c>
      <c r="E378" s="37" t="str">
        <f t="shared" si="21"/>
        <v/>
      </c>
      <c r="F378" s="37" t="str">
        <f>IFERROR(VLOOKUP($B378,'MATRICE ARTICLE'!$A$2:$N$1395,9,FALSE),"")</f>
        <v/>
      </c>
      <c r="G378" s="37" t="str">
        <f>IFERROR(VLOOKUP($B378,'MATRICE ARTICLE'!$A$2:$N$1395,14,FALSE),"")</f>
        <v/>
      </c>
      <c r="H378" s="48" t="str">
        <f t="shared" si="22"/>
        <v/>
      </c>
      <c r="I378" s="48" t="str">
        <f t="shared" si="23"/>
        <v/>
      </c>
    </row>
    <row r="379" spans="2:9">
      <c r="B379" s="57" t="str">
        <f t="shared" si="20"/>
        <v/>
      </c>
      <c r="C379" s="57"/>
      <c r="D379" s="37" t="str">
        <f>IFERROR(VLOOKUP($B379,'MATRICE ARTICLE'!$A$2:$N$1395,2,FALSE),"")</f>
        <v/>
      </c>
      <c r="E379" s="37" t="str">
        <f t="shared" si="21"/>
        <v/>
      </c>
      <c r="F379" s="37" t="str">
        <f>IFERROR(VLOOKUP($B379,'MATRICE ARTICLE'!$A$2:$N$1395,9,FALSE),"")</f>
        <v/>
      </c>
      <c r="G379" s="37" t="str">
        <f>IFERROR(VLOOKUP($B379,'MATRICE ARTICLE'!$A$2:$N$1395,14,FALSE),"")</f>
        <v/>
      </c>
      <c r="H379" s="48" t="str">
        <f t="shared" si="22"/>
        <v/>
      </c>
      <c r="I379" s="48" t="str">
        <f t="shared" si="23"/>
        <v/>
      </c>
    </row>
    <row r="380" spans="2:9">
      <c r="B380" s="57" t="str">
        <f t="shared" si="20"/>
        <v/>
      </c>
      <c r="C380" s="57"/>
      <c r="D380" s="37" t="str">
        <f>IFERROR(VLOOKUP($B380,'MATRICE ARTICLE'!$A$2:$N$1395,2,FALSE),"")</f>
        <v/>
      </c>
      <c r="E380" s="37" t="str">
        <f t="shared" si="21"/>
        <v/>
      </c>
      <c r="F380" s="37" t="str">
        <f>IFERROR(VLOOKUP($B380,'MATRICE ARTICLE'!$A$2:$N$1395,9,FALSE),"")</f>
        <v/>
      </c>
      <c r="G380" s="37" t="str">
        <f>IFERROR(VLOOKUP($B380,'MATRICE ARTICLE'!$A$2:$N$1395,14,FALSE),"")</f>
        <v/>
      </c>
      <c r="H380" s="48" t="str">
        <f t="shared" si="22"/>
        <v/>
      </c>
      <c r="I380" s="48" t="str">
        <f t="shared" si="23"/>
        <v/>
      </c>
    </row>
    <row r="381" spans="2:9">
      <c r="B381" s="57" t="str">
        <f t="shared" si="20"/>
        <v/>
      </c>
      <c r="C381" s="57"/>
      <c r="D381" s="37" t="str">
        <f>IFERROR(VLOOKUP($B381,'MATRICE ARTICLE'!$A$2:$N$1395,2,FALSE),"")</f>
        <v/>
      </c>
      <c r="E381" s="37" t="str">
        <f t="shared" si="21"/>
        <v/>
      </c>
      <c r="F381" s="37" t="str">
        <f>IFERROR(VLOOKUP($B381,'MATRICE ARTICLE'!$A$2:$N$1395,9,FALSE),"")</f>
        <v/>
      </c>
      <c r="G381" s="37" t="str">
        <f>IFERROR(VLOOKUP($B381,'MATRICE ARTICLE'!$A$2:$N$1395,14,FALSE),"")</f>
        <v/>
      </c>
      <c r="H381" s="48" t="str">
        <f t="shared" si="22"/>
        <v/>
      </c>
      <c r="I381" s="48" t="str">
        <f t="shared" si="23"/>
        <v/>
      </c>
    </row>
    <row r="382" spans="2:9">
      <c r="B382" s="57" t="str">
        <f t="shared" si="20"/>
        <v/>
      </c>
      <c r="C382" s="57"/>
      <c r="D382" s="37" t="str">
        <f>IFERROR(VLOOKUP($B382,'MATRICE ARTICLE'!$A$2:$N$1395,2,FALSE),"")</f>
        <v/>
      </c>
      <c r="E382" s="37" t="str">
        <f t="shared" si="21"/>
        <v/>
      </c>
      <c r="F382" s="37" t="str">
        <f>IFERROR(VLOOKUP($B382,'MATRICE ARTICLE'!$A$2:$N$1395,9,FALSE),"")</f>
        <v/>
      </c>
      <c r="G382" s="37" t="str">
        <f>IFERROR(VLOOKUP($B382,'MATRICE ARTICLE'!$A$2:$N$1395,14,FALSE),"")</f>
        <v/>
      </c>
      <c r="H382" s="48" t="str">
        <f t="shared" si="22"/>
        <v/>
      </c>
      <c r="I382" s="48" t="str">
        <f t="shared" si="23"/>
        <v/>
      </c>
    </row>
    <row r="383" spans="2:9">
      <c r="B383" s="57" t="str">
        <f t="shared" si="20"/>
        <v/>
      </c>
      <c r="C383" s="57"/>
      <c r="D383" s="37" t="str">
        <f>IFERROR(VLOOKUP($B383,'MATRICE ARTICLE'!$A$2:$N$1395,2,FALSE),"")</f>
        <v/>
      </c>
      <c r="E383" s="37" t="str">
        <f t="shared" si="21"/>
        <v/>
      </c>
      <c r="F383" s="37" t="str">
        <f>IFERROR(VLOOKUP($B383,'MATRICE ARTICLE'!$A$2:$N$1395,9,FALSE),"")</f>
        <v/>
      </c>
      <c r="G383" s="37" t="str">
        <f>IFERROR(VLOOKUP($B383,'MATRICE ARTICLE'!$A$2:$N$1395,14,FALSE),"")</f>
        <v/>
      </c>
      <c r="H383" s="48" t="str">
        <f t="shared" si="22"/>
        <v/>
      </c>
      <c r="I383" s="48" t="str">
        <f t="shared" si="23"/>
        <v/>
      </c>
    </row>
    <row r="384" spans="2:9">
      <c r="B384" s="57" t="str">
        <f t="shared" si="20"/>
        <v/>
      </c>
      <c r="C384" s="57"/>
      <c r="D384" s="37" t="str">
        <f>IFERROR(VLOOKUP($B384,'MATRICE ARTICLE'!$A$2:$N$1395,2,FALSE),"")</f>
        <v/>
      </c>
      <c r="E384" s="37" t="str">
        <f t="shared" si="21"/>
        <v/>
      </c>
      <c r="F384" s="37" t="str">
        <f>IFERROR(VLOOKUP($B384,'MATRICE ARTICLE'!$A$2:$N$1395,9,FALSE),"")</f>
        <v/>
      </c>
      <c r="G384" s="37" t="str">
        <f>IFERROR(VLOOKUP($B384,'MATRICE ARTICLE'!$A$2:$N$1395,14,FALSE),"")</f>
        <v/>
      </c>
      <c r="H384" s="48" t="str">
        <f t="shared" si="22"/>
        <v/>
      </c>
      <c r="I384" s="48" t="str">
        <f t="shared" si="23"/>
        <v/>
      </c>
    </row>
    <row r="385" spans="2:9">
      <c r="B385" s="57" t="str">
        <f t="shared" si="20"/>
        <v/>
      </c>
      <c r="C385" s="57"/>
      <c r="D385" s="37" t="str">
        <f>IFERROR(VLOOKUP($B385,'MATRICE ARTICLE'!$A$2:$N$1395,2,FALSE),"")</f>
        <v/>
      </c>
      <c r="E385" s="37" t="str">
        <f t="shared" si="21"/>
        <v/>
      </c>
      <c r="F385" s="37" t="str">
        <f>IFERROR(VLOOKUP($B385,'MATRICE ARTICLE'!$A$2:$N$1395,9,FALSE),"")</f>
        <v/>
      </c>
      <c r="G385" s="37" t="str">
        <f>IFERROR(VLOOKUP($B385,'MATRICE ARTICLE'!$A$2:$N$1395,14,FALSE),"")</f>
        <v/>
      </c>
      <c r="H385" s="48" t="str">
        <f t="shared" si="22"/>
        <v/>
      </c>
      <c r="I385" s="48" t="str">
        <f t="shared" si="23"/>
        <v/>
      </c>
    </row>
    <row r="386" spans="2:9">
      <c r="B386" s="57" t="str">
        <f t="shared" si="20"/>
        <v/>
      </c>
      <c r="C386" s="57"/>
      <c r="D386" s="37" t="str">
        <f>IFERROR(VLOOKUP($B386,'MATRICE ARTICLE'!$A$2:$N$1395,2,FALSE),"")</f>
        <v/>
      </c>
      <c r="E386" s="37" t="str">
        <f t="shared" si="21"/>
        <v/>
      </c>
      <c r="F386" s="37" t="str">
        <f>IFERROR(VLOOKUP($B386,'MATRICE ARTICLE'!$A$2:$N$1395,9,FALSE),"")</f>
        <v/>
      </c>
      <c r="G386" s="37" t="str">
        <f>IFERROR(VLOOKUP($B386,'MATRICE ARTICLE'!$A$2:$N$1395,14,FALSE),"")</f>
        <v/>
      </c>
      <c r="H386" s="48" t="str">
        <f t="shared" si="22"/>
        <v/>
      </c>
      <c r="I386" s="48" t="str">
        <f t="shared" si="23"/>
        <v/>
      </c>
    </row>
    <row r="387" spans="2:9">
      <c r="B387" s="57" t="str">
        <f t="shared" ref="B387:B450" si="24">IF(A387=0,"",A387)</f>
        <v/>
      </c>
      <c r="C387" s="57"/>
      <c r="D387" s="37" t="str">
        <f>IFERROR(VLOOKUP($B387,'MATRICE ARTICLE'!$A$2:$N$1395,2,FALSE),"")</f>
        <v/>
      </c>
      <c r="E387" s="37" t="str">
        <f t="shared" ref="E387:E450" si="25">IF(SUM(F387:I387)=0,"",SUM(F387:I387))</f>
        <v/>
      </c>
      <c r="F387" s="37" t="str">
        <f>IFERROR(VLOOKUP($B387,'MATRICE ARTICLE'!$A$2:$N$1395,9,FALSE),"")</f>
        <v/>
      </c>
      <c r="G387" s="37" t="str">
        <f>IFERROR(VLOOKUP($B387,'MATRICE ARTICLE'!$A$2:$N$1395,14,FALSE),"")</f>
        <v/>
      </c>
      <c r="H387" s="48" t="str">
        <f t="shared" ref="H387:H450" si="26">IF(SUM(F387:G387)*$H$1=0,"",SUM(F387:G387)*$H$1)</f>
        <v/>
      </c>
      <c r="I387" s="48" t="str">
        <f t="shared" ref="I387:I450" si="27">IF(SUM(F387:H387)*$I$1=0,"",SUM(F387:H387)*$I$1)</f>
        <v/>
      </c>
    </row>
    <row r="388" spans="2:9">
      <c r="B388" s="57" t="str">
        <f t="shared" si="24"/>
        <v/>
      </c>
      <c r="C388" s="57"/>
      <c r="D388" s="37" t="str">
        <f>IFERROR(VLOOKUP($B388,'MATRICE ARTICLE'!$A$2:$N$1395,2,FALSE),"")</f>
        <v/>
      </c>
      <c r="E388" s="37" t="str">
        <f t="shared" si="25"/>
        <v/>
      </c>
      <c r="F388" s="37" t="str">
        <f>IFERROR(VLOOKUP($B388,'MATRICE ARTICLE'!$A$2:$N$1395,9,FALSE),"")</f>
        <v/>
      </c>
      <c r="G388" s="37" t="str">
        <f>IFERROR(VLOOKUP($B388,'MATRICE ARTICLE'!$A$2:$N$1395,14,FALSE),"")</f>
        <v/>
      </c>
      <c r="H388" s="48" t="str">
        <f t="shared" si="26"/>
        <v/>
      </c>
      <c r="I388" s="48" t="str">
        <f t="shared" si="27"/>
        <v/>
      </c>
    </row>
    <row r="389" spans="2:9">
      <c r="B389" s="57" t="str">
        <f t="shared" si="24"/>
        <v/>
      </c>
      <c r="C389" s="57"/>
      <c r="D389" s="37" t="str">
        <f>IFERROR(VLOOKUP($B389,'MATRICE ARTICLE'!$A$2:$N$1395,2,FALSE),"")</f>
        <v/>
      </c>
      <c r="E389" s="37" t="str">
        <f t="shared" si="25"/>
        <v/>
      </c>
      <c r="F389" s="37" t="str">
        <f>IFERROR(VLOOKUP($B389,'MATRICE ARTICLE'!$A$2:$N$1395,9,FALSE),"")</f>
        <v/>
      </c>
      <c r="G389" s="37" t="str">
        <f>IFERROR(VLOOKUP($B389,'MATRICE ARTICLE'!$A$2:$N$1395,14,FALSE),"")</f>
        <v/>
      </c>
      <c r="H389" s="48" t="str">
        <f t="shared" si="26"/>
        <v/>
      </c>
      <c r="I389" s="48" t="str">
        <f t="shared" si="27"/>
        <v/>
      </c>
    </row>
    <row r="390" spans="2:9">
      <c r="B390" s="57" t="str">
        <f t="shared" si="24"/>
        <v/>
      </c>
      <c r="C390" s="57"/>
      <c r="D390" s="37" t="str">
        <f>IFERROR(VLOOKUP($B390,'MATRICE ARTICLE'!$A$2:$N$1395,2,FALSE),"")</f>
        <v/>
      </c>
      <c r="E390" s="37" t="str">
        <f t="shared" si="25"/>
        <v/>
      </c>
      <c r="F390" s="37" t="str">
        <f>IFERROR(VLOOKUP($B390,'MATRICE ARTICLE'!$A$2:$N$1395,9,FALSE),"")</f>
        <v/>
      </c>
      <c r="G390" s="37" t="str">
        <f>IFERROR(VLOOKUP($B390,'MATRICE ARTICLE'!$A$2:$N$1395,14,FALSE),"")</f>
        <v/>
      </c>
      <c r="H390" s="48" t="str">
        <f t="shared" si="26"/>
        <v/>
      </c>
      <c r="I390" s="48" t="str">
        <f t="shared" si="27"/>
        <v/>
      </c>
    </row>
    <row r="391" spans="2:9">
      <c r="B391" s="57" t="str">
        <f t="shared" si="24"/>
        <v/>
      </c>
      <c r="C391" s="57"/>
      <c r="D391" s="37" t="str">
        <f>IFERROR(VLOOKUP($B391,'MATRICE ARTICLE'!$A$2:$N$1395,2,FALSE),"")</f>
        <v/>
      </c>
      <c r="E391" s="37" t="str">
        <f t="shared" si="25"/>
        <v/>
      </c>
      <c r="F391" s="37" t="str">
        <f>IFERROR(VLOOKUP($B391,'MATRICE ARTICLE'!$A$2:$N$1395,9,FALSE),"")</f>
        <v/>
      </c>
      <c r="G391" s="37" t="str">
        <f>IFERROR(VLOOKUP($B391,'MATRICE ARTICLE'!$A$2:$N$1395,14,FALSE),"")</f>
        <v/>
      </c>
      <c r="H391" s="48" t="str">
        <f t="shared" si="26"/>
        <v/>
      </c>
      <c r="I391" s="48" t="str">
        <f t="shared" si="27"/>
        <v/>
      </c>
    </row>
    <row r="392" spans="2:9">
      <c r="B392" s="57" t="str">
        <f t="shared" si="24"/>
        <v/>
      </c>
      <c r="C392" s="57"/>
      <c r="D392" s="37" t="str">
        <f>IFERROR(VLOOKUP($B392,'MATRICE ARTICLE'!$A$2:$N$1395,2,FALSE),"")</f>
        <v/>
      </c>
      <c r="E392" s="37" t="str">
        <f t="shared" si="25"/>
        <v/>
      </c>
      <c r="F392" s="37" t="str">
        <f>IFERROR(VLOOKUP($B392,'MATRICE ARTICLE'!$A$2:$N$1395,9,FALSE),"")</f>
        <v/>
      </c>
      <c r="G392" s="37" t="str">
        <f>IFERROR(VLOOKUP($B392,'MATRICE ARTICLE'!$A$2:$N$1395,14,FALSE),"")</f>
        <v/>
      </c>
      <c r="H392" s="48" t="str">
        <f t="shared" si="26"/>
        <v/>
      </c>
      <c r="I392" s="48" t="str">
        <f t="shared" si="27"/>
        <v/>
      </c>
    </row>
    <row r="393" spans="2:9">
      <c r="B393" s="57" t="str">
        <f t="shared" si="24"/>
        <v/>
      </c>
      <c r="C393" s="57"/>
      <c r="D393" s="37" t="str">
        <f>IFERROR(VLOOKUP($B393,'MATRICE ARTICLE'!$A$2:$N$1395,2,FALSE),"")</f>
        <v/>
      </c>
      <c r="E393" s="37" t="str">
        <f t="shared" si="25"/>
        <v/>
      </c>
      <c r="F393" s="37" t="str">
        <f>IFERROR(VLOOKUP($B393,'MATRICE ARTICLE'!$A$2:$N$1395,9,FALSE),"")</f>
        <v/>
      </c>
      <c r="G393" s="37" t="str">
        <f>IFERROR(VLOOKUP($B393,'MATRICE ARTICLE'!$A$2:$N$1395,14,FALSE),"")</f>
        <v/>
      </c>
      <c r="H393" s="48" t="str">
        <f t="shared" si="26"/>
        <v/>
      </c>
      <c r="I393" s="48" t="str">
        <f t="shared" si="27"/>
        <v/>
      </c>
    </row>
    <row r="394" spans="2:9">
      <c r="B394" s="57" t="str">
        <f t="shared" si="24"/>
        <v/>
      </c>
      <c r="C394" s="57"/>
      <c r="D394" s="37" t="str">
        <f>IFERROR(VLOOKUP($B394,'MATRICE ARTICLE'!$A$2:$N$1395,2,FALSE),"")</f>
        <v/>
      </c>
      <c r="E394" s="37" t="str">
        <f t="shared" si="25"/>
        <v/>
      </c>
      <c r="F394" s="37" t="str">
        <f>IFERROR(VLOOKUP($B394,'MATRICE ARTICLE'!$A$2:$N$1395,9,FALSE),"")</f>
        <v/>
      </c>
      <c r="G394" s="37" t="str">
        <f>IFERROR(VLOOKUP($B394,'MATRICE ARTICLE'!$A$2:$N$1395,14,FALSE),"")</f>
        <v/>
      </c>
      <c r="H394" s="48" t="str">
        <f t="shared" si="26"/>
        <v/>
      </c>
      <c r="I394" s="48" t="str">
        <f t="shared" si="27"/>
        <v/>
      </c>
    </row>
    <row r="395" spans="2:9">
      <c r="B395" s="57" t="str">
        <f t="shared" si="24"/>
        <v/>
      </c>
      <c r="C395" s="57"/>
      <c r="D395" s="37" t="str">
        <f>IFERROR(VLOOKUP($B395,'MATRICE ARTICLE'!$A$2:$N$1395,2,FALSE),"")</f>
        <v/>
      </c>
      <c r="E395" s="37" t="str">
        <f t="shared" si="25"/>
        <v/>
      </c>
      <c r="F395" s="37" t="str">
        <f>IFERROR(VLOOKUP($B395,'MATRICE ARTICLE'!$A$2:$N$1395,9,FALSE),"")</f>
        <v/>
      </c>
      <c r="G395" s="37" t="str">
        <f>IFERROR(VLOOKUP($B395,'MATRICE ARTICLE'!$A$2:$N$1395,14,FALSE),"")</f>
        <v/>
      </c>
      <c r="H395" s="48" t="str">
        <f t="shared" si="26"/>
        <v/>
      </c>
      <c r="I395" s="48" t="str">
        <f t="shared" si="27"/>
        <v/>
      </c>
    </row>
    <row r="396" spans="2:9">
      <c r="B396" s="57" t="str">
        <f t="shared" si="24"/>
        <v/>
      </c>
      <c r="C396" s="57"/>
      <c r="D396" s="37" t="str">
        <f>IFERROR(VLOOKUP($B396,'MATRICE ARTICLE'!$A$2:$N$1395,2,FALSE),"")</f>
        <v/>
      </c>
      <c r="E396" s="37" t="str">
        <f t="shared" si="25"/>
        <v/>
      </c>
      <c r="F396" s="37" t="str">
        <f>IFERROR(VLOOKUP($B396,'MATRICE ARTICLE'!$A$2:$N$1395,9,FALSE),"")</f>
        <v/>
      </c>
      <c r="G396" s="37" t="str">
        <f>IFERROR(VLOOKUP($B396,'MATRICE ARTICLE'!$A$2:$N$1395,14,FALSE),"")</f>
        <v/>
      </c>
      <c r="H396" s="48" t="str">
        <f t="shared" si="26"/>
        <v/>
      </c>
      <c r="I396" s="48" t="str">
        <f t="shared" si="27"/>
        <v/>
      </c>
    </row>
    <row r="397" spans="2:9">
      <c r="B397" s="57" t="str">
        <f t="shared" si="24"/>
        <v/>
      </c>
      <c r="C397" s="57"/>
      <c r="D397" s="37" t="str">
        <f>IFERROR(VLOOKUP($B397,'MATRICE ARTICLE'!$A$2:$N$1395,2,FALSE),"")</f>
        <v/>
      </c>
      <c r="E397" s="37" t="str">
        <f t="shared" si="25"/>
        <v/>
      </c>
      <c r="F397" s="37" t="str">
        <f>IFERROR(VLOOKUP($B397,'MATRICE ARTICLE'!$A$2:$N$1395,9,FALSE),"")</f>
        <v/>
      </c>
      <c r="G397" s="37" t="str">
        <f>IFERROR(VLOOKUP($B397,'MATRICE ARTICLE'!$A$2:$N$1395,14,FALSE),"")</f>
        <v/>
      </c>
      <c r="H397" s="48" t="str">
        <f t="shared" si="26"/>
        <v/>
      </c>
      <c r="I397" s="48" t="str">
        <f t="shared" si="27"/>
        <v/>
      </c>
    </row>
    <row r="398" spans="2:9">
      <c r="B398" s="57" t="str">
        <f t="shared" si="24"/>
        <v/>
      </c>
      <c r="C398" s="57"/>
      <c r="D398" s="37" t="str">
        <f>IFERROR(VLOOKUP($B398,'MATRICE ARTICLE'!$A$2:$N$1395,2,FALSE),"")</f>
        <v/>
      </c>
      <c r="E398" s="37" t="str">
        <f t="shared" si="25"/>
        <v/>
      </c>
      <c r="F398" s="37" t="str">
        <f>IFERROR(VLOOKUP($B398,'MATRICE ARTICLE'!$A$2:$N$1395,9,FALSE),"")</f>
        <v/>
      </c>
      <c r="G398" s="37" t="str">
        <f>IFERROR(VLOOKUP($B398,'MATRICE ARTICLE'!$A$2:$N$1395,14,FALSE),"")</f>
        <v/>
      </c>
      <c r="H398" s="48" t="str">
        <f t="shared" si="26"/>
        <v/>
      </c>
      <c r="I398" s="48" t="str">
        <f t="shared" si="27"/>
        <v/>
      </c>
    </row>
    <row r="399" spans="2:9">
      <c r="B399" s="57" t="str">
        <f t="shared" si="24"/>
        <v/>
      </c>
      <c r="C399" s="57"/>
      <c r="D399" s="37" t="str">
        <f>IFERROR(VLOOKUP($B399,'MATRICE ARTICLE'!$A$2:$N$1395,2,FALSE),"")</f>
        <v/>
      </c>
      <c r="E399" s="37" t="str">
        <f t="shared" si="25"/>
        <v/>
      </c>
      <c r="F399" s="37" t="str">
        <f>IFERROR(VLOOKUP($B399,'MATRICE ARTICLE'!$A$2:$N$1395,9,FALSE),"")</f>
        <v/>
      </c>
      <c r="G399" s="37" t="str">
        <f>IFERROR(VLOOKUP($B399,'MATRICE ARTICLE'!$A$2:$N$1395,14,FALSE),"")</f>
        <v/>
      </c>
      <c r="H399" s="48" t="str">
        <f t="shared" si="26"/>
        <v/>
      </c>
      <c r="I399" s="48" t="str">
        <f t="shared" si="27"/>
        <v/>
      </c>
    </row>
    <row r="400" spans="2:9">
      <c r="B400" s="57" t="str">
        <f t="shared" si="24"/>
        <v/>
      </c>
      <c r="C400" s="57"/>
      <c r="D400" s="37" t="str">
        <f>IFERROR(VLOOKUP($B400,'MATRICE ARTICLE'!$A$2:$N$1395,2,FALSE),"")</f>
        <v/>
      </c>
      <c r="E400" s="37" t="str">
        <f t="shared" si="25"/>
        <v/>
      </c>
      <c r="F400" s="37" t="str">
        <f>IFERROR(VLOOKUP($B400,'MATRICE ARTICLE'!$A$2:$N$1395,9,FALSE),"")</f>
        <v/>
      </c>
      <c r="G400" s="37" t="str">
        <f>IFERROR(VLOOKUP($B400,'MATRICE ARTICLE'!$A$2:$N$1395,14,FALSE),"")</f>
        <v/>
      </c>
      <c r="H400" s="48" t="str">
        <f t="shared" si="26"/>
        <v/>
      </c>
      <c r="I400" s="48" t="str">
        <f t="shared" si="27"/>
        <v/>
      </c>
    </row>
    <row r="401" spans="2:9">
      <c r="B401" s="57" t="str">
        <f t="shared" si="24"/>
        <v/>
      </c>
      <c r="C401" s="57"/>
      <c r="D401" s="37" t="str">
        <f>IFERROR(VLOOKUP($B401,'MATRICE ARTICLE'!$A$2:$N$1395,2,FALSE),"")</f>
        <v/>
      </c>
      <c r="E401" s="37" t="str">
        <f t="shared" si="25"/>
        <v/>
      </c>
      <c r="F401" s="37" t="str">
        <f>IFERROR(VLOOKUP($B401,'MATRICE ARTICLE'!$A$2:$N$1395,9,FALSE),"")</f>
        <v/>
      </c>
      <c r="G401" s="37" t="str">
        <f>IFERROR(VLOOKUP($B401,'MATRICE ARTICLE'!$A$2:$N$1395,14,FALSE),"")</f>
        <v/>
      </c>
      <c r="H401" s="48" t="str">
        <f t="shared" si="26"/>
        <v/>
      </c>
      <c r="I401" s="48" t="str">
        <f t="shared" si="27"/>
        <v/>
      </c>
    </row>
    <row r="402" spans="2:9">
      <c r="B402" s="57" t="str">
        <f t="shared" si="24"/>
        <v/>
      </c>
      <c r="C402" s="57"/>
      <c r="D402" s="37" t="str">
        <f>IFERROR(VLOOKUP($B402,'MATRICE ARTICLE'!$A$2:$N$1395,2,FALSE),"")</f>
        <v/>
      </c>
      <c r="E402" s="37" t="str">
        <f t="shared" si="25"/>
        <v/>
      </c>
      <c r="F402" s="37" t="str">
        <f>IFERROR(VLOOKUP($B402,'MATRICE ARTICLE'!$A$2:$N$1395,9,FALSE),"")</f>
        <v/>
      </c>
      <c r="G402" s="37" t="str">
        <f>IFERROR(VLOOKUP($B402,'MATRICE ARTICLE'!$A$2:$N$1395,14,FALSE),"")</f>
        <v/>
      </c>
      <c r="H402" s="48" t="str">
        <f t="shared" si="26"/>
        <v/>
      </c>
      <c r="I402" s="48" t="str">
        <f t="shared" si="27"/>
        <v/>
      </c>
    </row>
    <row r="403" spans="2:9">
      <c r="B403" s="57" t="str">
        <f t="shared" si="24"/>
        <v/>
      </c>
      <c r="C403" s="57"/>
      <c r="D403" s="37" t="str">
        <f>IFERROR(VLOOKUP($B403,'MATRICE ARTICLE'!$A$2:$N$1395,2,FALSE),"")</f>
        <v/>
      </c>
      <c r="E403" s="37" t="str">
        <f t="shared" si="25"/>
        <v/>
      </c>
      <c r="F403" s="37" t="str">
        <f>IFERROR(VLOOKUP($B403,'MATRICE ARTICLE'!$A$2:$N$1395,9,FALSE),"")</f>
        <v/>
      </c>
      <c r="G403" s="37" t="str">
        <f>IFERROR(VLOOKUP($B403,'MATRICE ARTICLE'!$A$2:$N$1395,14,FALSE),"")</f>
        <v/>
      </c>
      <c r="H403" s="48" t="str">
        <f t="shared" si="26"/>
        <v/>
      </c>
      <c r="I403" s="48" t="str">
        <f t="shared" si="27"/>
        <v/>
      </c>
    </row>
    <row r="404" spans="2:9">
      <c r="B404" s="57" t="str">
        <f t="shared" si="24"/>
        <v/>
      </c>
      <c r="C404" s="57"/>
      <c r="D404" s="37" t="str">
        <f>IFERROR(VLOOKUP($B404,'MATRICE ARTICLE'!$A$2:$N$1395,2,FALSE),"")</f>
        <v/>
      </c>
      <c r="E404" s="37" t="str">
        <f t="shared" si="25"/>
        <v/>
      </c>
      <c r="F404" s="37" t="str">
        <f>IFERROR(VLOOKUP($B404,'MATRICE ARTICLE'!$A$2:$N$1395,9,FALSE),"")</f>
        <v/>
      </c>
      <c r="G404" s="37" t="str">
        <f>IFERROR(VLOOKUP($B404,'MATRICE ARTICLE'!$A$2:$N$1395,14,FALSE),"")</f>
        <v/>
      </c>
      <c r="H404" s="48" t="str">
        <f t="shared" si="26"/>
        <v/>
      </c>
      <c r="I404" s="48" t="str">
        <f t="shared" si="27"/>
        <v/>
      </c>
    </row>
    <row r="405" spans="2:9">
      <c r="B405" s="57" t="str">
        <f t="shared" si="24"/>
        <v/>
      </c>
      <c r="C405" s="57"/>
      <c r="D405" s="37" t="str">
        <f>IFERROR(VLOOKUP($B405,'MATRICE ARTICLE'!$A$2:$N$1395,2,FALSE),"")</f>
        <v/>
      </c>
      <c r="E405" s="37" t="str">
        <f t="shared" si="25"/>
        <v/>
      </c>
      <c r="F405" s="37" t="str">
        <f>IFERROR(VLOOKUP($B405,'MATRICE ARTICLE'!$A$2:$N$1395,9,FALSE),"")</f>
        <v/>
      </c>
      <c r="G405" s="37" t="str">
        <f>IFERROR(VLOOKUP($B405,'MATRICE ARTICLE'!$A$2:$N$1395,14,FALSE),"")</f>
        <v/>
      </c>
      <c r="H405" s="48" t="str">
        <f t="shared" si="26"/>
        <v/>
      </c>
      <c r="I405" s="48" t="str">
        <f t="shared" si="27"/>
        <v/>
      </c>
    </row>
    <row r="406" spans="2:9">
      <c r="B406" s="57" t="str">
        <f t="shared" si="24"/>
        <v/>
      </c>
      <c r="C406" s="57"/>
      <c r="D406" s="37" t="str">
        <f>IFERROR(VLOOKUP($B406,'MATRICE ARTICLE'!$A$2:$N$1395,2,FALSE),"")</f>
        <v/>
      </c>
      <c r="E406" s="37" t="str">
        <f t="shared" si="25"/>
        <v/>
      </c>
      <c r="F406" s="37" t="str">
        <f>IFERROR(VLOOKUP($B406,'MATRICE ARTICLE'!$A$2:$N$1395,9,FALSE),"")</f>
        <v/>
      </c>
      <c r="G406" s="37" t="str">
        <f>IFERROR(VLOOKUP($B406,'MATRICE ARTICLE'!$A$2:$N$1395,14,FALSE),"")</f>
        <v/>
      </c>
      <c r="H406" s="48" t="str">
        <f t="shared" si="26"/>
        <v/>
      </c>
      <c r="I406" s="48" t="str">
        <f t="shared" si="27"/>
        <v/>
      </c>
    </row>
    <row r="407" spans="2:9">
      <c r="B407" s="57" t="str">
        <f t="shared" si="24"/>
        <v/>
      </c>
      <c r="C407" s="57"/>
      <c r="D407" s="37" t="str">
        <f>IFERROR(VLOOKUP($B407,'MATRICE ARTICLE'!$A$2:$N$1395,2,FALSE),"")</f>
        <v/>
      </c>
      <c r="E407" s="37" t="str">
        <f t="shared" si="25"/>
        <v/>
      </c>
      <c r="F407" s="37" t="str">
        <f>IFERROR(VLOOKUP($B407,'MATRICE ARTICLE'!$A$2:$N$1395,9,FALSE),"")</f>
        <v/>
      </c>
      <c r="G407" s="37" t="str">
        <f>IFERROR(VLOOKUP($B407,'MATRICE ARTICLE'!$A$2:$N$1395,14,FALSE),"")</f>
        <v/>
      </c>
      <c r="H407" s="48" t="str">
        <f t="shared" si="26"/>
        <v/>
      </c>
      <c r="I407" s="48" t="str">
        <f t="shared" si="27"/>
        <v/>
      </c>
    </row>
    <row r="408" spans="2:9">
      <c r="B408" s="57" t="str">
        <f t="shared" si="24"/>
        <v/>
      </c>
      <c r="C408" s="57"/>
      <c r="D408" s="37" t="str">
        <f>IFERROR(VLOOKUP($B408,'MATRICE ARTICLE'!$A$2:$N$1395,2,FALSE),"")</f>
        <v/>
      </c>
      <c r="E408" s="37" t="str">
        <f t="shared" si="25"/>
        <v/>
      </c>
      <c r="F408" s="37" t="str">
        <f>IFERROR(VLOOKUP($B408,'MATRICE ARTICLE'!$A$2:$N$1395,9,FALSE),"")</f>
        <v/>
      </c>
      <c r="G408" s="37" t="str">
        <f>IFERROR(VLOOKUP($B408,'MATRICE ARTICLE'!$A$2:$N$1395,14,FALSE),"")</f>
        <v/>
      </c>
      <c r="H408" s="48" t="str">
        <f t="shared" si="26"/>
        <v/>
      </c>
      <c r="I408" s="48" t="str">
        <f t="shared" si="27"/>
        <v/>
      </c>
    </row>
    <row r="409" spans="2:9">
      <c r="B409" s="57" t="str">
        <f t="shared" si="24"/>
        <v/>
      </c>
      <c r="C409" s="57"/>
      <c r="D409" s="37" t="str">
        <f>IFERROR(VLOOKUP($B409,'MATRICE ARTICLE'!$A$2:$N$1395,2,FALSE),"")</f>
        <v/>
      </c>
      <c r="E409" s="37" t="str">
        <f t="shared" si="25"/>
        <v/>
      </c>
      <c r="F409" s="37" t="str">
        <f>IFERROR(VLOOKUP($B409,'MATRICE ARTICLE'!$A$2:$N$1395,9,FALSE),"")</f>
        <v/>
      </c>
      <c r="G409" s="37" t="str">
        <f>IFERROR(VLOOKUP($B409,'MATRICE ARTICLE'!$A$2:$N$1395,14,FALSE),"")</f>
        <v/>
      </c>
      <c r="H409" s="48" t="str">
        <f t="shared" si="26"/>
        <v/>
      </c>
      <c r="I409" s="48" t="str">
        <f t="shared" si="27"/>
        <v/>
      </c>
    </row>
    <row r="410" spans="2:9">
      <c r="B410" s="57" t="str">
        <f t="shared" si="24"/>
        <v/>
      </c>
      <c r="C410" s="57"/>
      <c r="D410" s="37" t="str">
        <f>IFERROR(VLOOKUP($B410,'MATRICE ARTICLE'!$A$2:$N$1395,2,FALSE),"")</f>
        <v/>
      </c>
      <c r="E410" s="37" t="str">
        <f t="shared" si="25"/>
        <v/>
      </c>
      <c r="F410" s="37" t="str">
        <f>IFERROR(VLOOKUP($B410,'MATRICE ARTICLE'!$A$2:$N$1395,9,FALSE),"")</f>
        <v/>
      </c>
      <c r="G410" s="37" t="str">
        <f>IFERROR(VLOOKUP($B410,'MATRICE ARTICLE'!$A$2:$N$1395,14,FALSE),"")</f>
        <v/>
      </c>
      <c r="H410" s="48" t="str">
        <f t="shared" si="26"/>
        <v/>
      </c>
      <c r="I410" s="48" t="str">
        <f t="shared" si="27"/>
        <v/>
      </c>
    </row>
    <row r="411" spans="2:9">
      <c r="B411" s="57" t="str">
        <f t="shared" si="24"/>
        <v/>
      </c>
      <c r="C411" s="57"/>
      <c r="D411" s="37" t="str">
        <f>IFERROR(VLOOKUP($B411,'MATRICE ARTICLE'!$A$2:$N$1395,2,FALSE),"")</f>
        <v/>
      </c>
      <c r="E411" s="37" t="str">
        <f t="shared" si="25"/>
        <v/>
      </c>
      <c r="F411" s="37" t="str">
        <f>IFERROR(VLOOKUP($B411,'MATRICE ARTICLE'!$A$2:$N$1395,9,FALSE),"")</f>
        <v/>
      </c>
      <c r="G411" s="37" t="str">
        <f>IFERROR(VLOOKUP($B411,'MATRICE ARTICLE'!$A$2:$N$1395,14,FALSE),"")</f>
        <v/>
      </c>
      <c r="H411" s="48" t="str">
        <f t="shared" si="26"/>
        <v/>
      </c>
      <c r="I411" s="48" t="str">
        <f t="shared" si="27"/>
        <v/>
      </c>
    </row>
    <row r="412" spans="2:9">
      <c r="B412" s="57" t="str">
        <f t="shared" si="24"/>
        <v/>
      </c>
      <c r="C412" s="57"/>
      <c r="D412" s="37" t="str">
        <f>IFERROR(VLOOKUP($B412,'MATRICE ARTICLE'!$A$2:$N$1395,2,FALSE),"")</f>
        <v/>
      </c>
      <c r="E412" s="37" t="str">
        <f t="shared" si="25"/>
        <v/>
      </c>
      <c r="F412" s="37" t="str">
        <f>IFERROR(VLOOKUP($B412,'MATRICE ARTICLE'!$A$2:$N$1395,9,FALSE),"")</f>
        <v/>
      </c>
      <c r="G412" s="37" t="str">
        <f>IFERROR(VLOOKUP($B412,'MATRICE ARTICLE'!$A$2:$N$1395,14,FALSE),"")</f>
        <v/>
      </c>
      <c r="H412" s="48" t="str">
        <f t="shared" si="26"/>
        <v/>
      </c>
      <c r="I412" s="48" t="str">
        <f t="shared" si="27"/>
        <v/>
      </c>
    </row>
    <row r="413" spans="2:9">
      <c r="B413" s="57" t="str">
        <f t="shared" si="24"/>
        <v/>
      </c>
      <c r="C413" s="57"/>
      <c r="D413" s="37" t="str">
        <f>IFERROR(VLOOKUP($B413,'MATRICE ARTICLE'!$A$2:$N$1395,2,FALSE),"")</f>
        <v/>
      </c>
      <c r="E413" s="37" t="str">
        <f t="shared" si="25"/>
        <v/>
      </c>
      <c r="F413" s="37" t="str">
        <f>IFERROR(VLOOKUP($B413,'MATRICE ARTICLE'!$A$2:$N$1395,9,FALSE),"")</f>
        <v/>
      </c>
      <c r="G413" s="37" t="str">
        <f>IFERROR(VLOOKUP($B413,'MATRICE ARTICLE'!$A$2:$N$1395,14,FALSE),"")</f>
        <v/>
      </c>
      <c r="H413" s="48" t="str">
        <f t="shared" si="26"/>
        <v/>
      </c>
      <c r="I413" s="48" t="str">
        <f t="shared" si="27"/>
        <v/>
      </c>
    </row>
    <row r="414" spans="2:9">
      <c r="B414" s="57" t="str">
        <f t="shared" si="24"/>
        <v/>
      </c>
      <c r="C414" s="57"/>
      <c r="D414" s="37" t="str">
        <f>IFERROR(VLOOKUP($B414,'MATRICE ARTICLE'!$A$2:$N$1395,2,FALSE),"")</f>
        <v/>
      </c>
      <c r="E414" s="37" t="str">
        <f t="shared" si="25"/>
        <v/>
      </c>
      <c r="F414" s="37" t="str">
        <f>IFERROR(VLOOKUP($B414,'MATRICE ARTICLE'!$A$2:$N$1395,9,FALSE),"")</f>
        <v/>
      </c>
      <c r="G414" s="37" t="str">
        <f>IFERROR(VLOOKUP($B414,'MATRICE ARTICLE'!$A$2:$N$1395,14,FALSE),"")</f>
        <v/>
      </c>
      <c r="H414" s="48" t="str">
        <f t="shared" si="26"/>
        <v/>
      </c>
      <c r="I414" s="48" t="str">
        <f t="shared" si="27"/>
        <v/>
      </c>
    </row>
    <row r="415" spans="2:9">
      <c r="B415" s="57" t="str">
        <f t="shared" si="24"/>
        <v/>
      </c>
      <c r="C415" s="57"/>
      <c r="D415" s="37" t="str">
        <f>IFERROR(VLOOKUP($B415,'MATRICE ARTICLE'!$A$2:$N$1395,2,FALSE),"")</f>
        <v/>
      </c>
      <c r="E415" s="37" t="str">
        <f t="shared" si="25"/>
        <v/>
      </c>
      <c r="F415" s="37" t="str">
        <f>IFERROR(VLOOKUP($B415,'MATRICE ARTICLE'!$A$2:$N$1395,9,FALSE),"")</f>
        <v/>
      </c>
      <c r="G415" s="37" t="str">
        <f>IFERROR(VLOOKUP($B415,'MATRICE ARTICLE'!$A$2:$N$1395,14,FALSE),"")</f>
        <v/>
      </c>
      <c r="H415" s="48" t="str">
        <f t="shared" si="26"/>
        <v/>
      </c>
      <c r="I415" s="48" t="str">
        <f t="shared" si="27"/>
        <v/>
      </c>
    </row>
    <row r="416" spans="2:9">
      <c r="B416" s="57" t="str">
        <f t="shared" si="24"/>
        <v/>
      </c>
      <c r="C416" s="57"/>
      <c r="D416" s="37" t="str">
        <f>IFERROR(VLOOKUP($B416,'MATRICE ARTICLE'!$A$2:$N$1395,2,FALSE),"")</f>
        <v/>
      </c>
      <c r="E416" s="37" t="str">
        <f t="shared" si="25"/>
        <v/>
      </c>
      <c r="F416" s="37" t="str">
        <f>IFERROR(VLOOKUP($B416,'MATRICE ARTICLE'!$A$2:$N$1395,9,FALSE),"")</f>
        <v/>
      </c>
      <c r="G416" s="37" t="str">
        <f>IFERROR(VLOOKUP($B416,'MATRICE ARTICLE'!$A$2:$N$1395,14,FALSE),"")</f>
        <v/>
      </c>
      <c r="H416" s="48" t="str">
        <f t="shared" si="26"/>
        <v/>
      </c>
      <c r="I416" s="48" t="str">
        <f t="shared" si="27"/>
        <v/>
      </c>
    </row>
    <row r="417" spans="2:9">
      <c r="B417" s="57" t="str">
        <f t="shared" si="24"/>
        <v/>
      </c>
      <c r="C417" s="57"/>
      <c r="D417" s="37" t="str">
        <f>IFERROR(VLOOKUP($B417,'MATRICE ARTICLE'!$A$2:$N$1395,2,FALSE),"")</f>
        <v/>
      </c>
      <c r="E417" s="37" t="str">
        <f t="shared" si="25"/>
        <v/>
      </c>
      <c r="F417" s="37" t="str">
        <f>IFERROR(VLOOKUP($B417,'MATRICE ARTICLE'!$A$2:$N$1395,9,FALSE),"")</f>
        <v/>
      </c>
      <c r="G417" s="37" t="str">
        <f>IFERROR(VLOOKUP($B417,'MATRICE ARTICLE'!$A$2:$N$1395,14,FALSE),"")</f>
        <v/>
      </c>
      <c r="H417" s="48" t="str">
        <f t="shared" si="26"/>
        <v/>
      </c>
      <c r="I417" s="48" t="str">
        <f t="shared" si="27"/>
        <v/>
      </c>
    </row>
    <row r="418" spans="2:9">
      <c r="B418" s="57" t="str">
        <f t="shared" si="24"/>
        <v/>
      </c>
      <c r="C418" s="57"/>
      <c r="D418" s="37" t="str">
        <f>IFERROR(VLOOKUP($B418,'MATRICE ARTICLE'!$A$2:$N$1395,2,FALSE),"")</f>
        <v/>
      </c>
      <c r="E418" s="37" t="str">
        <f t="shared" si="25"/>
        <v/>
      </c>
      <c r="F418" s="37" t="str">
        <f>IFERROR(VLOOKUP($B418,'MATRICE ARTICLE'!$A$2:$N$1395,9,FALSE),"")</f>
        <v/>
      </c>
      <c r="G418" s="37" t="str">
        <f>IFERROR(VLOOKUP($B418,'MATRICE ARTICLE'!$A$2:$N$1395,14,FALSE),"")</f>
        <v/>
      </c>
      <c r="H418" s="48" t="str">
        <f t="shared" si="26"/>
        <v/>
      </c>
      <c r="I418" s="48" t="str">
        <f t="shared" si="27"/>
        <v/>
      </c>
    </row>
    <row r="419" spans="2:9">
      <c r="B419" s="57" t="str">
        <f t="shared" si="24"/>
        <v/>
      </c>
      <c r="C419" s="57"/>
      <c r="D419" s="37" t="str">
        <f>IFERROR(VLOOKUP($B419,'MATRICE ARTICLE'!$A$2:$N$1395,2,FALSE),"")</f>
        <v/>
      </c>
      <c r="E419" s="37" t="str">
        <f t="shared" si="25"/>
        <v/>
      </c>
      <c r="F419" s="37" t="str">
        <f>IFERROR(VLOOKUP($B419,'MATRICE ARTICLE'!$A$2:$N$1395,9,FALSE),"")</f>
        <v/>
      </c>
      <c r="G419" s="37" t="str">
        <f>IFERROR(VLOOKUP($B419,'MATRICE ARTICLE'!$A$2:$N$1395,14,FALSE),"")</f>
        <v/>
      </c>
      <c r="H419" s="48" t="str">
        <f t="shared" si="26"/>
        <v/>
      </c>
      <c r="I419" s="48" t="str">
        <f t="shared" si="27"/>
        <v/>
      </c>
    </row>
    <row r="420" spans="2:9">
      <c r="B420" s="57" t="str">
        <f t="shared" si="24"/>
        <v/>
      </c>
      <c r="C420" s="57"/>
      <c r="D420" s="37" t="str">
        <f>IFERROR(VLOOKUP($B420,'MATRICE ARTICLE'!$A$2:$N$1395,2,FALSE),"")</f>
        <v/>
      </c>
      <c r="E420" s="37" t="str">
        <f t="shared" si="25"/>
        <v/>
      </c>
      <c r="F420" s="37" t="str">
        <f>IFERROR(VLOOKUP($B420,'MATRICE ARTICLE'!$A$2:$N$1395,9,FALSE),"")</f>
        <v/>
      </c>
      <c r="G420" s="37" t="str">
        <f>IFERROR(VLOOKUP($B420,'MATRICE ARTICLE'!$A$2:$N$1395,14,FALSE),"")</f>
        <v/>
      </c>
      <c r="H420" s="48" t="str">
        <f t="shared" si="26"/>
        <v/>
      </c>
      <c r="I420" s="48" t="str">
        <f t="shared" si="27"/>
        <v/>
      </c>
    </row>
    <row r="421" spans="2:9">
      <c r="B421" s="57" t="str">
        <f t="shared" si="24"/>
        <v/>
      </c>
      <c r="C421" s="57"/>
      <c r="D421" s="37" t="str">
        <f>IFERROR(VLOOKUP($B421,'MATRICE ARTICLE'!$A$2:$N$1395,2,FALSE),"")</f>
        <v/>
      </c>
      <c r="E421" s="37" t="str">
        <f t="shared" si="25"/>
        <v/>
      </c>
      <c r="F421" s="37" t="str">
        <f>IFERROR(VLOOKUP($B421,'MATRICE ARTICLE'!$A$2:$N$1395,9,FALSE),"")</f>
        <v/>
      </c>
      <c r="G421" s="37" t="str">
        <f>IFERROR(VLOOKUP($B421,'MATRICE ARTICLE'!$A$2:$N$1395,14,FALSE),"")</f>
        <v/>
      </c>
      <c r="H421" s="48" t="str">
        <f t="shared" si="26"/>
        <v/>
      </c>
      <c r="I421" s="48" t="str">
        <f t="shared" si="27"/>
        <v/>
      </c>
    </row>
    <row r="422" spans="2:9">
      <c r="B422" s="57" t="str">
        <f t="shared" si="24"/>
        <v/>
      </c>
      <c r="C422" s="57"/>
      <c r="D422" s="37" t="str">
        <f>IFERROR(VLOOKUP($B422,'MATRICE ARTICLE'!$A$2:$N$1395,2,FALSE),"")</f>
        <v/>
      </c>
      <c r="E422" s="37" t="str">
        <f t="shared" si="25"/>
        <v/>
      </c>
      <c r="F422" s="37" t="str">
        <f>IFERROR(VLOOKUP($B422,'MATRICE ARTICLE'!$A$2:$N$1395,9,FALSE),"")</f>
        <v/>
      </c>
      <c r="G422" s="37" t="str">
        <f>IFERROR(VLOOKUP($B422,'MATRICE ARTICLE'!$A$2:$N$1395,14,FALSE),"")</f>
        <v/>
      </c>
      <c r="H422" s="48" t="str">
        <f t="shared" si="26"/>
        <v/>
      </c>
      <c r="I422" s="48" t="str">
        <f t="shared" si="27"/>
        <v/>
      </c>
    </row>
    <row r="423" spans="2:9">
      <c r="B423" s="57" t="str">
        <f t="shared" si="24"/>
        <v/>
      </c>
      <c r="C423" s="57"/>
      <c r="D423" s="37" t="str">
        <f>IFERROR(VLOOKUP($B423,'MATRICE ARTICLE'!$A$2:$N$1395,2,FALSE),"")</f>
        <v/>
      </c>
      <c r="E423" s="37" t="str">
        <f t="shared" si="25"/>
        <v/>
      </c>
      <c r="F423" s="37" t="str">
        <f>IFERROR(VLOOKUP($B423,'MATRICE ARTICLE'!$A$2:$N$1395,9,FALSE),"")</f>
        <v/>
      </c>
      <c r="G423" s="37" t="str">
        <f>IFERROR(VLOOKUP($B423,'MATRICE ARTICLE'!$A$2:$N$1395,14,FALSE),"")</f>
        <v/>
      </c>
      <c r="H423" s="48" t="str">
        <f t="shared" si="26"/>
        <v/>
      </c>
      <c r="I423" s="48" t="str">
        <f t="shared" si="27"/>
        <v/>
      </c>
    </row>
    <row r="424" spans="2:9">
      <c r="B424" s="57" t="str">
        <f t="shared" si="24"/>
        <v/>
      </c>
      <c r="C424" s="57"/>
      <c r="D424" s="37" t="str">
        <f>IFERROR(VLOOKUP($B424,'MATRICE ARTICLE'!$A$2:$N$1395,2,FALSE),"")</f>
        <v/>
      </c>
      <c r="E424" s="37" t="str">
        <f t="shared" si="25"/>
        <v/>
      </c>
      <c r="F424" s="37" t="str">
        <f>IFERROR(VLOOKUP($B424,'MATRICE ARTICLE'!$A$2:$N$1395,9,FALSE),"")</f>
        <v/>
      </c>
      <c r="G424" s="37" t="str">
        <f>IFERROR(VLOOKUP($B424,'MATRICE ARTICLE'!$A$2:$N$1395,14,FALSE),"")</f>
        <v/>
      </c>
      <c r="H424" s="48" t="str">
        <f t="shared" si="26"/>
        <v/>
      </c>
      <c r="I424" s="48" t="str">
        <f t="shared" si="27"/>
        <v/>
      </c>
    </row>
    <row r="425" spans="2:9">
      <c r="B425" s="57" t="str">
        <f t="shared" si="24"/>
        <v/>
      </c>
      <c r="C425" s="57"/>
      <c r="D425" s="37" t="str">
        <f>IFERROR(VLOOKUP($B425,'MATRICE ARTICLE'!$A$2:$N$1395,2,FALSE),"")</f>
        <v/>
      </c>
      <c r="E425" s="37" t="str">
        <f t="shared" si="25"/>
        <v/>
      </c>
      <c r="F425" s="37" t="str">
        <f>IFERROR(VLOOKUP($B425,'MATRICE ARTICLE'!$A$2:$N$1395,9,FALSE),"")</f>
        <v/>
      </c>
      <c r="G425" s="37" t="str">
        <f>IFERROR(VLOOKUP($B425,'MATRICE ARTICLE'!$A$2:$N$1395,14,FALSE),"")</f>
        <v/>
      </c>
      <c r="H425" s="48" t="str">
        <f t="shared" si="26"/>
        <v/>
      </c>
      <c r="I425" s="48" t="str">
        <f t="shared" si="27"/>
        <v/>
      </c>
    </row>
    <row r="426" spans="2:9">
      <c r="B426" s="57" t="str">
        <f t="shared" si="24"/>
        <v/>
      </c>
      <c r="C426" s="57"/>
      <c r="D426" s="37" t="str">
        <f>IFERROR(VLOOKUP($B426,'MATRICE ARTICLE'!$A$2:$N$1395,2,FALSE),"")</f>
        <v/>
      </c>
      <c r="E426" s="37" t="str">
        <f t="shared" si="25"/>
        <v/>
      </c>
      <c r="F426" s="37" t="str">
        <f>IFERROR(VLOOKUP($B426,'MATRICE ARTICLE'!$A$2:$N$1395,9,FALSE),"")</f>
        <v/>
      </c>
      <c r="G426" s="37" t="str">
        <f>IFERROR(VLOOKUP($B426,'MATRICE ARTICLE'!$A$2:$N$1395,14,FALSE),"")</f>
        <v/>
      </c>
      <c r="H426" s="48" t="str">
        <f t="shared" si="26"/>
        <v/>
      </c>
      <c r="I426" s="48" t="str">
        <f t="shared" si="27"/>
        <v/>
      </c>
    </row>
    <row r="427" spans="2:9">
      <c r="B427" s="57" t="str">
        <f t="shared" si="24"/>
        <v/>
      </c>
      <c r="C427" s="57"/>
      <c r="D427" s="37" t="str">
        <f>IFERROR(VLOOKUP($B427,'MATRICE ARTICLE'!$A$2:$N$1395,2,FALSE),"")</f>
        <v/>
      </c>
      <c r="E427" s="37" t="str">
        <f t="shared" si="25"/>
        <v/>
      </c>
      <c r="F427" s="37" t="str">
        <f>IFERROR(VLOOKUP($B427,'MATRICE ARTICLE'!$A$2:$N$1395,9,FALSE),"")</f>
        <v/>
      </c>
      <c r="G427" s="37" t="str">
        <f>IFERROR(VLOOKUP($B427,'MATRICE ARTICLE'!$A$2:$N$1395,14,FALSE),"")</f>
        <v/>
      </c>
      <c r="H427" s="48" t="str">
        <f t="shared" si="26"/>
        <v/>
      </c>
      <c r="I427" s="48" t="str">
        <f t="shared" si="27"/>
        <v/>
      </c>
    </row>
    <row r="428" spans="2:9">
      <c r="B428" s="57" t="str">
        <f t="shared" si="24"/>
        <v/>
      </c>
      <c r="C428" s="57"/>
      <c r="D428" s="37" t="str">
        <f>IFERROR(VLOOKUP($B428,'MATRICE ARTICLE'!$A$2:$N$1395,2,FALSE),"")</f>
        <v/>
      </c>
      <c r="E428" s="37" t="str">
        <f t="shared" si="25"/>
        <v/>
      </c>
      <c r="F428" s="37" t="str">
        <f>IFERROR(VLOOKUP($B428,'MATRICE ARTICLE'!$A$2:$N$1395,9,FALSE),"")</f>
        <v/>
      </c>
      <c r="G428" s="37" t="str">
        <f>IFERROR(VLOOKUP($B428,'MATRICE ARTICLE'!$A$2:$N$1395,14,FALSE),"")</f>
        <v/>
      </c>
      <c r="H428" s="48" t="str">
        <f t="shared" si="26"/>
        <v/>
      </c>
      <c r="I428" s="48" t="str">
        <f t="shared" si="27"/>
        <v/>
      </c>
    </row>
    <row r="429" spans="2:9">
      <c r="B429" s="57" t="str">
        <f t="shared" si="24"/>
        <v/>
      </c>
      <c r="C429" s="57"/>
      <c r="D429" s="37" t="str">
        <f>IFERROR(VLOOKUP($B429,'MATRICE ARTICLE'!$A$2:$N$1395,2,FALSE),"")</f>
        <v/>
      </c>
      <c r="E429" s="37" t="str">
        <f t="shared" si="25"/>
        <v/>
      </c>
      <c r="F429" s="37" t="str">
        <f>IFERROR(VLOOKUP($B429,'MATRICE ARTICLE'!$A$2:$N$1395,9,FALSE),"")</f>
        <v/>
      </c>
      <c r="G429" s="37" t="str">
        <f>IFERROR(VLOOKUP($B429,'MATRICE ARTICLE'!$A$2:$N$1395,14,FALSE),"")</f>
        <v/>
      </c>
      <c r="H429" s="48" t="str">
        <f t="shared" si="26"/>
        <v/>
      </c>
      <c r="I429" s="48" t="str">
        <f t="shared" si="27"/>
        <v/>
      </c>
    </row>
    <row r="430" spans="2:9">
      <c r="B430" s="57" t="str">
        <f t="shared" si="24"/>
        <v/>
      </c>
      <c r="C430" s="57"/>
      <c r="D430" s="37" t="str">
        <f>IFERROR(VLOOKUP($B430,'MATRICE ARTICLE'!$A$2:$N$1395,2,FALSE),"")</f>
        <v/>
      </c>
      <c r="E430" s="37" t="str">
        <f t="shared" si="25"/>
        <v/>
      </c>
      <c r="F430" s="37" t="str">
        <f>IFERROR(VLOOKUP($B430,'MATRICE ARTICLE'!$A$2:$N$1395,9,FALSE),"")</f>
        <v/>
      </c>
      <c r="G430" s="37" t="str">
        <f>IFERROR(VLOOKUP($B430,'MATRICE ARTICLE'!$A$2:$N$1395,14,FALSE),"")</f>
        <v/>
      </c>
      <c r="H430" s="48" t="str">
        <f t="shared" si="26"/>
        <v/>
      </c>
      <c r="I430" s="48" t="str">
        <f t="shared" si="27"/>
        <v/>
      </c>
    </row>
    <row r="431" spans="2:9">
      <c r="B431" s="57" t="str">
        <f t="shared" si="24"/>
        <v/>
      </c>
      <c r="C431" s="57"/>
      <c r="D431" s="37" t="str">
        <f>IFERROR(VLOOKUP($B431,'MATRICE ARTICLE'!$A$2:$N$1395,2,FALSE),"")</f>
        <v/>
      </c>
      <c r="E431" s="37" t="str">
        <f t="shared" si="25"/>
        <v/>
      </c>
      <c r="F431" s="37" t="str">
        <f>IFERROR(VLOOKUP($B431,'MATRICE ARTICLE'!$A$2:$N$1395,9,FALSE),"")</f>
        <v/>
      </c>
      <c r="G431" s="37" t="str">
        <f>IFERROR(VLOOKUP($B431,'MATRICE ARTICLE'!$A$2:$N$1395,14,FALSE),"")</f>
        <v/>
      </c>
      <c r="H431" s="48" t="str">
        <f t="shared" si="26"/>
        <v/>
      </c>
      <c r="I431" s="48" t="str">
        <f t="shared" si="27"/>
        <v/>
      </c>
    </row>
    <row r="432" spans="2:9">
      <c r="B432" s="57" t="str">
        <f t="shared" si="24"/>
        <v/>
      </c>
      <c r="C432" s="57"/>
      <c r="D432" s="37" t="str">
        <f>IFERROR(VLOOKUP($B432,'MATRICE ARTICLE'!$A$2:$N$1395,2,FALSE),"")</f>
        <v/>
      </c>
      <c r="E432" s="37" t="str">
        <f t="shared" si="25"/>
        <v/>
      </c>
      <c r="F432" s="37" t="str">
        <f>IFERROR(VLOOKUP($B432,'MATRICE ARTICLE'!$A$2:$N$1395,9,FALSE),"")</f>
        <v/>
      </c>
      <c r="G432" s="37" t="str">
        <f>IFERROR(VLOOKUP($B432,'MATRICE ARTICLE'!$A$2:$N$1395,14,FALSE),"")</f>
        <v/>
      </c>
      <c r="H432" s="48" t="str">
        <f t="shared" si="26"/>
        <v/>
      </c>
      <c r="I432" s="48" t="str">
        <f t="shared" si="27"/>
        <v/>
      </c>
    </row>
    <row r="433" spans="2:9">
      <c r="B433" s="57" t="str">
        <f t="shared" si="24"/>
        <v/>
      </c>
      <c r="C433" s="57"/>
      <c r="D433" s="37" t="str">
        <f>IFERROR(VLOOKUP($B433,'MATRICE ARTICLE'!$A$2:$N$1395,2,FALSE),"")</f>
        <v/>
      </c>
      <c r="E433" s="37" t="str">
        <f t="shared" si="25"/>
        <v/>
      </c>
      <c r="F433" s="37" t="str">
        <f>IFERROR(VLOOKUP($B433,'MATRICE ARTICLE'!$A$2:$N$1395,9,FALSE),"")</f>
        <v/>
      </c>
      <c r="G433" s="37" t="str">
        <f>IFERROR(VLOOKUP($B433,'MATRICE ARTICLE'!$A$2:$N$1395,14,FALSE),"")</f>
        <v/>
      </c>
      <c r="H433" s="48" t="str">
        <f t="shared" si="26"/>
        <v/>
      </c>
      <c r="I433" s="48" t="str">
        <f t="shared" si="27"/>
        <v/>
      </c>
    </row>
    <row r="434" spans="2:9">
      <c r="B434" s="57" t="str">
        <f t="shared" si="24"/>
        <v/>
      </c>
      <c r="C434" s="57"/>
      <c r="D434" s="37" t="str">
        <f>IFERROR(VLOOKUP($B434,'MATRICE ARTICLE'!$A$2:$N$1395,2,FALSE),"")</f>
        <v/>
      </c>
      <c r="E434" s="37" t="str">
        <f t="shared" si="25"/>
        <v/>
      </c>
      <c r="F434" s="37" t="str">
        <f>IFERROR(VLOOKUP($B434,'MATRICE ARTICLE'!$A$2:$N$1395,9,FALSE),"")</f>
        <v/>
      </c>
      <c r="G434" s="37" t="str">
        <f>IFERROR(VLOOKUP($B434,'MATRICE ARTICLE'!$A$2:$N$1395,14,FALSE),"")</f>
        <v/>
      </c>
      <c r="H434" s="48" t="str">
        <f t="shared" si="26"/>
        <v/>
      </c>
      <c r="I434" s="48" t="str">
        <f t="shared" si="27"/>
        <v/>
      </c>
    </row>
    <row r="435" spans="2:9">
      <c r="B435" s="57" t="str">
        <f t="shared" si="24"/>
        <v/>
      </c>
      <c r="C435" s="57"/>
      <c r="D435" s="37" t="str">
        <f>IFERROR(VLOOKUP($B435,'MATRICE ARTICLE'!$A$2:$N$1395,2,FALSE),"")</f>
        <v/>
      </c>
      <c r="E435" s="37" t="str">
        <f t="shared" si="25"/>
        <v/>
      </c>
      <c r="F435" s="37" t="str">
        <f>IFERROR(VLOOKUP($B435,'MATRICE ARTICLE'!$A$2:$N$1395,9,FALSE),"")</f>
        <v/>
      </c>
      <c r="G435" s="37" t="str">
        <f>IFERROR(VLOOKUP($B435,'MATRICE ARTICLE'!$A$2:$N$1395,14,FALSE),"")</f>
        <v/>
      </c>
      <c r="H435" s="48" t="str">
        <f t="shared" si="26"/>
        <v/>
      </c>
      <c r="I435" s="48" t="str">
        <f t="shared" si="27"/>
        <v/>
      </c>
    </row>
    <row r="436" spans="2:9">
      <c r="B436" s="57" t="str">
        <f t="shared" si="24"/>
        <v/>
      </c>
      <c r="C436" s="57"/>
      <c r="D436" s="37" t="str">
        <f>IFERROR(VLOOKUP($B436,'MATRICE ARTICLE'!$A$2:$N$1395,2,FALSE),"")</f>
        <v/>
      </c>
      <c r="E436" s="37" t="str">
        <f t="shared" si="25"/>
        <v/>
      </c>
      <c r="F436" s="37" t="str">
        <f>IFERROR(VLOOKUP($B436,'MATRICE ARTICLE'!$A$2:$N$1395,9,FALSE),"")</f>
        <v/>
      </c>
      <c r="G436" s="37" t="str">
        <f>IFERROR(VLOOKUP($B436,'MATRICE ARTICLE'!$A$2:$N$1395,14,FALSE),"")</f>
        <v/>
      </c>
      <c r="H436" s="48" t="str">
        <f t="shared" si="26"/>
        <v/>
      </c>
      <c r="I436" s="48" t="str">
        <f t="shared" si="27"/>
        <v/>
      </c>
    </row>
    <row r="437" spans="2:9">
      <c r="B437" s="57" t="str">
        <f t="shared" si="24"/>
        <v/>
      </c>
      <c r="C437" s="57"/>
      <c r="D437" s="37" t="str">
        <f>IFERROR(VLOOKUP($B437,'MATRICE ARTICLE'!$A$2:$N$1395,2,FALSE),"")</f>
        <v/>
      </c>
      <c r="E437" s="37" t="str">
        <f t="shared" si="25"/>
        <v/>
      </c>
      <c r="F437" s="37" t="str">
        <f>IFERROR(VLOOKUP($B437,'MATRICE ARTICLE'!$A$2:$N$1395,9,FALSE),"")</f>
        <v/>
      </c>
      <c r="G437" s="37" t="str">
        <f>IFERROR(VLOOKUP($B437,'MATRICE ARTICLE'!$A$2:$N$1395,14,FALSE),"")</f>
        <v/>
      </c>
      <c r="H437" s="48" t="str">
        <f t="shared" si="26"/>
        <v/>
      </c>
      <c r="I437" s="48" t="str">
        <f t="shared" si="27"/>
        <v/>
      </c>
    </row>
    <row r="438" spans="2:9">
      <c r="B438" s="57" t="str">
        <f t="shared" si="24"/>
        <v/>
      </c>
      <c r="C438" s="57"/>
      <c r="D438" s="37" t="str">
        <f>IFERROR(VLOOKUP($B438,'MATRICE ARTICLE'!$A$2:$N$1395,2,FALSE),"")</f>
        <v/>
      </c>
      <c r="E438" s="37" t="str">
        <f t="shared" si="25"/>
        <v/>
      </c>
      <c r="F438" s="37" t="str">
        <f>IFERROR(VLOOKUP($B438,'MATRICE ARTICLE'!$A$2:$N$1395,9,FALSE),"")</f>
        <v/>
      </c>
      <c r="G438" s="37" t="str">
        <f>IFERROR(VLOOKUP($B438,'MATRICE ARTICLE'!$A$2:$N$1395,14,FALSE),"")</f>
        <v/>
      </c>
      <c r="H438" s="48" t="str">
        <f t="shared" si="26"/>
        <v/>
      </c>
      <c r="I438" s="48" t="str">
        <f t="shared" si="27"/>
        <v/>
      </c>
    </row>
    <row r="439" spans="2:9">
      <c r="B439" s="57" t="str">
        <f t="shared" si="24"/>
        <v/>
      </c>
      <c r="C439" s="57"/>
      <c r="D439" s="37" t="str">
        <f>IFERROR(VLOOKUP($B439,'MATRICE ARTICLE'!$A$2:$N$1395,2,FALSE),"")</f>
        <v/>
      </c>
      <c r="E439" s="37" t="str">
        <f t="shared" si="25"/>
        <v/>
      </c>
      <c r="F439" s="37" t="str">
        <f>IFERROR(VLOOKUP($B439,'MATRICE ARTICLE'!$A$2:$N$1395,9,FALSE),"")</f>
        <v/>
      </c>
      <c r="G439" s="37" t="str">
        <f>IFERROR(VLOOKUP($B439,'MATRICE ARTICLE'!$A$2:$N$1395,14,FALSE),"")</f>
        <v/>
      </c>
      <c r="H439" s="48" t="str">
        <f t="shared" si="26"/>
        <v/>
      </c>
      <c r="I439" s="48" t="str">
        <f t="shared" si="27"/>
        <v/>
      </c>
    </row>
    <row r="440" spans="2:9">
      <c r="B440" s="57" t="str">
        <f t="shared" si="24"/>
        <v/>
      </c>
      <c r="C440" s="57"/>
      <c r="D440" s="37" t="str">
        <f>IFERROR(VLOOKUP($B440,'MATRICE ARTICLE'!$A$2:$N$1395,2,FALSE),"")</f>
        <v/>
      </c>
      <c r="E440" s="37" t="str">
        <f t="shared" si="25"/>
        <v/>
      </c>
      <c r="F440" s="37" t="str">
        <f>IFERROR(VLOOKUP($B440,'MATRICE ARTICLE'!$A$2:$N$1395,9,FALSE),"")</f>
        <v/>
      </c>
      <c r="G440" s="37" t="str">
        <f>IFERROR(VLOOKUP($B440,'MATRICE ARTICLE'!$A$2:$N$1395,14,FALSE),"")</f>
        <v/>
      </c>
      <c r="H440" s="48" t="str">
        <f t="shared" si="26"/>
        <v/>
      </c>
      <c r="I440" s="48" t="str">
        <f t="shared" si="27"/>
        <v/>
      </c>
    </row>
    <row r="441" spans="2:9">
      <c r="B441" s="57" t="str">
        <f t="shared" si="24"/>
        <v/>
      </c>
      <c r="C441" s="57"/>
      <c r="D441" s="37" t="str">
        <f>IFERROR(VLOOKUP($B441,'MATRICE ARTICLE'!$A$2:$N$1395,2,FALSE),"")</f>
        <v/>
      </c>
      <c r="E441" s="37" t="str">
        <f t="shared" si="25"/>
        <v/>
      </c>
      <c r="F441" s="37" t="str">
        <f>IFERROR(VLOOKUP($B441,'MATRICE ARTICLE'!$A$2:$N$1395,9,FALSE),"")</f>
        <v/>
      </c>
      <c r="G441" s="37" t="str">
        <f>IFERROR(VLOOKUP($B441,'MATRICE ARTICLE'!$A$2:$N$1395,14,FALSE),"")</f>
        <v/>
      </c>
      <c r="H441" s="48" t="str">
        <f t="shared" si="26"/>
        <v/>
      </c>
      <c r="I441" s="48" t="str">
        <f t="shared" si="27"/>
        <v/>
      </c>
    </row>
    <row r="442" spans="2:9">
      <c r="B442" s="57" t="str">
        <f t="shared" si="24"/>
        <v/>
      </c>
      <c r="C442" s="57"/>
      <c r="D442" s="37" t="str">
        <f>IFERROR(VLOOKUP($B442,'MATRICE ARTICLE'!$A$2:$N$1395,2,FALSE),"")</f>
        <v/>
      </c>
      <c r="E442" s="37" t="str">
        <f t="shared" si="25"/>
        <v/>
      </c>
      <c r="F442" s="37" t="str">
        <f>IFERROR(VLOOKUP($B442,'MATRICE ARTICLE'!$A$2:$N$1395,9,FALSE),"")</f>
        <v/>
      </c>
      <c r="G442" s="37" t="str">
        <f>IFERROR(VLOOKUP($B442,'MATRICE ARTICLE'!$A$2:$N$1395,14,FALSE),"")</f>
        <v/>
      </c>
      <c r="H442" s="48" t="str">
        <f t="shared" si="26"/>
        <v/>
      </c>
      <c r="I442" s="48" t="str">
        <f t="shared" si="27"/>
        <v/>
      </c>
    </row>
    <row r="443" spans="2:9">
      <c r="B443" s="57" t="str">
        <f t="shared" si="24"/>
        <v/>
      </c>
      <c r="C443" s="57"/>
      <c r="D443" s="37" t="str">
        <f>IFERROR(VLOOKUP($B443,'MATRICE ARTICLE'!$A$2:$N$1395,2,FALSE),"")</f>
        <v/>
      </c>
      <c r="E443" s="37" t="str">
        <f t="shared" si="25"/>
        <v/>
      </c>
      <c r="F443" s="37" t="str">
        <f>IFERROR(VLOOKUP($B443,'MATRICE ARTICLE'!$A$2:$N$1395,9,FALSE),"")</f>
        <v/>
      </c>
      <c r="G443" s="37" t="str">
        <f>IFERROR(VLOOKUP($B443,'MATRICE ARTICLE'!$A$2:$N$1395,14,FALSE),"")</f>
        <v/>
      </c>
      <c r="H443" s="48" t="str">
        <f t="shared" si="26"/>
        <v/>
      </c>
      <c r="I443" s="48" t="str">
        <f t="shared" si="27"/>
        <v/>
      </c>
    </row>
    <row r="444" spans="2:9">
      <c r="B444" s="57" t="str">
        <f t="shared" si="24"/>
        <v/>
      </c>
      <c r="C444" s="57"/>
      <c r="D444" s="37" t="str">
        <f>IFERROR(VLOOKUP($B444,'MATRICE ARTICLE'!$A$2:$N$1395,2,FALSE),"")</f>
        <v/>
      </c>
      <c r="E444" s="37" t="str">
        <f t="shared" si="25"/>
        <v/>
      </c>
      <c r="F444" s="37" t="str">
        <f>IFERROR(VLOOKUP($B444,'MATRICE ARTICLE'!$A$2:$N$1395,9,FALSE),"")</f>
        <v/>
      </c>
      <c r="G444" s="37" t="str">
        <f>IFERROR(VLOOKUP($B444,'MATRICE ARTICLE'!$A$2:$N$1395,14,FALSE),"")</f>
        <v/>
      </c>
      <c r="H444" s="48" t="str">
        <f t="shared" si="26"/>
        <v/>
      </c>
      <c r="I444" s="48" t="str">
        <f t="shared" si="27"/>
        <v/>
      </c>
    </row>
    <row r="445" spans="2:9">
      <c r="B445" s="57" t="str">
        <f t="shared" si="24"/>
        <v/>
      </c>
      <c r="C445" s="57"/>
      <c r="D445" s="37" t="str">
        <f>IFERROR(VLOOKUP($B445,'MATRICE ARTICLE'!$A$2:$N$1395,2,FALSE),"")</f>
        <v/>
      </c>
      <c r="E445" s="37" t="str">
        <f t="shared" si="25"/>
        <v/>
      </c>
      <c r="F445" s="37" t="str">
        <f>IFERROR(VLOOKUP($B445,'MATRICE ARTICLE'!$A$2:$N$1395,9,FALSE),"")</f>
        <v/>
      </c>
      <c r="G445" s="37" t="str">
        <f>IFERROR(VLOOKUP($B445,'MATRICE ARTICLE'!$A$2:$N$1395,14,FALSE),"")</f>
        <v/>
      </c>
      <c r="H445" s="48" t="str">
        <f t="shared" si="26"/>
        <v/>
      </c>
      <c r="I445" s="48" t="str">
        <f t="shared" si="27"/>
        <v/>
      </c>
    </row>
    <row r="446" spans="2:9">
      <c r="B446" s="57" t="str">
        <f t="shared" si="24"/>
        <v/>
      </c>
      <c r="C446" s="57"/>
      <c r="D446" s="37" t="str">
        <f>IFERROR(VLOOKUP($B446,'MATRICE ARTICLE'!$A$2:$N$1395,2,FALSE),"")</f>
        <v/>
      </c>
      <c r="E446" s="37" t="str">
        <f t="shared" si="25"/>
        <v/>
      </c>
      <c r="F446" s="37" t="str">
        <f>IFERROR(VLOOKUP($B446,'MATRICE ARTICLE'!$A$2:$N$1395,9,FALSE),"")</f>
        <v/>
      </c>
      <c r="G446" s="37" t="str">
        <f>IFERROR(VLOOKUP($B446,'MATRICE ARTICLE'!$A$2:$N$1395,14,FALSE),"")</f>
        <v/>
      </c>
      <c r="H446" s="48" t="str">
        <f t="shared" si="26"/>
        <v/>
      </c>
      <c r="I446" s="48" t="str">
        <f t="shared" si="27"/>
        <v/>
      </c>
    </row>
    <row r="447" spans="2:9">
      <c r="B447" s="57" t="str">
        <f t="shared" si="24"/>
        <v/>
      </c>
      <c r="C447" s="57"/>
      <c r="D447" s="37" t="str">
        <f>IFERROR(VLOOKUP($B447,'MATRICE ARTICLE'!$A$2:$N$1395,2,FALSE),"")</f>
        <v/>
      </c>
      <c r="E447" s="37" t="str">
        <f t="shared" si="25"/>
        <v/>
      </c>
      <c r="F447" s="37" t="str">
        <f>IFERROR(VLOOKUP($B447,'MATRICE ARTICLE'!$A$2:$N$1395,9,FALSE),"")</f>
        <v/>
      </c>
      <c r="G447" s="37" t="str">
        <f>IFERROR(VLOOKUP($B447,'MATRICE ARTICLE'!$A$2:$N$1395,14,FALSE),"")</f>
        <v/>
      </c>
      <c r="H447" s="48" t="str">
        <f t="shared" si="26"/>
        <v/>
      </c>
      <c r="I447" s="48" t="str">
        <f t="shared" si="27"/>
        <v/>
      </c>
    </row>
    <row r="448" spans="2:9">
      <c r="B448" s="57" t="str">
        <f t="shared" si="24"/>
        <v/>
      </c>
      <c r="C448" s="57"/>
      <c r="D448" s="37" t="str">
        <f>IFERROR(VLOOKUP($B448,'MATRICE ARTICLE'!$A$2:$N$1395,2,FALSE),"")</f>
        <v/>
      </c>
      <c r="E448" s="37" t="str">
        <f t="shared" si="25"/>
        <v/>
      </c>
      <c r="F448" s="37" t="str">
        <f>IFERROR(VLOOKUP($B448,'MATRICE ARTICLE'!$A$2:$N$1395,9,FALSE),"")</f>
        <v/>
      </c>
      <c r="G448" s="37" t="str">
        <f>IFERROR(VLOOKUP($B448,'MATRICE ARTICLE'!$A$2:$N$1395,14,FALSE),"")</f>
        <v/>
      </c>
      <c r="H448" s="48" t="str">
        <f t="shared" si="26"/>
        <v/>
      </c>
      <c r="I448" s="48" t="str">
        <f t="shared" si="27"/>
        <v/>
      </c>
    </row>
    <row r="449" spans="2:9">
      <c r="B449" s="57" t="str">
        <f t="shared" si="24"/>
        <v/>
      </c>
      <c r="C449" s="57"/>
      <c r="D449" s="37" t="str">
        <f>IFERROR(VLOOKUP($B449,'MATRICE ARTICLE'!$A$2:$N$1395,2,FALSE),"")</f>
        <v/>
      </c>
      <c r="E449" s="37" t="str">
        <f t="shared" si="25"/>
        <v/>
      </c>
      <c r="F449" s="37" t="str">
        <f>IFERROR(VLOOKUP($B449,'MATRICE ARTICLE'!$A$2:$N$1395,9,FALSE),"")</f>
        <v/>
      </c>
      <c r="G449" s="37" t="str">
        <f>IFERROR(VLOOKUP($B449,'MATRICE ARTICLE'!$A$2:$N$1395,14,FALSE),"")</f>
        <v/>
      </c>
      <c r="H449" s="48" t="str">
        <f t="shared" si="26"/>
        <v/>
      </c>
      <c r="I449" s="48" t="str">
        <f t="shared" si="27"/>
        <v/>
      </c>
    </row>
    <row r="450" spans="2:9">
      <c r="B450" s="57" t="str">
        <f t="shared" si="24"/>
        <v/>
      </c>
      <c r="C450" s="57"/>
      <c r="D450" s="37" t="str">
        <f>IFERROR(VLOOKUP($B450,'MATRICE ARTICLE'!$A$2:$N$1395,2,FALSE),"")</f>
        <v/>
      </c>
      <c r="E450" s="37" t="str">
        <f t="shared" si="25"/>
        <v/>
      </c>
      <c r="F450" s="37" t="str">
        <f>IFERROR(VLOOKUP($B450,'MATRICE ARTICLE'!$A$2:$N$1395,9,FALSE),"")</f>
        <v/>
      </c>
      <c r="G450" s="37" t="str">
        <f>IFERROR(VLOOKUP($B450,'MATRICE ARTICLE'!$A$2:$N$1395,14,FALSE),"")</f>
        <v/>
      </c>
      <c r="H450" s="48" t="str">
        <f t="shared" si="26"/>
        <v/>
      </c>
      <c r="I450" s="48" t="str">
        <f t="shared" si="27"/>
        <v/>
      </c>
    </row>
    <row r="451" spans="2:9">
      <c r="B451" s="57" t="str">
        <f t="shared" ref="B451:B514" si="28">IF(A451=0,"",A451)</f>
        <v/>
      </c>
      <c r="C451" s="57"/>
      <c r="D451" s="37" t="str">
        <f>IFERROR(VLOOKUP($B451,'MATRICE ARTICLE'!$A$2:$N$1395,2,FALSE),"")</f>
        <v/>
      </c>
      <c r="E451" s="37" t="str">
        <f t="shared" ref="E451:E514" si="29">IF(SUM(F451:I451)=0,"",SUM(F451:I451))</f>
        <v/>
      </c>
      <c r="F451" s="37" t="str">
        <f>IFERROR(VLOOKUP($B451,'MATRICE ARTICLE'!$A$2:$N$1395,9,FALSE),"")</f>
        <v/>
      </c>
      <c r="G451" s="37" t="str">
        <f>IFERROR(VLOOKUP($B451,'MATRICE ARTICLE'!$A$2:$N$1395,14,FALSE),"")</f>
        <v/>
      </c>
      <c r="H451" s="48" t="str">
        <f t="shared" ref="H451:H514" si="30">IF(SUM(F451:G451)*$H$1=0,"",SUM(F451:G451)*$H$1)</f>
        <v/>
      </c>
      <c r="I451" s="48" t="str">
        <f t="shared" ref="I451:I514" si="31">IF(SUM(F451:H451)*$I$1=0,"",SUM(F451:H451)*$I$1)</f>
        <v/>
      </c>
    </row>
    <row r="452" spans="2:9">
      <c r="B452" s="57" t="str">
        <f t="shared" si="28"/>
        <v/>
      </c>
      <c r="C452" s="57"/>
      <c r="D452" s="37" t="str">
        <f>IFERROR(VLOOKUP($B452,'MATRICE ARTICLE'!$A$2:$N$1395,2,FALSE),"")</f>
        <v/>
      </c>
      <c r="E452" s="37" t="str">
        <f t="shared" si="29"/>
        <v/>
      </c>
      <c r="F452" s="37" t="str">
        <f>IFERROR(VLOOKUP($B452,'MATRICE ARTICLE'!$A$2:$N$1395,9,FALSE),"")</f>
        <v/>
      </c>
      <c r="G452" s="37" t="str">
        <f>IFERROR(VLOOKUP($B452,'MATRICE ARTICLE'!$A$2:$N$1395,14,FALSE),"")</f>
        <v/>
      </c>
      <c r="H452" s="48" t="str">
        <f t="shared" si="30"/>
        <v/>
      </c>
      <c r="I452" s="48" t="str">
        <f t="shared" si="31"/>
        <v/>
      </c>
    </row>
    <row r="453" spans="2:9">
      <c r="B453" s="57" t="str">
        <f t="shared" si="28"/>
        <v/>
      </c>
      <c r="C453" s="57"/>
      <c r="D453" s="37" t="str">
        <f>IFERROR(VLOOKUP($B453,'MATRICE ARTICLE'!$A$2:$N$1395,2,FALSE),"")</f>
        <v/>
      </c>
      <c r="E453" s="37" t="str">
        <f t="shared" si="29"/>
        <v/>
      </c>
      <c r="F453" s="37" t="str">
        <f>IFERROR(VLOOKUP($B453,'MATRICE ARTICLE'!$A$2:$N$1395,9,FALSE),"")</f>
        <v/>
      </c>
      <c r="G453" s="37" t="str">
        <f>IFERROR(VLOOKUP($B453,'MATRICE ARTICLE'!$A$2:$N$1395,14,FALSE),"")</f>
        <v/>
      </c>
      <c r="H453" s="48" t="str">
        <f t="shared" si="30"/>
        <v/>
      </c>
      <c r="I453" s="48" t="str">
        <f t="shared" si="31"/>
        <v/>
      </c>
    </row>
    <row r="454" spans="2:9">
      <c r="B454" s="57" t="str">
        <f t="shared" si="28"/>
        <v/>
      </c>
      <c r="C454" s="57"/>
      <c r="D454" s="37" t="str">
        <f>IFERROR(VLOOKUP($B454,'MATRICE ARTICLE'!$A$2:$N$1395,2,FALSE),"")</f>
        <v/>
      </c>
      <c r="E454" s="37" t="str">
        <f t="shared" si="29"/>
        <v/>
      </c>
      <c r="F454" s="37" t="str">
        <f>IFERROR(VLOOKUP($B454,'MATRICE ARTICLE'!$A$2:$N$1395,9,FALSE),"")</f>
        <v/>
      </c>
      <c r="G454" s="37" t="str">
        <f>IFERROR(VLOOKUP($B454,'MATRICE ARTICLE'!$A$2:$N$1395,14,FALSE),"")</f>
        <v/>
      </c>
      <c r="H454" s="48" t="str">
        <f t="shared" si="30"/>
        <v/>
      </c>
      <c r="I454" s="48" t="str">
        <f t="shared" si="31"/>
        <v/>
      </c>
    </row>
    <row r="455" spans="2:9">
      <c r="B455" s="57" t="str">
        <f t="shared" si="28"/>
        <v/>
      </c>
      <c r="C455" s="57"/>
      <c r="D455" s="37" t="str">
        <f>IFERROR(VLOOKUP($B455,'MATRICE ARTICLE'!$A$2:$N$1395,2,FALSE),"")</f>
        <v/>
      </c>
      <c r="E455" s="37" t="str">
        <f t="shared" si="29"/>
        <v/>
      </c>
      <c r="F455" s="37" t="str">
        <f>IFERROR(VLOOKUP($B455,'MATRICE ARTICLE'!$A$2:$N$1395,9,FALSE),"")</f>
        <v/>
      </c>
      <c r="G455" s="37" t="str">
        <f>IFERROR(VLOOKUP($B455,'MATRICE ARTICLE'!$A$2:$N$1395,14,FALSE),"")</f>
        <v/>
      </c>
      <c r="H455" s="48" t="str">
        <f t="shared" si="30"/>
        <v/>
      </c>
      <c r="I455" s="48" t="str">
        <f t="shared" si="31"/>
        <v/>
      </c>
    </row>
    <row r="456" spans="2:9">
      <c r="B456" s="57" t="str">
        <f t="shared" si="28"/>
        <v/>
      </c>
      <c r="C456" s="57"/>
      <c r="D456" s="37" t="str">
        <f>IFERROR(VLOOKUP($B456,'MATRICE ARTICLE'!$A$2:$N$1395,2,FALSE),"")</f>
        <v/>
      </c>
      <c r="E456" s="37" t="str">
        <f t="shared" si="29"/>
        <v/>
      </c>
      <c r="F456" s="37" t="str">
        <f>IFERROR(VLOOKUP($B456,'MATRICE ARTICLE'!$A$2:$N$1395,9,FALSE),"")</f>
        <v/>
      </c>
      <c r="G456" s="37" t="str">
        <f>IFERROR(VLOOKUP($B456,'MATRICE ARTICLE'!$A$2:$N$1395,14,FALSE),"")</f>
        <v/>
      </c>
      <c r="H456" s="48" t="str">
        <f t="shared" si="30"/>
        <v/>
      </c>
      <c r="I456" s="48" t="str">
        <f t="shared" si="31"/>
        <v/>
      </c>
    </row>
    <row r="457" spans="2:9">
      <c r="B457" s="57" t="str">
        <f t="shared" si="28"/>
        <v/>
      </c>
      <c r="C457" s="57"/>
      <c r="D457" s="37" t="str">
        <f>IFERROR(VLOOKUP($B457,'MATRICE ARTICLE'!$A$2:$N$1395,2,FALSE),"")</f>
        <v/>
      </c>
      <c r="E457" s="37" t="str">
        <f t="shared" si="29"/>
        <v/>
      </c>
      <c r="F457" s="37" t="str">
        <f>IFERROR(VLOOKUP($B457,'MATRICE ARTICLE'!$A$2:$N$1395,9,FALSE),"")</f>
        <v/>
      </c>
      <c r="G457" s="37" t="str">
        <f>IFERROR(VLOOKUP($B457,'MATRICE ARTICLE'!$A$2:$N$1395,14,FALSE),"")</f>
        <v/>
      </c>
      <c r="H457" s="48" t="str">
        <f t="shared" si="30"/>
        <v/>
      </c>
      <c r="I457" s="48" t="str">
        <f t="shared" si="31"/>
        <v/>
      </c>
    </row>
    <row r="458" spans="2:9">
      <c r="B458" s="57" t="str">
        <f t="shared" si="28"/>
        <v/>
      </c>
      <c r="C458" s="57"/>
      <c r="D458" s="37" t="str">
        <f>IFERROR(VLOOKUP($B458,'MATRICE ARTICLE'!$A$2:$N$1395,2,FALSE),"")</f>
        <v/>
      </c>
      <c r="E458" s="37" t="str">
        <f t="shared" si="29"/>
        <v/>
      </c>
      <c r="F458" s="37" t="str">
        <f>IFERROR(VLOOKUP($B458,'MATRICE ARTICLE'!$A$2:$N$1395,9,FALSE),"")</f>
        <v/>
      </c>
      <c r="G458" s="37" t="str">
        <f>IFERROR(VLOOKUP($B458,'MATRICE ARTICLE'!$A$2:$N$1395,14,FALSE),"")</f>
        <v/>
      </c>
      <c r="H458" s="48" t="str">
        <f t="shared" si="30"/>
        <v/>
      </c>
      <c r="I458" s="48" t="str">
        <f t="shared" si="31"/>
        <v/>
      </c>
    </row>
    <row r="459" spans="2:9">
      <c r="B459" s="57" t="str">
        <f t="shared" si="28"/>
        <v/>
      </c>
      <c r="C459" s="57"/>
      <c r="D459" s="37" t="str">
        <f>IFERROR(VLOOKUP($B459,'MATRICE ARTICLE'!$A$2:$N$1395,2,FALSE),"")</f>
        <v/>
      </c>
      <c r="E459" s="37" t="str">
        <f t="shared" si="29"/>
        <v/>
      </c>
      <c r="F459" s="37" t="str">
        <f>IFERROR(VLOOKUP($B459,'MATRICE ARTICLE'!$A$2:$N$1395,9,FALSE),"")</f>
        <v/>
      </c>
      <c r="G459" s="37" t="str">
        <f>IFERROR(VLOOKUP($B459,'MATRICE ARTICLE'!$A$2:$N$1395,14,FALSE),"")</f>
        <v/>
      </c>
      <c r="H459" s="48" t="str">
        <f t="shared" si="30"/>
        <v/>
      </c>
      <c r="I459" s="48" t="str">
        <f t="shared" si="31"/>
        <v/>
      </c>
    </row>
    <row r="460" spans="2:9">
      <c r="B460" s="57" t="str">
        <f t="shared" si="28"/>
        <v/>
      </c>
      <c r="C460" s="57"/>
      <c r="D460" s="37" t="str">
        <f>IFERROR(VLOOKUP($B460,'MATRICE ARTICLE'!$A$2:$N$1395,2,FALSE),"")</f>
        <v/>
      </c>
      <c r="E460" s="37" t="str">
        <f t="shared" si="29"/>
        <v/>
      </c>
      <c r="F460" s="37" t="str">
        <f>IFERROR(VLOOKUP($B460,'MATRICE ARTICLE'!$A$2:$N$1395,9,FALSE),"")</f>
        <v/>
      </c>
      <c r="G460" s="37" t="str">
        <f>IFERROR(VLOOKUP($B460,'MATRICE ARTICLE'!$A$2:$N$1395,14,FALSE),"")</f>
        <v/>
      </c>
      <c r="H460" s="48" t="str">
        <f t="shared" si="30"/>
        <v/>
      </c>
      <c r="I460" s="48" t="str">
        <f t="shared" si="31"/>
        <v/>
      </c>
    </row>
    <row r="461" spans="2:9">
      <c r="B461" s="57" t="str">
        <f t="shared" si="28"/>
        <v/>
      </c>
      <c r="C461" s="57"/>
      <c r="D461" s="37" t="str">
        <f>IFERROR(VLOOKUP($B461,'MATRICE ARTICLE'!$A$2:$N$1395,2,FALSE),"")</f>
        <v/>
      </c>
      <c r="E461" s="37" t="str">
        <f t="shared" si="29"/>
        <v/>
      </c>
      <c r="F461" s="37" t="str">
        <f>IFERROR(VLOOKUP($B461,'MATRICE ARTICLE'!$A$2:$N$1395,9,FALSE),"")</f>
        <v/>
      </c>
      <c r="G461" s="37" t="str">
        <f>IFERROR(VLOOKUP($B461,'MATRICE ARTICLE'!$A$2:$N$1395,14,FALSE),"")</f>
        <v/>
      </c>
      <c r="H461" s="48" t="str">
        <f t="shared" si="30"/>
        <v/>
      </c>
      <c r="I461" s="48" t="str">
        <f t="shared" si="31"/>
        <v/>
      </c>
    </row>
    <row r="462" spans="2:9">
      <c r="B462" s="57" t="str">
        <f t="shared" si="28"/>
        <v/>
      </c>
      <c r="C462" s="57"/>
      <c r="D462" s="37" t="str">
        <f>IFERROR(VLOOKUP($B462,'MATRICE ARTICLE'!$A$2:$N$1395,2,FALSE),"")</f>
        <v/>
      </c>
      <c r="E462" s="37" t="str">
        <f t="shared" si="29"/>
        <v/>
      </c>
      <c r="F462" s="37" t="str">
        <f>IFERROR(VLOOKUP($B462,'MATRICE ARTICLE'!$A$2:$N$1395,9,FALSE),"")</f>
        <v/>
      </c>
      <c r="G462" s="37" t="str">
        <f>IFERROR(VLOOKUP($B462,'MATRICE ARTICLE'!$A$2:$N$1395,14,FALSE),"")</f>
        <v/>
      </c>
      <c r="H462" s="48" t="str">
        <f t="shared" si="30"/>
        <v/>
      </c>
      <c r="I462" s="48" t="str">
        <f t="shared" si="31"/>
        <v/>
      </c>
    </row>
    <row r="463" spans="2:9">
      <c r="B463" s="57" t="str">
        <f t="shared" si="28"/>
        <v/>
      </c>
      <c r="C463" s="57"/>
      <c r="D463" s="37" t="str">
        <f>IFERROR(VLOOKUP($B463,'MATRICE ARTICLE'!$A$2:$N$1395,2,FALSE),"")</f>
        <v/>
      </c>
      <c r="E463" s="37" t="str">
        <f t="shared" si="29"/>
        <v/>
      </c>
      <c r="F463" s="37" t="str">
        <f>IFERROR(VLOOKUP($B463,'MATRICE ARTICLE'!$A$2:$N$1395,9,FALSE),"")</f>
        <v/>
      </c>
      <c r="G463" s="37" t="str">
        <f>IFERROR(VLOOKUP($B463,'MATRICE ARTICLE'!$A$2:$N$1395,14,FALSE),"")</f>
        <v/>
      </c>
      <c r="H463" s="48" t="str">
        <f t="shared" si="30"/>
        <v/>
      </c>
      <c r="I463" s="48" t="str">
        <f t="shared" si="31"/>
        <v/>
      </c>
    </row>
    <row r="464" spans="2:9">
      <c r="B464" s="57" t="str">
        <f t="shared" si="28"/>
        <v/>
      </c>
      <c r="C464" s="57"/>
      <c r="D464" s="37" t="str">
        <f>IFERROR(VLOOKUP($B464,'MATRICE ARTICLE'!$A$2:$N$1395,2,FALSE),"")</f>
        <v/>
      </c>
      <c r="E464" s="37" t="str">
        <f t="shared" si="29"/>
        <v/>
      </c>
      <c r="F464" s="37" t="str">
        <f>IFERROR(VLOOKUP($B464,'MATRICE ARTICLE'!$A$2:$N$1395,9,FALSE),"")</f>
        <v/>
      </c>
      <c r="G464" s="37" t="str">
        <f>IFERROR(VLOOKUP($B464,'MATRICE ARTICLE'!$A$2:$N$1395,14,FALSE),"")</f>
        <v/>
      </c>
      <c r="H464" s="48" t="str">
        <f t="shared" si="30"/>
        <v/>
      </c>
      <c r="I464" s="48" t="str">
        <f t="shared" si="31"/>
        <v/>
      </c>
    </row>
    <row r="465" spans="2:9">
      <c r="B465" s="57" t="str">
        <f t="shared" si="28"/>
        <v/>
      </c>
      <c r="C465" s="57"/>
      <c r="D465" s="37" t="str">
        <f>IFERROR(VLOOKUP($B465,'MATRICE ARTICLE'!$A$2:$N$1395,2,FALSE),"")</f>
        <v/>
      </c>
      <c r="E465" s="37" t="str">
        <f t="shared" si="29"/>
        <v/>
      </c>
      <c r="F465" s="37" t="str">
        <f>IFERROR(VLOOKUP($B465,'MATRICE ARTICLE'!$A$2:$N$1395,9,FALSE),"")</f>
        <v/>
      </c>
      <c r="G465" s="37" t="str">
        <f>IFERROR(VLOOKUP($B465,'MATRICE ARTICLE'!$A$2:$N$1395,14,FALSE),"")</f>
        <v/>
      </c>
      <c r="H465" s="48" t="str">
        <f t="shared" si="30"/>
        <v/>
      </c>
      <c r="I465" s="48" t="str">
        <f t="shared" si="31"/>
        <v/>
      </c>
    </row>
    <row r="466" spans="2:9">
      <c r="B466" s="57" t="str">
        <f t="shared" si="28"/>
        <v/>
      </c>
      <c r="C466" s="57"/>
      <c r="D466" s="37" t="str">
        <f>IFERROR(VLOOKUP($B466,'MATRICE ARTICLE'!$A$2:$N$1395,2,FALSE),"")</f>
        <v/>
      </c>
      <c r="E466" s="37" t="str">
        <f t="shared" si="29"/>
        <v/>
      </c>
      <c r="F466" s="37" t="str">
        <f>IFERROR(VLOOKUP($B466,'MATRICE ARTICLE'!$A$2:$N$1395,9,FALSE),"")</f>
        <v/>
      </c>
      <c r="G466" s="37" t="str">
        <f>IFERROR(VLOOKUP($B466,'MATRICE ARTICLE'!$A$2:$N$1395,14,FALSE),"")</f>
        <v/>
      </c>
      <c r="H466" s="48" t="str">
        <f t="shared" si="30"/>
        <v/>
      </c>
      <c r="I466" s="48" t="str">
        <f t="shared" si="31"/>
        <v/>
      </c>
    </row>
    <row r="467" spans="2:9">
      <c r="B467" s="57" t="str">
        <f t="shared" si="28"/>
        <v/>
      </c>
      <c r="C467" s="57"/>
      <c r="D467" s="37" t="str">
        <f>IFERROR(VLOOKUP($B467,'MATRICE ARTICLE'!$A$2:$N$1395,2,FALSE),"")</f>
        <v/>
      </c>
      <c r="E467" s="37" t="str">
        <f t="shared" si="29"/>
        <v/>
      </c>
      <c r="F467" s="37" t="str">
        <f>IFERROR(VLOOKUP($B467,'MATRICE ARTICLE'!$A$2:$N$1395,9,FALSE),"")</f>
        <v/>
      </c>
      <c r="G467" s="37" t="str">
        <f>IFERROR(VLOOKUP($B467,'MATRICE ARTICLE'!$A$2:$N$1395,14,FALSE),"")</f>
        <v/>
      </c>
      <c r="H467" s="48" t="str">
        <f t="shared" si="30"/>
        <v/>
      </c>
      <c r="I467" s="48" t="str">
        <f t="shared" si="31"/>
        <v/>
      </c>
    </row>
    <row r="468" spans="2:9">
      <c r="B468" s="57" t="str">
        <f t="shared" si="28"/>
        <v/>
      </c>
      <c r="C468" s="57"/>
      <c r="D468" s="37" t="str">
        <f>IFERROR(VLOOKUP($B468,'MATRICE ARTICLE'!$A$2:$N$1395,2,FALSE),"")</f>
        <v/>
      </c>
      <c r="E468" s="37" t="str">
        <f t="shared" si="29"/>
        <v/>
      </c>
      <c r="F468" s="37" t="str">
        <f>IFERROR(VLOOKUP($B468,'MATRICE ARTICLE'!$A$2:$N$1395,9,FALSE),"")</f>
        <v/>
      </c>
      <c r="G468" s="37" t="str">
        <f>IFERROR(VLOOKUP($B468,'MATRICE ARTICLE'!$A$2:$N$1395,14,FALSE),"")</f>
        <v/>
      </c>
      <c r="H468" s="48" t="str">
        <f t="shared" si="30"/>
        <v/>
      </c>
      <c r="I468" s="48" t="str">
        <f t="shared" si="31"/>
        <v/>
      </c>
    </row>
    <row r="469" spans="2:9">
      <c r="B469" s="57" t="str">
        <f t="shared" si="28"/>
        <v/>
      </c>
      <c r="C469" s="57"/>
      <c r="D469" s="37" t="str">
        <f>IFERROR(VLOOKUP($B469,'MATRICE ARTICLE'!$A$2:$N$1395,2,FALSE),"")</f>
        <v/>
      </c>
      <c r="E469" s="37" t="str">
        <f t="shared" si="29"/>
        <v/>
      </c>
      <c r="F469" s="37" t="str">
        <f>IFERROR(VLOOKUP($B469,'MATRICE ARTICLE'!$A$2:$N$1395,9,FALSE),"")</f>
        <v/>
      </c>
      <c r="G469" s="37" t="str">
        <f>IFERROR(VLOOKUP($B469,'MATRICE ARTICLE'!$A$2:$N$1395,14,FALSE),"")</f>
        <v/>
      </c>
      <c r="H469" s="48" t="str">
        <f t="shared" si="30"/>
        <v/>
      </c>
      <c r="I469" s="48" t="str">
        <f t="shared" si="31"/>
        <v/>
      </c>
    </row>
    <row r="470" spans="2:9">
      <c r="B470" s="57" t="str">
        <f t="shared" si="28"/>
        <v/>
      </c>
      <c r="C470" s="57"/>
      <c r="D470" s="37" t="str">
        <f>IFERROR(VLOOKUP($B470,'MATRICE ARTICLE'!$A$2:$N$1395,2,FALSE),"")</f>
        <v/>
      </c>
      <c r="E470" s="37" t="str">
        <f t="shared" si="29"/>
        <v/>
      </c>
      <c r="F470" s="37" t="str">
        <f>IFERROR(VLOOKUP($B470,'MATRICE ARTICLE'!$A$2:$N$1395,9,FALSE),"")</f>
        <v/>
      </c>
      <c r="G470" s="37" t="str">
        <f>IFERROR(VLOOKUP($B470,'MATRICE ARTICLE'!$A$2:$N$1395,14,FALSE),"")</f>
        <v/>
      </c>
      <c r="H470" s="48" t="str">
        <f t="shared" si="30"/>
        <v/>
      </c>
      <c r="I470" s="48" t="str">
        <f t="shared" si="31"/>
        <v/>
      </c>
    </row>
    <row r="471" spans="2:9">
      <c r="B471" s="57" t="str">
        <f t="shared" si="28"/>
        <v/>
      </c>
      <c r="C471" s="57"/>
      <c r="D471" s="37" t="str">
        <f>IFERROR(VLOOKUP($B471,'MATRICE ARTICLE'!$A$2:$N$1395,2,FALSE),"")</f>
        <v/>
      </c>
      <c r="E471" s="37" t="str">
        <f t="shared" si="29"/>
        <v/>
      </c>
      <c r="F471" s="37" t="str">
        <f>IFERROR(VLOOKUP($B471,'MATRICE ARTICLE'!$A$2:$N$1395,9,FALSE),"")</f>
        <v/>
      </c>
      <c r="G471" s="37" t="str">
        <f>IFERROR(VLOOKUP($B471,'MATRICE ARTICLE'!$A$2:$N$1395,14,FALSE),"")</f>
        <v/>
      </c>
      <c r="H471" s="48" t="str">
        <f t="shared" si="30"/>
        <v/>
      </c>
      <c r="I471" s="48" t="str">
        <f t="shared" si="31"/>
        <v/>
      </c>
    </row>
    <row r="472" spans="2:9">
      <c r="B472" s="57" t="str">
        <f t="shared" si="28"/>
        <v/>
      </c>
      <c r="C472" s="57"/>
      <c r="D472" s="37" t="str">
        <f>IFERROR(VLOOKUP($B472,'MATRICE ARTICLE'!$A$2:$N$1395,2,FALSE),"")</f>
        <v/>
      </c>
      <c r="E472" s="37" t="str">
        <f t="shared" si="29"/>
        <v/>
      </c>
      <c r="F472" s="37" t="str">
        <f>IFERROR(VLOOKUP($B472,'MATRICE ARTICLE'!$A$2:$N$1395,9,FALSE),"")</f>
        <v/>
      </c>
      <c r="G472" s="37" t="str">
        <f>IFERROR(VLOOKUP($B472,'MATRICE ARTICLE'!$A$2:$N$1395,14,FALSE),"")</f>
        <v/>
      </c>
      <c r="H472" s="48" t="str">
        <f t="shared" si="30"/>
        <v/>
      </c>
      <c r="I472" s="48" t="str">
        <f t="shared" si="31"/>
        <v/>
      </c>
    </row>
    <row r="473" spans="2:9">
      <c r="B473" s="57" t="str">
        <f t="shared" si="28"/>
        <v/>
      </c>
      <c r="C473" s="57"/>
      <c r="D473" s="37" t="str">
        <f>IFERROR(VLOOKUP($B473,'MATRICE ARTICLE'!$A$2:$N$1395,2,FALSE),"")</f>
        <v/>
      </c>
      <c r="E473" s="37" t="str">
        <f t="shared" si="29"/>
        <v/>
      </c>
      <c r="F473" s="37" t="str">
        <f>IFERROR(VLOOKUP($B473,'MATRICE ARTICLE'!$A$2:$N$1395,9,FALSE),"")</f>
        <v/>
      </c>
      <c r="G473" s="37" t="str">
        <f>IFERROR(VLOOKUP($B473,'MATRICE ARTICLE'!$A$2:$N$1395,14,FALSE),"")</f>
        <v/>
      </c>
      <c r="H473" s="48" t="str">
        <f t="shared" si="30"/>
        <v/>
      </c>
      <c r="I473" s="48" t="str">
        <f t="shared" si="31"/>
        <v/>
      </c>
    </row>
    <row r="474" spans="2:9">
      <c r="B474" s="57" t="str">
        <f t="shared" si="28"/>
        <v/>
      </c>
      <c r="C474" s="57"/>
      <c r="D474" s="37" t="str">
        <f>IFERROR(VLOOKUP($B474,'MATRICE ARTICLE'!$A$2:$N$1395,2,FALSE),"")</f>
        <v/>
      </c>
      <c r="E474" s="37" t="str">
        <f t="shared" si="29"/>
        <v/>
      </c>
      <c r="F474" s="37" t="str">
        <f>IFERROR(VLOOKUP($B474,'MATRICE ARTICLE'!$A$2:$N$1395,9,FALSE),"")</f>
        <v/>
      </c>
      <c r="G474" s="37" t="str">
        <f>IFERROR(VLOOKUP($B474,'MATRICE ARTICLE'!$A$2:$N$1395,14,FALSE),"")</f>
        <v/>
      </c>
      <c r="H474" s="48" t="str">
        <f t="shared" si="30"/>
        <v/>
      </c>
      <c r="I474" s="48" t="str">
        <f t="shared" si="31"/>
        <v/>
      </c>
    </row>
    <row r="475" spans="2:9">
      <c r="B475" s="57" t="str">
        <f t="shared" si="28"/>
        <v/>
      </c>
      <c r="C475" s="57"/>
      <c r="D475" s="37" t="str">
        <f>IFERROR(VLOOKUP($B475,'MATRICE ARTICLE'!$A$2:$N$1395,2,FALSE),"")</f>
        <v/>
      </c>
      <c r="E475" s="37" t="str">
        <f t="shared" si="29"/>
        <v/>
      </c>
      <c r="F475" s="37" t="str">
        <f>IFERROR(VLOOKUP($B475,'MATRICE ARTICLE'!$A$2:$N$1395,9,FALSE),"")</f>
        <v/>
      </c>
      <c r="G475" s="37" t="str">
        <f>IFERROR(VLOOKUP($B475,'MATRICE ARTICLE'!$A$2:$N$1395,14,FALSE),"")</f>
        <v/>
      </c>
      <c r="H475" s="48" t="str">
        <f t="shared" si="30"/>
        <v/>
      </c>
      <c r="I475" s="48" t="str">
        <f t="shared" si="31"/>
        <v/>
      </c>
    </row>
    <row r="476" spans="2:9">
      <c r="B476" s="57" t="str">
        <f t="shared" si="28"/>
        <v/>
      </c>
      <c r="C476" s="57"/>
      <c r="D476" s="37" t="str">
        <f>IFERROR(VLOOKUP($B476,'MATRICE ARTICLE'!$A$2:$N$1395,2,FALSE),"")</f>
        <v/>
      </c>
      <c r="E476" s="37" t="str">
        <f t="shared" si="29"/>
        <v/>
      </c>
      <c r="F476" s="37" t="str">
        <f>IFERROR(VLOOKUP($B476,'MATRICE ARTICLE'!$A$2:$N$1395,9,FALSE),"")</f>
        <v/>
      </c>
      <c r="G476" s="37" t="str">
        <f>IFERROR(VLOOKUP($B476,'MATRICE ARTICLE'!$A$2:$N$1395,14,FALSE),"")</f>
        <v/>
      </c>
      <c r="H476" s="48" t="str">
        <f t="shared" si="30"/>
        <v/>
      </c>
      <c r="I476" s="48" t="str">
        <f t="shared" si="31"/>
        <v/>
      </c>
    </row>
    <row r="477" spans="2:9">
      <c r="B477" s="57" t="str">
        <f t="shared" si="28"/>
        <v/>
      </c>
      <c r="C477" s="57"/>
      <c r="D477" s="37" t="str">
        <f>IFERROR(VLOOKUP($B477,'MATRICE ARTICLE'!$A$2:$N$1395,2,FALSE),"")</f>
        <v/>
      </c>
      <c r="E477" s="37" t="str">
        <f t="shared" si="29"/>
        <v/>
      </c>
      <c r="F477" s="37" t="str">
        <f>IFERROR(VLOOKUP($B477,'MATRICE ARTICLE'!$A$2:$N$1395,9,FALSE),"")</f>
        <v/>
      </c>
      <c r="G477" s="37" t="str">
        <f>IFERROR(VLOOKUP($B477,'MATRICE ARTICLE'!$A$2:$N$1395,14,FALSE),"")</f>
        <v/>
      </c>
      <c r="H477" s="48" t="str">
        <f t="shared" si="30"/>
        <v/>
      </c>
      <c r="I477" s="48" t="str">
        <f t="shared" si="31"/>
        <v/>
      </c>
    </row>
    <row r="478" spans="2:9">
      <c r="B478" s="57" t="str">
        <f t="shared" si="28"/>
        <v/>
      </c>
      <c r="C478" s="57"/>
      <c r="D478" s="37" t="str">
        <f>IFERROR(VLOOKUP($B478,'MATRICE ARTICLE'!$A$2:$N$1395,2,FALSE),"")</f>
        <v/>
      </c>
      <c r="E478" s="37" t="str">
        <f t="shared" si="29"/>
        <v/>
      </c>
      <c r="F478" s="37" t="str">
        <f>IFERROR(VLOOKUP($B478,'MATRICE ARTICLE'!$A$2:$N$1395,9,FALSE),"")</f>
        <v/>
      </c>
      <c r="G478" s="37" t="str">
        <f>IFERROR(VLOOKUP($B478,'MATRICE ARTICLE'!$A$2:$N$1395,14,FALSE),"")</f>
        <v/>
      </c>
      <c r="H478" s="48" t="str">
        <f t="shared" si="30"/>
        <v/>
      </c>
      <c r="I478" s="48" t="str">
        <f t="shared" si="31"/>
        <v/>
      </c>
    </row>
    <row r="479" spans="2:9">
      <c r="B479" s="57" t="str">
        <f t="shared" si="28"/>
        <v/>
      </c>
      <c r="C479" s="57"/>
      <c r="D479" s="37" t="str">
        <f>IFERROR(VLOOKUP($B479,'MATRICE ARTICLE'!$A$2:$N$1395,2,FALSE),"")</f>
        <v/>
      </c>
      <c r="E479" s="37" t="str">
        <f t="shared" si="29"/>
        <v/>
      </c>
      <c r="F479" s="37" t="str">
        <f>IFERROR(VLOOKUP($B479,'MATRICE ARTICLE'!$A$2:$N$1395,9,FALSE),"")</f>
        <v/>
      </c>
      <c r="G479" s="37" t="str">
        <f>IFERROR(VLOOKUP($B479,'MATRICE ARTICLE'!$A$2:$N$1395,14,FALSE),"")</f>
        <v/>
      </c>
      <c r="H479" s="48" t="str">
        <f t="shared" si="30"/>
        <v/>
      </c>
      <c r="I479" s="48" t="str">
        <f t="shared" si="31"/>
        <v/>
      </c>
    </row>
    <row r="480" spans="2:9">
      <c r="B480" s="57" t="str">
        <f t="shared" si="28"/>
        <v/>
      </c>
      <c r="C480" s="57"/>
      <c r="D480" s="37" t="str">
        <f>IFERROR(VLOOKUP($B480,'MATRICE ARTICLE'!$A$2:$N$1395,2,FALSE),"")</f>
        <v/>
      </c>
      <c r="E480" s="37" t="str">
        <f t="shared" si="29"/>
        <v/>
      </c>
      <c r="F480" s="37" t="str">
        <f>IFERROR(VLOOKUP($B480,'MATRICE ARTICLE'!$A$2:$N$1395,9,FALSE),"")</f>
        <v/>
      </c>
      <c r="G480" s="37" t="str">
        <f>IFERROR(VLOOKUP($B480,'MATRICE ARTICLE'!$A$2:$N$1395,14,FALSE),"")</f>
        <v/>
      </c>
      <c r="H480" s="48" t="str">
        <f t="shared" si="30"/>
        <v/>
      </c>
      <c r="I480" s="48" t="str">
        <f t="shared" si="31"/>
        <v/>
      </c>
    </row>
    <row r="481" spans="2:9">
      <c r="B481" s="57" t="str">
        <f t="shared" si="28"/>
        <v/>
      </c>
      <c r="C481" s="57"/>
      <c r="D481" s="37" t="str">
        <f>IFERROR(VLOOKUP($B481,'MATRICE ARTICLE'!$A$2:$N$1395,2,FALSE),"")</f>
        <v/>
      </c>
      <c r="E481" s="37" t="str">
        <f t="shared" si="29"/>
        <v/>
      </c>
      <c r="F481" s="37" t="str">
        <f>IFERROR(VLOOKUP($B481,'MATRICE ARTICLE'!$A$2:$N$1395,9,FALSE),"")</f>
        <v/>
      </c>
      <c r="G481" s="37" t="str">
        <f>IFERROR(VLOOKUP($B481,'MATRICE ARTICLE'!$A$2:$N$1395,14,FALSE),"")</f>
        <v/>
      </c>
      <c r="H481" s="48" t="str">
        <f t="shared" si="30"/>
        <v/>
      </c>
      <c r="I481" s="48" t="str">
        <f t="shared" si="31"/>
        <v/>
      </c>
    </row>
    <row r="482" spans="2:9">
      <c r="B482" s="57" t="str">
        <f t="shared" si="28"/>
        <v/>
      </c>
      <c r="C482" s="57"/>
      <c r="D482" s="37" t="str">
        <f>IFERROR(VLOOKUP($B482,'MATRICE ARTICLE'!$A$2:$N$1395,2,FALSE),"")</f>
        <v/>
      </c>
      <c r="E482" s="37" t="str">
        <f t="shared" si="29"/>
        <v/>
      </c>
      <c r="F482" s="37" t="str">
        <f>IFERROR(VLOOKUP($B482,'MATRICE ARTICLE'!$A$2:$N$1395,9,FALSE),"")</f>
        <v/>
      </c>
      <c r="G482" s="37" t="str">
        <f>IFERROR(VLOOKUP($B482,'MATRICE ARTICLE'!$A$2:$N$1395,14,FALSE),"")</f>
        <v/>
      </c>
      <c r="H482" s="48" t="str">
        <f t="shared" si="30"/>
        <v/>
      </c>
      <c r="I482" s="48" t="str">
        <f t="shared" si="31"/>
        <v/>
      </c>
    </row>
    <row r="483" spans="2:9">
      <c r="B483" s="57" t="str">
        <f t="shared" si="28"/>
        <v/>
      </c>
      <c r="C483" s="57"/>
      <c r="D483" s="37" t="str">
        <f>IFERROR(VLOOKUP($B483,'MATRICE ARTICLE'!$A$2:$N$1395,2,FALSE),"")</f>
        <v/>
      </c>
      <c r="E483" s="37" t="str">
        <f t="shared" si="29"/>
        <v/>
      </c>
      <c r="F483" s="37" t="str">
        <f>IFERROR(VLOOKUP($B483,'MATRICE ARTICLE'!$A$2:$N$1395,9,FALSE),"")</f>
        <v/>
      </c>
      <c r="G483" s="37" t="str">
        <f>IFERROR(VLOOKUP($B483,'MATRICE ARTICLE'!$A$2:$N$1395,14,FALSE),"")</f>
        <v/>
      </c>
      <c r="H483" s="48" t="str">
        <f t="shared" si="30"/>
        <v/>
      </c>
      <c r="I483" s="48" t="str">
        <f t="shared" si="31"/>
        <v/>
      </c>
    </row>
    <row r="484" spans="2:9">
      <c r="B484" s="57" t="str">
        <f t="shared" si="28"/>
        <v/>
      </c>
      <c r="C484" s="57"/>
      <c r="D484" s="37" t="str">
        <f>IFERROR(VLOOKUP($B484,'MATRICE ARTICLE'!$A$2:$N$1395,2,FALSE),"")</f>
        <v/>
      </c>
      <c r="E484" s="37" t="str">
        <f t="shared" si="29"/>
        <v/>
      </c>
      <c r="F484" s="37" t="str">
        <f>IFERROR(VLOOKUP($B484,'MATRICE ARTICLE'!$A$2:$N$1395,9,FALSE),"")</f>
        <v/>
      </c>
      <c r="G484" s="37" t="str">
        <f>IFERROR(VLOOKUP($B484,'MATRICE ARTICLE'!$A$2:$N$1395,14,FALSE),"")</f>
        <v/>
      </c>
      <c r="H484" s="48" t="str">
        <f t="shared" si="30"/>
        <v/>
      </c>
      <c r="I484" s="48" t="str">
        <f t="shared" si="31"/>
        <v/>
      </c>
    </row>
    <row r="485" spans="2:9">
      <c r="B485" s="57" t="str">
        <f t="shared" si="28"/>
        <v/>
      </c>
      <c r="C485" s="57"/>
      <c r="D485" s="37" t="str">
        <f>IFERROR(VLOOKUP($B485,'MATRICE ARTICLE'!$A$2:$N$1395,2,FALSE),"")</f>
        <v/>
      </c>
      <c r="E485" s="37" t="str">
        <f t="shared" si="29"/>
        <v/>
      </c>
      <c r="F485" s="37" t="str">
        <f>IFERROR(VLOOKUP($B485,'MATRICE ARTICLE'!$A$2:$N$1395,9,FALSE),"")</f>
        <v/>
      </c>
      <c r="G485" s="37" t="str">
        <f>IFERROR(VLOOKUP($B485,'MATRICE ARTICLE'!$A$2:$N$1395,14,FALSE),"")</f>
        <v/>
      </c>
      <c r="H485" s="48" t="str">
        <f t="shared" si="30"/>
        <v/>
      </c>
      <c r="I485" s="48" t="str">
        <f t="shared" si="31"/>
        <v/>
      </c>
    </row>
    <row r="486" spans="2:9">
      <c r="B486" s="57" t="str">
        <f t="shared" si="28"/>
        <v/>
      </c>
      <c r="C486" s="57"/>
      <c r="D486" s="37" t="str">
        <f>IFERROR(VLOOKUP($B486,'MATRICE ARTICLE'!$A$2:$N$1395,2,FALSE),"")</f>
        <v/>
      </c>
      <c r="E486" s="37" t="str">
        <f t="shared" si="29"/>
        <v/>
      </c>
      <c r="F486" s="37" t="str">
        <f>IFERROR(VLOOKUP($B486,'MATRICE ARTICLE'!$A$2:$N$1395,9,FALSE),"")</f>
        <v/>
      </c>
      <c r="G486" s="37" t="str">
        <f>IFERROR(VLOOKUP($B486,'MATRICE ARTICLE'!$A$2:$N$1395,14,FALSE),"")</f>
        <v/>
      </c>
      <c r="H486" s="48" t="str">
        <f t="shared" si="30"/>
        <v/>
      </c>
      <c r="I486" s="48" t="str">
        <f t="shared" si="31"/>
        <v/>
      </c>
    </row>
    <row r="487" spans="2:9">
      <c r="B487" s="57" t="str">
        <f t="shared" si="28"/>
        <v/>
      </c>
      <c r="C487" s="57"/>
      <c r="D487" s="37" t="str">
        <f>IFERROR(VLOOKUP($B487,'MATRICE ARTICLE'!$A$2:$N$1395,2,FALSE),"")</f>
        <v/>
      </c>
      <c r="E487" s="37" t="str">
        <f t="shared" si="29"/>
        <v/>
      </c>
      <c r="F487" s="37" t="str">
        <f>IFERROR(VLOOKUP($B487,'MATRICE ARTICLE'!$A$2:$N$1395,9,FALSE),"")</f>
        <v/>
      </c>
      <c r="G487" s="37" t="str">
        <f>IFERROR(VLOOKUP($B487,'MATRICE ARTICLE'!$A$2:$N$1395,14,FALSE),"")</f>
        <v/>
      </c>
      <c r="H487" s="48" t="str">
        <f t="shared" si="30"/>
        <v/>
      </c>
      <c r="I487" s="48" t="str">
        <f t="shared" si="31"/>
        <v/>
      </c>
    </row>
    <row r="488" spans="2:9">
      <c r="B488" s="57" t="str">
        <f t="shared" si="28"/>
        <v/>
      </c>
      <c r="C488" s="57"/>
      <c r="D488" s="37" t="str">
        <f>IFERROR(VLOOKUP($B488,'MATRICE ARTICLE'!$A$2:$N$1395,2,FALSE),"")</f>
        <v/>
      </c>
      <c r="E488" s="37" t="str">
        <f t="shared" si="29"/>
        <v/>
      </c>
      <c r="F488" s="37" t="str">
        <f>IFERROR(VLOOKUP($B488,'MATRICE ARTICLE'!$A$2:$N$1395,9,FALSE),"")</f>
        <v/>
      </c>
      <c r="G488" s="37" t="str">
        <f>IFERROR(VLOOKUP($B488,'MATRICE ARTICLE'!$A$2:$N$1395,14,FALSE),"")</f>
        <v/>
      </c>
      <c r="H488" s="48" t="str">
        <f t="shared" si="30"/>
        <v/>
      </c>
      <c r="I488" s="48" t="str">
        <f t="shared" si="31"/>
        <v/>
      </c>
    </row>
    <row r="489" spans="2:9">
      <c r="B489" s="57" t="str">
        <f t="shared" si="28"/>
        <v/>
      </c>
      <c r="C489" s="57"/>
      <c r="D489" s="37" t="str">
        <f>IFERROR(VLOOKUP($B489,'MATRICE ARTICLE'!$A$2:$N$1395,2,FALSE),"")</f>
        <v/>
      </c>
      <c r="E489" s="37" t="str">
        <f t="shared" si="29"/>
        <v/>
      </c>
      <c r="F489" s="37" t="str">
        <f>IFERROR(VLOOKUP($B489,'MATRICE ARTICLE'!$A$2:$N$1395,9,FALSE),"")</f>
        <v/>
      </c>
      <c r="G489" s="37" t="str">
        <f>IFERROR(VLOOKUP($B489,'MATRICE ARTICLE'!$A$2:$N$1395,14,FALSE),"")</f>
        <v/>
      </c>
      <c r="H489" s="48" t="str">
        <f t="shared" si="30"/>
        <v/>
      </c>
      <c r="I489" s="48" t="str">
        <f t="shared" si="31"/>
        <v/>
      </c>
    </row>
    <row r="490" spans="2:9">
      <c r="B490" s="57" t="str">
        <f t="shared" si="28"/>
        <v/>
      </c>
      <c r="C490" s="57"/>
      <c r="D490" s="37" t="str">
        <f>IFERROR(VLOOKUP($B490,'MATRICE ARTICLE'!$A$2:$N$1395,2,FALSE),"")</f>
        <v/>
      </c>
      <c r="E490" s="37" t="str">
        <f t="shared" si="29"/>
        <v/>
      </c>
      <c r="F490" s="37" t="str">
        <f>IFERROR(VLOOKUP($B490,'MATRICE ARTICLE'!$A$2:$N$1395,9,FALSE),"")</f>
        <v/>
      </c>
      <c r="G490" s="37" t="str">
        <f>IFERROR(VLOOKUP($B490,'MATRICE ARTICLE'!$A$2:$N$1395,14,FALSE),"")</f>
        <v/>
      </c>
      <c r="H490" s="48" t="str">
        <f t="shared" si="30"/>
        <v/>
      </c>
      <c r="I490" s="48" t="str">
        <f t="shared" si="31"/>
        <v/>
      </c>
    </row>
    <row r="491" spans="2:9">
      <c r="B491" s="57" t="str">
        <f t="shared" si="28"/>
        <v/>
      </c>
      <c r="C491" s="57"/>
      <c r="D491" s="37" t="str">
        <f>IFERROR(VLOOKUP($B491,'MATRICE ARTICLE'!$A$2:$N$1395,2,FALSE),"")</f>
        <v/>
      </c>
      <c r="E491" s="37" t="str">
        <f t="shared" si="29"/>
        <v/>
      </c>
      <c r="F491" s="37" t="str">
        <f>IFERROR(VLOOKUP($B491,'MATRICE ARTICLE'!$A$2:$N$1395,9,FALSE),"")</f>
        <v/>
      </c>
      <c r="G491" s="37" t="str">
        <f>IFERROR(VLOOKUP($B491,'MATRICE ARTICLE'!$A$2:$N$1395,14,FALSE),"")</f>
        <v/>
      </c>
      <c r="H491" s="48" t="str">
        <f t="shared" si="30"/>
        <v/>
      </c>
      <c r="I491" s="48" t="str">
        <f t="shared" si="31"/>
        <v/>
      </c>
    </row>
    <row r="492" spans="2:9">
      <c r="B492" s="57" t="str">
        <f t="shared" si="28"/>
        <v/>
      </c>
      <c r="C492" s="57"/>
      <c r="D492" s="37" t="str">
        <f>IFERROR(VLOOKUP($B492,'MATRICE ARTICLE'!$A$2:$N$1395,2,FALSE),"")</f>
        <v/>
      </c>
      <c r="E492" s="37" t="str">
        <f t="shared" si="29"/>
        <v/>
      </c>
      <c r="F492" s="37" t="str">
        <f>IFERROR(VLOOKUP($B492,'MATRICE ARTICLE'!$A$2:$N$1395,9,FALSE),"")</f>
        <v/>
      </c>
      <c r="G492" s="37" t="str">
        <f>IFERROR(VLOOKUP($B492,'MATRICE ARTICLE'!$A$2:$N$1395,14,FALSE),"")</f>
        <v/>
      </c>
      <c r="H492" s="48" t="str">
        <f t="shared" si="30"/>
        <v/>
      </c>
      <c r="I492" s="48" t="str">
        <f t="shared" si="31"/>
        <v/>
      </c>
    </row>
    <row r="493" spans="2:9">
      <c r="B493" s="57" t="str">
        <f t="shared" si="28"/>
        <v/>
      </c>
      <c r="C493" s="57"/>
      <c r="D493" s="37" t="str">
        <f>IFERROR(VLOOKUP($B493,'MATRICE ARTICLE'!$A$2:$N$1395,2,FALSE),"")</f>
        <v/>
      </c>
      <c r="E493" s="37" t="str">
        <f t="shared" si="29"/>
        <v/>
      </c>
      <c r="F493" s="37" t="str">
        <f>IFERROR(VLOOKUP($B493,'MATRICE ARTICLE'!$A$2:$N$1395,9,FALSE),"")</f>
        <v/>
      </c>
      <c r="G493" s="37" t="str">
        <f>IFERROR(VLOOKUP($B493,'MATRICE ARTICLE'!$A$2:$N$1395,14,FALSE),"")</f>
        <v/>
      </c>
      <c r="H493" s="48" t="str">
        <f t="shared" si="30"/>
        <v/>
      </c>
      <c r="I493" s="48" t="str">
        <f t="shared" si="31"/>
        <v/>
      </c>
    </row>
    <row r="494" spans="2:9">
      <c r="B494" s="57" t="str">
        <f t="shared" si="28"/>
        <v/>
      </c>
      <c r="C494" s="57"/>
      <c r="D494" s="37" t="str">
        <f>IFERROR(VLOOKUP($B494,'MATRICE ARTICLE'!$A$2:$N$1395,2,FALSE),"")</f>
        <v/>
      </c>
      <c r="E494" s="37" t="str">
        <f t="shared" si="29"/>
        <v/>
      </c>
      <c r="F494" s="37" t="str">
        <f>IFERROR(VLOOKUP($B494,'MATRICE ARTICLE'!$A$2:$N$1395,9,FALSE),"")</f>
        <v/>
      </c>
      <c r="G494" s="37" t="str">
        <f>IFERROR(VLOOKUP($B494,'MATRICE ARTICLE'!$A$2:$N$1395,14,FALSE),"")</f>
        <v/>
      </c>
      <c r="H494" s="48" t="str">
        <f t="shared" si="30"/>
        <v/>
      </c>
      <c r="I494" s="48" t="str">
        <f t="shared" si="31"/>
        <v/>
      </c>
    </row>
    <row r="495" spans="2:9">
      <c r="B495" s="57" t="str">
        <f t="shared" si="28"/>
        <v/>
      </c>
      <c r="C495" s="57"/>
      <c r="D495" s="37" t="str">
        <f>IFERROR(VLOOKUP($B495,'MATRICE ARTICLE'!$A$2:$N$1395,2,FALSE),"")</f>
        <v/>
      </c>
      <c r="E495" s="37" t="str">
        <f t="shared" si="29"/>
        <v/>
      </c>
      <c r="F495" s="37" t="str">
        <f>IFERROR(VLOOKUP($B495,'MATRICE ARTICLE'!$A$2:$N$1395,9,FALSE),"")</f>
        <v/>
      </c>
      <c r="G495" s="37" t="str">
        <f>IFERROR(VLOOKUP($B495,'MATRICE ARTICLE'!$A$2:$N$1395,14,FALSE),"")</f>
        <v/>
      </c>
      <c r="H495" s="48" t="str">
        <f t="shared" si="30"/>
        <v/>
      </c>
      <c r="I495" s="48" t="str">
        <f t="shared" si="31"/>
        <v/>
      </c>
    </row>
    <row r="496" spans="2:9">
      <c r="B496" s="57" t="str">
        <f t="shared" si="28"/>
        <v/>
      </c>
      <c r="C496" s="57"/>
      <c r="D496" s="37" t="str">
        <f>IFERROR(VLOOKUP($B496,'MATRICE ARTICLE'!$A$2:$N$1395,2,FALSE),"")</f>
        <v/>
      </c>
      <c r="E496" s="37" t="str">
        <f t="shared" si="29"/>
        <v/>
      </c>
      <c r="F496" s="37" t="str">
        <f>IFERROR(VLOOKUP($B496,'MATRICE ARTICLE'!$A$2:$N$1395,9,FALSE),"")</f>
        <v/>
      </c>
      <c r="G496" s="37" t="str">
        <f>IFERROR(VLOOKUP($B496,'MATRICE ARTICLE'!$A$2:$N$1395,14,FALSE),"")</f>
        <v/>
      </c>
      <c r="H496" s="48" t="str">
        <f t="shared" si="30"/>
        <v/>
      </c>
      <c r="I496" s="48" t="str">
        <f t="shared" si="31"/>
        <v/>
      </c>
    </row>
    <row r="497" spans="2:9">
      <c r="B497" s="57" t="str">
        <f t="shared" si="28"/>
        <v/>
      </c>
      <c r="C497" s="57"/>
      <c r="D497" s="37" t="str">
        <f>IFERROR(VLOOKUP($B497,'MATRICE ARTICLE'!$A$2:$N$1395,2,FALSE),"")</f>
        <v/>
      </c>
      <c r="E497" s="37" t="str">
        <f t="shared" si="29"/>
        <v/>
      </c>
      <c r="F497" s="37" t="str">
        <f>IFERROR(VLOOKUP($B497,'MATRICE ARTICLE'!$A$2:$N$1395,9,FALSE),"")</f>
        <v/>
      </c>
      <c r="G497" s="37" t="str">
        <f>IFERROR(VLOOKUP($B497,'MATRICE ARTICLE'!$A$2:$N$1395,14,FALSE),"")</f>
        <v/>
      </c>
      <c r="H497" s="48" t="str">
        <f t="shared" si="30"/>
        <v/>
      </c>
      <c r="I497" s="48" t="str">
        <f t="shared" si="31"/>
        <v/>
      </c>
    </row>
    <row r="498" spans="2:9">
      <c r="B498" s="57" t="str">
        <f t="shared" si="28"/>
        <v/>
      </c>
      <c r="C498" s="57"/>
      <c r="D498" s="37" t="str">
        <f>IFERROR(VLOOKUP($B498,'MATRICE ARTICLE'!$A$2:$N$1395,2,FALSE),"")</f>
        <v/>
      </c>
      <c r="E498" s="37" t="str">
        <f t="shared" si="29"/>
        <v/>
      </c>
      <c r="F498" s="37" t="str">
        <f>IFERROR(VLOOKUP($B498,'MATRICE ARTICLE'!$A$2:$N$1395,9,FALSE),"")</f>
        <v/>
      </c>
      <c r="G498" s="37" t="str">
        <f>IFERROR(VLOOKUP($B498,'MATRICE ARTICLE'!$A$2:$N$1395,14,FALSE),"")</f>
        <v/>
      </c>
      <c r="H498" s="48" t="str">
        <f t="shared" si="30"/>
        <v/>
      </c>
      <c r="I498" s="48" t="str">
        <f t="shared" si="31"/>
        <v/>
      </c>
    </row>
    <row r="499" spans="2:9">
      <c r="B499" s="57" t="str">
        <f t="shared" si="28"/>
        <v/>
      </c>
      <c r="C499" s="57"/>
      <c r="D499" s="37" t="str">
        <f>IFERROR(VLOOKUP($B499,'MATRICE ARTICLE'!$A$2:$N$1395,2,FALSE),"")</f>
        <v/>
      </c>
      <c r="E499" s="37" t="str">
        <f t="shared" si="29"/>
        <v/>
      </c>
      <c r="F499" s="37" t="str">
        <f>IFERROR(VLOOKUP($B499,'MATRICE ARTICLE'!$A$2:$N$1395,9,FALSE),"")</f>
        <v/>
      </c>
      <c r="G499" s="37" t="str">
        <f>IFERROR(VLOOKUP($B499,'MATRICE ARTICLE'!$A$2:$N$1395,14,FALSE),"")</f>
        <v/>
      </c>
      <c r="H499" s="48" t="str">
        <f t="shared" si="30"/>
        <v/>
      </c>
      <c r="I499" s="48" t="str">
        <f t="shared" si="31"/>
        <v/>
      </c>
    </row>
    <row r="500" spans="2:9">
      <c r="B500" s="57" t="str">
        <f t="shared" si="28"/>
        <v/>
      </c>
      <c r="C500" s="57"/>
      <c r="D500" s="37" t="str">
        <f>IFERROR(VLOOKUP($B500,'MATRICE ARTICLE'!$A$2:$N$1395,2,FALSE),"")</f>
        <v/>
      </c>
      <c r="E500" s="37" t="str">
        <f t="shared" si="29"/>
        <v/>
      </c>
      <c r="F500" s="37" t="str">
        <f>IFERROR(VLOOKUP($B500,'MATRICE ARTICLE'!$A$2:$N$1395,9,FALSE),"")</f>
        <v/>
      </c>
      <c r="G500" s="37" t="str">
        <f>IFERROR(VLOOKUP($B500,'MATRICE ARTICLE'!$A$2:$N$1395,14,FALSE),"")</f>
        <v/>
      </c>
      <c r="H500" s="48" t="str">
        <f t="shared" si="30"/>
        <v/>
      </c>
      <c r="I500" s="48" t="str">
        <f t="shared" si="31"/>
        <v/>
      </c>
    </row>
    <row r="501" spans="2:9">
      <c r="B501" s="57" t="str">
        <f t="shared" si="28"/>
        <v/>
      </c>
      <c r="C501" s="57"/>
      <c r="D501" s="37" t="str">
        <f>IFERROR(VLOOKUP($B501,'MATRICE ARTICLE'!$A$2:$N$1395,2,FALSE),"")</f>
        <v/>
      </c>
      <c r="E501" s="37" t="str">
        <f t="shared" si="29"/>
        <v/>
      </c>
      <c r="F501" s="37" t="str">
        <f>IFERROR(VLOOKUP($B501,'MATRICE ARTICLE'!$A$2:$N$1395,9,FALSE),"")</f>
        <v/>
      </c>
      <c r="G501" s="37" t="str">
        <f>IFERROR(VLOOKUP($B501,'MATRICE ARTICLE'!$A$2:$N$1395,14,FALSE),"")</f>
        <v/>
      </c>
      <c r="H501" s="48" t="str">
        <f t="shared" si="30"/>
        <v/>
      </c>
      <c r="I501" s="48" t="str">
        <f t="shared" si="31"/>
        <v/>
      </c>
    </row>
    <row r="502" spans="2:9">
      <c r="B502" s="57" t="str">
        <f t="shared" si="28"/>
        <v/>
      </c>
      <c r="C502" s="57"/>
      <c r="D502" s="37" t="str">
        <f>IFERROR(VLOOKUP($B502,'MATRICE ARTICLE'!$A$2:$N$1395,2,FALSE),"")</f>
        <v/>
      </c>
      <c r="E502" s="37" t="str">
        <f t="shared" si="29"/>
        <v/>
      </c>
      <c r="F502" s="37" t="str">
        <f>IFERROR(VLOOKUP($B502,'MATRICE ARTICLE'!$A$2:$N$1395,9,FALSE),"")</f>
        <v/>
      </c>
      <c r="G502" s="37" t="str">
        <f>IFERROR(VLOOKUP($B502,'MATRICE ARTICLE'!$A$2:$N$1395,14,FALSE),"")</f>
        <v/>
      </c>
      <c r="H502" s="48" t="str">
        <f t="shared" si="30"/>
        <v/>
      </c>
      <c r="I502" s="48" t="str">
        <f t="shared" si="31"/>
        <v/>
      </c>
    </row>
    <row r="503" spans="2:9">
      <c r="B503" s="57" t="str">
        <f t="shared" si="28"/>
        <v/>
      </c>
      <c r="C503" s="57"/>
      <c r="D503" s="37" t="str">
        <f>IFERROR(VLOOKUP($B503,'MATRICE ARTICLE'!$A$2:$N$1395,2,FALSE),"")</f>
        <v/>
      </c>
      <c r="E503" s="37" t="str">
        <f t="shared" si="29"/>
        <v/>
      </c>
      <c r="F503" s="37" t="str">
        <f>IFERROR(VLOOKUP($B503,'MATRICE ARTICLE'!$A$2:$N$1395,9,FALSE),"")</f>
        <v/>
      </c>
      <c r="G503" s="37" t="str">
        <f>IFERROR(VLOOKUP($B503,'MATRICE ARTICLE'!$A$2:$N$1395,14,FALSE),"")</f>
        <v/>
      </c>
      <c r="H503" s="48" t="str">
        <f t="shared" si="30"/>
        <v/>
      </c>
      <c r="I503" s="48" t="str">
        <f t="shared" si="31"/>
        <v/>
      </c>
    </row>
    <row r="504" spans="2:9">
      <c r="B504" s="57" t="str">
        <f t="shared" si="28"/>
        <v/>
      </c>
      <c r="C504" s="57"/>
      <c r="D504" s="37" t="str">
        <f>IFERROR(VLOOKUP($B504,'MATRICE ARTICLE'!$A$2:$N$1395,2,FALSE),"")</f>
        <v/>
      </c>
      <c r="E504" s="37" t="str">
        <f t="shared" si="29"/>
        <v/>
      </c>
      <c r="F504" s="37" t="str">
        <f>IFERROR(VLOOKUP($B504,'MATRICE ARTICLE'!$A$2:$N$1395,9,FALSE),"")</f>
        <v/>
      </c>
      <c r="G504" s="37" t="str">
        <f>IFERROR(VLOOKUP($B504,'MATRICE ARTICLE'!$A$2:$N$1395,14,FALSE),"")</f>
        <v/>
      </c>
      <c r="H504" s="48" t="str">
        <f t="shared" si="30"/>
        <v/>
      </c>
      <c r="I504" s="48" t="str">
        <f t="shared" si="31"/>
        <v/>
      </c>
    </row>
    <row r="505" spans="2:9">
      <c r="B505" s="57" t="str">
        <f t="shared" si="28"/>
        <v/>
      </c>
      <c r="C505" s="57"/>
      <c r="D505" s="37" t="str">
        <f>IFERROR(VLOOKUP($B505,'MATRICE ARTICLE'!$A$2:$N$1395,2,FALSE),"")</f>
        <v/>
      </c>
      <c r="E505" s="37" t="str">
        <f t="shared" si="29"/>
        <v/>
      </c>
      <c r="F505" s="37" t="str">
        <f>IFERROR(VLOOKUP($B505,'MATRICE ARTICLE'!$A$2:$N$1395,9,FALSE),"")</f>
        <v/>
      </c>
      <c r="G505" s="37" t="str">
        <f>IFERROR(VLOOKUP($B505,'MATRICE ARTICLE'!$A$2:$N$1395,14,FALSE),"")</f>
        <v/>
      </c>
      <c r="H505" s="48" t="str">
        <f t="shared" si="30"/>
        <v/>
      </c>
      <c r="I505" s="48" t="str">
        <f t="shared" si="31"/>
        <v/>
      </c>
    </row>
    <row r="506" spans="2:9">
      <c r="B506" s="57" t="str">
        <f t="shared" si="28"/>
        <v/>
      </c>
      <c r="C506" s="57"/>
      <c r="D506" s="37" t="str">
        <f>IFERROR(VLOOKUP($B506,'MATRICE ARTICLE'!$A$2:$N$1395,2,FALSE),"")</f>
        <v/>
      </c>
      <c r="E506" s="37" t="str">
        <f t="shared" si="29"/>
        <v/>
      </c>
      <c r="F506" s="37" t="str">
        <f>IFERROR(VLOOKUP($B506,'MATRICE ARTICLE'!$A$2:$N$1395,9,FALSE),"")</f>
        <v/>
      </c>
      <c r="G506" s="37" t="str">
        <f>IFERROR(VLOOKUP($B506,'MATRICE ARTICLE'!$A$2:$N$1395,14,FALSE),"")</f>
        <v/>
      </c>
      <c r="H506" s="48" t="str">
        <f t="shared" si="30"/>
        <v/>
      </c>
      <c r="I506" s="48" t="str">
        <f t="shared" si="31"/>
        <v/>
      </c>
    </row>
    <row r="507" spans="2:9">
      <c r="B507" s="57" t="str">
        <f t="shared" si="28"/>
        <v/>
      </c>
      <c r="C507" s="57"/>
      <c r="D507" s="37" t="str">
        <f>IFERROR(VLOOKUP($B507,'MATRICE ARTICLE'!$A$2:$N$1395,2,FALSE),"")</f>
        <v/>
      </c>
      <c r="E507" s="37" t="str">
        <f t="shared" si="29"/>
        <v/>
      </c>
      <c r="F507" s="37" t="str">
        <f>IFERROR(VLOOKUP($B507,'MATRICE ARTICLE'!$A$2:$N$1395,9,FALSE),"")</f>
        <v/>
      </c>
      <c r="G507" s="37" t="str">
        <f>IFERROR(VLOOKUP($B507,'MATRICE ARTICLE'!$A$2:$N$1395,14,FALSE),"")</f>
        <v/>
      </c>
      <c r="H507" s="48" t="str">
        <f t="shared" si="30"/>
        <v/>
      </c>
      <c r="I507" s="48" t="str">
        <f t="shared" si="31"/>
        <v/>
      </c>
    </row>
    <row r="508" spans="2:9">
      <c r="B508" s="57" t="str">
        <f t="shared" si="28"/>
        <v/>
      </c>
      <c r="C508" s="57"/>
      <c r="D508" s="37" t="str">
        <f>IFERROR(VLOOKUP($B508,'MATRICE ARTICLE'!$A$2:$N$1395,2,FALSE),"")</f>
        <v/>
      </c>
      <c r="E508" s="37" t="str">
        <f t="shared" si="29"/>
        <v/>
      </c>
      <c r="F508" s="37" t="str">
        <f>IFERROR(VLOOKUP($B508,'MATRICE ARTICLE'!$A$2:$N$1395,9,FALSE),"")</f>
        <v/>
      </c>
      <c r="G508" s="37" t="str">
        <f>IFERROR(VLOOKUP($B508,'MATRICE ARTICLE'!$A$2:$N$1395,14,FALSE),"")</f>
        <v/>
      </c>
      <c r="H508" s="48" t="str">
        <f t="shared" si="30"/>
        <v/>
      </c>
      <c r="I508" s="48" t="str">
        <f t="shared" si="31"/>
        <v/>
      </c>
    </row>
    <row r="509" spans="2:9">
      <c r="B509" s="57" t="str">
        <f t="shared" si="28"/>
        <v/>
      </c>
      <c r="C509" s="57"/>
      <c r="D509" s="37" t="str">
        <f>IFERROR(VLOOKUP($B509,'MATRICE ARTICLE'!$A$2:$N$1395,2,FALSE),"")</f>
        <v/>
      </c>
      <c r="E509" s="37" t="str">
        <f t="shared" si="29"/>
        <v/>
      </c>
      <c r="F509" s="37" t="str">
        <f>IFERROR(VLOOKUP($B509,'MATRICE ARTICLE'!$A$2:$N$1395,9,FALSE),"")</f>
        <v/>
      </c>
      <c r="G509" s="37" t="str">
        <f>IFERROR(VLOOKUP($B509,'MATRICE ARTICLE'!$A$2:$N$1395,14,FALSE),"")</f>
        <v/>
      </c>
      <c r="H509" s="48" t="str">
        <f t="shared" si="30"/>
        <v/>
      </c>
      <c r="I509" s="48" t="str">
        <f t="shared" si="31"/>
        <v/>
      </c>
    </row>
    <row r="510" spans="2:9">
      <c r="B510" s="57" t="str">
        <f t="shared" si="28"/>
        <v/>
      </c>
      <c r="C510" s="57"/>
      <c r="D510" s="37" t="str">
        <f>IFERROR(VLOOKUP($B510,'MATRICE ARTICLE'!$A$2:$N$1395,2,FALSE),"")</f>
        <v/>
      </c>
      <c r="E510" s="37" t="str">
        <f t="shared" si="29"/>
        <v/>
      </c>
      <c r="F510" s="37" t="str">
        <f>IFERROR(VLOOKUP($B510,'MATRICE ARTICLE'!$A$2:$N$1395,9,FALSE),"")</f>
        <v/>
      </c>
      <c r="G510" s="37" t="str">
        <f>IFERROR(VLOOKUP($B510,'MATRICE ARTICLE'!$A$2:$N$1395,14,FALSE),"")</f>
        <v/>
      </c>
      <c r="H510" s="48" t="str">
        <f t="shared" si="30"/>
        <v/>
      </c>
      <c r="I510" s="48" t="str">
        <f t="shared" si="31"/>
        <v/>
      </c>
    </row>
    <row r="511" spans="2:9">
      <c r="B511" s="57" t="str">
        <f t="shared" si="28"/>
        <v/>
      </c>
      <c r="C511" s="57"/>
      <c r="D511" s="37" t="str">
        <f>IFERROR(VLOOKUP($B511,'MATRICE ARTICLE'!$A$2:$N$1395,2,FALSE),"")</f>
        <v/>
      </c>
      <c r="E511" s="37" t="str">
        <f t="shared" si="29"/>
        <v/>
      </c>
      <c r="F511" s="37" t="str">
        <f>IFERROR(VLOOKUP($B511,'MATRICE ARTICLE'!$A$2:$N$1395,9,FALSE),"")</f>
        <v/>
      </c>
      <c r="G511" s="37" t="str">
        <f>IFERROR(VLOOKUP($B511,'MATRICE ARTICLE'!$A$2:$N$1395,14,FALSE),"")</f>
        <v/>
      </c>
      <c r="H511" s="48" t="str">
        <f t="shared" si="30"/>
        <v/>
      </c>
      <c r="I511" s="48" t="str">
        <f t="shared" si="31"/>
        <v/>
      </c>
    </row>
    <row r="512" spans="2:9">
      <c r="B512" s="57" t="str">
        <f t="shared" si="28"/>
        <v/>
      </c>
      <c r="C512" s="57"/>
      <c r="D512" s="37" t="str">
        <f>IFERROR(VLOOKUP($B512,'MATRICE ARTICLE'!$A$2:$N$1395,2,FALSE),"")</f>
        <v/>
      </c>
      <c r="E512" s="37" t="str">
        <f t="shared" si="29"/>
        <v/>
      </c>
      <c r="F512" s="37" t="str">
        <f>IFERROR(VLOOKUP($B512,'MATRICE ARTICLE'!$A$2:$N$1395,9,FALSE),"")</f>
        <v/>
      </c>
      <c r="G512" s="37" t="str">
        <f>IFERROR(VLOOKUP($B512,'MATRICE ARTICLE'!$A$2:$N$1395,14,FALSE),"")</f>
        <v/>
      </c>
      <c r="H512" s="48" t="str">
        <f t="shared" si="30"/>
        <v/>
      </c>
      <c r="I512" s="48" t="str">
        <f t="shared" si="31"/>
        <v/>
      </c>
    </row>
    <row r="513" spans="2:9">
      <c r="B513" s="57" t="str">
        <f t="shared" si="28"/>
        <v/>
      </c>
      <c r="C513" s="57"/>
      <c r="D513" s="37" t="str">
        <f>IFERROR(VLOOKUP($B513,'MATRICE ARTICLE'!$A$2:$N$1395,2,FALSE),"")</f>
        <v/>
      </c>
      <c r="E513" s="37" t="str">
        <f t="shared" si="29"/>
        <v/>
      </c>
      <c r="F513" s="37" t="str">
        <f>IFERROR(VLOOKUP($B513,'MATRICE ARTICLE'!$A$2:$N$1395,9,FALSE),"")</f>
        <v/>
      </c>
      <c r="G513" s="37" t="str">
        <f>IFERROR(VLOOKUP($B513,'MATRICE ARTICLE'!$A$2:$N$1395,14,FALSE),"")</f>
        <v/>
      </c>
      <c r="H513" s="48" t="str">
        <f t="shared" si="30"/>
        <v/>
      </c>
      <c r="I513" s="48" t="str">
        <f t="shared" si="31"/>
        <v/>
      </c>
    </row>
    <row r="514" spans="2:9">
      <c r="B514" s="57" t="str">
        <f t="shared" si="28"/>
        <v/>
      </c>
      <c r="C514" s="57"/>
      <c r="D514" s="37" t="str">
        <f>IFERROR(VLOOKUP($B514,'MATRICE ARTICLE'!$A$2:$N$1395,2,FALSE),"")</f>
        <v/>
      </c>
      <c r="E514" s="37" t="str">
        <f t="shared" si="29"/>
        <v/>
      </c>
      <c r="F514" s="37" t="str">
        <f>IFERROR(VLOOKUP($B514,'MATRICE ARTICLE'!$A$2:$N$1395,9,FALSE),"")</f>
        <v/>
      </c>
      <c r="G514" s="37" t="str">
        <f>IFERROR(VLOOKUP($B514,'MATRICE ARTICLE'!$A$2:$N$1395,14,FALSE),"")</f>
        <v/>
      </c>
      <c r="H514" s="48" t="str">
        <f t="shared" si="30"/>
        <v/>
      </c>
      <c r="I514" s="48" t="str">
        <f t="shared" si="31"/>
        <v/>
      </c>
    </row>
    <row r="515" spans="2:9">
      <c r="B515" s="57" t="str">
        <f t="shared" ref="B515:B578" si="32">IF(A515=0,"",A515)</f>
        <v/>
      </c>
      <c r="C515" s="57"/>
      <c r="D515" s="37" t="str">
        <f>IFERROR(VLOOKUP($B515,'MATRICE ARTICLE'!$A$2:$N$1395,2,FALSE),"")</f>
        <v/>
      </c>
      <c r="E515" s="37" t="str">
        <f t="shared" ref="E515:E578" si="33">IF(SUM(F515:I515)=0,"",SUM(F515:I515))</f>
        <v/>
      </c>
      <c r="F515" s="37" t="str">
        <f>IFERROR(VLOOKUP($B515,'MATRICE ARTICLE'!$A$2:$N$1395,9,FALSE),"")</f>
        <v/>
      </c>
      <c r="G515" s="37" t="str">
        <f>IFERROR(VLOOKUP($B515,'MATRICE ARTICLE'!$A$2:$N$1395,14,FALSE),"")</f>
        <v/>
      </c>
      <c r="H515" s="48" t="str">
        <f t="shared" ref="H515:H578" si="34">IF(SUM(F515:G515)*$H$1=0,"",SUM(F515:G515)*$H$1)</f>
        <v/>
      </c>
      <c r="I515" s="48" t="str">
        <f t="shared" ref="I515:I578" si="35">IF(SUM(F515:H515)*$I$1=0,"",SUM(F515:H515)*$I$1)</f>
        <v/>
      </c>
    </row>
    <row r="516" spans="2:9">
      <c r="B516" s="57" t="str">
        <f t="shared" si="32"/>
        <v/>
      </c>
      <c r="C516" s="57"/>
      <c r="D516" s="37" t="str">
        <f>IFERROR(VLOOKUP($B516,'MATRICE ARTICLE'!$A$2:$N$1395,2,FALSE),"")</f>
        <v/>
      </c>
      <c r="E516" s="37" t="str">
        <f t="shared" si="33"/>
        <v/>
      </c>
      <c r="F516" s="37" t="str">
        <f>IFERROR(VLOOKUP($B516,'MATRICE ARTICLE'!$A$2:$N$1395,9,FALSE),"")</f>
        <v/>
      </c>
      <c r="G516" s="37" t="str">
        <f>IFERROR(VLOOKUP($B516,'MATRICE ARTICLE'!$A$2:$N$1395,14,FALSE),"")</f>
        <v/>
      </c>
      <c r="H516" s="48" t="str">
        <f t="shared" si="34"/>
        <v/>
      </c>
      <c r="I516" s="48" t="str">
        <f t="shared" si="35"/>
        <v/>
      </c>
    </row>
    <row r="517" spans="2:9">
      <c r="B517" s="57" t="str">
        <f t="shared" si="32"/>
        <v/>
      </c>
      <c r="C517" s="57"/>
      <c r="D517" s="37" t="str">
        <f>IFERROR(VLOOKUP($B517,'MATRICE ARTICLE'!$A$2:$N$1395,2,FALSE),"")</f>
        <v/>
      </c>
      <c r="E517" s="37" t="str">
        <f t="shared" si="33"/>
        <v/>
      </c>
      <c r="F517" s="37" t="str">
        <f>IFERROR(VLOOKUP($B517,'MATRICE ARTICLE'!$A$2:$N$1395,9,FALSE),"")</f>
        <v/>
      </c>
      <c r="G517" s="37" t="str">
        <f>IFERROR(VLOOKUP($B517,'MATRICE ARTICLE'!$A$2:$N$1395,14,FALSE),"")</f>
        <v/>
      </c>
      <c r="H517" s="48" t="str">
        <f t="shared" si="34"/>
        <v/>
      </c>
      <c r="I517" s="48" t="str">
        <f t="shared" si="35"/>
        <v/>
      </c>
    </row>
    <row r="518" spans="2:9">
      <c r="B518" s="57" t="str">
        <f t="shared" si="32"/>
        <v/>
      </c>
      <c r="C518" s="57"/>
      <c r="D518" s="37" t="str">
        <f>IFERROR(VLOOKUP($B518,'MATRICE ARTICLE'!$A$2:$N$1395,2,FALSE),"")</f>
        <v/>
      </c>
      <c r="E518" s="37" t="str">
        <f t="shared" si="33"/>
        <v/>
      </c>
      <c r="F518" s="37" t="str">
        <f>IFERROR(VLOOKUP($B518,'MATRICE ARTICLE'!$A$2:$N$1395,9,FALSE),"")</f>
        <v/>
      </c>
      <c r="G518" s="37" t="str">
        <f>IFERROR(VLOOKUP($B518,'MATRICE ARTICLE'!$A$2:$N$1395,14,FALSE),"")</f>
        <v/>
      </c>
      <c r="H518" s="48" t="str">
        <f t="shared" si="34"/>
        <v/>
      </c>
      <c r="I518" s="48" t="str">
        <f t="shared" si="35"/>
        <v/>
      </c>
    </row>
    <row r="519" spans="2:9">
      <c r="B519" s="57" t="str">
        <f t="shared" si="32"/>
        <v/>
      </c>
      <c r="C519" s="57"/>
      <c r="D519" s="37" t="str">
        <f>IFERROR(VLOOKUP($B519,'MATRICE ARTICLE'!$A$2:$N$1395,2,FALSE),"")</f>
        <v/>
      </c>
      <c r="E519" s="37" t="str">
        <f t="shared" si="33"/>
        <v/>
      </c>
      <c r="F519" s="37" t="str">
        <f>IFERROR(VLOOKUP($B519,'MATRICE ARTICLE'!$A$2:$N$1395,9,FALSE),"")</f>
        <v/>
      </c>
      <c r="G519" s="37" t="str">
        <f>IFERROR(VLOOKUP($B519,'MATRICE ARTICLE'!$A$2:$N$1395,14,FALSE),"")</f>
        <v/>
      </c>
      <c r="H519" s="48" t="str">
        <f t="shared" si="34"/>
        <v/>
      </c>
      <c r="I519" s="48" t="str">
        <f t="shared" si="35"/>
        <v/>
      </c>
    </row>
    <row r="520" spans="2:9">
      <c r="B520" s="57" t="str">
        <f t="shared" si="32"/>
        <v/>
      </c>
      <c r="C520" s="57"/>
      <c r="D520" s="37" t="str">
        <f>IFERROR(VLOOKUP($B520,'MATRICE ARTICLE'!$A$2:$N$1395,2,FALSE),"")</f>
        <v/>
      </c>
      <c r="E520" s="37" t="str">
        <f t="shared" si="33"/>
        <v/>
      </c>
      <c r="F520" s="37" t="str">
        <f>IFERROR(VLOOKUP($B520,'MATRICE ARTICLE'!$A$2:$N$1395,9,FALSE),"")</f>
        <v/>
      </c>
      <c r="G520" s="37" t="str">
        <f>IFERROR(VLOOKUP($B520,'MATRICE ARTICLE'!$A$2:$N$1395,14,FALSE),"")</f>
        <v/>
      </c>
      <c r="H520" s="48" t="str">
        <f t="shared" si="34"/>
        <v/>
      </c>
      <c r="I520" s="48" t="str">
        <f t="shared" si="35"/>
        <v/>
      </c>
    </row>
    <row r="521" spans="2:9">
      <c r="B521" s="57" t="str">
        <f t="shared" si="32"/>
        <v/>
      </c>
      <c r="C521" s="57"/>
      <c r="D521" s="37" t="str">
        <f>IFERROR(VLOOKUP($B521,'MATRICE ARTICLE'!$A$2:$N$1395,2,FALSE),"")</f>
        <v/>
      </c>
      <c r="E521" s="37" t="str">
        <f t="shared" si="33"/>
        <v/>
      </c>
      <c r="F521" s="37" t="str">
        <f>IFERROR(VLOOKUP($B521,'MATRICE ARTICLE'!$A$2:$N$1395,9,FALSE),"")</f>
        <v/>
      </c>
      <c r="G521" s="37" t="str">
        <f>IFERROR(VLOOKUP($B521,'MATRICE ARTICLE'!$A$2:$N$1395,14,FALSE),"")</f>
        <v/>
      </c>
      <c r="H521" s="48" t="str">
        <f t="shared" si="34"/>
        <v/>
      </c>
      <c r="I521" s="48" t="str">
        <f t="shared" si="35"/>
        <v/>
      </c>
    </row>
    <row r="522" spans="2:9">
      <c r="B522" s="57" t="str">
        <f t="shared" si="32"/>
        <v/>
      </c>
      <c r="C522" s="57"/>
      <c r="D522" s="37" t="str">
        <f>IFERROR(VLOOKUP($B522,'MATRICE ARTICLE'!$A$2:$N$1395,2,FALSE),"")</f>
        <v/>
      </c>
      <c r="E522" s="37" t="str">
        <f t="shared" si="33"/>
        <v/>
      </c>
      <c r="F522" s="37" t="str">
        <f>IFERROR(VLOOKUP($B522,'MATRICE ARTICLE'!$A$2:$N$1395,9,FALSE),"")</f>
        <v/>
      </c>
      <c r="G522" s="37" t="str">
        <f>IFERROR(VLOOKUP($B522,'MATRICE ARTICLE'!$A$2:$N$1395,14,FALSE),"")</f>
        <v/>
      </c>
      <c r="H522" s="48" t="str">
        <f t="shared" si="34"/>
        <v/>
      </c>
      <c r="I522" s="48" t="str">
        <f t="shared" si="35"/>
        <v/>
      </c>
    </row>
    <row r="523" spans="2:9">
      <c r="B523" s="57" t="str">
        <f t="shared" si="32"/>
        <v/>
      </c>
      <c r="C523" s="57"/>
      <c r="D523" s="37" t="str">
        <f>IFERROR(VLOOKUP($B523,'MATRICE ARTICLE'!$A$2:$N$1395,2,FALSE),"")</f>
        <v/>
      </c>
      <c r="E523" s="37" t="str">
        <f t="shared" si="33"/>
        <v/>
      </c>
      <c r="F523" s="37" t="str">
        <f>IFERROR(VLOOKUP($B523,'MATRICE ARTICLE'!$A$2:$N$1395,9,FALSE),"")</f>
        <v/>
      </c>
      <c r="G523" s="37" t="str">
        <f>IFERROR(VLOOKUP($B523,'MATRICE ARTICLE'!$A$2:$N$1395,14,FALSE),"")</f>
        <v/>
      </c>
      <c r="H523" s="48" t="str">
        <f t="shared" si="34"/>
        <v/>
      </c>
      <c r="I523" s="48" t="str">
        <f t="shared" si="35"/>
        <v/>
      </c>
    </row>
    <row r="524" spans="2:9">
      <c r="B524" s="57" t="str">
        <f t="shared" si="32"/>
        <v/>
      </c>
      <c r="C524" s="57"/>
      <c r="D524" s="37" t="str">
        <f>IFERROR(VLOOKUP($B524,'MATRICE ARTICLE'!$A$2:$N$1395,2,FALSE),"")</f>
        <v/>
      </c>
      <c r="E524" s="37" t="str">
        <f t="shared" si="33"/>
        <v/>
      </c>
      <c r="F524" s="37" t="str">
        <f>IFERROR(VLOOKUP($B524,'MATRICE ARTICLE'!$A$2:$N$1395,9,FALSE),"")</f>
        <v/>
      </c>
      <c r="G524" s="37" t="str">
        <f>IFERROR(VLOOKUP($B524,'MATRICE ARTICLE'!$A$2:$N$1395,14,FALSE),"")</f>
        <v/>
      </c>
      <c r="H524" s="48" t="str">
        <f t="shared" si="34"/>
        <v/>
      </c>
      <c r="I524" s="48" t="str">
        <f t="shared" si="35"/>
        <v/>
      </c>
    </row>
    <row r="525" spans="2:9">
      <c r="B525" s="57" t="str">
        <f t="shared" si="32"/>
        <v/>
      </c>
      <c r="C525" s="57"/>
      <c r="D525" s="37" t="str">
        <f>IFERROR(VLOOKUP($B525,'MATRICE ARTICLE'!$A$2:$N$1395,2,FALSE),"")</f>
        <v/>
      </c>
      <c r="E525" s="37" t="str">
        <f t="shared" si="33"/>
        <v/>
      </c>
      <c r="F525" s="37" t="str">
        <f>IFERROR(VLOOKUP($B525,'MATRICE ARTICLE'!$A$2:$N$1395,9,FALSE),"")</f>
        <v/>
      </c>
      <c r="G525" s="37" t="str">
        <f>IFERROR(VLOOKUP($B525,'MATRICE ARTICLE'!$A$2:$N$1395,14,FALSE),"")</f>
        <v/>
      </c>
      <c r="H525" s="48" t="str">
        <f t="shared" si="34"/>
        <v/>
      </c>
      <c r="I525" s="48" t="str">
        <f t="shared" si="35"/>
        <v/>
      </c>
    </row>
    <row r="526" spans="2:9">
      <c r="B526" s="57" t="str">
        <f t="shared" si="32"/>
        <v/>
      </c>
      <c r="C526" s="57"/>
      <c r="D526" s="37" t="str">
        <f>IFERROR(VLOOKUP($B526,'MATRICE ARTICLE'!$A$2:$N$1395,2,FALSE),"")</f>
        <v/>
      </c>
      <c r="E526" s="37" t="str">
        <f t="shared" si="33"/>
        <v/>
      </c>
      <c r="F526" s="37" t="str">
        <f>IFERROR(VLOOKUP($B526,'MATRICE ARTICLE'!$A$2:$N$1395,9,FALSE),"")</f>
        <v/>
      </c>
      <c r="G526" s="37" t="str">
        <f>IFERROR(VLOOKUP($B526,'MATRICE ARTICLE'!$A$2:$N$1395,14,FALSE),"")</f>
        <v/>
      </c>
      <c r="H526" s="48" t="str">
        <f t="shared" si="34"/>
        <v/>
      </c>
      <c r="I526" s="48" t="str">
        <f t="shared" si="35"/>
        <v/>
      </c>
    </row>
    <row r="527" spans="2:9">
      <c r="B527" s="57" t="str">
        <f t="shared" si="32"/>
        <v/>
      </c>
      <c r="C527" s="57"/>
      <c r="D527" s="37" t="str">
        <f>IFERROR(VLOOKUP($B527,'MATRICE ARTICLE'!$A$2:$N$1395,2,FALSE),"")</f>
        <v/>
      </c>
      <c r="E527" s="37" t="str">
        <f t="shared" si="33"/>
        <v/>
      </c>
      <c r="F527" s="37" t="str">
        <f>IFERROR(VLOOKUP($B527,'MATRICE ARTICLE'!$A$2:$N$1395,9,FALSE),"")</f>
        <v/>
      </c>
      <c r="G527" s="37" t="str">
        <f>IFERROR(VLOOKUP($B527,'MATRICE ARTICLE'!$A$2:$N$1395,14,FALSE),"")</f>
        <v/>
      </c>
      <c r="H527" s="48" t="str">
        <f t="shared" si="34"/>
        <v/>
      </c>
      <c r="I527" s="48" t="str">
        <f t="shared" si="35"/>
        <v/>
      </c>
    </row>
    <row r="528" spans="2:9">
      <c r="B528" s="57" t="str">
        <f t="shared" si="32"/>
        <v/>
      </c>
      <c r="C528" s="57"/>
      <c r="D528" s="37" t="str">
        <f>IFERROR(VLOOKUP($B528,'MATRICE ARTICLE'!$A$2:$N$1395,2,FALSE),"")</f>
        <v/>
      </c>
      <c r="E528" s="37" t="str">
        <f t="shared" si="33"/>
        <v/>
      </c>
      <c r="F528" s="37" t="str">
        <f>IFERROR(VLOOKUP($B528,'MATRICE ARTICLE'!$A$2:$N$1395,9,FALSE),"")</f>
        <v/>
      </c>
      <c r="G528" s="37" t="str">
        <f>IFERROR(VLOOKUP($B528,'MATRICE ARTICLE'!$A$2:$N$1395,14,FALSE),"")</f>
        <v/>
      </c>
      <c r="H528" s="48" t="str">
        <f t="shared" si="34"/>
        <v/>
      </c>
      <c r="I528" s="48" t="str">
        <f t="shared" si="35"/>
        <v/>
      </c>
    </row>
    <row r="529" spans="2:9">
      <c r="B529" s="57" t="str">
        <f t="shared" si="32"/>
        <v/>
      </c>
      <c r="C529" s="57"/>
      <c r="D529" s="37" t="str">
        <f>IFERROR(VLOOKUP($B529,'MATRICE ARTICLE'!$A$2:$N$1395,2,FALSE),"")</f>
        <v/>
      </c>
      <c r="E529" s="37" t="str">
        <f t="shared" si="33"/>
        <v/>
      </c>
      <c r="F529" s="37" t="str">
        <f>IFERROR(VLOOKUP($B529,'MATRICE ARTICLE'!$A$2:$N$1395,9,FALSE),"")</f>
        <v/>
      </c>
      <c r="G529" s="37" t="str">
        <f>IFERROR(VLOOKUP($B529,'MATRICE ARTICLE'!$A$2:$N$1395,14,FALSE),"")</f>
        <v/>
      </c>
      <c r="H529" s="48" t="str">
        <f t="shared" si="34"/>
        <v/>
      </c>
      <c r="I529" s="48" t="str">
        <f t="shared" si="35"/>
        <v/>
      </c>
    </row>
    <row r="530" spans="2:9">
      <c r="B530" s="57" t="str">
        <f t="shared" si="32"/>
        <v/>
      </c>
      <c r="C530" s="57"/>
      <c r="D530" s="37" t="str">
        <f>IFERROR(VLOOKUP($B530,'MATRICE ARTICLE'!$A$2:$N$1395,2,FALSE),"")</f>
        <v/>
      </c>
      <c r="E530" s="37" t="str">
        <f t="shared" si="33"/>
        <v/>
      </c>
      <c r="F530" s="37" t="str">
        <f>IFERROR(VLOOKUP($B530,'MATRICE ARTICLE'!$A$2:$N$1395,9,FALSE),"")</f>
        <v/>
      </c>
      <c r="G530" s="37" t="str">
        <f>IFERROR(VLOOKUP($B530,'MATRICE ARTICLE'!$A$2:$N$1395,14,FALSE),"")</f>
        <v/>
      </c>
      <c r="H530" s="48" t="str">
        <f t="shared" si="34"/>
        <v/>
      </c>
      <c r="I530" s="48" t="str">
        <f t="shared" si="35"/>
        <v/>
      </c>
    </row>
    <row r="531" spans="2:9">
      <c r="B531" s="57" t="str">
        <f t="shared" si="32"/>
        <v/>
      </c>
      <c r="C531" s="57"/>
      <c r="D531" s="37" t="str">
        <f>IFERROR(VLOOKUP($B531,'MATRICE ARTICLE'!$A$2:$N$1395,2,FALSE),"")</f>
        <v/>
      </c>
      <c r="E531" s="37" t="str">
        <f t="shared" si="33"/>
        <v/>
      </c>
      <c r="F531" s="37" t="str">
        <f>IFERROR(VLOOKUP($B531,'MATRICE ARTICLE'!$A$2:$N$1395,9,FALSE),"")</f>
        <v/>
      </c>
      <c r="G531" s="37" t="str">
        <f>IFERROR(VLOOKUP($B531,'MATRICE ARTICLE'!$A$2:$N$1395,14,FALSE),"")</f>
        <v/>
      </c>
      <c r="H531" s="48" t="str">
        <f t="shared" si="34"/>
        <v/>
      </c>
      <c r="I531" s="48" t="str">
        <f t="shared" si="35"/>
        <v/>
      </c>
    </row>
    <row r="532" spans="2:9">
      <c r="B532" s="57" t="str">
        <f t="shared" si="32"/>
        <v/>
      </c>
      <c r="C532" s="57"/>
      <c r="D532" s="37" t="str">
        <f>IFERROR(VLOOKUP($B532,'MATRICE ARTICLE'!$A$2:$N$1395,2,FALSE),"")</f>
        <v/>
      </c>
      <c r="E532" s="37" t="str">
        <f t="shared" si="33"/>
        <v/>
      </c>
      <c r="F532" s="37" t="str">
        <f>IFERROR(VLOOKUP($B532,'MATRICE ARTICLE'!$A$2:$N$1395,9,FALSE),"")</f>
        <v/>
      </c>
      <c r="G532" s="37" t="str">
        <f>IFERROR(VLOOKUP($B532,'MATRICE ARTICLE'!$A$2:$N$1395,14,FALSE),"")</f>
        <v/>
      </c>
      <c r="H532" s="48" t="str">
        <f t="shared" si="34"/>
        <v/>
      </c>
      <c r="I532" s="48" t="str">
        <f t="shared" si="35"/>
        <v/>
      </c>
    </row>
    <row r="533" spans="2:9">
      <c r="B533" s="57" t="str">
        <f t="shared" si="32"/>
        <v/>
      </c>
      <c r="C533" s="57"/>
      <c r="D533" s="37" t="str">
        <f>IFERROR(VLOOKUP($B533,'MATRICE ARTICLE'!$A$2:$N$1395,2,FALSE),"")</f>
        <v/>
      </c>
      <c r="E533" s="37" t="str">
        <f t="shared" si="33"/>
        <v/>
      </c>
      <c r="F533" s="37" t="str">
        <f>IFERROR(VLOOKUP($B533,'MATRICE ARTICLE'!$A$2:$N$1395,9,FALSE),"")</f>
        <v/>
      </c>
      <c r="G533" s="37" t="str">
        <f>IFERROR(VLOOKUP($B533,'MATRICE ARTICLE'!$A$2:$N$1395,14,FALSE),"")</f>
        <v/>
      </c>
      <c r="H533" s="48" t="str">
        <f t="shared" si="34"/>
        <v/>
      </c>
      <c r="I533" s="48" t="str">
        <f t="shared" si="35"/>
        <v/>
      </c>
    </row>
    <row r="534" spans="2:9">
      <c r="B534" s="57" t="str">
        <f t="shared" si="32"/>
        <v/>
      </c>
      <c r="C534" s="57"/>
      <c r="D534" s="37" t="str">
        <f>IFERROR(VLOOKUP($B534,'MATRICE ARTICLE'!$A$2:$N$1395,2,FALSE),"")</f>
        <v/>
      </c>
      <c r="E534" s="37" t="str">
        <f t="shared" si="33"/>
        <v/>
      </c>
      <c r="F534" s="37" t="str">
        <f>IFERROR(VLOOKUP($B534,'MATRICE ARTICLE'!$A$2:$N$1395,9,FALSE),"")</f>
        <v/>
      </c>
      <c r="G534" s="37" t="str">
        <f>IFERROR(VLOOKUP($B534,'MATRICE ARTICLE'!$A$2:$N$1395,14,FALSE),"")</f>
        <v/>
      </c>
      <c r="H534" s="48" t="str">
        <f t="shared" si="34"/>
        <v/>
      </c>
      <c r="I534" s="48" t="str">
        <f t="shared" si="35"/>
        <v/>
      </c>
    </row>
    <row r="535" spans="2:9">
      <c r="B535" s="57" t="str">
        <f t="shared" si="32"/>
        <v/>
      </c>
      <c r="C535" s="57"/>
      <c r="D535" s="37" t="str">
        <f>IFERROR(VLOOKUP($B535,'MATRICE ARTICLE'!$A$2:$N$1395,2,FALSE),"")</f>
        <v/>
      </c>
      <c r="E535" s="37" t="str">
        <f t="shared" si="33"/>
        <v/>
      </c>
      <c r="F535" s="37" t="str">
        <f>IFERROR(VLOOKUP($B535,'MATRICE ARTICLE'!$A$2:$N$1395,9,FALSE),"")</f>
        <v/>
      </c>
      <c r="G535" s="37" t="str">
        <f>IFERROR(VLOOKUP($B535,'MATRICE ARTICLE'!$A$2:$N$1395,14,FALSE),"")</f>
        <v/>
      </c>
      <c r="H535" s="48" t="str">
        <f t="shared" si="34"/>
        <v/>
      </c>
      <c r="I535" s="48" t="str">
        <f t="shared" si="35"/>
        <v/>
      </c>
    </row>
    <row r="536" spans="2:9">
      <c r="B536" s="57" t="str">
        <f t="shared" si="32"/>
        <v/>
      </c>
      <c r="C536" s="57"/>
      <c r="D536" s="37" t="str">
        <f>IFERROR(VLOOKUP($B536,'MATRICE ARTICLE'!$A$2:$N$1395,2,FALSE),"")</f>
        <v/>
      </c>
      <c r="E536" s="37" t="str">
        <f t="shared" si="33"/>
        <v/>
      </c>
      <c r="F536" s="37" t="str">
        <f>IFERROR(VLOOKUP($B536,'MATRICE ARTICLE'!$A$2:$N$1395,9,FALSE),"")</f>
        <v/>
      </c>
      <c r="G536" s="37" t="str">
        <f>IFERROR(VLOOKUP($B536,'MATRICE ARTICLE'!$A$2:$N$1395,14,FALSE),"")</f>
        <v/>
      </c>
      <c r="H536" s="48" t="str">
        <f t="shared" si="34"/>
        <v/>
      </c>
      <c r="I536" s="48" t="str">
        <f t="shared" si="35"/>
        <v/>
      </c>
    </row>
    <row r="537" spans="2:9">
      <c r="B537" s="57" t="str">
        <f t="shared" si="32"/>
        <v/>
      </c>
      <c r="C537" s="57"/>
      <c r="D537" s="37" t="str">
        <f>IFERROR(VLOOKUP($B537,'MATRICE ARTICLE'!$A$2:$N$1395,2,FALSE),"")</f>
        <v/>
      </c>
      <c r="E537" s="37" t="str">
        <f t="shared" si="33"/>
        <v/>
      </c>
      <c r="F537" s="37" t="str">
        <f>IFERROR(VLOOKUP($B537,'MATRICE ARTICLE'!$A$2:$N$1395,9,FALSE),"")</f>
        <v/>
      </c>
      <c r="G537" s="37" t="str">
        <f>IFERROR(VLOOKUP($B537,'MATRICE ARTICLE'!$A$2:$N$1395,14,FALSE),"")</f>
        <v/>
      </c>
      <c r="H537" s="48" t="str">
        <f t="shared" si="34"/>
        <v/>
      </c>
      <c r="I537" s="48" t="str">
        <f t="shared" si="35"/>
        <v/>
      </c>
    </row>
    <row r="538" spans="2:9">
      <c r="B538" s="57" t="str">
        <f t="shared" si="32"/>
        <v/>
      </c>
      <c r="C538" s="57"/>
      <c r="D538" s="37" t="str">
        <f>IFERROR(VLOOKUP($B538,'MATRICE ARTICLE'!$A$2:$N$1395,2,FALSE),"")</f>
        <v/>
      </c>
      <c r="E538" s="37" t="str">
        <f t="shared" si="33"/>
        <v/>
      </c>
      <c r="F538" s="37" t="str">
        <f>IFERROR(VLOOKUP($B538,'MATRICE ARTICLE'!$A$2:$N$1395,9,FALSE),"")</f>
        <v/>
      </c>
      <c r="G538" s="37" t="str">
        <f>IFERROR(VLOOKUP($B538,'MATRICE ARTICLE'!$A$2:$N$1395,14,FALSE),"")</f>
        <v/>
      </c>
      <c r="H538" s="48" t="str">
        <f t="shared" si="34"/>
        <v/>
      </c>
      <c r="I538" s="48" t="str">
        <f t="shared" si="35"/>
        <v/>
      </c>
    </row>
    <row r="539" spans="2:9">
      <c r="B539" s="57" t="str">
        <f t="shared" si="32"/>
        <v/>
      </c>
      <c r="C539" s="57"/>
      <c r="D539" s="37" t="str">
        <f>IFERROR(VLOOKUP($B539,'MATRICE ARTICLE'!$A$2:$N$1395,2,FALSE),"")</f>
        <v/>
      </c>
      <c r="E539" s="37" t="str">
        <f t="shared" si="33"/>
        <v/>
      </c>
      <c r="F539" s="37" t="str">
        <f>IFERROR(VLOOKUP($B539,'MATRICE ARTICLE'!$A$2:$N$1395,9,FALSE),"")</f>
        <v/>
      </c>
      <c r="G539" s="37" t="str">
        <f>IFERROR(VLOOKUP($B539,'MATRICE ARTICLE'!$A$2:$N$1395,14,FALSE),"")</f>
        <v/>
      </c>
      <c r="H539" s="48" t="str">
        <f t="shared" si="34"/>
        <v/>
      </c>
      <c r="I539" s="48" t="str">
        <f t="shared" si="35"/>
        <v/>
      </c>
    </row>
    <row r="540" spans="2:9">
      <c r="B540" s="57" t="str">
        <f t="shared" si="32"/>
        <v/>
      </c>
      <c r="C540" s="57"/>
      <c r="D540" s="37" t="str">
        <f>IFERROR(VLOOKUP($B540,'MATRICE ARTICLE'!$A$2:$N$1395,2,FALSE),"")</f>
        <v/>
      </c>
      <c r="E540" s="37" t="str">
        <f t="shared" si="33"/>
        <v/>
      </c>
      <c r="F540" s="37" t="str">
        <f>IFERROR(VLOOKUP($B540,'MATRICE ARTICLE'!$A$2:$N$1395,9,FALSE),"")</f>
        <v/>
      </c>
      <c r="G540" s="37" t="str">
        <f>IFERROR(VLOOKUP($B540,'MATRICE ARTICLE'!$A$2:$N$1395,14,FALSE),"")</f>
        <v/>
      </c>
      <c r="H540" s="48" t="str">
        <f t="shared" si="34"/>
        <v/>
      </c>
      <c r="I540" s="48" t="str">
        <f t="shared" si="35"/>
        <v/>
      </c>
    </row>
    <row r="541" spans="2:9">
      <c r="B541" s="57" t="str">
        <f t="shared" si="32"/>
        <v/>
      </c>
      <c r="C541" s="57"/>
      <c r="D541" s="37" t="str">
        <f>IFERROR(VLOOKUP($B541,'MATRICE ARTICLE'!$A$2:$N$1395,2,FALSE),"")</f>
        <v/>
      </c>
      <c r="E541" s="37" t="str">
        <f t="shared" si="33"/>
        <v/>
      </c>
      <c r="F541" s="37" t="str">
        <f>IFERROR(VLOOKUP($B541,'MATRICE ARTICLE'!$A$2:$N$1395,9,FALSE),"")</f>
        <v/>
      </c>
      <c r="G541" s="37" t="str">
        <f>IFERROR(VLOOKUP($B541,'MATRICE ARTICLE'!$A$2:$N$1395,14,FALSE),"")</f>
        <v/>
      </c>
      <c r="H541" s="48" t="str">
        <f t="shared" si="34"/>
        <v/>
      </c>
      <c r="I541" s="48" t="str">
        <f t="shared" si="35"/>
        <v/>
      </c>
    </row>
    <row r="542" spans="2:9">
      <c r="B542" s="57" t="str">
        <f t="shared" si="32"/>
        <v/>
      </c>
      <c r="C542" s="57"/>
      <c r="D542" s="37" t="str">
        <f>IFERROR(VLOOKUP($B542,'MATRICE ARTICLE'!$A$2:$N$1395,2,FALSE),"")</f>
        <v/>
      </c>
      <c r="E542" s="37" t="str">
        <f t="shared" si="33"/>
        <v/>
      </c>
      <c r="F542" s="37" t="str">
        <f>IFERROR(VLOOKUP($B542,'MATRICE ARTICLE'!$A$2:$N$1395,9,FALSE),"")</f>
        <v/>
      </c>
      <c r="G542" s="37" t="str">
        <f>IFERROR(VLOOKUP($B542,'MATRICE ARTICLE'!$A$2:$N$1395,14,FALSE),"")</f>
        <v/>
      </c>
      <c r="H542" s="48" t="str">
        <f t="shared" si="34"/>
        <v/>
      </c>
      <c r="I542" s="48" t="str">
        <f t="shared" si="35"/>
        <v/>
      </c>
    </row>
    <row r="543" spans="2:9">
      <c r="B543" s="57" t="str">
        <f t="shared" si="32"/>
        <v/>
      </c>
      <c r="C543" s="57"/>
      <c r="D543" s="37" t="str">
        <f>IFERROR(VLOOKUP($B543,'MATRICE ARTICLE'!$A$2:$N$1395,2,FALSE),"")</f>
        <v/>
      </c>
      <c r="E543" s="37" t="str">
        <f t="shared" si="33"/>
        <v/>
      </c>
      <c r="F543" s="37" t="str">
        <f>IFERROR(VLOOKUP($B543,'MATRICE ARTICLE'!$A$2:$N$1395,9,FALSE),"")</f>
        <v/>
      </c>
      <c r="G543" s="37" t="str">
        <f>IFERROR(VLOOKUP($B543,'MATRICE ARTICLE'!$A$2:$N$1395,14,FALSE),"")</f>
        <v/>
      </c>
      <c r="H543" s="48" t="str">
        <f t="shared" si="34"/>
        <v/>
      </c>
      <c r="I543" s="48" t="str">
        <f t="shared" si="35"/>
        <v/>
      </c>
    </row>
    <row r="544" spans="2:9">
      <c r="B544" s="57" t="str">
        <f t="shared" si="32"/>
        <v/>
      </c>
      <c r="C544" s="57"/>
      <c r="D544" s="37" t="str">
        <f>IFERROR(VLOOKUP($B544,'MATRICE ARTICLE'!$A$2:$N$1395,2,FALSE),"")</f>
        <v/>
      </c>
      <c r="E544" s="37" t="str">
        <f t="shared" si="33"/>
        <v/>
      </c>
      <c r="F544" s="37" t="str">
        <f>IFERROR(VLOOKUP($B544,'MATRICE ARTICLE'!$A$2:$N$1395,9,FALSE),"")</f>
        <v/>
      </c>
      <c r="G544" s="37" t="str">
        <f>IFERROR(VLOOKUP($B544,'MATRICE ARTICLE'!$A$2:$N$1395,14,FALSE),"")</f>
        <v/>
      </c>
      <c r="H544" s="48" t="str">
        <f t="shared" si="34"/>
        <v/>
      </c>
      <c r="I544" s="48" t="str">
        <f t="shared" si="35"/>
        <v/>
      </c>
    </row>
    <row r="545" spans="2:9">
      <c r="B545" s="57" t="str">
        <f t="shared" si="32"/>
        <v/>
      </c>
      <c r="C545" s="57"/>
      <c r="D545" s="37" t="str">
        <f>IFERROR(VLOOKUP($B545,'MATRICE ARTICLE'!$A$2:$N$1395,2,FALSE),"")</f>
        <v/>
      </c>
      <c r="E545" s="37" t="str">
        <f t="shared" si="33"/>
        <v/>
      </c>
      <c r="F545" s="37" t="str">
        <f>IFERROR(VLOOKUP($B545,'MATRICE ARTICLE'!$A$2:$N$1395,9,FALSE),"")</f>
        <v/>
      </c>
      <c r="G545" s="37" t="str">
        <f>IFERROR(VLOOKUP($B545,'MATRICE ARTICLE'!$A$2:$N$1395,14,FALSE),"")</f>
        <v/>
      </c>
      <c r="H545" s="48" t="str">
        <f t="shared" si="34"/>
        <v/>
      </c>
      <c r="I545" s="48" t="str">
        <f t="shared" si="35"/>
        <v/>
      </c>
    </row>
    <row r="546" spans="2:9">
      <c r="B546" s="57" t="str">
        <f t="shared" si="32"/>
        <v/>
      </c>
      <c r="C546" s="57"/>
      <c r="D546" s="37" t="str">
        <f>IFERROR(VLOOKUP($B546,'MATRICE ARTICLE'!$A$2:$N$1395,2,FALSE),"")</f>
        <v/>
      </c>
      <c r="E546" s="37" t="str">
        <f t="shared" si="33"/>
        <v/>
      </c>
      <c r="F546" s="37" t="str">
        <f>IFERROR(VLOOKUP($B546,'MATRICE ARTICLE'!$A$2:$N$1395,9,FALSE),"")</f>
        <v/>
      </c>
      <c r="G546" s="37" t="str">
        <f>IFERROR(VLOOKUP($B546,'MATRICE ARTICLE'!$A$2:$N$1395,14,FALSE),"")</f>
        <v/>
      </c>
      <c r="H546" s="48" t="str">
        <f t="shared" si="34"/>
        <v/>
      </c>
      <c r="I546" s="48" t="str">
        <f t="shared" si="35"/>
        <v/>
      </c>
    </row>
    <row r="547" spans="2:9">
      <c r="B547" s="57" t="str">
        <f t="shared" si="32"/>
        <v/>
      </c>
      <c r="C547" s="57"/>
      <c r="D547" s="37" t="str">
        <f>IFERROR(VLOOKUP($B547,'MATRICE ARTICLE'!$A$2:$N$1395,2,FALSE),"")</f>
        <v/>
      </c>
      <c r="E547" s="37" t="str">
        <f t="shared" si="33"/>
        <v/>
      </c>
      <c r="F547" s="37" t="str">
        <f>IFERROR(VLOOKUP($B547,'MATRICE ARTICLE'!$A$2:$N$1395,9,FALSE),"")</f>
        <v/>
      </c>
      <c r="G547" s="37" t="str">
        <f>IFERROR(VLOOKUP($B547,'MATRICE ARTICLE'!$A$2:$N$1395,14,FALSE),"")</f>
        <v/>
      </c>
      <c r="H547" s="48" t="str">
        <f t="shared" si="34"/>
        <v/>
      </c>
      <c r="I547" s="48" t="str">
        <f t="shared" si="35"/>
        <v/>
      </c>
    </row>
    <row r="548" spans="2:9">
      <c r="B548" s="57" t="str">
        <f t="shared" si="32"/>
        <v/>
      </c>
      <c r="C548" s="57"/>
      <c r="D548" s="37" t="str">
        <f>IFERROR(VLOOKUP($B548,'MATRICE ARTICLE'!$A$2:$N$1395,2,FALSE),"")</f>
        <v/>
      </c>
      <c r="E548" s="37" t="str">
        <f t="shared" si="33"/>
        <v/>
      </c>
      <c r="F548" s="37" t="str">
        <f>IFERROR(VLOOKUP($B548,'MATRICE ARTICLE'!$A$2:$N$1395,9,FALSE),"")</f>
        <v/>
      </c>
      <c r="G548" s="37" t="str">
        <f>IFERROR(VLOOKUP($B548,'MATRICE ARTICLE'!$A$2:$N$1395,14,FALSE),"")</f>
        <v/>
      </c>
      <c r="H548" s="48" t="str">
        <f t="shared" si="34"/>
        <v/>
      </c>
      <c r="I548" s="48" t="str">
        <f t="shared" si="35"/>
        <v/>
      </c>
    </row>
    <row r="549" spans="2:9">
      <c r="B549" s="57" t="str">
        <f t="shared" si="32"/>
        <v/>
      </c>
      <c r="C549" s="57"/>
      <c r="D549" s="37" t="str">
        <f>IFERROR(VLOOKUP($B549,'MATRICE ARTICLE'!$A$2:$N$1395,2,FALSE),"")</f>
        <v/>
      </c>
      <c r="E549" s="37" t="str">
        <f t="shared" si="33"/>
        <v/>
      </c>
      <c r="F549" s="37" t="str">
        <f>IFERROR(VLOOKUP($B549,'MATRICE ARTICLE'!$A$2:$N$1395,9,FALSE),"")</f>
        <v/>
      </c>
      <c r="G549" s="37" t="str">
        <f>IFERROR(VLOOKUP($B549,'MATRICE ARTICLE'!$A$2:$N$1395,14,FALSE),"")</f>
        <v/>
      </c>
      <c r="H549" s="48" t="str">
        <f t="shared" si="34"/>
        <v/>
      </c>
      <c r="I549" s="48" t="str">
        <f t="shared" si="35"/>
        <v/>
      </c>
    </row>
    <row r="550" spans="2:9">
      <c r="B550" s="57" t="str">
        <f t="shared" si="32"/>
        <v/>
      </c>
      <c r="C550" s="57"/>
      <c r="D550" s="37" t="str">
        <f>IFERROR(VLOOKUP($B550,'MATRICE ARTICLE'!$A$2:$N$1395,2,FALSE),"")</f>
        <v/>
      </c>
      <c r="E550" s="37" t="str">
        <f t="shared" si="33"/>
        <v/>
      </c>
      <c r="F550" s="37" t="str">
        <f>IFERROR(VLOOKUP($B550,'MATRICE ARTICLE'!$A$2:$N$1395,9,FALSE),"")</f>
        <v/>
      </c>
      <c r="G550" s="37" t="str">
        <f>IFERROR(VLOOKUP($B550,'MATRICE ARTICLE'!$A$2:$N$1395,14,FALSE),"")</f>
        <v/>
      </c>
      <c r="H550" s="48" t="str">
        <f t="shared" si="34"/>
        <v/>
      </c>
      <c r="I550" s="48" t="str">
        <f t="shared" si="35"/>
        <v/>
      </c>
    </row>
    <row r="551" spans="2:9">
      <c r="B551" s="57" t="str">
        <f t="shared" si="32"/>
        <v/>
      </c>
      <c r="C551" s="57"/>
      <c r="D551" s="37" t="str">
        <f>IFERROR(VLOOKUP($B551,'MATRICE ARTICLE'!$A$2:$N$1395,2,FALSE),"")</f>
        <v/>
      </c>
      <c r="E551" s="37" t="str">
        <f t="shared" si="33"/>
        <v/>
      </c>
      <c r="F551" s="37" t="str">
        <f>IFERROR(VLOOKUP($B551,'MATRICE ARTICLE'!$A$2:$N$1395,9,FALSE),"")</f>
        <v/>
      </c>
      <c r="G551" s="37" t="str">
        <f>IFERROR(VLOOKUP($B551,'MATRICE ARTICLE'!$A$2:$N$1395,14,FALSE),"")</f>
        <v/>
      </c>
      <c r="H551" s="48" t="str">
        <f t="shared" si="34"/>
        <v/>
      </c>
      <c r="I551" s="48" t="str">
        <f t="shared" si="35"/>
        <v/>
      </c>
    </row>
    <row r="552" spans="2:9">
      <c r="B552" s="57" t="str">
        <f t="shared" si="32"/>
        <v/>
      </c>
      <c r="C552" s="57"/>
      <c r="D552" s="37" t="str">
        <f>IFERROR(VLOOKUP($B552,'MATRICE ARTICLE'!$A$2:$N$1395,2,FALSE),"")</f>
        <v/>
      </c>
      <c r="E552" s="37" t="str">
        <f t="shared" si="33"/>
        <v/>
      </c>
      <c r="F552" s="37" t="str">
        <f>IFERROR(VLOOKUP($B552,'MATRICE ARTICLE'!$A$2:$N$1395,9,FALSE),"")</f>
        <v/>
      </c>
      <c r="G552" s="37" t="str">
        <f>IFERROR(VLOOKUP($B552,'MATRICE ARTICLE'!$A$2:$N$1395,14,FALSE),"")</f>
        <v/>
      </c>
      <c r="H552" s="48" t="str">
        <f t="shared" si="34"/>
        <v/>
      </c>
      <c r="I552" s="48" t="str">
        <f t="shared" si="35"/>
        <v/>
      </c>
    </row>
    <row r="553" spans="2:9">
      <c r="B553" s="57" t="str">
        <f t="shared" si="32"/>
        <v/>
      </c>
      <c r="C553" s="57"/>
      <c r="D553" s="37" t="str">
        <f>IFERROR(VLOOKUP($B553,'MATRICE ARTICLE'!$A$2:$N$1395,2,FALSE),"")</f>
        <v/>
      </c>
      <c r="E553" s="37" t="str">
        <f t="shared" si="33"/>
        <v/>
      </c>
      <c r="F553" s="37" t="str">
        <f>IFERROR(VLOOKUP($B553,'MATRICE ARTICLE'!$A$2:$N$1395,9,FALSE),"")</f>
        <v/>
      </c>
      <c r="G553" s="37" t="str">
        <f>IFERROR(VLOOKUP($B553,'MATRICE ARTICLE'!$A$2:$N$1395,14,FALSE),"")</f>
        <v/>
      </c>
      <c r="H553" s="48" t="str">
        <f t="shared" si="34"/>
        <v/>
      </c>
      <c r="I553" s="48" t="str">
        <f t="shared" si="35"/>
        <v/>
      </c>
    </row>
    <row r="554" spans="2:9">
      <c r="B554" s="57" t="str">
        <f t="shared" si="32"/>
        <v/>
      </c>
      <c r="C554" s="57"/>
      <c r="D554" s="37" t="str">
        <f>IFERROR(VLOOKUP($B554,'MATRICE ARTICLE'!$A$2:$N$1395,2,FALSE),"")</f>
        <v/>
      </c>
      <c r="E554" s="37" t="str">
        <f t="shared" si="33"/>
        <v/>
      </c>
      <c r="F554" s="37" t="str">
        <f>IFERROR(VLOOKUP($B554,'MATRICE ARTICLE'!$A$2:$N$1395,9,FALSE),"")</f>
        <v/>
      </c>
      <c r="G554" s="37" t="str">
        <f>IFERROR(VLOOKUP($B554,'MATRICE ARTICLE'!$A$2:$N$1395,14,FALSE),"")</f>
        <v/>
      </c>
      <c r="H554" s="48" t="str">
        <f t="shared" si="34"/>
        <v/>
      </c>
      <c r="I554" s="48" t="str">
        <f t="shared" si="35"/>
        <v/>
      </c>
    </row>
    <row r="555" spans="2:9">
      <c r="B555" s="57" t="str">
        <f t="shared" si="32"/>
        <v/>
      </c>
      <c r="C555" s="57"/>
      <c r="D555" s="37" t="str">
        <f>IFERROR(VLOOKUP($B555,'MATRICE ARTICLE'!$A$2:$N$1395,2,FALSE),"")</f>
        <v/>
      </c>
      <c r="E555" s="37" t="str">
        <f t="shared" si="33"/>
        <v/>
      </c>
      <c r="F555" s="37" t="str">
        <f>IFERROR(VLOOKUP($B555,'MATRICE ARTICLE'!$A$2:$N$1395,9,FALSE),"")</f>
        <v/>
      </c>
      <c r="G555" s="37" t="str">
        <f>IFERROR(VLOOKUP($B555,'MATRICE ARTICLE'!$A$2:$N$1395,14,FALSE),"")</f>
        <v/>
      </c>
      <c r="H555" s="48" t="str">
        <f t="shared" si="34"/>
        <v/>
      </c>
      <c r="I555" s="48" t="str">
        <f t="shared" si="35"/>
        <v/>
      </c>
    </row>
    <row r="556" spans="2:9">
      <c r="B556" s="57" t="str">
        <f t="shared" si="32"/>
        <v/>
      </c>
      <c r="C556" s="57"/>
      <c r="D556" s="37" t="str">
        <f>IFERROR(VLOOKUP($B556,'MATRICE ARTICLE'!$A$2:$N$1395,2,FALSE),"")</f>
        <v/>
      </c>
      <c r="E556" s="37" t="str">
        <f t="shared" si="33"/>
        <v/>
      </c>
      <c r="F556" s="37" t="str">
        <f>IFERROR(VLOOKUP($B556,'MATRICE ARTICLE'!$A$2:$N$1395,9,FALSE),"")</f>
        <v/>
      </c>
      <c r="G556" s="37" t="str">
        <f>IFERROR(VLOOKUP($B556,'MATRICE ARTICLE'!$A$2:$N$1395,14,FALSE),"")</f>
        <v/>
      </c>
      <c r="H556" s="48" t="str">
        <f t="shared" si="34"/>
        <v/>
      </c>
      <c r="I556" s="48" t="str">
        <f t="shared" si="35"/>
        <v/>
      </c>
    </row>
    <row r="557" spans="2:9">
      <c r="B557" s="57" t="str">
        <f t="shared" si="32"/>
        <v/>
      </c>
      <c r="C557" s="57"/>
      <c r="D557" s="37" t="str">
        <f>IFERROR(VLOOKUP($B557,'MATRICE ARTICLE'!$A$2:$N$1395,2,FALSE),"")</f>
        <v/>
      </c>
      <c r="E557" s="37" t="str">
        <f t="shared" si="33"/>
        <v/>
      </c>
      <c r="F557" s="37" t="str">
        <f>IFERROR(VLOOKUP($B557,'MATRICE ARTICLE'!$A$2:$N$1395,9,FALSE),"")</f>
        <v/>
      </c>
      <c r="G557" s="37" t="str">
        <f>IFERROR(VLOOKUP($B557,'MATRICE ARTICLE'!$A$2:$N$1395,14,FALSE),"")</f>
        <v/>
      </c>
      <c r="H557" s="48" t="str">
        <f t="shared" si="34"/>
        <v/>
      </c>
      <c r="I557" s="48" t="str">
        <f t="shared" si="35"/>
        <v/>
      </c>
    </row>
    <row r="558" spans="2:9">
      <c r="B558" s="57" t="str">
        <f t="shared" si="32"/>
        <v/>
      </c>
      <c r="C558" s="57"/>
      <c r="D558" s="37" t="str">
        <f>IFERROR(VLOOKUP($B558,'MATRICE ARTICLE'!$A$2:$N$1395,2,FALSE),"")</f>
        <v/>
      </c>
      <c r="E558" s="37" t="str">
        <f t="shared" si="33"/>
        <v/>
      </c>
      <c r="F558" s="37" t="str">
        <f>IFERROR(VLOOKUP($B558,'MATRICE ARTICLE'!$A$2:$N$1395,9,FALSE),"")</f>
        <v/>
      </c>
      <c r="G558" s="37" t="str">
        <f>IFERROR(VLOOKUP($B558,'MATRICE ARTICLE'!$A$2:$N$1395,14,FALSE),"")</f>
        <v/>
      </c>
      <c r="H558" s="48" t="str">
        <f t="shared" si="34"/>
        <v/>
      </c>
      <c r="I558" s="48" t="str">
        <f t="shared" si="35"/>
        <v/>
      </c>
    </row>
    <row r="559" spans="2:9">
      <c r="B559" s="57" t="str">
        <f t="shared" si="32"/>
        <v/>
      </c>
      <c r="C559" s="57"/>
      <c r="D559" s="37" t="str">
        <f>IFERROR(VLOOKUP($B559,'MATRICE ARTICLE'!$A$2:$N$1395,2,FALSE),"")</f>
        <v/>
      </c>
      <c r="E559" s="37" t="str">
        <f t="shared" si="33"/>
        <v/>
      </c>
      <c r="F559" s="37" t="str">
        <f>IFERROR(VLOOKUP($B559,'MATRICE ARTICLE'!$A$2:$N$1395,9,FALSE),"")</f>
        <v/>
      </c>
      <c r="G559" s="37" t="str">
        <f>IFERROR(VLOOKUP($B559,'MATRICE ARTICLE'!$A$2:$N$1395,14,FALSE),"")</f>
        <v/>
      </c>
      <c r="H559" s="48" t="str">
        <f t="shared" si="34"/>
        <v/>
      </c>
      <c r="I559" s="48" t="str">
        <f t="shared" si="35"/>
        <v/>
      </c>
    </row>
    <row r="560" spans="2:9">
      <c r="B560" s="57" t="str">
        <f t="shared" si="32"/>
        <v/>
      </c>
      <c r="C560" s="57"/>
      <c r="D560" s="37" t="str">
        <f>IFERROR(VLOOKUP($B560,'MATRICE ARTICLE'!$A$2:$N$1395,2,FALSE),"")</f>
        <v/>
      </c>
      <c r="E560" s="37" t="str">
        <f t="shared" si="33"/>
        <v/>
      </c>
      <c r="F560" s="37" t="str">
        <f>IFERROR(VLOOKUP($B560,'MATRICE ARTICLE'!$A$2:$N$1395,9,FALSE),"")</f>
        <v/>
      </c>
      <c r="G560" s="37" t="str">
        <f>IFERROR(VLOOKUP($B560,'MATRICE ARTICLE'!$A$2:$N$1395,14,FALSE),"")</f>
        <v/>
      </c>
      <c r="H560" s="48" t="str">
        <f t="shared" si="34"/>
        <v/>
      </c>
      <c r="I560" s="48" t="str">
        <f t="shared" si="35"/>
        <v/>
      </c>
    </row>
    <row r="561" spans="2:9">
      <c r="B561" s="57" t="str">
        <f t="shared" si="32"/>
        <v/>
      </c>
      <c r="C561" s="57"/>
      <c r="D561" s="37" t="str">
        <f>IFERROR(VLOOKUP($B561,'MATRICE ARTICLE'!$A$2:$N$1395,2,FALSE),"")</f>
        <v/>
      </c>
      <c r="E561" s="37" t="str">
        <f t="shared" si="33"/>
        <v/>
      </c>
      <c r="F561" s="37" t="str">
        <f>IFERROR(VLOOKUP($B561,'MATRICE ARTICLE'!$A$2:$N$1395,9,FALSE),"")</f>
        <v/>
      </c>
      <c r="G561" s="37" t="str">
        <f>IFERROR(VLOOKUP($B561,'MATRICE ARTICLE'!$A$2:$N$1395,14,FALSE),"")</f>
        <v/>
      </c>
      <c r="H561" s="48" t="str">
        <f t="shared" si="34"/>
        <v/>
      </c>
      <c r="I561" s="48" t="str">
        <f t="shared" si="35"/>
        <v/>
      </c>
    </row>
    <row r="562" spans="2:9">
      <c r="B562" s="57" t="str">
        <f t="shared" si="32"/>
        <v/>
      </c>
      <c r="C562" s="57"/>
      <c r="D562" s="37" t="str">
        <f>IFERROR(VLOOKUP($B562,'MATRICE ARTICLE'!$A$2:$N$1395,2,FALSE),"")</f>
        <v/>
      </c>
      <c r="E562" s="37" t="str">
        <f t="shared" si="33"/>
        <v/>
      </c>
      <c r="F562" s="37" t="str">
        <f>IFERROR(VLOOKUP($B562,'MATRICE ARTICLE'!$A$2:$N$1395,9,FALSE),"")</f>
        <v/>
      </c>
      <c r="G562" s="37" t="str">
        <f>IFERROR(VLOOKUP($B562,'MATRICE ARTICLE'!$A$2:$N$1395,14,FALSE),"")</f>
        <v/>
      </c>
      <c r="H562" s="48" t="str">
        <f t="shared" si="34"/>
        <v/>
      </c>
      <c r="I562" s="48" t="str">
        <f t="shared" si="35"/>
        <v/>
      </c>
    </row>
    <row r="563" spans="2:9">
      <c r="B563" s="57" t="str">
        <f t="shared" si="32"/>
        <v/>
      </c>
      <c r="C563" s="57"/>
      <c r="D563" s="37" t="str">
        <f>IFERROR(VLOOKUP($B563,'MATRICE ARTICLE'!$A$2:$N$1395,2,FALSE),"")</f>
        <v/>
      </c>
      <c r="E563" s="37" t="str">
        <f t="shared" si="33"/>
        <v/>
      </c>
      <c r="F563" s="37" t="str">
        <f>IFERROR(VLOOKUP($B563,'MATRICE ARTICLE'!$A$2:$N$1395,9,FALSE),"")</f>
        <v/>
      </c>
      <c r="G563" s="37" t="str">
        <f>IFERROR(VLOOKUP($B563,'MATRICE ARTICLE'!$A$2:$N$1395,14,FALSE),"")</f>
        <v/>
      </c>
      <c r="H563" s="48" t="str">
        <f t="shared" si="34"/>
        <v/>
      </c>
      <c r="I563" s="48" t="str">
        <f t="shared" si="35"/>
        <v/>
      </c>
    </row>
    <row r="564" spans="2:9">
      <c r="B564" s="57" t="str">
        <f t="shared" si="32"/>
        <v/>
      </c>
      <c r="C564" s="57"/>
      <c r="D564" s="37" t="str">
        <f>IFERROR(VLOOKUP($B564,'MATRICE ARTICLE'!$A$2:$N$1395,2,FALSE),"")</f>
        <v/>
      </c>
      <c r="E564" s="37" t="str">
        <f t="shared" si="33"/>
        <v/>
      </c>
      <c r="F564" s="37" t="str">
        <f>IFERROR(VLOOKUP($B564,'MATRICE ARTICLE'!$A$2:$N$1395,9,FALSE),"")</f>
        <v/>
      </c>
      <c r="G564" s="37" t="str">
        <f>IFERROR(VLOOKUP($B564,'MATRICE ARTICLE'!$A$2:$N$1395,14,FALSE),"")</f>
        <v/>
      </c>
      <c r="H564" s="48" t="str">
        <f t="shared" si="34"/>
        <v/>
      </c>
      <c r="I564" s="48" t="str">
        <f t="shared" si="35"/>
        <v/>
      </c>
    </row>
    <row r="565" spans="2:9">
      <c r="B565" s="57" t="str">
        <f t="shared" si="32"/>
        <v/>
      </c>
      <c r="C565" s="57"/>
      <c r="D565" s="37" t="str">
        <f>IFERROR(VLOOKUP($B565,'MATRICE ARTICLE'!$A$2:$N$1395,2,FALSE),"")</f>
        <v/>
      </c>
      <c r="E565" s="37" t="str">
        <f t="shared" si="33"/>
        <v/>
      </c>
      <c r="F565" s="37" t="str">
        <f>IFERROR(VLOOKUP($B565,'MATRICE ARTICLE'!$A$2:$N$1395,9,FALSE),"")</f>
        <v/>
      </c>
      <c r="G565" s="37" t="str">
        <f>IFERROR(VLOOKUP($B565,'MATRICE ARTICLE'!$A$2:$N$1395,14,FALSE),"")</f>
        <v/>
      </c>
      <c r="H565" s="48" t="str">
        <f t="shared" si="34"/>
        <v/>
      </c>
      <c r="I565" s="48" t="str">
        <f t="shared" si="35"/>
        <v/>
      </c>
    </row>
    <row r="566" spans="2:9">
      <c r="B566" s="57" t="str">
        <f t="shared" si="32"/>
        <v/>
      </c>
      <c r="C566" s="57"/>
      <c r="D566" s="37" t="str">
        <f>IFERROR(VLOOKUP($B566,'MATRICE ARTICLE'!$A$2:$N$1395,2,FALSE),"")</f>
        <v/>
      </c>
      <c r="E566" s="37" t="str">
        <f t="shared" si="33"/>
        <v/>
      </c>
      <c r="F566" s="37" t="str">
        <f>IFERROR(VLOOKUP($B566,'MATRICE ARTICLE'!$A$2:$N$1395,9,FALSE),"")</f>
        <v/>
      </c>
      <c r="G566" s="37" t="str">
        <f>IFERROR(VLOOKUP($B566,'MATRICE ARTICLE'!$A$2:$N$1395,14,FALSE),"")</f>
        <v/>
      </c>
      <c r="H566" s="48" t="str">
        <f t="shared" si="34"/>
        <v/>
      </c>
      <c r="I566" s="48" t="str">
        <f t="shared" si="35"/>
        <v/>
      </c>
    </row>
    <row r="567" spans="2:9">
      <c r="B567" s="57" t="str">
        <f t="shared" si="32"/>
        <v/>
      </c>
      <c r="C567" s="57"/>
      <c r="D567" s="37" t="str">
        <f>IFERROR(VLOOKUP($B567,'MATRICE ARTICLE'!$A$2:$N$1395,2,FALSE),"")</f>
        <v/>
      </c>
      <c r="E567" s="37" t="str">
        <f t="shared" si="33"/>
        <v/>
      </c>
      <c r="F567" s="37" t="str">
        <f>IFERROR(VLOOKUP($B567,'MATRICE ARTICLE'!$A$2:$N$1395,9,FALSE),"")</f>
        <v/>
      </c>
      <c r="G567" s="37" t="str">
        <f>IFERROR(VLOOKUP($B567,'MATRICE ARTICLE'!$A$2:$N$1395,14,FALSE),"")</f>
        <v/>
      </c>
      <c r="H567" s="48" t="str">
        <f t="shared" si="34"/>
        <v/>
      </c>
      <c r="I567" s="48" t="str">
        <f t="shared" si="35"/>
        <v/>
      </c>
    </row>
    <row r="568" spans="2:9">
      <c r="B568" s="57" t="str">
        <f t="shared" si="32"/>
        <v/>
      </c>
      <c r="C568" s="57"/>
      <c r="D568" s="37" t="str">
        <f>IFERROR(VLOOKUP($B568,'MATRICE ARTICLE'!$A$2:$N$1395,2,FALSE),"")</f>
        <v/>
      </c>
      <c r="E568" s="37" t="str">
        <f t="shared" si="33"/>
        <v/>
      </c>
      <c r="F568" s="37" t="str">
        <f>IFERROR(VLOOKUP($B568,'MATRICE ARTICLE'!$A$2:$N$1395,9,FALSE),"")</f>
        <v/>
      </c>
      <c r="G568" s="37" t="str">
        <f>IFERROR(VLOOKUP($B568,'MATRICE ARTICLE'!$A$2:$N$1395,14,FALSE),"")</f>
        <v/>
      </c>
      <c r="H568" s="48" t="str">
        <f t="shared" si="34"/>
        <v/>
      </c>
      <c r="I568" s="48" t="str">
        <f t="shared" si="35"/>
        <v/>
      </c>
    </row>
    <row r="569" spans="2:9">
      <c r="B569" s="57" t="str">
        <f t="shared" si="32"/>
        <v/>
      </c>
      <c r="C569" s="57"/>
      <c r="D569" s="37" t="str">
        <f>IFERROR(VLOOKUP($B569,'MATRICE ARTICLE'!$A$2:$N$1395,2,FALSE),"")</f>
        <v/>
      </c>
      <c r="E569" s="37" t="str">
        <f t="shared" si="33"/>
        <v/>
      </c>
      <c r="F569" s="37" t="str">
        <f>IFERROR(VLOOKUP($B569,'MATRICE ARTICLE'!$A$2:$N$1395,9,FALSE),"")</f>
        <v/>
      </c>
      <c r="G569" s="37" t="str">
        <f>IFERROR(VLOOKUP($B569,'MATRICE ARTICLE'!$A$2:$N$1395,14,FALSE),"")</f>
        <v/>
      </c>
      <c r="H569" s="48" t="str">
        <f t="shared" si="34"/>
        <v/>
      </c>
      <c r="I569" s="48" t="str">
        <f t="shared" si="35"/>
        <v/>
      </c>
    </row>
    <row r="570" spans="2:9">
      <c r="B570" s="57" t="str">
        <f t="shared" si="32"/>
        <v/>
      </c>
      <c r="C570" s="57"/>
      <c r="D570" s="37" t="str">
        <f>IFERROR(VLOOKUP($B570,'MATRICE ARTICLE'!$A$2:$N$1395,2,FALSE),"")</f>
        <v/>
      </c>
      <c r="E570" s="37" t="str">
        <f t="shared" si="33"/>
        <v/>
      </c>
      <c r="F570" s="37" t="str">
        <f>IFERROR(VLOOKUP($B570,'MATRICE ARTICLE'!$A$2:$N$1395,9,FALSE),"")</f>
        <v/>
      </c>
      <c r="G570" s="37" t="str">
        <f>IFERROR(VLOOKUP($B570,'MATRICE ARTICLE'!$A$2:$N$1395,14,FALSE),"")</f>
        <v/>
      </c>
      <c r="H570" s="48" t="str">
        <f t="shared" si="34"/>
        <v/>
      </c>
      <c r="I570" s="48" t="str">
        <f t="shared" si="35"/>
        <v/>
      </c>
    </row>
    <row r="571" spans="2:9">
      <c r="B571" s="57" t="str">
        <f t="shared" si="32"/>
        <v/>
      </c>
      <c r="C571" s="57"/>
      <c r="D571" s="37" t="str">
        <f>IFERROR(VLOOKUP($B571,'MATRICE ARTICLE'!$A$2:$N$1395,2,FALSE),"")</f>
        <v/>
      </c>
      <c r="E571" s="37" t="str">
        <f t="shared" si="33"/>
        <v/>
      </c>
      <c r="F571" s="37" t="str">
        <f>IFERROR(VLOOKUP($B571,'MATRICE ARTICLE'!$A$2:$N$1395,9,FALSE),"")</f>
        <v/>
      </c>
      <c r="G571" s="37" t="str">
        <f>IFERROR(VLOOKUP($B571,'MATRICE ARTICLE'!$A$2:$N$1395,14,FALSE),"")</f>
        <v/>
      </c>
      <c r="H571" s="48" t="str">
        <f t="shared" si="34"/>
        <v/>
      </c>
      <c r="I571" s="48" t="str">
        <f t="shared" si="35"/>
        <v/>
      </c>
    </row>
    <row r="572" spans="2:9">
      <c r="B572" s="57" t="str">
        <f t="shared" si="32"/>
        <v/>
      </c>
      <c r="C572" s="57"/>
      <c r="D572" s="37" t="str">
        <f>IFERROR(VLOOKUP($B572,'MATRICE ARTICLE'!$A$2:$N$1395,2,FALSE),"")</f>
        <v/>
      </c>
      <c r="E572" s="37" t="str">
        <f t="shared" si="33"/>
        <v/>
      </c>
      <c r="F572" s="37" t="str">
        <f>IFERROR(VLOOKUP($B572,'MATRICE ARTICLE'!$A$2:$N$1395,9,FALSE),"")</f>
        <v/>
      </c>
      <c r="G572" s="37" t="str">
        <f>IFERROR(VLOOKUP($B572,'MATRICE ARTICLE'!$A$2:$N$1395,14,FALSE),"")</f>
        <v/>
      </c>
      <c r="H572" s="48" t="str">
        <f t="shared" si="34"/>
        <v/>
      </c>
      <c r="I572" s="48" t="str">
        <f t="shared" si="35"/>
        <v/>
      </c>
    </row>
    <row r="573" spans="2:9">
      <c r="B573" s="57" t="str">
        <f t="shared" si="32"/>
        <v/>
      </c>
      <c r="C573" s="57"/>
      <c r="D573" s="37" t="str">
        <f>IFERROR(VLOOKUP($B573,'MATRICE ARTICLE'!$A$2:$N$1395,2,FALSE),"")</f>
        <v/>
      </c>
      <c r="E573" s="37" t="str">
        <f t="shared" si="33"/>
        <v/>
      </c>
      <c r="F573" s="37" t="str">
        <f>IFERROR(VLOOKUP($B573,'MATRICE ARTICLE'!$A$2:$N$1395,9,FALSE),"")</f>
        <v/>
      </c>
      <c r="G573" s="37" t="str">
        <f>IFERROR(VLOOKUP($B573,'MATRICE ARTICLE'!$A$2:$N$1395,14,FALSE),"")</f>
        <v/>
      </c>
      <c r="H573" s="48" t="str">
        <f t="shared" si="34"/>
        <v/>
      </c>
      <c r="I573" s="48" t="str">
        <f t="shared" si="35"/>
        <v/>
      </c>
    </row>
    <row r="574" spans="2:9">
      <c r="B574" s="57" t="str">
        <f t="shared" si="32"/>
        <v/>
      </c>
      <c r="C574" s="57"/>
      <c r="D574" s="37" t="str">
        <f>IFERROR(VLOOKUP($B574,'MATRICE ARTICLE'!$A$2:$N$1395,2,FALSE),"")</f>
        <v/>
      </c>
      <c r="E574" s="37" t="str">
        <f t="shared" si="33"/>
        <v/>
      </c>
      <c r="F574" s="37" t="str">
        <f>IFERROR(VLOOKUP($B574,'MATRICE ARTICLE'!$A$2:$N$1395,9,FALSE),"")</f>
        <v/>
      </c>
      <c r="G574" s="37" t="str">
        <f>IFERROR(VLOOKUP($B574,'MATRICE ARTICLE'!$A$2:$N$1395,14,FALSE),"")</f>
        <v/>
      </c>
      <c r="H574" s="48" t="str">
        <f t="shared" si="34"/>
        <v/>
      </c>
      <c r="I574" s="48" t="str">
        <f t="shared" si="35"/>
        <v/>
      </c>
    </row>
    <row r="575" spans="2:9">
      <c r="B575" s="57" t="str">
        <f t="shared" si="32"/>
        <v/>
      </c>
      <c r="C575" s="57"/>
      <c r="D575" s="37" t="str">
        <f>IFERROR(VLOOKUP($B575,'MATRICE ARTICLE'!$A$2:$N$1395,2,FALSE),"")</f>
        <v/>
      </c>
      <c r="E575" s="37" t="str">
        <f t="shared" si="33"/>
        <v/>
      </c>
      <c r="F575" s="37" t="str">
        <f>IFERROR(VLOOKUP($B575,'MATRICE ARTICLE'!$A$2:$N$1395,9,FALSE),"")</f>
        <v/>
      </c>
      <c r="G575" s="37" t="str">
        <f>IFERROR(VLOOKUP($B575,'MATRICE ARTICLE'!$A$2:$N$1395,14,FALSE),"")</f>
        <v/>
      </c>
      <c r="H575" s="48" t="str">
        <f t="shared" si="34"/>
        <v/>
      </c>
      <c r="I575" s="48" t="str">
        <f t="shared" si="35"/>
        <v/>
      </c>
    </row>
    <row r="576" spans="2:9">
      <c r="B576" s="57" t="str">
        <f t="shared" si="32"/>
        <v/>
      </c>
      <c r="C576" s="57"/>
      <c r="D576" s="37" t="str">
        <f>IFERROR(VLOOKUP($B576,'MATRICE ARTICLE'!$A$2:$N$1395,2,FALSE),"")</f>
        <v/>
      </c>
      <c r="E576" s="37" t="str">
        <f t="shared" si="33"/>
        <v/>
      </c>
      <c r="F576" s="37" t="str">
        <f>IFERROR(VLOOKUP($B576,'MATRICE ARTICLE'!$A$2:$N$1395,9,FALSE),"")</f>
        <v/>
      </c>
      <c r="G576" s="37" t="str">
        <f>IFERROR(VLOOKUP($B576,'MATRICE ARTICLE'!$A$2:$N$1395,14,FALSE),"")</f>
        <v/>
      </c>
      <c r="H576" s="48" t="str">
        <f t="shared" si="34"/>
        <v/>
      </c>
      <c r="I576" s="48" t="str">
        <f t="shared" si="35"/>
        <v/>
      </c>
    </row>
    <row r="577" spans="2:9">
      <c r="B577" s="57" t="str">
        <f t="shared" si="32"/>
        <v/>
      </c>
      <c r="C577" s="57"/>
      <c r="D577" s="37" t="str">
        <f>IFERROR(VLOOKUP($B577,'MATRICE ARTICLE'!$A$2:$N$1395,2,FALSE),"")</f>
        <v/>
      </c>
      <c r="E577" s="37" t="str">
        <f t="shared" si="33"/>
        <v/>
      </c>
      <c r="F577" s="37" t="str">
        <f>IFERROR(VLOOKUP($B577,'MATRICE ARTICLE'!$A$2:$N$1395,9,FALSE),"")</f>
        <v/>
      </c>
      <c r="G577" s="37" t="str">
        <f>IFERROR(VLOOKUP($B577,'MATRICE ARTICLE'!$A$2:$N$1395,14,FALSE),"")</f>
        <v/>
      </c>
      <c r="H577" s="48" t="str">
        <f t="shared" si="34"/>
        <v/>
      </c>
      <c r="I577" s="48" t="str">
        <f t="shared" si="35"/>
        <v/>
      </c>
    </row>
    <row r="578" spans="2:9">
      <c r="B578" s="57" t="str">
        <f t="shared" si="32"/>
        <v/>
      </c>
      <c r="C578" s="57"/>
      <c r="D578" s="37" t="str">
        <f>IFERROR(VLOOKUP($B578,'MATRICE ARTICLE'!$A$2:$N$1395,2,FALSE),"")</f>
        <v/>
      </c>
      <c r="E578" s="37" t="str">
        <f t="shared" si="33"/>
        <v/>
      </c>
      <c r="F578" s="37" t="str">
        <f>IFERROR(VLOOKUP($B578,'MATRICE ARTICLE'!$A$2:$N$1395,9,FALSE),"")</f>
        <v/>
      </c>
      <c r="G578" s="37" t="str">
        <f>IFERROR(VLOOKUP($B578,'MATRICE ARTICLE'!$A$2:$N$1395,14,FALSE),"")</f>
        <v/>
      </c>
      <c r="H578" s="48" t="str">
        <f t="shared" si="34"/>
        <v/>
      </c>
      <c r="I578" s="48" t="str">
        <f t="shared" si="35"/>
        <v/>
      </c>
    </row>
    <row r="579" spans="2:9">
      <c r="B579" s="57" t="str">
        <f t="shared" ref="B579:B642" si="36">IF(A579=0,"",A579)</f>
        <v/>
      </c>
      <c r="C579" s="57"/>
      <c r="D579" s="37" t="str">
        <f>IFERROR(VLOOKUP($B579,'MATRICE ARTICLE'!$A$2:$N$1395,2,FALSE),"")</f>
        <v/>
      </c>
      <c r="E579" s="37" t="str">
        <f t="shared" ref="E579:E642" si="37">IF(SUM(F579:I579)=0,"",SUM(F579:I579))</f>
        <v/>
      </c>
      <c r="F579" s="37" t="str">
        <f>IFERROR(VLOOKUP($B579,'MATRICE ARTICLE'!$A$2:$N$1395,9,FALSE),"")</f>
        <v/>
      </c>
      <c r="G579" s="37" t="str">
        <f>IFERROR(VLOOKUP($B579,'MATRICE ARTICLE'!$A$2:$N$1395,14,FALSE),"")</f>
        <v/>
      </c>
      <c r="H579" s="48" t="str">
        <f t="shared" ref="H579:H642" si="38">IF(SUM(F579:G579)*$H$1=0,"",SUM(F579:G579)*$H$1)</f>
        <v/>
      </c>
      <c r="I579" s="48" t="str">
        <f t="shared" ref="I579:I642" si="39">IF(SUM(F579:H579)*$I$1=0,"",SUM(F579:H579)*$I$1)</f>
        <v/>
      </c>
    </row>
    <row r="580" spans="2:9">
      <c r="B580" s="57" t="str">
        <f t="shared" si="36"/>
        <v/>
      </c>
      <c r="C580" s="57"/>
      <c r="D580" s="37" t="str">
        <f>IFERROR(VLOOKUP($B580,'MATRICE ARTICLE'!$A$2:$N$1395,2,FALSE),"")</f>
        <v/>
      </c>
      <c r="E580" s="37" t="str">
        <f t="shared" si="37"/>
        <v/>
      </c>
      <c r="F580" s="37" t="str">
        <f>IFERROR(VLOOKUP($B580,'MATRICE ARTICLE'!$A$2:$N$1395,9,FALSE),"")</f>
        <v/>
      </c>
      <c r="G580" s="37" t="str">
        <f>IFERROR(VLOOKUP($B580,'MATRICE ARTICLE'!$A$2:$N$1395,14,FALSE),"")</f>
        <v/>
      </c>
      <c r="H580" s="48" t="str">
        <f t="shared" si="38"/>
        <v/>
      </c>
      <c r="I580" s="48" t="str">
        <f t="shared" si="39"/>
        <v/>
      </c>
    </row>
    <row r="581" spans="2:9">
      <c r="B581" s="57" t="str">
        <f t="shared" si="36"/>
        <v/>
      </c>
      <c r="C581" s="57"/>
      <c r="D581" s="37" t="str">
        <f>IFERROR(VLOOKUP($B581,'MATRICE ARTICLE'!$A$2:$N$1395,2,FALSE),"")</f>
        <v/>
      </c>
      <c r="E581" s="37" t="str">
        <f t="shared" si="37"/>
        <v/>
      </c>
      <c r="F581" s="37" t="str">
        <f>IFERROR(VLOOKUP($B581,'MATRICE ARTICLE'!$A$2:$N$1395,9,FALSE),"")</f>
        <v/>
      </c>
      <c r="G581" s="37" t="str">
        <f>IFERROR(VLOOKUP($B581,'MATRICE ARTICLE'!$A$2:$N$1395,14,FALSE),"")</f>
        <v/>
      </c>
      <c r="H581" s="48" t="str">
        <f t="shared" si="38"/>
        <v/>
      </c>
      <c r="I581" s="48" t="str">
        <f t="shared" si="39"/>
        <v/>
      </c>
    </row>
    <row r="582" spans="2:9">
      <c r="B582" s="57" t="str">
        <f t="shared" si="36"/>
        <v/>
      </c>
      <c r="C582" s="57"/>
      <c r="D582" s="37" t="str">
        <f>IFERROR(VLOOKUP($B582,'MATRICE ARTICLE'!$A$2:$N$1395,2,FALSE),"")</f>
        <v/>
      </c>
      <c r="E582" s="37" t="str">
        <f t="shared" si="37"/>
        <v/>
      </c>
      <c r="F582" s="37" t="str">
        <f>IFERROR(VLOOKUP($B582,'MATRICE ARTICLE'!$A$2:$N$1395,9,FALSE),"")</f>
        <v/>
      </c>
      <c r="G582" s="37" t="str">
        <f>IFERROR(VLOOKUP($B582,'MATRICE ARTICLE'!$A$2:$N$1395,14,FALSE),"")</f>
        <v/>
      </c>
      <c r="H582" s="48" t="str">
        <f t="shared" si="38"/>
        <v/>
      </c>
      <c r="I582" s="48" t="str">
        <f t="shared" si="39"/>
        <v/>
      </c>
    </row>
    <row r="583" spans="2:9">
      <c r="B583" s="57" t="str">
        <f t="shared" si="36"/>
        <v/>
      </c>
      <c r="C583" s="57"/>
      <c r="D583" s="37" t="str">
        <f>IFERROR(VLOOKUP($B583,'MATRICE ARTICLE'!$A$2:$N$1395,2,FALSE),"")</f>
        <v/>
      </c>
      <c r="E583" s="37" t="str">
        <f t="shared" si="37"/>
        <v/>
      </c>
      <c r="F583" s="37" t="str">
        <f>IFERROR(VLOOKUP($B583,'MATRICE ARTICLE'!$A$2:$N$1395,9,FALSE),"")</f>
        <v/>
      </c>
      <c r="G583" s="37" t="str">
        <f>IFERROR(VLOOKUP($B583,'MATRICE ARTICLE'!$A$2:$N$1395,14,FALSE),"")</f>
        <v/>
      </c>
      <c r="H583" s="48" t="str">
        <f t="shared" si="38"/>
        <v/>
      </c>
      <c r="I583" s="48" t="str">
        <f t="shared" si="39"/>
        <v/>
      </c>
    </row>
    <row r="584" spans="2:9">
      <c r="B584" s="57" t="str">
        <f t="shared" si="36"/>
        <v/>
      </c>
      <c r="C584" s="57"/>
      <c r="D584" s="37" t="str">
        <f>IFERROR(VLOOKUP($B584,'MATRICE ARTICLE'!$A$2:$N$1395,2,FALSE),"")</f>
        <v/>
      </c>
      <c r="E584" s="37" t="str">
        <f t="shared" si="37"/>
        <v/>
      </c>
      <c r="F584" s="37" t="str">
        <f>IFERROR(VLOOKUP($B584,'MATRICE ARTICLE'!$A$2:$N$1395,9,FALSE),"")</f>
        <v/>
      </c>
      <c r="G584" s="37" t="str">
        <f>IFERROR(VLOOKUP($B584,'MATRICE ARTICLE'!$A$2:$N$1395,14,FALSE),"")</f>
        <v/>
      </c>
      <c r="H584" s="48" t="str">
        <f t="shared" si="38"/>
        <v/>
      </c>
      <c r="I584" s="48" t="str">
        <f t="shared" si="39"/>
        <v/>
      </c>
    </row>
    <row r="585" spans="2:9">
      <c r="B585" s="57" t="str">
        <f t="shared" si="36"/>
        <v/>
      </c>
      <c r="C585" s="57"/>
      <c r="D585" s="37" t="str">
        <f>IFERROR(VLOOKUP($B585,'MATRICE ARTICLE'!$A$2:$N$1395,2,FALSE),"")</f>
        <v/>
      </c>
      <c r="E585" s="37" t="str">
        <f t="shared" si="37"/>
        <v/>
      </c>
      <c r="F585" s="37" t="str">
        <f>IFERROR(VLOOKUP($B585,'MATRICE ARTICLE'!$A$2:$N$1395,9,FALSE),"")</f>
        <v/>
      </c>
      <c r="G585" s="37" t="str">
        <f>IFERROR(VLOOKUP($B585,'MATRICE ARTICLE'!$A$2:$N$1395,14,FALSE),"")</f>
        <v/>
      </c>
      <c r="H585" s="48" t="str">
        <f t="shared" si="38"/>
        <v/>
      </c>
      <c r="I585" s="48" t="str">
        <f t="shared" si="39"/>
        <v/>
      </c>
    </row>
    <row r="586" spans="2:9">
      <c r="B586" s="57" t="str">
        <f t="shared" si="36"/>
        <v/>
      </c>
      <c r="C586" s="57"/>
      <c r="D586" s="37" t="str">
        <f>IFERROR(VLOOKUP($B586,'MATRICE ARTICLE'!$A$2:$N$1395,2,FALSE),"")</f>
        <v/>
      </c>
      <c r="E586" s="37" t="str">
        <f t="shared" si="37"/>
        <v/>
      </c>
      <c r="F586" s="37" t="str">
        <f>IFERROR(VLOOKUP($B586,'MATRICE ARTICLE'!$A$2:$N$1395,9,FALSE),"")</f>
        <v/>
      </c>
      <c r="G586" s="37" t="str">
        <f>IFERROR(VLOOKUP($B586,'MATRICE ARTICLE'!$A$2:$N$1395,14,FALSE),"")</f>
        <v/>
      </c>
      <c r="H586" s="48" t="str">
        <f t="shared" si="38"/>
        <v/>
      </c>
      <c r="I586" s="48" t="str">
        <f t="shared" si="39"/>
        <v/>
      </c>
    </row>
    <row r="587" spans="2:9">
      <c r="B587" s="57" t="str">
        <f t="shared" si="36"/>
        <v/>
      </c>
      <c r="C587" s="57"/>
      <c r="D587" s="37" t="str">
        <f>IFERROR(VLOOKUP($B587,'MATRICE ARTICLE'!$A$2:$N$1395,2,FALSE),"")</f>
        <v/>
      </c>
      <c r="E587" s="37" t="str">
        <f t="shared" si="37"/>
        <v/>
      </c>
      <c r="F587" s="37" t="str">
        <f>IFERROR(VLOOKUP($B587,'MATRICE ARTICLE'!$A$2:$N$1395,9,FALSE),"")</f>
        <v/>
      </c>
      <c r="G587" s="37" t="str">
        <f>IFERROR(VLOOKUP($B587,'MATRICE ARTICLE'!$A$2:$N$1395,14,FALSE),"")</f>
        <v/>
      </c>
      <c r="H587" s="48" t="str">
        <f t="shared" si="38"/>
        <v/>
      </c>
      <c r="I587" s="48" t="str">
        <f t="shared" si="39"/>
        <v/>
      </c>
    </row>
    <row r="588" spans="2:9">
      <c r="B588" s="57" t="str">
        <f t="shared" si="36"/>
        <v/>
      </c>
      <c r="C588" s="57"/>
      <c r="D588" s="37" t="str">
        <f>IFERROR(VLOOKUP($B588,'MATRICE ARTICLE'!$A$2:$N$1395,2,FALSE),"")</f>
        <v/>
      </c>
      <c r="E588" s="37" t="str">
        <f t="shared" si="37"/>
        <v/>
      </c>
      <c r="F588" s="37" t="str">
        <f>IFERROR(VLOOKUP($B588,'MATRICE ARTICLE'!$A$2:$N$1395,9,FALSE),"")</f>
        <v/>
      </c>
      <c r="G588" s="37" t="str">
        <f>IFERROR(VLOOKUP($B588,'MATRICE ARTICLE'!$A$2:$N$1395,14,FALSE),"")</f>
        <v/>
      </c>
      <c r="H588" s="48" t="str">
        <f t="shared" si="38"/>
        <v/>
      </c>
      <c r="I588" s="48" t="str">
        <f t="shared" si="39"/>
        <v/>
      </c>
    </row>
    <row r="589" spans="2:9">
      <c r="B589" s="57" t="str">
        <f t="shared" si="36"/>
        <v/>
      </c>
      <c r="C589" s="57"/>
      <c r="D589" s="37" t="str">
        <f>IFERROR(VLOOKUP($B589,'MATRICE ARTICLE'!$A$2:$N$1395,2,FALSE),"")</f>
        <v/>
      </c>
      <c r="E589" s="37" t="str">
        <f t="shared" si="37"/>
        <v/>
      </c>
      <c r="F589" s="37" t="str">
        <f>IFERROR(VLOOKUP($B589,'MATRICE ARTICLE'!$A$2:$N$1395,9,FALSE),"")</f>
        <v/>
      </c>
      <c r="G589" s="37" t="str">
        <f>IFERROR(VLOOKUP($B589,'MATRICE ARTICLE'!$A$2:$N$1395,14,FALSE),"")</f>
        <v/>
      </c>
      <c r="H589" s="48" t="str">
        <f t="shared" si="38"/>
        <v/>
      </c>
      <c r="I589" s="48" t="str">
        <f t="shared" si="39"/>
        <v/>
      </c>
    </row>
    <row r="590" spans="2:9">
      <c r="B590" s="57" t="str">
        <f t="shared" si="36"/>
        <v/>
      </c>
      <c r="C590" s="57"/>
      <c r="D590" s="37" t="str">
        <f>IFERROR(VLOOKUP($B590,'MATRICE ARTICLE'!$A$2:$N$1395,2,FALSE),"")</f>
        <v/>
      </c>
      <c r="E590" s="37" t="str">
        <f t="shared" si="37"/>
        <v/>
      </c>
      <c r="F590" s="37" t="str">
        <f>IFERROR(VLOOKUP($B590,'MATRICE ARTICLE'!$A$2:$N$1395,9,FALSE),"")</f>
        <v/>
      </c>
      <c r="G590" s="37" t="str">
        <f>IFERROR(VLOOKUP($B590,'MATRICE ARTICLE'!$A$2:$N$1395,14,FALSE),"")</f>
        <v/>
      </c>
      <c r="H590" s="48" t="str">
        <f t="shared" si="38"/>
        <v/>
      </c>
      <c r="I590" s="48" t="str">
        <f t="shared" si="39"/>
        <v/>
      </c>
    </row>
    <row r="591" spans="2:9">
      <c r="B591" s="57" t="str">
        <f t="shared" si="36"/>
        <v/>
      </c>
      <c r="C591" s="57"/>
      <c r="D591" s="37" t="str">
        <f>IFERROR(VLOOKUP($B591,'MATRICE ARTICLE'!$A$2:$N$1395,2,FALSE),"")</f>
        <v/>
      </c>
      <c r="E591" s="37" t="str">
        <f t="shared" si="37"/>
        <v/>
      </c>
      <c r="F591" s="37" t="str">
        <f>IFERROR(VLOOKUP($B591,'MATRICE ARTICLE'!$A$2:$N$1395,9,FALSE),"")</f>
        <v/>
      </c>
      <c r="G591" s="37" t="str">
        <f>IFERROR(VLOOKUP($B591,'MATRICE ARTICLE'!$A$2:$N$1395,14,FALSE),"")</f>
        <v/>
      </c>
      <c r="H591" s="48" t="str">
        <f t="shared" si="38"/>
        <v/>
      </c>
      <c r="I591" s="48" t="str">
        <f t="shared" si="39"/>
        <v/>
      </c>
    </row>
    <row r="592" spans="2:9">
      <c r="B592" s="57" t="str">
        <f t="shared" si="36"/>
        <v/>
      </c>
      <c r="C592" s="57"/>
      <c r="D592" s="37" t="str">
        <f>IFERROR(VLOOKUP($B592,'MATRICE ARTICLE'!$A$2:$N$1395,2,FALSE),"")</f>
        <v/>
      </c>
      <c r="E592" s="37" t="str">
        <f t="shared" si="37"/>
        <v/>
      </c>
      <c r="F592" s="37" t="str">
        <f>IFERROR(VLOOKUP($B592,'MATRICE ARTICLE'!$A$2:$N$1395,9,FALSE),"")</f>
        <v/>
      </c>
      <c r="G592" s="37" t="str">
        <f>IFERROR(VLOOKUP($B592,'MATRICE ARTICLE'!$A$2:$N$1395,14,FALSE),"")</f>
        <v/>
      </c>
      <c r="H592" s="48" t="str">
        <f t="shared" si="38"/>
        <v/>
      </c>
      <c r="I592" s="48" t="str">
        <f t="shared" si="39"/>
        <v/>
      </c>
    </row>
    <row r="593" spans="2:9">
      <c r="B593" s="57" t="str">
        <f t="shared" si="36"/>
        <v/>
      </c>
      <c r="C593" s="57"/>
      <c r="D593" s="37" t="str">
        <f>IFERROR(VLOOKUP($B593,'MATRICE ARTICLE'!$A$2:$N$1395,2,FALSE),"")</f>
        <v/>
      </c>
      <c r="E593" s="37" t="str">
        <f t="shared" si="37"/>
        <v/>
      </c>
      <c r="F593" s="37" t="str">
        <f>IFERROR(VLOOKUP($B593,'MATRICE ARTICLE'!$A$2:$N$1395,9,FALSE),"")</f>
        <v/>
      </c>
      <c r="G593" s="37" t="str">
        <f>IFERROR(VLOOKUP($B593,'MATRICE ARTICLE'!$A$2:$N$1395,14,FALSE),"")</f>
        <v/>
      </c>
      <c r="H593" s="48" t="str">
        <f t="shared" si="38"/>
        <v/>
      </c>
      <c r="I593" s="48" t="str">
        <f t="shared" si="39"/>
        <v/>
      </c>
    </row>
    <row r="594" spans="2:9">
      <c r="B594" s="57" t="str">
        <f t="shared" si="36"/>
        <v/>
      </c>
      <c r="C594" s="57"/>
      <c r="D594" s="37" t="str">
        <f>IFERROR(VLOOKUP($B594,'MATRICE ARTICLE'!$A$2:$N$1395,2,FALSE),"")</f>
        <v/>
      </c>
      <c r="E594" s="37" t="str">
        <f t="shared" si="37"/>
        <v/>
      </c>
      <c r="F594" s="37" t="str">
        <f>IFERROR(VLOOKUP($B594,'MATRICE ARTICLE'!$A$2:$N$1395,9,FALSE),"")</f>
        <v/>
      </c>
      <c r="G594" s="37" t="str">
        <f>IFERROR(VLOOKUP($B594,'MATRICE ARTICLE'!$A$2:$N$1395,14,FALSE),"")</f>
        <v/>
      </c>
      <c r="H594" s="48" t="str">
        <f t="shared" si="38"/>
        <v/>
      </c>
      <c r="I594" s="48" t="str">
        <f t="shared" si="39"/>
        <v/>
      </c>
    </row>
    <row r="595" spans="2:9">
      <c r="B595" s="57" t="str">
        <f t="shared" si="36"/>
        <v/>
      </c>
      <c r="C595" s="57"/>
      <c r="D595" s="37" t="str">
        <f>IFERROR(VLOOKUP($B595,'MATRICE ARTICLE'!$A$2:$N$1395,2,FALSE),"")</f>
        <v/>
      </c>
      <c r="E595" s="37" t="str">
        <f t="shared" si="37"/>
        <v/>
      </c>
      <c r="F595" s="37" t="str">
        <f>IFERROR(VLOOKUP($B595,'MATRICE ARTICLE'!$A$2:$N$1395,9,FALSE),"")</f>
        <v/>
      </c>
      <c r="G595" s="37" t="str">
        <f>IFERROR(VLOOKUP($B595,'MATRICE ARTICLE'!$A$2:$N$1395,14,FALSE),"")</f>
        <v/>
      </c>
      <c r="H595" s="48" t="str">
        <f t="shared" si="38"/>
        <v/>
      </c>
      <c r="I595" s="48" t="str">
        <f t="shared" si="39"/>
        <v/>
      </c>
    </row>
    <row r="596" spans="2:9">
      <c r="B596" s="57" t="str">
        <f t="shared" si="36"/>
        <v/>
      </c>
      <c r="C596" s="57"/>
      <c r="D596" s="37" t="str">
        <f>IFERROR(VLOOKUP($B596,'MATRICE ARTICLE'!$A$2:$N$1395,2,FALSE),"")</f>
        <v/>
      </c>
      <c r="E596" s="37" t="str">
        <f t="shared" si="37"/>
        <v/>
      </c>
      <c r="F596" s="37" t="str">
        <f>IFERROR(VLOOKUP($B596,'MATRICE ARTICLE'!$A$2:$N$1395,9,FALSE),"")</f>
        <v/>
      </c>
      <c r="G596" s="37" t="str">
        <f>IFERROR(VLOOKUP($B596,'MATRICE ARTICLE'!$A$2:$N$1395,14,FALSE),"")</f>
        <v/>
      </c>
      <c r="H596" s="48" t="str">
        <f t="shared" si="38"/>
        <v/>
      </c>
      <c r="I596" s="48" t="str">
        <f t="shared" si="39"/>
        <v/>
      </c>
    </row>
    <row r="597" spans="2:9">
      <c r="B597" s="57" t="str">
        <f t="shared" si="36"/>
        <v/>
      </c>
      <c r="C597" s="57"/>
      <c r="D597" s="37" t="str">
        <f>IFERROR(VLOOKUP($B597,'MATRICE ARTICLE'!$A$2:$N$1395,2,FALSE),"")</f>
        <v/>
      </c>
      <c r="E597" s="37" t="str">
        <f t="shared" si="37"/>
        <v/>
      </c>
      <c r="F597" s="37" t="str">
        <f>IFERROR(VLOOKUP($B597,'MATRICE ARTICLE'!$A$2:$N$1395,9,FALSE),"")</f>
        <v/>
      </c>
      <c r="G597" s="37" t="str">
        <f>IFERROR(VLOOKUP($B597,'MATRICE ARTICLE'!$A$2:$N$1395,14,FALSE),"")</f>
        <v/>
      </c>
      <c r="H597" s="48" t="str">
        <f t="shared" si="38"/>
        <v/>
      </c>
      <c r="I597" s="48" t="str">
        <f t="shared" si="39"/>
        <v/>
      </c>
    </row>
    <row r="598" spans="2:9">
      <c r="B598" s="57" t="str">
        <f t="shared" si="36"/>
        <v/>
      </c>
      <c r="C598" s="57"/>
      <c r="D598" s="37" t="str">
        <f>IFERROR(VLOOKUP($B598,'MATRICE ARTICLE'!$A$2:$N$1395,2,FALSE),"")</f>
        <v/>
      </c>
      <c r="E598" s="37" t="str">
        <f t="shared" si="37"/>
        <v/>
      </c>
      <c r="F598" s="37" t="str">
        <f>IFERROR(VLOOKUP($B598,'MATRICE ARTICLE'!$A$2:$N$1395,9,FALSE),"")</f>
        <v/>
      </c>
      <c r="G598" s="37" t="str">
        <f>IFERROR(VLOOKUP($B598,'MATRICE ARTICLE'!$A$2:$N$1395,14,FALSE),"")</f>
        <v/>
      </c>
      <c r="H598" s="48" t="str">
        <f t="shared" si="38"/>
        <v/>
      </c>
      <c r="I598" s="48" t="str">
        <f t="shared" si="39"/>
        <v/>
      </c>
    </row>
    <row r="599" spans="2:9">
      <c r="B599" s="57" t="str">
        <f t="shared" si="36"/>
        <v/>
      </c>
      <c r="C599" s="57"/>
      <c r="D599" s="37" t="str">
        <f>IFERROR(VLOOKUP($B599,'MATRICE ARTICLE'!$A$2:$N$1395,2,FALSE),"")</f>
        <v/>
      </c>
      <c r="E599" s="37" t="str">
        <f t="shared" si="37"/>
        <v/>
      </c>
      <c r="F599" s="37" t="str">
        <f>IFERROR(VLOOKUP($B599,'MATRICE ARTICLE'!$A$2:$N$1395,9,FALSE),"")</f>
        <v/>
      </c>
      <c r="G599" s="37" t="str">
        <f>IFERROR(VLOOKUP($B599,'MATRICE ARTICLE'!$A$2:$N$1395,14,FALSE),"")</f>
        <v/>
      </c>
      <c r="H599" s="48" t="str">
        <f t="shared" si="38"/>
        <v/>
      </c>
      <c r="I599" s="48" t="str">
        <f t="shared" si="39"/>
        <v/>
      </c>
    </row>
    <row r="600" spans="2:9">
      <c r="B600" s="57" t="str">
        <f t="shared" si="36"/>
        <v/>
      </c>
      <c r="C600" s="57"/>
      <c r="D600" s="37" t="str">
        <f>IFERROR(VLOOKUP($B600,'MATRICE ARTICLE'!$A$2:$N$1395,2,FALSE),"")</f>
        <v/>
      </c>
      <c r="E600" s="37" t="str">
        <f t="shared" si="37"/>
        <v/>
      </c>
      <c r="F600" s="37" t="str">
        <f>IFERROR(VLOOKUP($B600,'MATRICE ARTICLE'!$A$2:$N$1395,9,FALSE),"")</f>
        <v/>
      </c>
      <c r="G600" s="37" t="str">
        <f>IFERROR(VLOOKUP($B600,'MATRICE ARTICLE'!$A$2:$N$1395,14,FALSE),"")</f>
        <v/>
      </c>
      <c r="H600" s="48" t="str">
        <f t="shared" si="38"/>
        <v/>
      </c>
      <c r="I600" s="48" t="str">
        <f t="shared" si="39"/>
        <v/>
      </c>
    </row>
    <row r="601" spans="2:9">
      <c r="B601" s="57" t="str">
        <f t="shared" si="36"/>
        <v/>
      </c>
      <c r="C601" s="57"/>
      <c r="D601" s="37" t="str">
        <f>IFERROR(VLOOKUP($B601,'MATRICE ARTICLE'!$A$2:$N$1395,2,FALSE),"")</f>
        <v/>
      </c>
      <c r="E601" s="37" t="str">
        <f t="shared" si="37"/>
        <v/>
      </c>
      <c r="F601" s="37" t="str">
        <f>IFERROR(VLOOKUP($B601,'MATRICE ARTICLE'!$A$2:$N$1395,9,FALSE),"")</f>
        <v/>
      </c>
      <c r="G601" s="37" t="str">
        <f>IFERROR(VLOOKUP($B601,'MATRICE ARTICLE'!$A$2:$N$1395,14,FALSE),"")</f>
        <v/>
      </c>
      <c r="H601" s="48" t="str">
        <f t="shared" si="38"/>
        <v/>
      </c>
      <c r="I601" s="48" t="str">
        <f t="shared" si="39"/>
        <v/>
      </c>
    </row>
    <row r="602" spans="2:9">
      <c r="B602" s="57" t="str">
        <f t="shared" si="36"/>
        <v/>
      </c>
      <c r="C602" s="57"/>
      <c r="D602" s="37" t="str">
        <f>IFERROR(VLOOKUP($B602,'MATRICE ARTICLE'!$A$2:$N$1395,2,FALSE),"")</f>
        <v/>
      </c>
      <c r="E602" s="37" t="str">
        <f t="shared" si="37"/>
        <v/>
      </c>
      <c r="F602" s="37" t="str">
        <f>IFERROR(VLOOKUP($B602,'MATRICE ARTICLE'!$A$2:$N$1395,9,FALSE),"")</f>
        <v/>
      </c>
      <c r="G602" s="37" t="str">
        <f>IFERROR(VLOOKUP($B602,'MATRICE ARTICLE'!$A$2:$N$1395,14,FALSE),"")</f>
        <v/>
      </c>
      <c r="H602" s="48" t="str">
        <f t="shared" si="38"/>
        <v/>
      </c>
      <c r="I602" s="48" t="str">
        <f t="shared" si="39"/>
        <v/>
      </c>
    </row>
    <row r="603" spans="2:9">
      <c r="B603" s="57" t="str">
        <f t="shared" si="36"/>
        <v/>
      </c>
      <c r="C603" s="57"/>
      <c r="D603" s="37" t="str">
        <f>IFERROR(VLOOKUP($B603,'MATRICE ARTICLE'!$A$2:$N$1395,2,FALSE),"")</f>
        <v/>
      </c>
      <c r="E603" s="37" t="str">
        <f t="shared" si="37"/>
        <v/>
      </c>
      <c r="F603" s="37" t="str">
        <f>IFERROR(VLOOKUP($B603,'MATRICE ARTICLE'!$A$2:$N$1395,9,FALSE),"")</f>
        <v/>
      </c>
      <c r="G603" s="37" t="str">
        <f>IFERROR(VLOOKUP($B603,'MATRICE ARTICLE'!$A$2:$N$1395,14,FALSE),"")</f>
        <v/>
      </c>
      <c r="H603" s="48" t="str">
        <f t="shared" si="38"/>
        <v/>
      </c>
      <c r="I603" s="48" t="str">
        <f t="shared" si="39"/>
        <v/>
      </c>
    </row>
    <row r="604" spans="2:9">
      <c r="B604" s="57" t="str">
        <f t="shared" si="36"/>
        <v/>
      </c>
      <c r="C604" s="57"/>
      <c r="D604" s="37" t="str">
        <f>IFERROR(VLOOKUP($B604,'MATRICE ARTICLE'!$A$2:$N$1395,2,FALSE),"")</f>
        <v/>
      </c>
      <c r="E604" s="37" t="str">
        <f t="shared" si="37"/>
        <v/>
      </c>
      <c r="F604" s="37" t="str">
        <f>IFERROR(VLOOKUP($B604,'MATRICE ARTICLE'!$A$2:$N$1395,9,FALSE),"")</f>
        <v/>
      </c>
      <c r="G604" s="37" t="str">
        <f>IFERROR(VLOOKUP($B604,'MATRICE ARTICLE'!$A$2:$N$1395,14,FALSE),"")</f>
        <v/>
      </c>
      <c r="H604" s="48" t="str">
        <f t="shared" si="38"/>
        <v/>
      </c>
      <c r="I604" s="48" t="str">
        <f t="shared" si="39"/>
        <v/>
      </c>
    </row>
    <row r="605" spans="2:9">
      <c r="B605" s="57" t="str">
        <f t="shared" si="36"/>
        <v/>
      </c>
      <c r="C605" s="57"/>
      <c r="D605" s="37" t="str">
        <f>IFERROR(VLOOKUP($B605,'MATRICE ARTICLE'!$A$2:$N$1395,2,FALSE),"")</f>
        <v/>
      </c>
      <c r="E605" s="37" t="str">
        <f t="shared" si="37"/>
        <v/>
      </c>
      <c r="F605" s="37" t="str">
        <f>IFERROR(VLOOKUP($B605,'MATRICE ARTICLE'!$A$2:$N$1395,9,FALSE),"")</f>
        <v/>
      </c>
      <c r="G605" s="37" t="str">
        <f>IFERROR(VLOOKUP($B605,'MATRICE ARTICLE'!$A$2:$N$1395,14,FALSE),"")</f>
        <v/>
      </c>
      <c r="H605" s="48" t="str">
        <f t="shared" si="38"/>
        <v/>
      </c>
      <c r="I605" s="48" t="str">
        <f t="shared" si="39"/>
        <v/>
      </c>
    </row>
    <row r="606" spans="2:9">
      <c r="B606" s="57" t="str">
        <f t="shared" si="36"/>
        <v/>
      </c>
      <c r="C606" s="57"/>
      <c r="D606" s="37" t="str">
        <f>IFERROR(VLOOKUP($B606,'MATRICE ARTICLE'!$A$2:$N$1395,2,FALSE),"")</f>
        <v/>
      </c>
      <c r="E606" s="37" t="str">
        <f t="shared" si="37"/>
        <v/>
      </c>
      <c r="F606" s="37" t="str">
        <f>IFERROR(VLOOKUP($B606,'MATRICE ARTICLE'!$A$2:$N$1395,9,FALSE),"")</f>
        <v/>
      </c>
      <c r="G606" s="37" t="str">
        <f>IFERROR(VLOOKUP($B606,'MATRICE ARTICLE'!$A$2:$N$1395,14,FALSE),"")</f>
        <v/>
      </c>
      <c r="H606" s="48" t="str">
        <f t="shared" si="38"/>
        <v/>
      </c>
      <c r="I606" s="48" t="str">
        <f t="shared" si="39"/>
        <v/>
      </c>
    </row>
    <row r="607" spans="2:9">
      <c r="B607" s="57" t="str">
        <f t="shared" si="36"/>
        <v/>
      </c>
      <c r="C607" s="57"/>
      <c r="D607" s="37" t="str">
        <f>IFERROR(VLOOKUP($B607,'MATRICE ARTICLE'!$A$2:$N$1395,2,FALSE),"")</f>
        <v/>
      </c>
      <c r="E607" s="37" t="str">
        <f t="shared" si="37"/>
        <v/>
      </c>
      <c r="F607" s="37" t="str">
        <f>IFERROR(VLOOKUP($B607,'MATRICE ARTICLE'!$A$2:$N$1395,9,FALSE),"")</f>
        <v/>
      </c>
      <c r="G607" s="37" t="str">
        <f>IFERROR(VLOOKUP($B607,'MATRICE ARTICLE'!$A$2:$N$1395,14,FALSE),"")</f>
        <v/>
      </c>
      <c r="H607" s="48" t="str">
        <f t="shared" si="38"/>
        <v/>
      </c>
      <c r="I607" s="48" t="str">
        <f t="shared" si="39"/>
        <v/>
      </c>
    </row>
    <row r="608" spans="2:9">
      <c r="B608" s="57" t="str">
        <f t="shared" si="36"/>
        <v/>
      </c>
      <c r="C608" s="57"/>
      <c r="D608" s="37" t="str">
        <f>IFERROR(VLOOKUP($B608,'MATRICE ARTICLE'!$A$2:$N$1395,2,FALSE),"")</f>
        <v/>
      </c>
      <c r="E608" s="37" t="str">
        <f t="shared" si="37"/>
        <v/>
      </c>
      <c r="F608" s="37" t="str">
        <f>IFERROR(VLOOKUP($B608,'MATRICE ARTICLE'!$A$2:$N$1395,9,FALSE),"")</f>
        <v/>
      </c>
      <c r="G608" s="37" t="str">
        <f>IFERROR(VLOOKUP($B608,'MATRICE ARTICLE'!$A$2:$N$1395,14,FALSE),"")</f>
        <v/>
      </c>
      <c r="H608" s="48" t="str">
        <f t="shared" si="38"/>
        <v/>
      </c>
      <c r="I608" s="48" t="str">
        <f t="shared" si="39"/>
        <v/>
      </c>
    </row>
    <row r="609" spans="2:9">
      <c r="B609" s="57" t="str">
        <f t="shared" si="36"/>
        <v/>
      </c>
      <c r="C609" s="57"/>
      <c r="D609" s="37" t="str">
        <f>IFERROR(VLOOKUP($B609,'MATRICE ARTICLE'!$A$2:$N$1395,2,FALSE),"")</f>
        <v/>
      </c>
      <c r="E609" s="37" t="str">
        <f t="shared" si="37"/>
        <v/>
      </c>
      <c r="F609" s="37" t="str">
        <f>IFERROR(VLOOKUP($B609,'MATRICE ARTICLE'!$A$2:$N$1395,9,FALSE),"")</f>
        <v/>
      </c>
      <c r="G609" s="37" t="str">
        <f>IFERROR(VLOOKUP($B609,'MATRICE ARTICLE'!$A$2:$N$1395,14,FALSE),"")</f>
        <v/>
      </c>
      <c r="H609" s="48" t="str">
        <f t="shared" si="38"/>
        <v/>
      </c>
      <c r="I609" s="48" t="str">
        <f t="shared" si="39"/>
        <v/>
      </c>
    </row>
    <row r="610" spans="2:9">
      <c r="B610" s="57" t="str">
        <f t="shared" si="36"/>
        <v/>
      </c>
      <c r="C610" s="57"/>
      <c r="D610" s="37" t="str">
        <f>IFERROR(VLOOKUP($B610,'MATRICE ARTICLE'!$A$2:$N$1395,2,FALSE),"")</f>
        <v/>
      </c>
      <c r="E610" s="37" t="str">
        <f t="shared" si="37"/>
        <v/>
      </c>
      <c r="F610" s="37" t="str">
        <f>IFERROR(VLOOKUP($B610,'MATRICE ARTICLE'!$A$2:$N$1395,9,FALSE),"")</f>
        <v/>
      </c>
      <c r="G610" s="37" t="str">
        <f>IFERROR(VLOOKUP($B610,'MATRICE ARTICLE'!$A$2:$N$1395,14,FALSE),"")</f>
        <v/>
      </c>
      <c r="H610" s="48" t="str">
        <f t="shared" si="38"/>
        <v/>
      </c>
      <c r="I610" s="48" t="str">
        <f t="shared" si="39"/>
        <v/>
      </c>
    </row>
    <row r="611" spans="2:9">
      <c r="B611" s="57" t="str">
        <f t="shared" si="36"/>
        <v/>
      </c>
      <c r="C611" s="57"/>
      <c r="D611" s="37" t="str">
        <f>IFERROR(VLOOKUP($B611,'MATRICE ARTICLE'!$A$2:$N$1395,2,FALSE),"")</f>
        <v/>
      </c>
      <c r="E611" s="37" t="str">
        <f t="shared" si="37"/>
        <v/>
      </c>
      <c r="F611" s="37" t="str">
        <f>IFERROR(VLOOKUP($B611,'MATRICE ARTICLE'!$A$2:$N$1395,9,FALSE),"")</f>
        <v/>
      </c>
      <c r="G611" s="37" t="str">
        <f>IFERROR(VLOOKUP($B611,'MATRICE ARTICLE'!$A$2:$N$1395,14,FALSE),"")</f>
        <v/>
      </c>
      <c r="H611" s="48" t="str">
        <f t="shared" si="38"/>
        <v/>
      </c>
      <c r="I611" s="48" t="str">
        <f t="shared" si="39"/>
        <v/>
      </c>
    </row>
    <row r="612" spans="2:9">
      <c r="B612" s="57" t="str">
        <f t="shared" si="36"/>
        <v/>
      </c>
      <c r="C612" s="57"/>
      <c r="D612" s="37" t="str">
        <f>IFERROR(VLOOKUP($B612,'MATRICE ARTICLE'!$A$2:$N$1395,2,FALSE),"")</f>
        <v/>
      </c>
      <c r="E612" s="37" t="str">
        <f t="shared" si="37"/>
        <v/>
      </c>
      <c r="F612" s="37" t="str">
        <f>IFERROR(VLOOKUP($B612,'MATRICE ARTICLE'!$A$2:$N$1395,9,FALSE),"")</f>
        <v/>
      </c>
      <c r="G612" s="37" t="str">
        <f>IFERROR(VLOOKUP($B612,'MATRICE ARTICLE'!$A$2:$N$1395,14,FALSE),"")</f>
        <v/>
      </c>
      <c r="H612" s="48" t="str">
        <f t="shared" si="38"/>
        <v/>
      </c>
      <c r="I612" s="48" t="str">
        <f t="shared" si="39"/>
        <v/>
      </c>
    </row>
    <row r="613" spans="2:9">
      <c r="B613" s="57" t="str">
        <f t="shared" si="36"/>
        <v/>
      </c>
      <c r="C613" s="57"/>
      <c r="D613" s="37" t="str">
        <f>IFERROR(VLOOKUP($B613,'MATRICE ARTICLE'!$A$2:$N$1395,2,FALSE),"")</f>
        <v/>
      </c>
      <c r="E613" s="37" t="str">
        <f t="shared" si="37"/>
        <v/>
      </c>
      <c r="F613" s="37" t="str">
        <f>IFERROR(VLOOKUP($B613,'MATRICE ARTICLE'!$A$2:$N$1395,9,FALSE),"")</f>
        <v/>
      </c>
      <c r="G613" s="37" t="str">
        <f>IFERROR(VLOOKUP($B613,'MATRICE ARTICLE'!$A$2:$N$1395,14,FALSE),"")</f>
        <v/>
      </c>
      <c r="H613" s="48" t="str">
        <f t="shared" si="38"/>
        <v/>
      </c>
      <c r="I613" s="48" t="str">
        <f t="shared" si="39"/>
        <v/>
      </c>
    </row>
    <row r="614" spans="2:9">
      <c r="B614" s="57" t="str">
        <f t="shared" si="36"/>
        <v/>
      </c>
      <c r="C614" s="57"/>
      <c r="D614" s="37" t="str">
        <f>IFERROR(VLOOKUP($B614,'MATRICE ARTICLE'!$A$2:$N$1395,2,FALSE),"")</f>
        <v/>
      </c>
      <c r="E614" s="37" t="str">
        <f t="shared" si="37"/>
        <v/>
      </c>
      <c r="F614" s="37" t="str">
        <f>IFERROR(VLOOKUP($B614,'MATRICE ARTICLE'!$A$2:$N$1395,9,FALSE),"")</f>
        <v/>
      </c>
      <c r="G614" s="37" t="str">
        <f>IFERROR(VLOOKUP($B614,'MATRICE ARTICLE'!$A$2:$N$1395,14,FALSE),"")</f>
        <v/>
      </c>
      <c r="H614" s="48" t="str">
        <f t="shared" si="38"/>
        <v/>
      </c>
      <c r="I614" s="48" t="str">
        <f t="shared" si="39"/>
        <v/>
      </c>
    </row>
    <row r="615" spans="2:9">
      <c r="B615" s="57" t="str">
        <f t="shared" si="36"/>
        <v/>
      </c>
      <c r="C615" s="57"/>
      <c r="D615" s="37" t="str">
        <f>IFERROR(VLOOKUP($B615,'MATRICE ARTICLE'!$A$2:$N$1395,2,FALSE),"")</f>
        <v/>
      </c>
      <c r="E615" s="37" t="str">
        <f t="shared" si="37"/>
        <v/>
      </c>
      <c r="F615" s="37" t="str">
        <f>IFERROR(VLOOKUP($B615,'MATRICE ARTICLE'!$A$2:$N$1395,9,FALSE),"")</f>
        <v/>
      </c>
      <c r="G615" s="37" t="str">
        <f>IFERROR(VLOOKUP($B615,'MATRICE ARTICLE'!$A$2:$N$1395,14,FALSE),"")</f>
        <v/>
      </c>
      <c r="H615" s="48" t="str">
        <f t="shared" si="38"/>
        <v/>
      </c>
      <c r="I615" s="48" t="str">
        <f t="shared" si="39"/>
        <v/>
      </c>
    </row>
    <row r="616" spans="2:9">
      <c r="B616" s="57" t="str">
        <f t="shared" si="36"/>
        <v/>
      </c>
      <c r="C616" s="57"/>
      <c r="D616" s="37" t="str">
        <f>IFERROR(VLOOKUP($B616,'MATRICE ARTICLE'!$A$2:$N$1395,2,FALSE),"")</f>
        <v/>
      </c>
      <c r="E616" s="37" t="str">
        <f t="shared" si="37"/>
        <v/>
      </c>
      <c r="F616" s="37" t="str">
        <f>IFERROR(VLOOKUP($B616,'MATRICE ARTICLE'!$A$2:$N$1395,9,FALSE),"")</f>
        <v/>
      </c>
      <c r="G616" s="37" t="str">
        <f>IFERROR(VLOOKUP($B616,'MATRICE ARTICLE'!$A$2:$N$1395,14,FALSE),"")</f>
        <v/>
      </c>
      <c r="H616" s="48" t="str">
        <f t="shared" si="38"/>
        <v/>
      </c>
      <c r="I616" s="48" t="str">
        <f t="shared" si="39"/>
        <v/>
      </c>
    </row>
    <row r="617" spans="2:9">
      <c r="B617" s="57" t="str">
        <f t="shared" si="36"/>
        <v/>
      </c>
      <c r="C617" s="57"/>
      <c r="D617" s="37" t="str">
        <f>IFERROR(VLOOKUP($B617,'MATRICE ARTICLE'!$A$2:$N$1395,2,FALSE),"")</f>
        <v/>
      </c>
      <c r="E617" s="37" t="str">
        <f t="shared" si="37"/>
        <v/>
      </c>
      <c r="F617" s="37" t="str">
        <f>IFERROR(VLOOKUP($B617,'MATRICE ARTICLE'!$A$2:$N$1395,9,FALSE),"")</f>
        <v/>
      </c>
      <c r="G617" s="37" t="str">
        <f>IFERROR(VLOOKUP($B617,'MATRICE ARTICLE'!$A$2:$N$1395,14,FALSE),"")</f>
        <v/>
      </c>
      <c r="H617" s="48" t="str">
        <f t="shared" si="38"/>
        <v/>
      </c>
      <c r="I617" s="48" t="str">
        <f t="shared" si="39"/>
        <v/>
      </c>
    </row>
    <row r="618" spans="2:9">
      <c r="B618" s="57" t="str">
        <f t="shared" si="36"/>
        <v/>
      </c>
      <c r="C618" s="57"/>
      <c r="D618" s="37" t="str">
        <f>IFERROR(VLOOKUP($B618,'MATRICE ARTICLE'!$A$2:$N$1395,2,FALSE),"")</f>
        <v/>
      </c>
      <c r="E618" s="37" t="str">
        <f t="shared" si="37"/>
        <v/>
      </c>
      <c r="F618" s="37" t="str">
        <f>IFERROR(VLOOKUP($B618,'MATRICE ARTICLE'!$A$2:$N$1395,9,FALSE),"")</f>
        <v/>
      </c>
      <c r="G618" s="37" t="str">
        <f>IFERROR(VLOOKUP($B618,'MATRICE ARTICLE'!$A$2:$N$1395,14,FALSE),"")</f>
        <v/>
      </c>
      <c r="H618" s="48" t="str">
        <f t="shared" si="38"/>
        <v/>
      </c>
      <c r="I618" s="48" t="str">
        <f t="shared" si="39"/>
        <v/>
      </c>
    </row>
    <row r="619" spans="2:9">
      <c r="B619" s="57" t="str">
        <f t="shared" si="36"/>
        <v/>
      </c>
      <c r="C619" s="57"/>
      <c r="D619" s="37" t="str">
        <f>IFERROR(VLOOKUP($B619,'MATRICE ARTICLE'!$A$2:$N$1395,2,FALSE),"")</f>
        <v/>
      </c>
      <c r="E619" s="37" t="str">
        <f t="shared" si="37"/>
        <v/>
      </c>
      <c r="F619" s="37" t="str">
        <f>IFERROR(VLOOKUP($B619,'MATRICE ARTICLE'!$A$2:$N$1395,9,FALSE),"")</f>
        <v/>
      </c>
      <c r="G619" s="37" t="str">
        <f>IFERROR(VLOOKUP($B619,'MATRICE ARTICLE'!$A$2:$N$1395,14,FALSE),"")</f>
        <v/>
      </c>
      <c r="H619" s="48" t="str">
        <f t="shared" si="38"/>
        <v/>
      </c>
      <c r="I619" s="48" t="str">
        <f t="shared" si="39"/>
        <v/>
      </c>
    </row>
    <row r="620" spans="2:9">
      <c r="B620" s="57" t="str">
        <f t="shared" si="36"/>
        <v/>
      </c>
      <c r="C620" s="57"/>
      <c r="D620" s="37" t="str">
        <f>IFERROR(VLOOKUP($B620,'MATRICE ARTICLE'!$A$2:$N$1395,2,FALSE),"")</f>
        <v/>
      </c>
      <c r="E620" s="37" t="str">
        <f t="shared" si="37"/>
        <v/>
      </c>
      <c r="F620" s="37" t="str">
        <f>IFERROR(VLOOKUP($B620,'MATRICE ARTICLE'!$A$2:$N$1395,9,FALSE),"")</f>
        <v/>
      </c>
      <c r="G620" s="37" t="str">
        <f>IFERROR(VLOOKUP($B620,'MATRICE ARTICLE'!$A$2:$N$1395,14,FALSE),"")</f>
        <v/>
      </c>
      <c r="H620" s="48" t="str">
        <f t="shared" si="38"/>
        <v/>
      </c>
      <c r="I620" s="48" t="str">
        <f t="shared" si="39"/>
        <v/>
      </c>
    </row>
    <row r="621" spans="2:9">
      <c r="B621" s="57" t="str">
        <f t="shared" si="36"/>
        <v/>
      </c>
      <c r="C621" s="57"/>
      <c r="D621" s="37" t="str">
        <f>IFERROR(VLOOKUP($B621,'MATRICE ARTICLE'!$A$2:$N$1395,2,FALSE),"")</f>
        <v/>
      </c>
      <c r="E621" s="37" t="str">
        <f t="shared" si="37"/>
        <v/>
      </c>
      <c r="F621" s="37" t="str">
        <f>IFERROR(VLOOKUP($B621,'MATRICE ARTICLE'!$A$2:$N$1395,9,FALSE),"")</f>
        <v/>
      </c>
      <c r="G621" s="37" t="str">
        <f>IFERROR(VLOOKUP($B621,'MATRICE ARTICLE'!$A$2:$N$1395,14,FALSE),"")</f>
        <v/>
      </c>
      <c r="H621" s="48" t="str">
        <f t="shared" si="38"/>
        <v/>
      </c>
      <c r="I621" s="48" t="str">
        <f t="shared" si="39"/>
        <v/>
      </c>
    </row>
    <row r="622" spans="2:9">
      <c r="B622" s="57" t="str">
        <f t="shared" si="36"/>
        <v/>
      </c>
      <c r="C622" s="57"/>
      <c r="D622" s="37" t="str">
        <f>IFERROR(VLOOKUP($B622,'MATRICE ARTICLE'!$A$2:$N$1395,2,FALSE),"")</f>
        <v/>
      </c>
      <c r="E622" s="37" t="str">
        <f t="shared" si="37"/>
        <v/>
      </c>
      <c r="F622" s="37" t="str">
        <f>IFERROR(VLOOKUP($B622,'MATRICE ARTICLE'!$A$2:$N$1395,9,FALSE),"")</f>
        <v/>
      </c>
      <c r="G622" s="37" t="str">
        <f>IFERROR(VLOOKUP($B622,'MATRICE ARTICLE'!$A$2:$N$1395,14,FALSE),"")</f>
        <v/>
      </c>
      <c r="H622" s="48" t="str">
        <f t="shared" si="38"/>
        <v/>
      </c>
      <c r="I622" s="48" t="str">
        <f t="shared" si="39"/>
        <v/>
      </c>
    </row>
    <row r="623" spans="2:9">
      <c r="B623" s="57" t="str">
        <f t="shared" si="36"/>
        <v/>
      </c>
      <c r="C623" s="57"/>
      <c r="D623" s="37" t="str">
        <f>IFERROR(VLOOKUP($B623,'MATRICE ARTICLE'!$A$2:$N$1395,2,FALSE),"")</f>
        <v/>
      </c>
      <c r="E623" s="37" t="str">
        <f t="shared" si="37"/>
        <v/>
      </c>
      <c r="F623" s="37" t="str">
        <f>IFERROR(VLOOKUP($B623,'MATRICE ARTICLE'!$A$2:$N$1395,9,FALSE),"")</f>
        <v/>
      </c>
      <c r="G623" s="37" t="str">
        <f>IFERROR(VLOOKUP($B623,'MATRICE ARTICLE'!$A$2:$N$1395,14,FALSE),"")</f>
        <v/>
      </c>
      <c r="H623" s="48" t="str">
        <f t="shared" si="38"/>
        <v/>
      </c>
      <c r="I623" s="48" t="str">
        <f t="shared" si="39"/>
        <v/>
      </c>
    </row>
    <row r="624" spans="2:9">
      <c r="B624" s="57" t="str">
        <f t="shared" si="36"/>
        <v/>
      </c>
      <c r="C624" s="57"/>
      <c r="D624" s="37" t="str">
        <f>IFERROR(VLOOKUP($B624,'MATRICE ARTICLE'!$A$2:$N$1395,2,FALSE),"")</f>
        <v/>
      </c>
      <c r="E624" s="37" t="str">
        <f t="shared" si="37"/>
        <v/>
      </c>
      <c r="F624" s="37" t="str">
        <f>IFERROR(VLOOKUP($B624,'MATRICE ARTICLE'!$A$2:$N$1395,9,FALSE),"")</f>
        <v/>
      </c>
      <c r="G624" s="37" t="str">
        <f>IFERROR(VLOOKUP($B624,'MATRICE ARTICLE'!$A$2:$N$1395,14,FALSE),"")</f>
        <v/>
      </c>
      <c r="H624" s="48" t="str">
        <f t="shared" si="38"/>
        <v/>
      </c>
      <c r="I624" s="48" t="str">
        <f t="shared" si="39"/>
        <v/>
      </c>
    </row>
    <row r="625" spans="2:9">
      <c r="B625" s="57" t="str">
        <f t="shared" si="36"/>
        <v/>
      </c>
      <c r="C625" s="57"/>
      <c r="D625" s="37" t="str">
        <f>IFERROR(VLOOKUP($B625,'MATRICE ARTICLE'!$A$2:$N$1395,2,FALSE),"")</f>
        <v/>
      </c>
      <c r="E625" s="37" t="str">
        <f t="shared" si="37"/>
        <v/>
      </c>
      <c r="F625" s="37" t="str">
        <f>IFERROR(VLOOKUP($B625,'MATRICE ARTICLE'!$A$2:$N$1395,9,FALSE),"")</f>
        <v/>
      </c>
      <c r="G625" s="37" t="str">
        <f>IFERROR(VLOOKUP($B625,'MATRICE ARTICLE'!$A$2:$N$1395,14,FALSE),"")</f>
        <v/>
      </c>
      <c r="H625" s="48" t="str">
        <f t="shared" si="38"/>
        <v/>
      </c>
      <c r="I625" s="48" t="str">
        <f t="shared" si="39"/>
        <v/>
      </c>
    </row>
    <row r="626" spans="2:9">
      <c r="B626" s="57" t="str">
        <f t="shared" si="36"/>
        <v/>
      </c>
      <c r="C626" s="57"/>
      <c r="D626" s="37" t="str">
        <f>IFERROR(VLOOKUP($B626,'MATRICE ARTICLE'!$A$2:$N$1395,2,FALSE),"")</f>
        <v/>
      </c>
      <c r="E626" s="37" t="str">
        <f t="shared" si="37"/>
        <v/>
      </c>
      <c r="F626" s="37" t="str">
        <f>IFERROR(VLOOKUP($B626,'MATRICE ARTICLE'!$A$2:$N$1395,9,FALSE),"")</f>
        <v/>
      </c>
      <c r="G626" s="37" t="str">
        <f>IFERROR(VLOOKUP($B626,'MATRICE ARTICLE'!$A$2:$N$1395,14,FALSE),"")</f>
        <v/>
      </c>
      <c r="H626" s="48" t="str">
        <f t="shared" si="38"/>
        <v/>
      </c>
      <c r="I626" s="48" t="str">
        <f t="shared" si="39"/>
        <v/>
      </c>
    </row>
    <row r="627" spans="2:9">
      <c r="B627" s="57" t="str">
        <f t="shared" si="36"/>
        <v/>
      </c>
      <c r="C627" s="57"/>
      <c r="D627" s="37" t="str">
        <f>IFERROR(VLOOKUP($B627,'MATRICE ARTICLE'!$A$2:$N$1395,2,FALSE),"")</f>
        <v/>
      </c>
      <c r="E627" s="37" t="str">
        <f t="shared" si="37"/>
        <v/>
      </c>
      <c r="F627" s="37" t="str">
        <f>IFERROR(VLOOKUP($B627,'MATRICE ARTICLE'!$A$2:$N$1395,9,FALSE),"")</f>
        <v/>
      </c>
      <c r="G627" s="37" t="str">
        <f>IFERROR(VLOOKUP($B627,'MATRICE ARTICLE'!$A$2:$N$1395,14,FALSE),"")</f>
        <v/>
      </c>
      <c r="H627" s="48" t="str">
        <f t="shared" si="38"/>
        <v/>
      </c>
      <c r="I627" s="48" t="str">
        <f t="shared" si="39"/>
        <v/>
      </c>
    </row>
    <row r="628" spans="2:9">
      <c r="B628" s="57" t="str">
        <f t="shared" si="36"/>
        <v/>
      </c>
      <c r="C628" s="57"/>
      <c r="D628" s="37" t="str">
        <f>IFERROR(VLOOKUP($B628,'MATRICE ARTICLE'!$A$2:$N$1395,2,FALSE),"")</f>
        <v/>
      </c>
      <c r="E628" s="37" t="str">
        <f t="shared" si="37"/>
        <v/>
      </c>
      <c r="F628" s="37" t="str">
        <f>IFERROR(VLOOKUP($B628,'MATRICE ARTICLE'!$A$2:$N$1395,9,FALSE),"")</f>
        <v/>
      </c>
      <c r="G628" s="37" t="str">
        <f>IFERROR(VLOOKUP($B628,'MATRICE ARTICLE'!$A$2:$N$1395,14,FALSE),"")</f>
        <v/>
      </c>
      <c r="H628" s="48" t="str">
        <f t="shared" si="38"/>
        <v/>
      </c>
      <c r="I628" s="48" t="str">
        <f t="shared" si="39"/>
        <v/>
      </c>
    </row>
    <row r="629" spans="2:9">
      <c r="B629" s="57" t="str">
        <f t="shared" si="36"/>
        <v/>
      </c>
      <c r="C629" s="57"/>
      <c r="D629" s="37" t="str">
        <f>IFERROR(VLOOKUP($B629,'MATRICE ARTICLE'!$A$2:$N$1395,2,FALSE),"")</f>
        <v/>
      </c>
      <c r="E629" s="37" t="str">
        <f t="shared" si="37"/>
        <v/>
      </c>
      <c r="F629" s="37" t="str">
        <f>IFERROR(VLOOKUP($B629,'MATRICE ARTICLE'!$A$2:$N$1395,9,FALSE),"")</f>
        <v/>
      </c>
      <c r="G629" s="37" t="str">
        <f>IFERROR(VLOOKUP($B629,'MATRICE ARTICLE'!$A$2:$N$1395,14,FALSE),"")</f>
        <v/>
      </c>
      <c r="H629" s="48" t="str">
        <f t="shared" si="38"/>
        <v/>
      </c>
      <c r="I629" s="48" t="str">
        <f t="shared" si="39"/>
        <v/>
      </c>
    </row>
    <row r="630" spans="2:9">
      <c r="B630" s="57" t="str">
        <f t="shared" si="36"/>
        <v/>
      </c>
      <c r="C630" s="57"/>
      <c r="D630" s="37" t="str">
        <f>IFERROR(VLOOKUP($B630,'MATRICE ARTICLE'!$A$2:$N$1395,2,FALSE),"")</f>
        <v/>
      </c>
      <c r="E630" s="37" t="str">
        <f t="shared" si="37"/>
        <v/>
      </c>
      <c r="F630" s="37" t="str">
        <f>IFERROR(VLOOKUP($B630,'MATRICE ARTICLE'!$A$2:$N$1395,9,FALSE),"")</f>
        <v/>
      </c>
      <c r="G630" s="37" t="str">
        <f>IFERROR(VLOOKUP($B630,'MATRICE ARTICLE'!$A$2:$N$1395,14,FALSE),"")</f>
        <v/>
      </c>
      <c r="H630" s="48" t="str">
        <f t="shared" si="38"/>
        <v/>
      </c>
      <c r="I630" s="48" t="str">
        <f t="shared" si="39"/>
        <v/>
      </c>
    </row>
    <row r="631" spans="2:9">
      <c r="B631" s="57" t="str">
        <f t="shared" si="36"/>
        <v/>
      </c>
      <c r="C631" s="57"/>
      <c r="D631" s="37" t="str">
        <f>IFERROR(VLOOKUP($B631,'MATRICE ARTICLE'!$A$2:$N$1395,2,FALSE),"")</f>
        <v/>
      </c>
      <c r="E631" s="37" t="str">
        <f t="shared" si="37"/>
        <v/>
      </c>
      <c r="F631" s="37" t="str">
        <f>IFERROR(VLOOKUP($B631,'MATRICE ARTICLE'!$A$2:$N$1395,9,FALSE),"")</f>
        <v/>
      </c>
      <c r="G631" s="37" t="str">
        <f>IFERROR(VLOOKUP($B631,'MATRICE ARTICLE'!$A$2:$N$1395,14,FALSE),"")</f>
        <v/>
      </c>
      <c r="H631" s="48" t="str">
        <f t="shared" si="38"/>
        <v/>
      </c>
      <c r="I631" s="48" t="str">
        <f t="shared" si="39"/>
        <v/>
      </c>
    </row>
    <row r="632" spans="2:9">
      <c r="B632" s="57" t="str">
        <f t="shared" si="36"/>
        <v/>
      </c>
      <c r="C632" s="57"/>
      <c r="D632" s="37" t="str">
        <f>IFERROR(VLOOKUP($B632,'MATRICE ARTICLE'!$A$2:$N$1395,2,FALSE),"")</f>
        <v/>
      </c>
      <c r="E632" s="37" t="str">
        <f t="shared" si="37"/>
        <v/>
      </c>
      <c r="F632" s="37" t="str">
        <f>IFERROR(VLOOKUP($B632,'MATRICE ARTICLE'!$A$2:$N$1395,9,FALSE),"")</f>
        <v/>
      </c>
      <c r="G632" s="37" t="str">
        <f>IFERROR(VLOOKUP($B632,'MATRICE ARTICLE'!$A$2:$N$1395,14,FALSE),"")</f>
        <v/>
      </c>
      <c r="H632" s="48" t="str">
        <f t="shared" si="38"/>
        <v/>
      </c>
      <c r="I632" s="48" t="str">
        <f t="shared" si="39"/>
        <v/>
      </c>
    </row>
    <row r="633" spans="2:9">
      <c r="B633" s="57" t="str">
        <f t="shared" si="36"/>
        <v/>
      </c>
      <c r="C633" s="57"/>
      <c r="D633" s="37" t="str">
        <f>IFERROR(VLOOKUP($B633,'MATRICE ARTICLE'!$A$2:$N$1395,2,FALSE),"")</f>
        <v/>
      </c>
      <c r="E633" s="37" t="str">
        <f t="shared" si="37"/>
        <v/>
      </c>
      <c r="F633" s="37" t="str">
        <f>IFERROR(VLOOKUP($B633,'MATRICE ARTICLE'!$A$2:$N$1395,9,FALSE),"")</f>
        <v/>
      </c>
      <c r="G633" s="37" t="str">
        <f>IFERROR(VLOOKUP($B633,'MATRICE ARTICLE'!$A$2:$N$1395,14,FALSE),"")</f>
        <v/>
      </c>
      <c r="H633" s="48" t="str">
        <f t="shared" si="38"/>
        <v/>
      </c>
      <c r="I633" s="48" t="str">
        <f t="shared" si="39"/>
        <v/>
      </c>
    </row>
    <row r="634" spans="2:9">
      <c r="B634" s="57" t="str">
        <f t="shared" si="36"/>
        <v/>
      </c>
      <c r="C634" s="57"/>
      <c r="D634" s="37" t="str">
        <f>IFERROR(VLOOKUP($B634,'MATRICE ARTICLE'!$A$2:$N$1395,2,FALSE),"")</f>
        <v/>
      </c>
      <c r="E634" s="37" t="str">
        <f t="shared" si="37"/>
        <v/>
      </c>
      <c r="F634" s="37" t="str">
        <f>IFERROR(VLOOKUP($B634,'MATRICE ARTICLE'!$A$2:$N$1395,9,FALSE),"")</f>
        <v/>
      </c>
      <c r="G634" s="37" t="str">
        <f>IFERROR(VLOOKUP($B634,'MATRICE ARTICLE'!$A$2:$N$1395,14,FALSE),"")</f>
        <v/>
      </c>
      <c r="H634" s="48" t="str">
        <f t="shared" si="38"/>
        <v/>
      </c>
      <c r="I634" s="48" t="str">
        <f t="shared" si="39"/>
        <v/>
      </c>
    </row>
    <row r="635" spans="2:9">
      <c r="B635" s="57" t="str">
        <f t="shared" si="36"/>
        <v/>
      </c>
      <c r="C635" s="57"/>
      <c r="D635" s="37" t="str">
        <f>IFERROR(VLOOKUP($B635,'MATRICE ARTICLE'!$A$2:$N$1395,2,FALSE),"")</f>
        <v/>
      </c>
      <c r="E635" s="37" t="str">
        <f t="shared" si="37"/>
        <v/>
      </c>
      <c r="F635" s="37" t="str">
        <f>IFERROR(VLOOKUP($B635,'MATRICE ARTICLE'!$A$2:$N$1395,9,FALSE),"")</f>
        <v/>
      </c>
      <c r="G635" s="37" t="str">
        <f>IFERROR(VLOOKUP($B635,'MATRICE ARTICLE'!$A$2:$N$1395,14,FALSE),"")</f>
        <v/>
      </c>
      <c r="H635" s="48" t="str">
        <f t="shared" si="38"/>
        <v/>
      </c>
      <c r="I635" s="48" t="str">
        <f t="shared" si="39"/>
        <v/>
      </c>
    </row>
    <row r="636" spans="2:9">
      <c r="B636" s="57" t="str">
        <f t="shared" si="36"/>
        <v/>
      </c>
      <c r="C636" s="57"/>
      <c r="D636" s="37" t="str">
        <f>IFERROR(VLOOKUP($B636,'MATRICE ARTICLE'!$A$2:$N$1395,2,FALSE),"")</f>
        <v/>
      </c>
      <c r="E636" s="37" t="str">
        <f t="shared" si="37"/>
        <v/>
      </c>
      <c r="F636" s="37" t="str">
        <f>IFERROR(VLOOKUP($B636,'MATRICE ARTICLE'!$A$2:$N$1395,9,FALSE),"")</f>
        <v/>
      </c>
      <c r="G636" s="37" t="str">
        <f>IFERROR(VLOOKUP($B636,'MATRICE ARTICLE'!$A$2:$N$1395,14,FALSE),"")</f>
        <v/>
      </c>
      <c r="H636" s="48" t="str">
        <f t="shared" si="38"/>
        <v/>
      </c>
      <c r="I636" s="48" t="str">
        <f t="shared" si="39"/>
        <v/>
      </c>
    </row>
    <row r="637" spans="2:9">
      <c r="B637" s="57" t="str">
        <f t="shared" si="36"/>
        <v/>
      </c>
      <c r="C637" s="57"/>
      <c r="D637" s="37" t="str">
        <f>IFERROR(VLOOKUP($B637,'MATRICE ARTICLE'!$A$2:$N$1395,2,FALSE),"")</f>
        <v/>
      </c>
      <c r="E637" s="37" t="str">
        <f t="shared" si="37"/>
        <v/>
      </c>
      <c r="F637" s="37" t="str">
        <f>IFERROR(VLOOKUP($B637,'MATRICE ARTICLE'!$A$2:$N$1395,9,FALSE),"")</f>
        <v/>
      </c>
      <c r="G637" s="37" t="str">
        <f>IFERROR(VLOOKUP($B637,'MATRICE ARTICLE'!$A$2:$N$1395,14,FALSE),"")</f>
        <v/>
      </c>
      <c r="H637" s="48" t="str">
        <f t="shared" si="38"/>
        <v/>
      </c>
      <c r="I637" s="48" t="str">
        <f t="shared" si="39"/>
        <v/>
      </c>
    </row>
    <row r="638" spans="2:9">
      <c r="B638" s="57" t="str">
        <f t="shared" si="36"/>
        <v/>
      </c>
      <c r="C638" s="57"/>
      <c r="D638" s="37" t="str">
        <f>IFERROR(VLOOKUP($B638,'MATRICE ARTICLE'!$A$2:$N$1395,2,FALSE),"")</f>
        <v/>
      </c>
      <c r="E638" s="37" t="str">
        <f t="shared" si="37"/>
        <v/>
      </c>
      <c r="F638" s="37" t="str">
        <f>IFERROR(VLOOKUP($B638,'MATRICE ARTICLE'!$A$2:$N$1395,9,FALSE),"")</f>
        <v/>
      </c>
      <c r="G638" s="37" t="str">
        <f>IFERROR(VLOOKUP($B638,'MATRICE ARTICLE'!$A$2:$N$1395,14,FALSE),"")</f>
        <v/>
      </c>
      <c r="H638" s="48" t="str">
        <f t="shared" si="38"/>
        <v/>
      </c>
      <c r="I638" s="48" t="str">
        <f t="shared" si="39"/>
        <v/>
      </c>
    </row>
    <row r="639" spans="2:9">
      <c r="B639" s="57" t="str">
        <f t="shared" si="36"/>
        <v/>
      </c>
      <c r="C639" s="57"/>
      <c r="D639" s="37" t="str">
        <f>IFERROR(VLOOKUP($B639,'MATRICE ARTICLE'!$A$2:$N$1395,2,FALSE),"")</f>
        <v/>
      </c>
      <c r="E639" s="37" t="str">
        <f t="shared" si="37"/>
        <v/>
      </c>
      <c r="F639" s="37" t="str">
        <f>IFERROR(VLOOKUP($B639,'MATRICE ARTICLE'!$A$2:$N$1395,9,FALSE),"")</f>
        <v/>
      </c>
      <c r="G639" s="37" t="str">
        <f>IFERROR(VLOOKUP($B639,'MATRICE ARTICLE'!$A$2:$N$1395,14,FALSE),"")</f>
        <v/>
      </c>
      <c r="H639" s="48" t="str">
        <f t="shared" si="38"/>
        <v/>
      </c>
      <c r="I639" s="48" t="str">
        <f t="shared" si="39"/>
        <v/>
      </c>
    </row>
    <row r="640" spans="2:9">
      <c r="B640" s="57" t="str">
        <f t="shared" si="36"/>
        <v/>
      </c>
      <c r="C640" s="57"/>
      <c r="D640" s="37" t="str">
        <f>IFERROR(VLOOKUP($B640,'MATRICE ARTICLE'!$A$2:$N$1395,2,FALSE),"")</f>
        <v/>
      </c>
      <c r="E640" s="37" t="str">
        <f t="shared" si="37"/>
        <v/>
      </c>
      <c r="F640" s="37" t="str">
        <f>IFERROR(VLOOKUP($B640,'MATRICE ARTICLE'!$A$2:$N$1395,9,FALSE),"")</f>
        <v/>
      </c>
      <c r="G640" s="37" t="str">
        <f>IFERROR(VLOOKUP($B640,'MATRICE ARTICLE'!$A$2:$N$1395,14,FALSE),"")</f>
        <v/>
      </c>
      <c r="H640" s="48" t="str">
        <f t="shared" si="38"/>
        <v/>
      </c>
      <c r="I640" s="48" t="str">
        <f t="shared" si="39"/>
        <v/>
      </c>
    </row>
    <row r="641" spans="2:9">
      <c r="B641" s="57" t="str">
        <f t="shared" si="36"/>
        <v/>
      </c>
      <c r="C641" s="57"/>
      <c r="D641" s="37" t="str">
        <f>IFERROR(VLOOKUP($B641,'MATRICE ARTICLE'!$A$2:$N$1395,2,FALSE),"")</f>
        <v/>
      </c>
      <c r="E641" s="37" t="str">
        <f t="shared" si="37"/>
        <v/>
      </c>
      <c r="F641" s="37" t="str">
        <f>IFERROR(VLOOKUP($B641,'MATRICE ARTICLE'!$A$2:$N$1395,9,FALSE),"")</f>
        <v/>
      </c>
      <c r="G641" s="37" t="str">
        <f>IFERROR(VLOOKUP($B641,'MATRICE ARTICLE'!$A$2:$N$1395,14,FALSE),"")</f>
        <v/>
      </c>
      <c r="H641" s="48" t="str">
        <f t="shared" si="38"/>
        <v/>
      </c>
      <c r="I641" s="48" t="str">
        <f t="shared" si="39"/>
        <v/>
      </c>
    </row>
    <row r="642" spans="2:9">
      <c r="B642" s="57" t="str">
        <f t="shared" si="36"/>
        <v/>
      </c>
      <c r="C642" s="57"/>
      <c r="D642" s="37" t="str">
        <f>IFERROR(VLOOKUP($B642,'MATRICE ARTICLE'!$A$2:$N$1395,2,FALSE),"")</f>
        <v/>
      </c>
      <c r="E642" s="37" t="str">
        <f t="shared" si="37"/>
        <v/>
      </c>
      <c r="F642" s="37" t="str">
        <f>IFERROR(VLOOKUP($B642,'MATRICE ARTICLE'!$A$2:$N$1395,9,FALSE),"")</f>
        <v/>
      </c>
      <c r="G642" s="37" t="str">
        <f>IFERROR(VLOOKUP($B642,'MATRICE ARTICLE'!$A$2:$N$1395,14,FALSE),"")</f>
        <v/>
      </c>
      <c r="H642" s="48" t="str">
        <f t="shared" si="38"/>
        <v/>
      </c>
      <c r="I642" s="48" t="str">
        <f t="shared" si="39"/>
        <v/>
      </c>
    </row>
    <row r="643" spans="2:9">
      <c r="B643" s="57" t="str">
        <f t="shared" ref="B643:B706" si="40">IF(A643=0,"",A643)</f>
        <v/>
      </c>
      <c r="C643" s="57"/>
      <c r="D643" s="37" t="str">
        <f>IFERROR(VLOOKUP($B643,'MATRICE ARTICLE'!$A$2:$N$1395,2,FALSE),"")</f>
        <v/>
      </c>
      <c r="E643" s="37" t="str">
        <f t="shared" ref="E643:E706" si="41">IF(SUM(F643:I643)=0,"",SUM(F643:I643))</f>
        <v/>
      </c>
      <c r="F643" s="37" t="str">
        <f>IFERROR(VLOOKUP($B643,'MATRICE ARTICLE'!$A$2:$N$1395,9,FALSE),"")</f>
        <v/>
      </c>
      <c r="G643" s="37" t="str">
        <f>IFERROR(VLOOKUP($B643,'MATRICE ARTICLE'!$A$2:$N$1395,14,FALSE),"")</f>
        <v/>
      </c>
      <c r="H643" s="48" t="str">
        <f t="shared" ref="H643:H706" si="42">IF(SUM(F643:G643)*$H$1=0,"",SUM(F643:G643)*$H$1)</f>
        <v/>
      </c>
      <c r="I643" s="48" t="str">
        <f t="shared" ref="I643:I706" si="43">IF(SUM(F643:H643)*$I$1=0,"",SUM(F643:H643)*$I$1)</f>
        <v/>
      </c>
    </row>
    <row r="644" spans="2:9">
      <c r="B644" s="57" t="str">
        <f t="shared" si="40"/>
        <v/>
      </c>
      <c r="C644" s="57"/>
      <c r="D644" s="37" t="str">
        <f>IFERROR(VLOOKUP($B644,'MATRICE ARTICLE'!$A$2:$N$1395,2,FALSE),"")</f>
        <v/>
      </c>
      <c r="E644" s="37" t="str">
        <f t="shared" si="41"/>
        <v/>
      </c>
      <c r="F644" s="37" t="str">
        <f>IFERROR(VLOOKUP($B644,'MATRICE ARTICLE'!$A$2:$N$1395,9,FALSE),"")</f>
        <v/>
      </c>
      <c r="G644" s="37" t="str">
        <f>IFERROR(VLOOKUP($B644,'MATRICE ARTICLE'!$A$2:$N$1395,14,FALSE),"")</f>
        <v/>
      </c>
      <c r="H644" s="48" t="str">
        <f t="shared" si="42"/>
        <v/>
      </c>
      <c r="I644" s="48" t="str">
        <f t="shared" si="43"/>
        <v/>
      </c>
    </row>
    <row r="645" spans="2:9">
      <c r="B645" s="57" t="str">
        <f t="shared" si="40"/>
        <v/>
      </c>
      <c r="C645" s="57"/>
      <c r="D645" s="37" t="str">
        <f>IFERROR(VLOOKUP($B645,'MATRICE ARTICLE'!$A$2:$N$1395,2,FALSE),"")</f>
        <v/>
      </c>
      <c r="E645" s="37" t="str">
        <f t="shared" si="41"/>
        <v/>
      </c>
      <c r="F645" s="37" t="str">
        <f>IFERROR(VLOOKUP($B645,'MATRICE ARTICLE'!$A$2:$N$1395,9,FALSE),"")</f>
        <v/>
      </c>
      <c r="G645" s="37" t="str">
        <f>IFERROR(VLOOKUP($B645,'MATRICE ARTICLE'!$A$2:$N$1395,14,FALSE),"")</f>
        <v/>
      </c>
      <c r="H645" s="48" t="str">
        <f t="shared" si="42"/>
        <v/>
      </c>
      <c r="I645" s="48" t="str">
        <f t="shared" si="43"/>
        <v/>
      </c>
    </row>
    <row r="646" spans="2:9">
      <c r="B646" s="57" t="str">
        <f t="shared" si="40"/>
        <v/>
      </c>
      <c r="C646" s="57"/>
      <c r="D646" s="37" t="str">
        <f>IFERROR(VLOOKUP($B646,'MATRICE ARTICLE'!$A$2:$N$1395,2,FALSE),"")</f>
        <v/>
      </c>
      <c r="E646" s="37" t="str">
        <f t="shared" si="41"/>
        <v/>
      </c>
      <c r="F646" s="37" t="str">
        <f>IFERROR(VLOOKUP($B646,'MATRICE ARTICLE'!$A$2:$N$1395,9,FALSE),"")</f>
        <v/>
      </c>
      <c r="G646" s="37" t="str">
        <f>IFERROR(VLOOKUP($B646,'MATRICE ARTICLE'!$A$2:$N$1395,14,FALSE),"")</f>
        <v/>
      </c>
      <c r="H646" s="48" t="str">
        <f t="shared" si="42"/>
        <v/>
      </c>
      <c r="I646" s="48" t="str">
        <f t="shared" si="43"/>
        <v/>
      </c>
    </row>
    <row r="647" spans="2:9">
      <c r="B647" s="57" t="str">
        <f t="shared" si="40"/>
        <v/>
      </c>
      <c r="C647" s="57"/>
      <c r="D647" s="37" t="str">
        <f>IFERROR(VLOOKUP($B647,'MATRICE ARTICLE'!$A$2:$N$1395,2,FALSE),"")</f>
        <v/>
      </c>
      <c r="E647" s="37" t="str">
        <f t="shared" si="41"/>
        <v/>
      </c>
      <c r="F647" s="37" t="str">
        <f>IFERROR(VLOOKUP($B647,'MATRICE ARTICLE'!$A$2:$N$1395,9,FALSE),"")</f>
        <v/>
      </c>
      <c r="G647" s="37" t="str">
        <f>IFERROR(VLOOKUP($B647,'MATRICE ARTICLE'!$A$2:$N$1395,14,FALSE),"")</f>
        <v/>
      </c>
      <c r="H647" s="48" t="str">
        <f t="shared" si="42"/>
        <v/>
      </c>
      <c r="I647" s="48" t="str">
        <f t="shared" si="43"/>
        <v/>
      </c>
    </row>
    <row r="648" spans="2:9">
      <c r="B648" s="57" t="str">
        <f t="shared" si="40"/>
        <v/>
      </c>
      <c r="C648" s="57"/>
      <c r="D648" s="37" t="str">
        <f>IFERROR(VLOOKUP($B648,'MATRICE ARTICLE'!$A$2:$N$1395,2,FALSE),"")</f>
        <v/>
      </c>
      <c r="E648" s="37" t="str">
        <f t="shared" si="41"/>
        <v/>
      </c>
      <c r="F648" s="37" t="str">
        <f>IFERROR(VLOOKUP($B648,'MATRICE ARTICLE'!$A$2:$N$1395,9,FALSE),"")</f>
        <v/>
      </c>
      <c r="G648" s="37" t="str">
        <f>IFERROR(VLOOKUP($B648,'MATRICE ARTICLE'!$A$2:$N$1395,14,FALSE),"")</f>
        <v/>
      </c>
      <c r="H648" s="48" t="str">
        <f t="shared" si="42"/>
        <v/>
      </c>
      <c r="I648" s="48" t="str">
        <f t="shared" si="43"/>
        <v/>
      </c>
    </row>
    <row r="649" spans="2:9">
      <c r="B649" s="57" t="str">
        <f t="shared" si="40"/>
        <v/>
      </c>
      <c r="C649" s="57"/>
      <c r="D649" s="37" t="str">
        <f>IFERROR(VLOOKUP($B649,'MATRICE ARTICLE'!$A$2:$N$1395,2,FALSE),"")</f>
        <v/>
      </c>
      <c r="E649" s="37" t="str">
        <f t="shared" si="41"/>
        <v/>
      </c>
      <c r="F649" s="37" t="str">
        <f>IFERROR(VLOOKUP($B649,'MATRICE ARTICLE'!$A$2:$N$1395,9,FALSE),"")</f>
        <v/>
      </c>
      <c r="G649" s="37" t="str">
        <f>IFERROR(VLOOKUP($B649,'MATRICE ARTICLE'!$A$2:$N$1395,14,FALSE),"")</f>
        <v/>
      </c>
      <c r="H649" s="48" t="str">
        <f t="shared" si="42"/>
        <v/>
      </c>
      <c r="I649" s="48" t="str">
        <f t="shared" si="43"/>
        <v/>
      </c>
    </row>
    <row r="650" spans="2:9">
      <c r="B650" s="57" t="str">
        <f t="shared" si="40"/>
        <v/>
      </c>
      <c r="C650" s="57"/>
      <c r="D650" s="37" t="str">
        <f>IFERROR(VLOOKUP($B650,'MATRICE ARTICLE'!$A$2:$N$1395,2,FALSE),"")</f>
        <v/>
      </c>
      <c r="E650" s="37" t="str">
        <f t="shared" si="41"/>
        <v/>
      </c>
      <c r="F650" s="37" t="str">
        <f>IFERROR(VLOOKUP($B650,'MATRICE ARTICLE'!$A$2:$N$1395,9,FALSE),"")</f>
        <v/>
      </c>
      <c r="G650" s="37" t="str">
        <f>IFERROR(VLOOKUP($B650,'MATRICE ARTICLE'!$A$2:$N$1395,14,FALSE),"")</f>
        <v/>
      </c>
      <c r="H650" s="48" t="str">
        <f t="shared" si="42"/>
        <v/>
      </c>
      <c r="I650" s="48" t="str">
        <f t="shared" si="43"/>
        <v/>
      </c>
    </row>
    <row r="651" spans="2:9">
      <c r="B651" s="57" t="str">
        <f t="shared" si="40"/>
        <v/>
      </c>
      <c r="C651" s="57"/>
      <c r="D651" s="37" t="str">
        <f>IFERROR(VLOOKUP($B651,'MATRICE ARTICLE'!$A$2:$N$1395,2,FALSE),"")</f>
        <v/>
      </c>
      <c r="E651" s="37" t="str">
        <f t="shared" si="41"/>
        <v/>
      </c>
      <c r="F651" s="37" t="str">
        <f>IFERROR(VLOOKUP($B651,'MATRICE ARTICLE'!$A$2:$N$1395,9,FALSE),"")</f>
        <v/>
      </c>
      <c r="G651" s="37" t="str">
        <f>IFERROR(VLOOKUP($B651,'MATRICE ARTICLE'!$A$2:$N$1395,14,FALSE),"")</f>
        <v/>
      </c>
      <c r="H651" s="48" t="str">
        <f t="shared" si="42"/>
        <v/>
      </c>
      <c r="I651" s="48" t="str">
        <f t="shared" si="43"/>
        <v/>
      </c>
    </row>
    <row r="652" spans="2:9">
      <c r="B652" s="57" t="str">
        <f t="shared" si="40"/>
        <v/>
      </c>
      <c r="C652" s="57"/>
      <c r="D652" s="37" t="str">
        <f>IFERROR(VLOOKUP($B652,'MATRICE ARTICLE'!$A$2:$N$1395,2,FALSE),"")</f>
        <v/>
      </c>
      <c r="E652" s="37" t="str">
        <f t="shared" si="41"/>
        <v/>
      </c>
      <c r="F652" s="37" t="str">
        <f>IFERROR(VLOOKUP($B652,'MATRICE ARTICLE'!$A$2:$N$1395,9,FALSE),"")</f>
        <v/>
      </c>
      <c r="G652" s="37" t="str">
        <f>IFERROR(VLOOKUP($B652,'MATRICE ARTICLE'!$A$2:$N$1395,14,FALSE),"")</f>
        <v/>
      </c>
      <c r="H652" s="48" t="str">
        <f t="shared" si="42"/>
        <v/>
      </c>
      <c r="I652" s="48" t="str">
        <f t="shared" si="43"/>
        <v/>
      </c>
    </row>
    <row r="653" spans="2:9">
      <c r="B653" s="57" t="str">
        <f t="shared" si="40"/>
        <v/>
      </c>
      <c r="C653" s="57"/>
      <c r="D653" s="37" t="str">
        <f>IFERROR(VLOOKUP($B653,'MATRICE ARTICLE'!$A$2:$N$1395,2,FALSE),"")</f>
        <v/>
      </c>
      <c r="E653" s="37" t="str">
        <f t="shared" si="41"/>
        <v/>
      </c>
      <c r="F653" s="37" t="str">
        <f>IFERROR(VLOOKUP($B653,'MATRICE ARTICLE'!$A$2:$N$1395,9,FALSE),"")</f>
        <v/>
      </c>
      <c r="G653" s="37" t="str">
        <f>IFERROR(VLOOKUP($B653,'MATRICE ARTICLE'!$A$2:$N$1395,14,FALSE),"")</f>
        <v/>
      </c>
      <c r="H653" s="48" t="str">
        <f t="shared" si="42"/>
        <v/>
      </c>
      <c r="I653" s="48" t="str">
        <f t="shared" si="43"/>
        <v/>
      </c>
    </row>
    <row r="654" spans="2:9">
      <c r="B654" s="57" t="str">
        <f t="shared" si="40"/>
        <v/>
      </c>
      <c r="C654" s="57"/>
      <c r="D654" s="37" t="str">
        <f>IFERROR(VLOOKUP($B654,'MATRICE ARTICLE'!$A$2:$N$1395,2,FALSE),"")</f>
        <v/>
      </c>
      <c r="E654" s="37" t="str">
        <f t="shared" si="41"/>
        <v/>
      </c>
      <c r="F654" s="37" t="str">
        <f>IFERROR(VLOOKUP($B654,'MATRICE ARTICLE'!$A$2:$N$1395,9,FALSE),"")</f>
        <v/>
      </c>
      <c r="G654" s="37" t="str">
        <f>IFERROR(VLOOKUP($B654,'MATRICE ARTICLE'!$A$2:$N$1395,14,FALSE),"")</f>
        <v/>
      </c>
      <c r="H654" s="48" t="str">
        <f t="shared" si="42"/>
        <v/>
      </c>
      <c r="I654" s="48" t="str">
        <f t="shared" si="43"/>
        <v/>
      </c>
    </row>
    <row r="655" spans="2:9">
      <c r="B655" s="57" t="str">
        <f t="shared" si="40"/>
        <v/>
      </c>
      <c r="C655" s="57"/>
      <c r="D655" s="37" t="str">
        <f>IFERROR(VLOOKUP($B655,'MATRICE ARTICLE'!$A$2:$N$1395,2,FALSE),"")</f>
        <v/>
      </c>
      <c r="E655" s="37" t="str">
        <f t="shared" si="41"/>
        <v/>
      </c>
      <c r="F655" s="37" t="str">
        <f>IFERROR(VLOOKUP($B655,'MATRICE ARTICLE'!$A$2:$N$1395,9,FALSE),"")</f>
        <v/>
      </c>
      <c r="G655" s="37" t="str">
        <f>IFERROR(VLOOKUP($B655,'MATRICE ARTICLE'!$A$2:$N$1395,14,FALSE),"")</f>
        <v/>
      </c>
      <c r="H655" s="48" t="str">
        <f t="shared" si="42"/>
        <v/>
      </c>
      <c r="I655" s="48" t="str">
        <f t="shared" si="43"/>
        <v/>
      </c>
    </row>
    <row r="656" spans="2:9">
      <c r="B656" s="57" t="str">
        <f t="shared" si="40"/>
        <v/>
      </c>
      <c r="C656" s="57"/>
      <c r="D656" s="37" t="str">
        <f>IFERROR(VLOOKUP($B656,'MATRICE ARTICLE'!$A$2:$N$1395,2,FALSE),"")</f>
        <v/>
      </c>
      <c r="E656" s="37" t="str">
        <f t="shared" si="41"/>
        <v/>
      </c>
      <c r="F656" s="37" t="str">
        <f>IFERROR(VLOOKUP($B656,'MATRICE ARTICLE'!$A$2:$N$1395,9,FALSE),"")</f>
        <v/>
      </c>
      <c r="G656" s="37" t="str">
        <f>IFERROR(VLOOKUP($B656,'MATRICE ARTICLE'!$A$2:$N$1395,14,FALSE),"")</f>
        <v/>
      </c>
      <c r="H656" s="48" t="str">
        <f t="shared" si="42"/>
        <v/>
      </c>
      <c r="I656" s="48" t="str">
        <f t="shared" si="43"/>
        <v/>
      </c>
    </row>
    <row r="657" spans="2:9">
      <c r="B657" s="57" t="str">
        <f t="shared" si="40"/>
        <v/>
      </c>
      <c r="C657" s="57"/>
      <c r="D657" s="37" t="str">
        <f>IFERROR(VLOOKUP($B657,'MATRICE ARTICLE'!$A$2:$N$1395,2,FALSE),"")</f>
        <v/>
      </c>
      <c r="E657" s="37" t="str">
        <f t="shared" si="41"/>
        <v/>
      </c>
      <c r="F657" s="37" t="str">
        <f>IFERROR(VLOOKUP($B657,'MATRICE ARTICLE'!$A$2:$N$1395,9,FALSE),"")</f>
        <v/>
      </c>
      <c r="G657" s="37" t="str">
        <f>IFERROR(VLOOKUP($B657,'MATRICE ARTICLE'!$A$2:$N$1395,14,FALSE),"")</f>
        <v/>
      </c>
      <c r="H657" s="48" t="str">
        <f t="shared" si="42"/>
        <v/>
      </c>
      <c r="I657" s="48" t="str">
        <f t="shared" si="43"/>
        <v/>
      </c>
    </row>
    <row r="658" spans="2:9">
      <c r="B658" s="57" t="str">
        <f t="shared" si="40"/>
        <v/>
      </c>
      <c r="C658" s="57"/>
      <c r="D658" s="37" t="str">
        <f>IFERROR(VLOOKUP($B658,'MATRICE ARTICLE'!$A$2:$N$1395,2,FALSE),"")</f>
        <v/>
      </c>
      <c r="E658" s="37" t="str">
        <f t="shared" si="41"/>
        <v/>
      </c>
      <c r="F658" s="37" t="str">
        <f>IFERROR(VLOOKUP($B658,'MATRICE ARTICLE'!$A$2:$N$1395,9,FALSE),"")</f>
        <v/>
      </c>
      <c r="G658" s="37" t="str">
        <f>IFERROR(VLOOKUP($B658,'MATRICE ARTICLE'!$A$2:$N$1395,14,FALSE),"")</f>
        <v/>
      </c>
      <c r="H658" s="48" t="str">
        <f t="shared" si="42"/>
        <v/>
      </c>
      <c r="I658" s="48" t="str">
        <f t="shared" si="43"/>
        <v/>
      </c>
    </row>
    <row r="659" spans="2:9">
      <c r="B659" s="57" t="str">
        <f t="shared" si="40"/>
        <v/>
      </c>
      <c r="C659" s="57"/>
      <c r="D659" s="37" t="str">
        <f>IFERROR(VLOOKUP($B659,'MATRICE ARTICLE'!$A$2:$N$1395,2,FALSE),"")</f>
        <v/>
      </c>
      <c r="E659" s="37" t="str">
        <f t="shared" si="41"/>
        <v/>
      </c>
      <c r="F659" s="37" t="str">
        <f>IFERROR(VLOOKUP($B659,'MATRICE ARTICLE'!$A$2:$N$1395,9,FALSE),"")</f>
        <v/>
      </c>
      <c r="G659" s="37" t="str">
        <f>IFERROR(VLOOKUP($B659,'MATRICE ARTICLE'!$A$2:$N$1395,14,FALSE),"")</f>
        <v/>
      </c>
      <c r="H659" s="48" t="str">
        <f t="shared" si="42"/>
        <v/>
      </c>
      <c r="I659" s="48" t="str">
        <f t="shared" si="43"/>
        <v/>
      </c>
    </row>
    <row r="660" spans="2:9">
      <c r="B660" s="57" t="str">
        <f t="shared" si="40"/>
        <v/>
      </c>
      <c r="C660" s="57"/>
      <c r="D660" s="37" t="str">
        <f>IFERROR(VLOOKUP($B660,'MATRICE ARTICLE'!$A$2:$N$1395,2,FALSE),"")</f>
        <v/>
      </c>
      <c r="E660" s="37" t="str">
        <f t="shared" si="41"/>
        <v/>
      </c>
      <c r="F660" s="37" t="str">
        <f>IFERROR(VLOOKUP($B660,'MATRICE ARTICLE'!$A$2:$N$1395,9,FALSE),"")</f>
        <v/>
      </c>
      <c r="G660" s="37" t="str">
        <f>IFERROR(VLOOKUP($B660,'MATRICE ARTICLE'!$A$2:$N$1395,14,FALSE),"")</f>
        <v/>
      </c>
      <c r="H660" s="48" t="str">
        <f t="shared" si="42"/>
        <v/>
      </c>
      <c r="I660" s="48" t="str">
        <f t="shared" si="43"/>
        <v/>
      </c>
    </row>
    <row r="661" spans="2:9">
      <c r="B661" s="57" t="str">
        <f t="shared" si="40"/>
        <v/>
      </c>
      <c r="C661" s="57"/>
      <c r="D661" s="37" t="str">
        <f>IFERROR(VLOOKUP($B661,'MATRICE ARTICLE'!$A$2:$N$1395,2,FALSE),"")</f>
        <v/>
      </c>
      <c r="E661" s="37" t="str">
        <f t="shared" si="41"/>
        <v/>
      </c>
      <c r="F661" s="37" t="str">
        <f>IFERROR(VLOOKUP($B661,'MATRICE ARTICLE'!$A$2:$N$1395,9,FALSE),"")</f>
        <v/>
      </c>
      <c r="G661" s="37" t="str">
        <f>IFERROR(VLOOKUP($B661,'MATRICE ARTICLE'!$A$2:$N$1395,14,FALSE),"")</f>
        <v/>
      </c>
      <c r="H661" s="48" t="str">
        <f t="shared" si="42"/>
        <v/>
      </c>
      <c r="I661" s="48" t="str">
        <f t="shared" si="43"/>
        <v/>
      </c>
    </row>
    <row r="662" spans="2:9">
      <c r="B662" s="57" t="str">
        <f t="shared" si="40"/>
        <v/>
      </c>
      <c r="C662" s="57"/>
      <c r="D662" s="37" t="str">
        <f>IFERROR(VLOOKUP($B662,'MATRICE ARTICLE'!$A$2:$N$1395,2,FALSE),"")</f>
        <v/>
      </c>
      <c r="E662" s="37" t="str">
        <f t="shared" si="41"/>
        <v/>
      </c>
      <c r="F662" s="37" t="str">
        <f>IFERROR(VLOOKUP($B662,'MATRICE ARTICLE'!$A$2:$N$1395,9,FALSE),"")</f>
        <v/>
      </c>
      <c r="G662" s="37" t="str">
        <f>IFERROR(VLOOKUP($B662,'MATRICE ARTICLE'!$A$2:$N$1395,14,FALSE),"")</f>
        <v/>
      </c>
      <c r="H662" s="48" t="str">
        <f t="shared" si="42"/>
        <v/>
      </c>
      <c r="I662" s="48" t="str">
        <f t="shared" si="43"/>
        <v/>
      </c>
    </row>
    <row r="663" spans="2:9">
      <c r="B663" s="57" t="str">
        <f t="shared" si="40"/>
        <v/>
      </c>
      <c r="C663" s="57"/>
      <c r="D663" s="37" t="str">
        <f>IFERROR(VLOOKUP($B663,'MATRICE ARTICLE'!$A$2:$N$1395,2,FALSE),"")</f>
        <v/>
      </c>
      <c r="E663" s="37" t="str">
        <f t="shared" si="41"/>
        <v/>
      </c>
      <c r="F663" s="37" t="str">
        <f>IFERROR(VLOOKUP($B663,'MATRICE ARTICLE'!$A$2:$N$1395,9,FALSE),"")</f>
        <v/>
      </c>
      <c r="G663" s="37" t="str">
        <f>IFERROR(VLOOKUP($B663,'MATRICE ARTICLE'!$A$2:$N$1395,14,FALSE),"")</f>
        <v/>
      </c>
      <c r="H663" s="48" t="str">
        <f t="shared" si="42"/>
        <v/>
      </c>
      <c r="I663" s="48" t="str">
        <f t="shared" si="43"/>
        <v/>
      </c>
    </row>
    <row r="664" spans="2:9">
      <c r="B664" s="57" t="str">
        <f t="shared" si="40"/>
        <v/>
      </c>
      <c r="C664" s="57"/>
      <c r="D664" s="37" t="str">
        <f>IFERROR(VLOOKUP($B664,'MATRICE ARTICLE'!$A$2:$N$1395,2,FALSE),"")</f>
        <v/>
      </c>
      <c r="E664" s="37" t="str">
        <f t="shared" si="41"/>
        <v/>
      </c>
      <c r="F664" s="37" t="str">
        <f>IFERROR(VLOOKUP($B664,'MATRICE ARTICLE'!$A$2:$N$1395,9,FALSE),"")</f>
        <v/>
      </c>
      <c r="G664" s="37" t="str">
        <f>IFERROR(VLOOKUP($B664,'MATRICE ARTICLE'!$A$2:$N$1395,14,FALSE),"")</f>
        <v/>
      </c>
      <c r="H664" s="48" t="str">
        <f t="shared" si="42"/>
        <v/>
      </c>
      <c r="I664" s="48" t="str">
        <f t="shared" si="43"/>
        <v/>
      </c>
    </row>
    <row r="665" spans="2:9">
      <c r="B665" s="57" t="str">
        <f t="shared" si="40"/>
        <v/>
      </c>
      <c r="C665" s="57"/>
      <c r="D665" s="37" t="str">
        <f>IFERROR(VLOOKUP($B665,'MATRICE ARTICLE'!$A$2:$N$1395,2,FALSE),"")</f>
        <v/>
      </c>
      <c r="E665" s="37" t="str">
        <f t="shared" si="41"/>
        <v/>
      </c>
      <c r="F665" s="37" t="str">
        <f>IFERROR(VLOOKUP($B665,'MATRICE ARTICLE'!$A$2:$N$1395,9,FALSE),"")</f>
        <v/>
      </c>
      <c r="G665" s="37" t="str">
        <f>IFERROR(VLOOKUP($B665,'MATRICE ARTICLE'!$A$2:$N$1395,14,FALSE),"")</f>
        <v/>
      </c>
      <c r="H665" s="48" t="str">
        <f t="shared" si="42"/>
        <v/>
      </c>
      <c r="I665" s="48" t="str">
        <f t="shared" si="43"/>
        <v/>
      </c>
    </row>
    <row r="666" spans="2:9">
      <c r="B666" s="57" t="str">
        <f t="shared" si="40"/>
        <v/>
      </c>
      <c r="C666" s="57"/>
      <c r="D666" s="37" t="str">
        <f>IFERROR(VLOOKUP($B666,'MATRICE ARTICLE'!$A$2:$N$1395,2,FALSE),"")</f>
        <v/>
      </c>
      <c r="E666" s="37" t="str">
        <f t="shared" si="41"/>
        <v/>
      </c>
      <c r="F666" s="37" t="str">
        <f>IFERROR(VLOOKUP($B666,'MATRICE ARTICLE'!$A$2:$N$1395,9,FALSE),"")</f>
        <v/>
      </c>
      <c r="G666" s="37" t="str">
        <f>IFERROR(VLOOKUP($B666,'MATRICE ARTICLE'!$A$2:$N$1395,14,FALSE),"")</f>
        <v/>
      </c>
      <c r="H666" s="48" t="str">
        <f t="shared" si="42"/>
        <v/>
      </c>
      <c r="I666" s="48" t="str">
        <f t="shared" si="43"/>
        <v/>
      </c>
    </row>
    <row r="667" spans="2:9">
      <c r="B667" s="57" t="str">
        <f t="shared" si="40"/>
        <v/>
      </c>
      <c r="C667" s="57"/>
      <c r="D667" s="37" t="str">
        <f>IFERROR(VLOOKUP($B667,'MATRICE ARTICLE'!$A$2:$N$1395,2,FALSE),"")</f>
        <v/>
      </c>
      <c r="E667" s="37" t="str">
        <f t="shared" si="41"/>
        <v/>
      </c>
      <c r="F667" s="37" t="str">
        <f>IFERROR(VLOOKUP($B667,'MATRICE ARTICLE'!$A$2:$N$1395,9,FALSE),"")</f>
        <v/>
      </c>
      <c r="G667" s="37" t="str">
        <f>IFERROR(VLOOKUP($B667,'MATRICE ARTICLE'!$A$2:$N$1395,14,FALSE),"")</f>
        <v/>
      </c>
      <c r="H667" s="48" t="str">
        <f t="shared" si="42"/>
        <v/>
      </c>
      <c r="I667" s="48" t="str">
        <f t="shared" si="43"/>
        <v/>
      </c>
    </row>
    <row r="668" spans="2:9">
      <c r="B668" s="57" t="str">
        <f t="shared" si="40"/>
        <v/>
      </c>
      <c r="C668" s="57"/>
      <c r="D668" s="37" t="str">
        <f>IFERROR(VLOOKUP($B668,'MATRICE ARTICLE'!$A$2:$N$1395,2,FALSE),"")</f>
        <v/>
      </c>
      <c r="E668" s="37" t="str">
        <f t="shared" si="41"/>
        <v/>
      </c>
      <c r="F668" s="37" t="str">
        <f>IFERROR(VLOOKUP($B668,'MATRICE ARTICLE'!$A$2:$N$1395,9,FALSE),"")</f>
        <v/>
      </c>
      <c r="G668" s="37" t="str">
        <f>IFERROR(VLOOKUP($B668,'MATRICE ARTICLE'!$A$2:$N$1395,14,FALSE),"")</f>
        <v/>
      </c>
      <c r="H668" s="48" t="str">
        <f t="shared" si="42"/>
        <v/>
      </c>
      <c r="I668" s="48" t="str">
        <f t="shared" si="43"/>
        <v/>
      </c>
    </row>
    <row r="669" spans="2:9">
      <c r="B669" s="57" t="str">
        <f t="shared" si="40"/>
        <v/>
      </c>
      <c r="C669" s="57"/>
      <c r="D669" s="37" t="str">
        <f>IFERROR(VLOOKUP($B669,'MATRICE ARTICLE'!$A$2:$N$1395,2,FALSE),"")</f>
        <v/>
      </c>
      <c r="E669" s="37" t="str">
        <f t="shared" si="41"/>
        <v/>
      </c>
      <c r="F669" s="37" t="str">
        <f>IFERROR(VLOOKUP($B669,'MATRICE ARTICLE'!$A$2:$N$1395,9,FALSE),"")</f>
        <v/>
      </c>
      <c r="G669" s="37" t="str">
        <f>IFERROR(VLOOKUP($B669,'MATRICE ARTICLE'!$A$2:$N$1395,14,FALSE),"")</f>
        <v/>
      </c>
      <c r="H669" s="48" t="str">
        <f t="shared" si="42"/>
        <v/>
      </c>
      <c r="I669" s="48" t="str">
        <f t="shared" si="43"/>
        <v/>
      </c>
    </row>
    <row r="670" spans="2:9">
      <c r="B670" s="57" t="str">
        <f t="shared" si="40"/>
        <v/>
      </c>
      <c r="C670" s="57"/>
      <c r="D670" s="37" t="str">
        <f>IFERROR(VLOOKUP($B670,'MATRICE ARTICLE'!$A$2:$N$1395,2,FALSE),"")</f>
        <v/>
      </c>
      <c r="E670" s="37" t="str">
        <f t="shared" si="41"/>
        <v/>
      </c>
      <c r="F670" s="37" t="str">
        <f>IFERROR(VLOOKUP($B670,'MATRICE ARTICLE'!$A$2:$N$1395,9,FALSE),"")</f>
        <v/>
      </c>
      <c r="G670" s="37" t="str">
        <f>IFERROR(VLOOKUP($B670,'MATRICE ARTICLE'!$A$2:$N$1395,14,FALSE),"")</f>
        <v/>
      </c>
      <c r="H670" s="48" t="str">
        <f t="shared" si="42"/>
        <v/>
      </c>
      <c r="I670" s="48" t="str">
        <f t="shared" si="43"/>
        <v/>
      </c>
    </row>
    <row r="671" spans="2:9">
      <c r="B671" s="57" t="str">
        <f t="shared" si="40"/>
        <v/>
      </c>
      <c r="C671" s="57"/>
      <c r="D671" s="37" t="str">
        <f>IFERROR(VLOOKUP($B671,'MATRICE ARTICLE'!$A$2:$N$1395,2,FALSE),"")</f>
        <v/>
      </c>
      <c r="E671" s="37" t="str">
        <f t="shared" si="41"/>
        <v/>
      </c>
      <c r="F671" s="37" t="str">
        <f>IFERROR(VLOOKUP($B671,'MATRICE ARTICLE'!$A$2:$N$1395,9,FALSE),"")</f>
        <v/>
      </c>
      <c r="G671" s="37" t="str">
        <f>IFERROR(VLOOKUP($B671,'MATRICE ARTICLE'!$A$2:$N$1395,14,FALSE),"")</f>
        <v/>
      </c>
      <c r="H671" s="48" t="str">
        <f t="shared" si="42"/>
        <v/>
      </c>
      <c r="I671" s="48" t="str">
        <f t="shared" si="43"/>
        <v/>
      </c>
    </row>
    <row r="672" spans="2:9">
      <c r="B672" s="57" t="str">
        <f t="shared" si="40"/>
        <v/>
      </c>
      <c r="C672" s="57"/>
      <c r="D672" s="37" t="str">
        <f>IFERROR(VLOOKUP($B672,'MATRICE ARTICLE'!$A$2:$N$1395,2,FALSE),"")</f>
        <v/>
      </c>
      <c r="E672" s="37" t="str">
        <f t="shared" si="41"/>
        <v/>
      </c>
      <c r="F672" s="37" t="str">
        <f>IFERROR(VLOOKUP($B672,'MATRICE ARTICLE'!$A$2:$N$1395,9,FALSE),"")</f>
        <v/>
      </c>
      <c r="G672" s="37" t="str">
        <f>IFERROR(VLOOKUP($B672,'MATRICE ARTICLE'!$A$2:$N$1395,14,FALSE),"")</f>
        <v/>
      </c>
      <c r="H672" s="48" t="str">
        <f t="shared" si="42"/>
        <v/>
      </c>
      <c r="I672" s="48" t="str">
        <f t="shared" si="43"/>
        <v/>
      </c>
    </row>
    <row r="673" spans="2:9">
      <c r="B673" s="57" t="str">
        <f t="shared" si="40"/>
        <v/>
      </c>
      <c r="C673" s="57"/>
      <c r="D673" s="37" t="str">
        <f>IFERROR(VLOOKUP($B673,'MATRICE ARTICLE'!$A$2:$N$1395,2,FALSE),"")</f>
        <v/>
      </c>
      <c r="E673" s="37" t="str">
        <f t="shared" si="41"/>
        <v/>
      </c>
      <c r="F673" s="37" t="str">
        <f>IFERROR(VLOOKUP($B673,'MATRICE ARTICLE'!$A$2:$N$1395,9,FALSE),"")</f>
        <v/>
      </c>
      <c r="G673" s="37" t="str">
        <f>IFERROR(VLOOKUP($B673,'MATRICE ARTICLE'!$A$2:$N$1395,14,FALSE),"")</f>
        <v/>
      </c>
      <c r="H673" s="48" t="str">
        <f t="shared" si="42"/>
        <v/>
      </c>
      <c r="I673" s="48" t="str">
        <f t="shared" si="43"/>
        <v/>
      </c>
    </row>
    <row r="674" spans="2:9">
      <c r="B674" s="57" t="str">
        <f t="shared" si="40"/>
        <v/>
      </c>
      <c r="C674" s="57"/>
      <c r="D674" s="37" t="str">
        <f>IFERROR(VLOOKUP($B674,'MATRICE ARTICLE'!$A$2:$N$1395,2,FALSE),"")</f>
        <v/>
      </c>
      <c r="E674" s="37" t="str">
        <f t="shared" si="41"/>
        <v/>
      </c>
      <c r="F674" s="37" t="str">
        <f>IFERROR(VLOOKUP($B674,'MATRICE ARTICLE'!$A$2:$N$1395,9,FALSE),"")</f>
        <v/>
      </c>
      <c r="G674" s="37" t="str">
        <f>IFERROR(VLOOKUP($B674,'MATRICE ARTICLE'!$A$2:$N$1395,14,FALSE),"")</f>
        <v/>
      </c>
      <c r="H674" s="48" t="str">
        <f t="shared" si="42"/>
        <v/>
      </c>
      <c r="I674" s="48" t="str">
        <f t="shared" si="43"/>
        <v/>
      </c>
    </row>
    <row r="675" spans="2:9">
      <c r="B675" s="57" t="str">
        <f t="shared" si="40"/>
        <v/>
      </c>
      <c r="C675" s="57"/>
      <c r="D675" s="37" t="str">
        <f>IFERROR(VLOOKUP($B675,'MATRICE ARTICLE'!$A$2:$N$1395,2,FALSE),"")</f>
        <v/>
      </c>
      <c r="E675" s="37" t="str">
        <f t="shared" si="41"/>
        <v/>
      </c>
      <c r="F675" s="37" t="str">
        <f>IFERROR(VLOOKUP($B675,'MATRICE ARTICLE'!$A$2:$N$1395,9,FALSE),"")</f>
        <v/>
      </c>
      <c r="G675" s="37" t="str">
        <f>IFERROR(VLOOKUP($B675,'MATRICE ARTICLE'!$A$2:$N$1395,14,FALSE),"")</f>
        <v/>
      </c>
      <c r="H675" s="48" t="str">
        <f t="shared" si="42"/>
        <v/>
      </c>
      <c r="I675" s="48" t="str">
        <f t="shared" si="43"/>
        <v/>
      </c>
    </row>
    <row r="676" spans="2:9">
      <c r="B676" s="57" t="str">
        <f t="shared" si="40"/>
        <v/>
      </c>
      <c r="C676" s="57"/>
      <c r="D676" s="37" t="str">
        <f>IFERROR(VLOOKUP($B676,'MATRICE ARTICLE'!$A$2:$N$1395,2,FALSE),"")</f>
        <v/>
      </c>
      <c r="E676" s="37" t="str">
        <f t="shared" si="41"/>
        <v/>
      </c>
      <c r="F676" s="37" t="str">
        <f>IFERROR(VLOOKUP($B676,'MATRICE ARTICLE'!$A$2:$N$1395,9,FALSE),"")</f>
        <v/>
      </c>
      <c r="G676" s="37" t="str">
        <f>IFERROR(VLOOKUP($B676,'MATRICE ARTICLE'!$A$2:$N$1395,14,FALSE),"")</f>
        <v/>
      </c>
      <c r="H676" s="48" t="str">
        <f t="shared" si="42"/>
        <v/>
      </c>
      <c r="I676" s="48" t="str">
        <f t="shared" si="43"/>
        <v/>
      </c>
    </row>
    <row r="677" spans="2:9">
      <c r="B677" s="57" t="str">
        <f t="shared" si="40"/>
        <v/>
      </c>
      <c r="C677" s="57"/>
      <c r="D677" s="37" t="str">
        <f>IFERROR(VLOOKUP($B677,'MATRICE ARTICLE'!$A$2:$N$1395,2,FALSE),"")</f>
        <v/>
      </c>
      <c r="E677" s="37" t="str">
        <f t="shared" si="41"/>
        <v/>
      </c>
      <c r="F677" s="37" t="str">
        <f>IFERROR(VLOOKUP($B677,'MATRICE ARTICLE'!$A$2:$N$1395,9,FALSE),"")</f>
        <v/>
      </c>
      <c r="G677" s="37" t="str">
        <f>IFERROR(VLOOKUP($B677,'MATRICE ARTICLE'!$A$2:$N$1395,14,FALSE),"")</f>
        <v/>
      </c>
      <c r="H677" s="48" t="str">
        <f t="shared" si="42"/>
        <v/>
      </c>
      <c r="I677" s="48" t="str">
        <f t="shared" si="43"/>
        <v/>
      </c>
    </row>
    <row r="678" spans="2:9">
      <c r="B678" s="57" t="str">
        <f t="shared" si="40"/>
        <v/>
      </c>
      <c r="C678" s="57"/>
      <c r="D678" s="37" t="str">
        <f>IFERROR(VLOOKUP($B678,'MATRICE ARTICLE'!$A$2:$N$1395,2,FALSE),"")</f>
        <v/>
      </c>
      <c r="E678" s="37" t="str">
        <f t="shared" si="41"/>
        <v/>
      </c>
      <c r="F678" s="37" t="str">
        <f>IFERROR(VLOOKUP($B678,'MATRICE ARTICLE'!$A$2:$N$1395,9,FALSE),"")</f>
        <v/>
      </c>
      <c r="G678" s="37" t="str">
        <f>IFERROR(VLOOKUP($B678,'MATRICE ARTICLE'!$A$2:$N$1395,14,FALSE),"")</f>
        <v/>
      </c>
      <c r="H678" s="48" t="str">
        <f t="shared" si="42"/>
        <v/>
      </c>
      <c r="I678" s="48" t="str">
        <f t="shared" si="43"/>
        <v/>
      </c>
    </row>
    <row r="679" spans="2:9">
      <c r="B679" s="57" t="str">
        <f t="shared" si="40"/>
        <v/>
      </c>
      <c r="C679" s="57"/>
      <c r="D679" s="37" t="str">
        <f>IFERROR(VLOOKUP($B679,'MATRICE ARTICLE'!$A$2:$N$1395,2,FALSE),"")</f>
        <v/>
      </c>
      <c r="E679" s="37" t="str">
        <f t="shared" si="41"/>
        <v/>
      </c>
      <c r="F679" s="37" t="str">
        <f>IFERROR(VLOOKUP($B679,'MATRICE ARTICLE'!$A$2:$N$1395,9,FALSE),"")</f>
        <v/>
      </c>
      <c r="G679" s="37" t="str">
        <f>IFERROR(VLOOKUP($B679,'MATRICE ARTICLE'!$A$2:$N$1395,14,FALSE),"")</f>
        <v/>
      </c>
      <c r="H679" s="48" t="str">
        <f t="shared" si="42"/>
        <v/>
      </c>
      <c r="I679" s="48" t="str">
        <f t="shared" si="43"/>
        <v/>
      </c>
    </row>
    <row r="680" spans="2:9">
      <c r="B680" s="57" t="str">
        <f t="shared" si="40"/>
        <v/>
      </c>
      <c r="C680" s="57"/>
      <c r="D680" s="37" t="str">
        <f>IFERROR(VLOOKUP($B680,'MATRICE ARTICLE'!$A$2:$N$1395,2,FALSE),"")</f>
        <v/>
      </c>
      <c r="E680" s="37" t="str">
        <f t="shared" si="41"/>
        <v/>
      </c>
      <c r="F680" s="37" t="str">
        <f>IFERROR(VLOOKUP($B680,'MATRICE ARTICLE'!$A$2:$N$1395,9,FALSE),"")</f>
        <v/>
      </c>
      <c r="G680" s="37" t="str">
        <f>IFERROR(VLOOKUP($B680,'MATRICE ARTICLE'!$A$2:$N$1395,14,FALSE),"")</f>
        <v/>
      </c>
      <c r="H680" s="48" t="str">
        <f t="shared" si="42"/>
        <v/>
      </c>
      <c r="I680" s="48" t="str">
        <f t="shared" si="43"/>
        <v/>
      </c>
    </row>
    <row r="681" spans="2:9">
      <c r="B681" s="57" t="str">
        <f t="shared" si="40"/>
        <v/>
      </c>
      <c r="C681" s="57"/>
      <c r="D681" s="37" t="str">
        <f>IFERROR(VLOOKUP($B681,'MATRICE ARTICLE'!$A$2:$N$1395,2,FALSE),"")</f>
        <v/>
      </c>
      <c r="E681" s="37" t="str">
        <f t="shared" si="41"/>
        <v/>
      </c>
      <c r="F681" s="37" t="str">
        <f>IFERROR(VLOOKUP($B681,'MATRICE ARTICLE'!$A$2:$N$1395,9,FALSE),"")</f>
        <v/>
      </c>
      <c r="G681" s="37" t="str">
        <f>IFERROR(VLOOKUP($B681,'MATRICE ARTICLE'!$A$2:$N$1395,14,FALSE),"")</f>
        <v/>
      </c>
      <c r="H681" s="48" t="str">
        <f t="shared" si="42"/>
        <v/>
      </c>
      <c r="I681" s="48" t="str">
        <f t="shared" si="43"/>
        <v/>
      </c>
    </row>
    <row r="682" spans="2:9">
      <c r="B682" s="57" t="str">
        <f t="shared" si="40"/>
        <v/>
      </c>
      <c r="C682" s="57"/>
      <c r="D682" s="37" t="str">
        <f>IFERROR(VLOOKUP($B682,'MATRICE ARTICLE'!$A$2:$N$1395,2,FALSE),"")</f>
        <v/>
      </c>
      <c r="E682" s="37" t="str">
        <f t="shared" si="41"/>
        <v/>
      </c>
      <c r="F682" s="37" t="str">
        <f>IFERROR(VLOOKUP($B682,'MATRICE ARTICLE'!$A$2:$N$1395,9,FALSE),"")</f>
        <v/>
      </c>
      <c r="G682" s="37" t="str">
        <f>IFERROR(VLOOKUP($B682,'MATRICE ARTICLE'!$A$2:$N$1395,14,FALSE),"")</f>
        <v/>
      </c>
      <c r="H682" s="48" t="str">
        <f t="shared" si="42"/>
        <v/>
      </c>
      <c r="I682" s="48" t="str">
        <f t="shared" si="43"/>
        <v/>
      </c>
    </row>
    <row r="683" spans="2:9">
      <c r="B683" s="57" t="str">
        <f t="shared" si="40"/>
        <v/>
      </c>
      <c r="C683" s="57"/>
      <c r="D683" s="37" t="str">
        <f>IFERROR(VLOOKUP($B683,'MATRICE ARTICLE'!$A$2:$N$1395,2,FALSE),"")</f>
        <v/>
      </c>
      <c r="E683" s="37" t="str">
        <f t="shared" si="41"/>
        <v/>
      </c>
      <c r="F683" s="37" t="str">
        <f>IFERROR(VLOOKUP($B683,'MATRICE ARTICLE'!$A$2:$N$1395,9,FALSE),"")</f>
        <v/>
      </c>
      <c r="G683" s="37" t="str">
        <f>IFERROR(VLOOKUP($B683,'MATRICE ARTICLE'!$A$2:$N$1395,14,FALSE),"")</f>
        <v/>
      </c>
      <c r="H683" s="48" t="str">
        <f t="shared" si="42"/>
        <v/>
      </c>
      <c r="I683" s="48" t="str">
        <f t="shared" si="43"/>
        <v/>
      </c>
    </row>
    <row r="684" spans="2:9">
      <c r="B684" s="57" t="str">
        <f t="shared" si="40"/>
        <v/>
      </c>
      <c r="C684" s="57"/>
      <c r="D684" s="37" t="str">
        <f>IFERROR(VLOOKUP($B684,'MATRICE ARTICLE'!$A$2:$N$1395,2,FALSE),"")</f>
        <v/>
      </c>
      <c r="E684" s="37" t="str">
        <f t="shared" si="41"/>
        <v/>
      </c>
      <c r="F684" s="37" t="str">
        <f>IFERROR(VLOOKUP($B684,'MATRICE ARTICLE'!$A$2:$N$1395,9,FALSE),"")</f>
        <v/>
      </c>
      <c r="G684" s="37" t="str">
        <f>IFERROR(VLOOKUP($B684,'MATRICE ARTICLE'!$A$2:$N$1395,14,FALSE),"")</f>
        <v/>
      </c>
      <c r="H684" s="48" t="str">
        <f t="shared" si="42"/>
        <v/>
      </c>
      <c r="I684" s="48" t="str">
        <f t="shared" si="43"/>
        <v/>
      </c>
    </row>
    <row r="685" spans="2:9">
      <c r="B685" s="57" t="str">
        <f t="shared" si="40"/>
        <v/>
      </c>
      <c r="C685" s="57"/>
      <c r="D685" s="37" t="str">
        <f>IFERROR(VLOOKUP($B685,'MATRICE ARTICLE'!$A$2:$N$1395,2,FALSE),"")</f>
        <v/>
      </c>
      <c r="E685" s="37" t="str">
        <f t="shared" si="41"/>
        <v/>
      </c>
      <c r="F685" s="37" t="str">
        <f>IFERROR(VLOOKUP($B685,'MATRICE ARTICLE'!$A$2:$N$1395,9,FALSE),"")</f>
        <v/>
      </c>
      <c r="G685" s="37" t="str">
        <f>IFERROR(VLOOKUP($B685,'MATRICE ARTICLE'!$A$2:$N$1395,14,FALSE),"")</f>
        <v/>
      </c>
      <c r="H685" s="48" t="str">
        <f t="shared" si="42"/>
        <v/>
      </c>
      <c r="I685" s="48" t="str">
        <f t="shared" si="43"/>
        <v/>
      </c>
    </row>
    <row r="686" spans="2:9">
      <c r="B686" s="57" t="str">
        <f t="shared" si="40"/>
        <v/>
      </c>
      <c r="C686" s="57"/>
      <c r="D686" s="37" t="str">
        <f>IFERROR(VLOOKUP($B686,'MATRICE ARTICLE'!$A$2:$N$1395,2,FALSE),"")</f>
        <v/>
      </c>
      <c r="E686" s="37" t="str">
        <f t="shared" si="41"/>
        <v/>
      </c>
      <c r="F686" s="37" t="str">
        <f>IFERROR(VLOOKUP($B686,'MATRICE ARTICLE'!$A$2:$N$1395,9,FALSE),"")</f>
        <v/>
      </c>
      <c r="G686" s="37" t="str">
        <f>IFERROR(VLOOKUP($B686,'MATRICE ARTICLE'!$A$2:$N$1395,14,FALSE),"")</f>
        <v/>
      </c>
      <c r="H686" s="48" t="str">
        <f t="shared" si="42"/>
        <v/>
      </c>
      <c r="I686" s="48" t="str">
        <f t="shared" si="43"/>
        <v/>
      </c>
    </row>
    <row r="687" spans="2:9">
      <c r="B687" s="57" t="str">
        <f t="shared" si="40"/>
        <v/>
      </c>
      <c r="C687" s="57"/>
      <c r="D687" s="37" t="str">
        <f>IFERROR(VLOOKUP($B687,'MATRICE ARTICLE'!$A$2:$N$1395,2,FALSE),"")</f>
        <v/>
      </c>
      <c r="E687" s="37" t="str">
        <f t="shared" si="41"/>
        <v/>
      </c>
      <c r="F687" s="37" t="str">
        <f>IFERROR(VLOOKUP($B687,'MATRICE ARTICLE'!$A$2:$N$1395,9,FALSE),"")</f>
        <v/>
      </c>
      <c r="G687" s="37" t="str">
        <f>IFERROR(VLOOKUP($B687,'MATRICE ARTICLE'!$A$2:$N$1395,14,FALSE),"")</f>
        <v/>
      </c>
      <c r="H687" s="48" t="str">
        <f t="shared" si="42"/>
        <v/>
      </c>
      <c r="I687" s="48" t="str">
        <f t="shared" si="43"/>
        <v/>
      </c>
    </row>
    <row r="688" spans="2:9">
      <c r="B688" s="57" t="str">
        <f t="shared" si="40"/>
        <v/>
      </c>
      <c r="C688" s="57"/>
      <c r="D688" s="37" t="str">
        <f>IFERROR(VLOOKUP($B688,'MATRICE ARTICLE'!$A$2:$N$1395,2,FALSE),"")</f>
        <v/>
      </c>
      <c r="E688" s="37" t="str">
        <f t="shared" si="41"/>
        <v/>
      </c>
      <c r="F688" s="37" t="str">
        <f>IFERROR(VLOOKUP($B688,'MATRICE ARTICLE'!$A$2:$N$1395,9,FALSE),"")</f>
        <v/>
      </c>
      <c r="G688" s="37" t="str">
        <f>IFERROR(VLOOKUP($B688,'MATRICE ARTICLE'!$A$2:$N$1395,14,FALSE),"")</f>
        <v/>
      </c>
      <c r="H688" s="48" t="str">
        <f t="shared" si="42"/>
        <v/>
      </c>
      <c r="I688" s="48" t="str">
        <f t="shared" si="43"/>
        <v/>
      </c>
    </row>
    <row r="689" spans="2:9">
      <c r="B689" s="57" t="str">
        <f t="shared" si="40"/>
        <v/>
      </c>
      <c r="C689" s="57"/>
      <c r="D689" s="37" t="str">
        <f>IFERROR(VLOOKUP($B689,'MATRICE ARTICLE'!$A$2:$N$1395,2,FALSE),"")</f>
        <v/>
      </c>
      <c r="E689" s="37" t="str">
        <f t="shared" si="41"/>
        <v/>
      </c>
      <c r="F689" s="37" t="str">
        <f>IFERROR(VLOOKUP($B689,'MATRICE ARTICLE'!$A$2:$N$1395,9,FALSE),"")</f>
        <v/>
      </c>
      <c r="G689" s="37" t="str">
        <f>IFERROR(VLOOKUP($B689,'MATRICE ARTICLE'!$A$2:$N$1395,14,FALSE),"")</f>
        <v/>
      </c>
      <c r="H689" s="48" t="str">
        <f t="shared" si="42"/>
        <v/>
      </c>
      <c r="I689" s="48" t="str">
        <f t="shared" si="43"/>
        <v/>
      </c>
    </row>
    <row r="690" spans="2:9">
      <c r="B690" s="57" t="str">
        <f t="shared" si="40"/>
        <v/>
      </c>
      <c r="C690" s="57"/>
      <c r="D690" s="37" t="str">
        <f>IFERROR(VLOOKUP($B690,'MATRICE ARTICLE'!$A$2:$N$1395,2,FALSE),"")</f>
        <v/>
      </c>
      <c r="E690" s="37" t="str">
        <f t="shared" si="41"/>
        <v/>
      </c>
      <c r="F690" s="37" t="str">
        <f>IFERROR(VLOOKUP($B690,'MATRICE ARTICLE'!$A$2:$N$1395,9,FALSE),"")</f>
        <v/>
      </c>
      <c r="G690" s="37" t="str">
        <f>IFERROR(VLOOKUP($B690,'MATRICE ARTICLE'!$A$2:$N$1395,14,FALSE),"")</f>
        <v/>
      </c>
      <c r="H690" s="48" t="str">
        <f t="shared" si="42"/>
        <v/>
      </c>
      <c r="I690" s="48" t="str">
        <f t="shared" si="43"/>
        <v/>
      </c>
    </row>
    <row r="691" spans="2:9">
      <c r="B691" s="57" t="str">
        <f t="shared" si="40"/>
        <v/>
      </c>
      <c r="C691" s="57"/>
      <c r="D691" s="37" t="str">
        <f>IFERROR(VLOOKUP($B691,'MATRICE ARTICLE'!$A$2:$N$1395,2,FALSE),"")</f>
        <v/>
      </c>
      <c r="E691" s="37" t="str">
        <f t="shared" si="41"/>
        <v/>
      </c>
      <c r="F691" s="37" t="str">
        <f>IFERROR(VLOOKUP($B691,'MATRICE ARTICLE'!$A$2:$N$1395,9,FALSE),"")</f>
        <v/>
      </c>
      <c r="G691" s="37" t="str">
        <f>IFERROR(VLOOKUP($B691,'MATRICE ARTICLE'!$A$2:$N$1395,14,FALSE),"")</f>
        <v/>
      </c>
      <c r="H691" s="48" t="str">
        <f t="shared" si="42"/>
        <v/>
      </c>
      <c r="I691" s="48" t="str">
        <f t="shared" si="43"/>
        <v/>
      </c>
    </row>
    <row r="692" spans="2:9">
      <c r="B692" s="57" t="str">
        <f t="shared" si="40"/>
        <v/>
      </c>
      <c r="C692" s="57"/>
      <c r="D692" s="37" t="str">
        <f>IFERROR(VLOOKUP($B692,'MATRICE ARTICLE'!$A$2:$N$1395,2,FALSE),"")</f>
        <v/>
      </c>
      <c r="E692" s="37" t="str">
        <f t="shared" si="41"/>
        <v/>
      </c>
      <c r="F692" s="37" t="str">
        <f>IFERROR(VLOOKUP($B692,'MATRICE ARTICLE'!$A$2:$N$1395,9,FALSE),"")</f>
        <v/>
      </c>
      <c r="G692" s="37" t="str">
        <f>IFERROR(VLOOKUP($B692,'MATRICE ARTICLE'!$A$2:$N$1395,14,FALSE),"")</f>
        <v/>
      </c>
      <c r="H692" s="48" t="str">
        <f t="shared" si="42"/>
        <v/>
      </c>
      <c r="I692" s="48" t="str">
        <f t="shared" si="43"/>
        <v/>
      </c>
    </row>
    <row r="693" spans="2:9">
      <c r="B693" s="57" t="str">
        <f t="shared" si="40"/>
        <v/>
      </c>
      <c r="C693" s="57"/>
      <c r="D693" s="37" t="str">
        <f>IFERROR(VLOOKUP($B693,'MATRICE ARTICLE'!$A$2:$N$1395,2,FALSE),"")</f>
        <v/>
      </c>
      <c r="E693" s="37" t="str">
        <f t="shared" si="41"/>
        <v/>
      </c>
      <c r="F693" s="37" t="str">
        <f>IFERROR(VLOOKUP($B693,'MATRICE ARTICLE'!$A$2:$N$1395,9,FALSE),"")</f>
        <v/>
      </c>
      <c r="G693" s="37" t="str">
        <f>IFERROR(VLOOKUP($B693,'MATRICE ARTICLE'!$A$2:$N$1395,14,FALSE),"")</f>
        <v/>
      </c>
      <c r="H693" s="48" t="str">
        <f t="shared" si="42"/>
        <v/>
      </c>
      <c r="I693" s="48" t="str">
        <f t="shared" si="43"/>
        <v/>
      </c>
    </row>
    <row r="694" spans="2:9">
      <c r="B694" s="57" t="str">
        <f t="shared" si="40"/>
        <v/>
      </c>
      <c r="C694" s="57"/>
      <c r="D694" s="37" t="str">
        <f>IFERROR(VLOOKUP($B694,'MATRICE ARTICLE'!$A$2:$N$1395,2,FALSE),"")</f>
        <v/>
      </c>
      <c r="E694" s="37" t="str">
        <f t="shared" si="41"/>
        <v/>
      </c>
      <c r="F694" s="37" t="str">
        <f>IFERROR(VLOOKUP($B694,'MATRICE ARTICLE'!$A$2:$N$1395,9,FALSE),"")</f>
        <v/>
      </c>
      <c r="G694" s="37" t="str">
        <f>IFERROR(VLOOKUP($B694,'MATRICE ARTICLE'!$A$2:$N$1395,14,FALSE),"")</f>
        <v/>
      </c>
      <c r="H694" s="48" t="str">
        <f t="shared" si="42"/>
        <v/>
      </c>
      <c r="I694" s="48" t="str">
        <f t="shared" si="43"/>
        <v/>
      </c>
    </row>
    <row r="695" spans="2:9">
      <c r="B695" s="57" t="str">
        <f t="shared" si="40"/>
        <v/>
      </c>
      <c r="C695" s="57"/>
      <c r="D695" s="37" t="str">
        <f>IFERROR(VLOOKUP($B695,'MATRICE ARTICLE'!$A$2:$N$1395,2,FALSE),"")</f>
        <v/>
      </c>
      <c r="E695" s="37" t="str">
        <f t="shared" si="41"/>
        <v/>
      </c>
      <c r="F695" s="37" t="str">
        <f>IFERROR(VLOOKUP($B695,'MATRICE ARTICLE'!$A$2:$N$1395,9,FALSE),"")</f>
        <v/>
      </c>
      <c r="G695" s="37" t="str">
        <f>IFERROR(VLOOKUP($B695,'MATRICE ARTICLE'!$A$2:$N$1395,14,FALSE),"")</f>
        <v/>
      </c>
      <c r="H695" s="48" t="str">
        <f t="shared" si="42"/>
        <v/>
      </c>
      <c r="I695" s="48" t="str">
        <f t="shared" si="43"/>
        <v/>
      </c>
    </row>
    <row r="696" spans="2:9">
      <c r="B696" s="57" t="str">
        <f t="shared" si="40"/>
        <v/>
      </c>
      <c r="C696" s="57"/>
      <c r="D696" s="37" t="str">
        <f>IFERROR(VLOOKUP($B696,'MATRICE ARTICLE'!$A$2:$N$1395,2,FALSE),"")</f>
        <v/>
      </c>
      <c r="E696" s="37" t="str">
        <f t="shared" si="41"/>
        <v/>
      </c>
      <c r="F696" s="37" t="str">
        <f>IFERROR(VLOOKUP($B696,'MATRICE ARTICLE'!$A$2:$N$1395,9,FALSE),"")</f>
        <v/>
      </c>
      <c r="G696" s="37" t="str">
        <f>IFERROR(VLOOKUP($B696,'MATRICE ARTICLE'!$A$2:$N$1395,14,FALSE),"")</f>
        <v/>
      </c>
      <c r="H696" s="48" t="str">
        <f t="shared" si="42"/>
        <v/>
      </c>
      <c r="I696" s="48" t="str">
        <f t="shared" si="43"/>
        <v/>
      </c>
    </row>
    <row r="697" spans="2:9">
      <c r="B697" s="57" t="str">
        <f t="shared" si="40"/>
        <v/>
      </c>
      <c r="C697" s="57"/>
      <c r="D697" s="37" t="str">
        <f>IFERROR(VLOOKUP($B697,'MATRICE ARTICLE'!$A$2:$N$1395,2,FALSE),"")</f>
        <v/>
      </c>
      <c r="E697" s="37" t="str">
        <f t="shared" si="41"/>
        <v/>
      </c>
      <c r="F697" s="37" t="str">
        <f>IFERROR(VLOOKUP($B697,'MATRICE ARTICLE'!$A$2:$N$1395,9,FALSE),"")</f>
        <v/>
      </c>
      <c r="G697" s="37" t="str">
        <f>IFERROR(VLOOKUP($B697,'MATRICE ARTICLE'!$A$2:$N$1395,14,FALSE),"")</f>
        <v/>
      </c>
      <c r="H697" s="48" t="str">
        <f t="shared" si="42"/>
        <v/>
      </c>
      <c r="I697" s="48" t="str">
        <f t="shared" si="43"/>
        <v/>
      </c>
    </row>
    <row r="698" spans="2:9">
      <c r="B698" s="57" t="str">
        <f t="shared" si="40"/>
        <v/>
      </c>
      <c r="C698" s="57"/>
      <c r="D698" s="37" t="str">
        <f>IFERROR(VLOOKUP($B698,'MATRICE ARTICLE'!$A$2:$N$1395,2,FALSE),"")</f>
        <v/>
      </c>
      <c r="E698" s="37" t="str">
        <f t="shared" si="41"/>
        <v/>
      </c>
      <c r="F698" s="37" t="str">
        <f>IFERROR(VLOOKUP($B698,'MATRICE ARTICLE'!$A$2:$N$1395,9,FALSE),"")</f>
        <v/>
      </c>
      <c r="G698" s="37" t="str">
        <f>IFERROR(VLOOKUP($B698,'MATRICE ARTICLE'!$A$2:$N$1395,14,FALSE),"")</f>
        <v/>
      </c>
      <c r="H698" s="48" t="str">
        <f t="shared" si="42"/>
        <v/>
      </c>
      <c r="I698" s="48" t="str">
        <f t="shared" si="43"/>
        <v/>
      </c>
    </row>
    <row r="699" spans="2:9">
      <c r="B699" s="57" t="str">
        <f t="shared" si="40"/>
        <v/>
      </c>
      <c r="C699" s="57"/>
      <c r="D699" s="37" t="str">
        <f>IFERROR(VLOOKUP($B699,'MATRICE ARTICLE'!$A$2:$N$1395,2,FALSE),"")</f>
        <v/>
      </c>
      <c r="E699" s="37" t="str">
        <f t="shared" si="41"/>
        <v/>
      </c>
      <c r="F699" s="37" t="str">
        <f>IFERROR(VLOOKUP($B699,'MATRICE ARTICLE'!$A$2:$N$1395,9,FALSE),"")</f>
        <v/>
      </c>
      <c r="G699" s="37" t="str">
        <f>IFERROR(VLOOKUP($B699,'MATRICE ARTICLE'!$A$2:$N$1395,14,FALSE),"")</f>
        <v/>
      </c>
      <c r="H699" s="48" t="str">
        <f t="shared" si="42"/>
        <v/>
      </c>
      <c r="I699" s="48" t="str">
        <f t="shared" si="43"/>
        <v/>
      </c>
    </row>
    <row r="700" spans="2:9">
      <c r="B700" s="57" t="str">
        <f t="shared" si="40"/>
        <v/>
      </c>
      <c r="C700" s="57"/>
      <c r="D700" s="37" t="str">
        <f>IFERROR(VLOOKUP($B700,'MATRICE ARTICLE'!$A$2:$N$1395,2,FALSE),"")</f>
        <v/>
      </c>
      <c r="E700" s="37" t="str">
        <f t="shared" si="41"/>
        <v/>
      </c>
      <c r="F700" s="37" t="str">
        <f>IFERROR(VLOOKUP($B700,'MATRICE ARTICLE'!$A$2:$N$1395,9,FALSE),"")</f>
        <v/>
      </c>
      <c r="G700" s="37" t="str">
        <f>IFERROR(VLOOKUP($B700,'MATRICE ARTICLE'!$A$2:$N$1395,14,FALSE),"")</f>
        <v/>
      </c>
      <c r="H700" s="48" t="str">
        <f t="shared" si="42"/>
        <v/>
      </c>
      <c r="I700" s="48" t="str">
        <f t="shared" si="43"/>
        <v/>
      </c>
    </row>
    <row r="701" spans="2:9">
      <c r="B701" s="57" t="str">
        <f t="shared" si="40"/>
        <v/>
      </c>
      <c r="C701" s="57"/>
      <c r="D701" s="37" t="str">
        <f>IFERROR(VLOOKUP($B701,'MATRICE ARTICLE'!$A$2:$N$1395,2,FALSE),"")</f>
        <v/>
      </c>
      <c r="E701" s="37" t="str">
        <f t="shared" si="41"/>
        <v/>
      </c>
      <c r="F701" s="37" t="str">
        <f>IFERROR(VLOOKUP($B701,'MATRICE ARTICLE'!$A$2:$N$1395,9,FALSE),"")</f>
        <v/>
      </c>
      <c r="G701" s="37" t="str">
        <f>IFERROR(VLOOKUP($B701,'MATRICE ARTICLE'!$A$2:$N$1395,14,FALSE),"")</f>
        <v/>
      </c>
      <c r="H701" s="48" t="str">
        <f t="shared" si="42"/>
        <v/>
      </c>
      <c r="I701" s="48" t="str">
        <f t="shared" si="43"/>
        <v/>
      </c>
    </row>
    <row r="702" spans="2:9">
      <c r="B702" s="57" t="str">
        <f t="shared" si="40"/>
        <v/>
      </c>
      <c r="C702" s="57"/>
      <c r="D702" s="37" t="str">
        <f>IFERROR(VLOOKUP($B702,'MATRICE ARTICLE'!$A$2:$N$1395,2,FALSE),"")</f>
        <v/>
      </c>
      <c r="E702" s="37" t="str">
        <f t="shared" si="41"/>
        <v/>
      </c>
      <c r="F702" s="37" t="str">
        <f>IFERROR(VLOOKUP($B702,'MATRICE ARTICLE'!$A$2:$N$1395,9,FALSE),"")</f>
        <v/>
      </c>
      <c r="G702" s="37" t="str">
        <f>IFERROR(VLOOKUP($B702,'MATRICE ARTICLE'!$A$2:$N$1395,14,FALSE),"")</f>
        <v/>
      </c>
      <c r="H702" s="48" t="str">
        <f t="shared" si="42"/>
        <v/>
      </c>
      <c r="I702" s="48" t="str">
        <f t="shared" si="43"/>
        <v/>
      </c>
    </row>
    <row r="703" spans="2:9">
      <c r="B703" s="57" t="str">
        <f t="shared" si="40"/>
        <v/>
      </c>
      <c r="C703" s="57"/>
      <c r="D703" s="37" t="str">
        <f>IFERROR(VLOOKUP($B703,'MATRICE ARTICLE'!$A$2:$N$1395,2,FALSE),"")</f>
        <v/>
      </c>
      <c r="E703" s="37" t="str">
        <f t="shared" si="41"/>
        <v/>
      </c>
      <c r="F703" s="37" t="str">
        <f>IFERROR(VLOOKUP($B703,'MATRICE ARTICLE'!$A$2:$N$1395,9,FALSE),"")</f>
        <v/>
      </c>
      <c r="G703" s="37" t="str">
        <f>IFERROR(VLOOKUP($B703,'MATRICE ARTICLE'!$A$2:$N$1395,14,FALSE),"")</f>
        <v/>
      </c>
      <c r="H703" s="48" t="str">
        <f t="shared" si="42"/>
        <v/>
      </c>
      <c r="I703" s="48" t="str">
        <f t="shared" si="43"/>
        <v/>
      </c>
    </row>
    <row r="704" spans="2:9">
      <c r="B704" s="57" t="str">
        <f t="shared" si="40"/>
        <v/>
      </c>
      <c r="C704" s="57"/>
      <c r="D704" s="37" t="str">
        <f>IFERROR(VLOOKUP($B704,'MATRICE ARTICLE'!$A$2:$N$1395,2,FALSE),"")</f>
        <v/>
      </c>
      <c r="E704" s="37" t="str">
        <f t="shared" si="41"/>
        <v/>
      </c>
      <c r="F704" s="37" t="str">
        <f>IFERROR(VLOOKUP($B704,'MATRICE ARTICLE'!$A$2:$N$1395,9,FALSE),"")</f>
        <v/>
      </c>
      <c r="G704" s="37" t="str">
        <f>IFERROR(VLOOKUP($B704,'MATRICE ARTICLE'!$A$2:$N$1395,14,FALSE),"")</f>
        <v/>
      </c>
      <c r="H704" s="48" t="str">
        <f t="shared" si="42"/>
        <v/>
      </c>
      <c r="I704" s="48" t="str">
        <f t="shared" si="43"/>
        <v/>
      </c>
    </row>
    <row r="705" spans="2:9">
      <c r="B705" s="57" t="str">
        <f t="shared" si="40"/>
        <v/>
      </c>
      <c r="C705" s="57"/>
      <c r="D705" s="37" t="str">
        <f>IFERROR(VLOOKUP($B705,'MATRICE ARTICLE'!$A$2:$N$1395,2,FALSE),"")</f>
        <v/>
      </c>
      <c r="E705" s="37" t="str">
        <f t="shared" si="41"/>
        <v/>
      </c>
      <c r="F705" s="37" t="str">
        <f>IFERROR(VLOOKUP($B705,'MATRICE ARTICLE'!$A$2:$N$1395,9,FALSE),"")</f>
        <v/>
      </c>
      <c r="G705" s="37" t="str">
        <f>IFERROR(VLOOKUP($B705,'MATRICE ARTICLE'!$A$2:$N$1395,14,FALSE),"")</f>
        <v/>
      </c>
      <c r="H705" s="48" t="str">
        <f t="shared" si="42"/>
        <v/>
      </c>
      <c r="I705" s="48" t="str">
        <f t="shared" si="43"/>
        <v/>
      </c>
    </row>
    <row r="706" spans="2:9">
      <c r="B706" s="57" t="str">
        <f t="shared" si="40"/>
        <v/>
      </c>
      <c r="C706" s="57"/>
      <c r="D706" s="37" t="str">
        <f>IFERROR(VLOOKUP($B706,'MATRICE ARTICLE'!$A$2:$N$1395,2,FALSE),"")</f>
        <v/>
      </c>
      <c r="E706" s="37" t="str">
        <f t="shared" si="41"/>
        <v/>
      </c>
      <c r="F706" s="37" t="str">
        <f>IFERROR(VLOOKUP($B706,'MATRICE ARTICLE'!$A$2:$N$1395,9,FALSE),"")</f>
        <v/>
      </c>
      <c r="G706" s="37" t="str">
        <f>IFERROR(VLOOKUP($B706,'MATRICE ARTICLE'!$A$2:$N$1395,14,FALSE),"")</f>
        <v/>
      </c>
      <c r="H706" s="48" t="str">
        <f t="shared" si="42"/>
        <v/>
      </c>
      <c r="I706" s="48" t="str">
        <f t="shared" si="43"/>
        <v/>
      </c>
    </row>
    <row r="707" spans="2:9">
      <c r="B707" s="57" t="str">
        <f t="shared" ref="B707:B770" si="44">IF(A707=0,"",A707)</f>
        <v/>
      </c>
      <c r="C707" s="57"/>
      <c r="D707" s="37" t="str">
        <f>IFERROR(VLOOKUP($B707,'MATRICE ARTICLE'!$A$2:$N$1395,2,FALSE),"")</f>
        <v/>
      </c>
      <c r="E707" s="37" t="str">
        <f t="shared" ref="E707:E770" si="45">IF(SUM(F707:I707)=0,"",SUM(F707:I707))</f>
        <v/>
      </c>
      <c r="F707" s="37" t="str">
        <f>IFERROR(VLOOKUP($B707,'MATRICE ARTICLE'!$A$2:$N$1395,9,FALSE),"")</f>
        <v/>
      </c>
      <c r="G707" s="37" t="str">
        <f>IFERROR(VLOOKUP($B707,'MATRICE ARTICLE'!$A$2:$N$1395,14,FALSE),"")</f>
        <v/>
      </c>
      <c r="H707" s="48" t="str">
        <f t="shared" ref="H707:H770" si="46">IF(SUM(F707:G707)*$H$1=0,"",SUM(F707:G707)*$H$1)</f>
        <v/>
      </c>
      <c r="I707" s="48" t="str">
        <f t="shared" ref="I707:I770" si="47">IF(SUM(F707:H707)*$I$1=0,"",SUM(F707:H707)*$I$1)</f>
        <v/>
      </c>
    </row>
    <row r="708" spans="2:9">
      <c r="B708" s="57" t="str">
        <f t="shared" si="44"/>
        <v/>
      </c>
      <c r="C708" s="57"/>
      <c r="D708" s="37" t="str">
        <f>IFERROR(VLOOKUP($B708,'MATRICE ARTICLE'!$A$2:$N$1395,2,FALSE),"")</f>
        <v/>
      </c>
      <c r="E708" s="37" t="str">
        <f t="shared" si="45"/>
        <v/>
      </c>
      <c r="F708" s="37" t="str">
        <f>IFERROR(VLOOKUP($B708,'MATRICE ARTICLE'!$A$2:$N$1395,9,FALSE),"")</f>
        <v/>
      </c>
      <c r="G708" s="37" t="str">
        <f>IFERROR(VLOOKUP($B708,'MATRICE ARTICLE'!$A$2:$N$1395,14,FALSE),"")</f>
        <v/>
      </c>
      <c r="H708" s="48" t="str">
        <f t="shared" si="46"/>
        <v/>
      </c>
      <c r="I708" s="48" t="str">
        <f t="shared" si="47"/>
        <v/>
      </c>
    </row>
    <row r="709" spans="2:9">
      <c r="B709" s="57" t="str">
        <f t="shared" si="44"/>
        <v/>
      </c>
      <c r="C709" s="57"/>
      <c r="D709" s="37" t="str">
        <f>IFERROR(VLOOKUP($B709,'MATRICE ARTICLE'!$A$2:$N$1395,2,FALSE),"")</f>
        <v/>
      </c>
      <c r="E709" s="37" t="str">
        <f t="shared" si="45"/>
        <v/>
      </c>
      <c r="F709" s="37" t="str">
        <f>IFERROR(VLOOKUP($B709,'MATRICE ARTICLE'!$A$2:$N$1395,9,FALSE),"")</f>
        <v/>
      </c>
      <c r="G709" s="37" t="str">
        <f>IFERROR(VLOOKUP($B709,'MATRICE ARTICLE'!$A$2:$N$1395,14,FALSE),"")</f>
        <v/>
      </c>
      <c r="H709" s="48" t="str">
        <f t="shared" si="46"/>
        <v/>
      </c>
      <c r="I709" s="48" t="str">
        <f t="shared" si="47"/>
        <v/>
      </c>
    </row>
    <row r="710" spans="2:9">
      <c r="B710" s="57" t="str">
        <f t="shared" si="44"/>
        <v/>
      </c>
      <c r="C710" s="57"/>
      <c r="D710" s="37" t="str">
        <f>IFERROR(VLOOKUP($B710,'MATRICE ARTICLE'!$A$2:$N$1395,2,FALSE),"")</f>
        <v/>
      </c>
      <c r="E710" s="37" t="str">
        <f t="shared" si="45"/>
        <v/>
      </c>
      <c r="F710" s="37" t="str">
        <f>IFERROR(VLOOKUP($B710,'MATRICE ARTICLE'!$A$2:$N$1395,9,FALSE),"")</f>
        <v/>
      </c>
      <c r="G710" s="37" t="str">
        <f>IFERROR(VLOOKUP($B710,'MATRICE ARTICLE'!$A$2:$N$1395,14,FALSE),"")</f>
        <v/>
      </c>
      <c r="H710" s="48" t="str">
        <f t="shared" si="46"/>
        <v/>
      </c>
      <c r="I710" s="48" t="str">
        <f t="shared" si="47"/>
        <v/>
      </c>
    </row>
    <row r="711" spans="2:9">
      <c r="B711" s="57" t="str">
        <f t="shared" si="44"/>
        <v/>
      </c>
      <c r="C711" s="57"/>
      <c r="D711" s="37" t="str">
        <f>IFERROR(VLOOKUP($B711,'MATRICE ARTICLE'!$A$2:$N$1395,2,FALSE),"")</f>
        <v/>
      </c>
      <c r="E711" s="37" t="str">
        <f t="shared" si="45"/>
        <v/>
      </c>
      <c r="F711" s="37" t="str">
        <f>IFERROR(VLOOKUP($B711,'MATRICE ARTICLE'!$A$2:$N$1395,9,FALSE),"")</f>
        <v/>
      </c>
      <c r="G711" s="37" t="str">
        <f>IFERROR(VLOOKUP($B711,'MATRICE ARTICLE'!$A$2:$N$1395,14,FALSE),"")</f>
        <v/>
      </c>
      <c r="H711" s="48" t="str">
        <f t="shared" si="46"/>
        <v/>
      </c>
      <c r="I711" s="48" t="str">
        <f t="shared" si="47"/>
        <v/>
      </c>
    </row>
    <row r="712" spans="2:9">
      <c r="B712" s="57" t="str">
        <f t="shared" si="44"/>
        <v/>
      </c>
      <c r="C712" s="57"/>
      <c r="D712" s="37" t="str">
        <f>IFERROR(VLOOKUP($B712,'MATRICE ARTICLE'!$A$2:$N$1395,2,FALSE),"")</f>
        <v/>
      </c>
      <c r="E712" s="37" t="str">
        <f t="shared" si="45"/>
        <v/>
      </c>
      <c r="F712" s="37" t="str">
        <f>IFERROR(VLOOKUP($B712,'MATRICE ARTICLE'!$A$2:$N$1395,9,FALSE),"")</f>
        <v/>
      </c>
      <c r="G712" s="37" t="str">
        <f>IFERROR(VLOOKUP($B712,'MATRICE ARTICLE'!$A$2:$N$1395,14,FALSE),"")</f>
        <v/>
      </c>
      <c r="H712" s="48" t="str">
        <f t="shared" si="46"/>
        <v/>
      </c>
      <c r="I712" s="48" t="str">
        <f t="shared" si="47"/>
        <v/>
      </c>
    </row>
    <row r="713" spans="2:9">
      <c r="B713" s="57" t="str">
        <f t="shared" si="44"/>
        <v/>
      </c>
      <c r="C713" s="57"/>
      <c r="D713" s="37" t="str">
        <f>IFERROR(VLOOKUP($B713,'MATRICE ARTICLE'!$A$2:$N$1395,2,FALSE),"")</f>
        <v/>
      </c>
      <c r="E713" s="37" t="str">
        <f t="shared" si="45"/>
        <v/>
      </c>
      <c r="F713" s="37" t="str">
        <f>IFERROR(VLOOKUP($B713,'MATRICE ARTICLE'!$A$2:$N$1395,9,FALSE),"")</f>
        <v/>
      </c>
      <c r="G713" s="37" t="str">
        <f>IFERROR(VLOOKUP($B713,'MATRICE ARTICLE'!$A$2:$N$1395,14,FALSE),"")</f>
        <v/>
      </c>
      <c r="H713" s="48" t="str">
        <f t="shared" si="46"/>
        <v/>
      </c>
      <c r="I713" s="48" t="str">
        <f t="shared" si="47"/>
        <v/>
      </c>
    </row>
    <row r="714" spans="2:9">
      <c r="B714" s="57" t="str">
        <f t="shared" si="44"/>
        <v/>
      </c>
      <c r="C714" s="57"/>
      <c r="D714" s="37" t="str">
        <f>IFERROR(VLOOKUP($B714,'MATRICE ARTICLE'!$A$2:$N$1395,2,FALSE),"")</f>
        <v/>
      </c>
      <c r="E714" s="37" t="str">
        <f t="shared" si="45"/>
        <v/>
      </c>
      <c r="F714" s="37" t="str">
        <f>IFERROR(VLOOKUP($B714,'MATRICE ARTICLE'!$A$2:$N$1395,9,FALSE),"")</f>
        <v/>
      </c>
      <c r="G714" s="37" t="str">
        <f>IFERROR(VLOOKUP($B714,'MATRICE ARTICLE'!$A$2:$N$1395,14,FALSE),"")</f>
        <v/>
      </c>
      <c r="H714" s="48" t="str">
        <f t="shared" si="46"/>
        <v/>
      </c>
      <c r="I714" s="48" t="str">
        <f t="shared" si="47"/>
        <v/>
      </c>
    </row>
    <row r="715" spans="2:9">
      <c r="B715" s="57" t="str">
        <f t="shared" si="44"/>
        <v/>
      </c>
      <c r="C715" s="57"/>
      <c r="D715" s="37" t="str">
        <f>IFERROR(VLOOKUP($B715,'MATRICE ARTICLE'!$A$2:$N$1395,2,FALSE),"")</f>
        <v/>
      </c>
      <c r="E715" s="37" t="str">
        <f t="shared" si="45"/>
        <v/>
      </c>
      <c r="F715" s="37" t="str">
        <f>IFERROR(VLOOKUP($B715,'MATRICE ARTICLE'!$A$2:$N$1395,9,FALSE),"")</f>
        <v/>
      </c>
      <c r="G715" s="37" t="str">
        <f>IFERROR(VLOOKUP($B715,'MATRICE ARTICLE'!$A$2:$N$1395,14,FALSE),"")</f>
        <v/>
      </c>
      <c r="H715" s="48" t="str">
        <f t="shared" si="46"/>
        <v/>
      </c>
      <c r="I715" s="48" t="str">
        <f t="shared" si="47"/>
        <v/>
      </c>
    </row>
    <row r="716" spans="2:9">
      <c r="B716" s="57" t="str">
        <f t="shared" si="44"/>
        <v/>
      </c>
      <c r="C716" s="57"/>
      <c r="D716" s="37" t="str">
        <f>IFERROR(VLOOKUP($B716,'MATRICE ARTICLE'!$A$2:$N$1395,2,FALSE),"")</f>
        <v/>
      </c>
      <c r="E716" s="37" t="str">
        <f t="shared" si="45"/>
        <v/>
      </c>
      <c r="F716" s="37" t="str">
        <f>IFERROR(VLOOKUP($B716,'MATRICE ARTICLE'!$A$2:$N$1395,9,FALSE),"")</f>
        <v/>
      </c>
      <c r="G716" s="37" t="str">
        <f>IFERROR(VLOOKUP($B716,'MATRICE ARTICLE'!$A$2:$N$1395,14,FALSE),"")</f>
        <v/>
      </c>
      <c r="H716" s="48" t="str">
        <f t="shared" si="46"/>
        <v/>
      </c>
      <c r="I716" s="48" t="str">
        <f t="shared" si="47"/>
        <v/>
      </c>
    </row>
    <row r="717" spans="2:9">
      <c r="B717" s="57" t="str">
        <f t="shared" si="44"/>
        <v/>
      </c>
      <c r="C717" s="57"/>
      <c r="D717" s="37" t="str">
        <f>IFERROR(VLOOKUP($B717,'MATRICE ARTICLE'!$A$2:$N$1395,2,FALSE),"")</f>
        <v/>
      </c>
      <c r="E717" s="37" t="str">
        <f t="shared" si="45"/>
        <v/>
      </c>
      <c r="F717" s="37" t="str">
        <f>IFERROR(VLOOKUP($B717,'MATRICE ARTICLE'!$A$2:$N$1395,9,FALSE),"")</f>
        <v/>
      </c>
      <c r="G717" s="37" t="str">
        <f>IFERROR(VLOOKUP($B717,'MATRICE ARTICLE'!$A$2:$N$1395,14,FALSE),"")</f>
        <v/>
      </c>
      <c r="H717" s="48" t="str">
        <f t="shared" si="46"/>
        <v/>
      </c>
      <c r="I717" s="48" t="str">
        <f t="shared" si="47"/>
        <v/>
      </c>
    </row>
    <row r="718" spans="2:9">
      <c r="B718" s="57" t="str">
        <f t="shared" si="44"/>
        <v/>
      </c>
      <c r="C718" s="57"/>
      <c r="D718" s="37" t="str">
        <f>IFERROR(VLOOKUP($B718,'MATRICE ARTICLE'!$A$2:$N$1395,2,FALSE),"")</f>
        <v/>
      </c>
      <c r="E718" s="37" t="str">
        <f t="shared" si="45"/>
        <v/>
      </c>
      <c r="F718" s="37" t="str">
        <f>IFERROR(VLOOKUP($B718,'MATRICE ARTICLE'!$A$2:$N$1395,9,FALSE),"")</f>
        <v/>
      </c>
      <c r="G718" s="37" t="str">
        <f>IFERROR(VLOOKUP($B718,'MATRICE ARTICLE'!$A$2:$N$1395,14,FALSE),"")</f>
        <v/>
      </c>
      <c r="H718" s="48" t="str">
        <f t="shared" si="46"/>
        <v/>
      </c>
      <c r="I718" s="48" t="str">
        <f t="shared" si="47"/>
        <v/>
      </c>
    </row>
    <row r="719" spans="2:9">
      <c r="B719" s="57" t="str">
        <f t="shared" si="44"/>
        <v/>
      </c>
      <c r="C719" s="57"/>
      <c r="D719" s="37" t="str">
        <f>IFERROR(VLOOKUP($B719,'MATRICE ARTICLE'!$A$2:$N$1395,2,FALSE),"")</f>
        <v/>
      </c>
      <c r="E719" s="37" t="str">
        <f t="shared" si="45"/>
        <v/>
      </c>
      <c r="F719" s="37" t="str">
        <f>IFERROR(VLOOKUP($B719,'MATRICE ARTICLE'!$A$2:$N$1395,9,FALSE),"")</f>
        <v/>
      </c>
      <c r="G719" s="37" t="str">
        <f>IFERROR(VLOOKUP($B719,'MATRICE ARTICLE'!$A$2:$N$1395,14,FALSE),"")</f>
        <v/>
      </c>
      <c r="H719" s="48" t="str">
        <f t="shared" si="46"/>
        <v/>
      </c>
      <c r="I719" s="48" t="str">
        <f t="shared" si="47"/>
        <v/>
      </c>
    </row>
    <row r="720" spans="2:9">
      <c r="B720" s="57" t="str">
        <f t="shared" si="44"/>
        <v/>
      </c>
      <c r="C720" s="57"/>
      <c r="D720" s="37" t="str">
        <f>IFERROR(VLOOKUP($B720,'MATRICE ARTICLE'!$A$2:$N$1395,2,FALSE),"")</f>
        <v/>
      </c>
      <c r="E720" s="37" t="str">
        <f t="shared" si="45"/>
        <v/>
      </c>
      <c r="F720" s="37" t="str">
        <f>IFERROR(VLOOKUP($B720,'MATRICE ARTICLE'!$A$2:$N$1395,9,FALSE),"")</f>
        <v/>
      </c>
      <c r="G720" s="37" t="str">
        <f>IFERROR(VLOOKUP($B720,'MATRICE ARTICLE'!$A$2:$N$1395,14,FALSE),"")</f>
        <v/>
      </c>
      <c r="H720" s="48" t="str">
        <f t="shared" si="46"/>
        <v/>
      </c>
      <c r="I720" s="48" t="str">
        <f t="shared" si="47"/>
        <v/>
      </c>
    </row>
    <row r="721" spans="2:9">
      <c r="B721" s="57" t="str">
        <f t="shared" si="44"/>
        <v/>
      </c>
      <c r="C721" s="57"/>
      <c r="D721" s="37" t="str">
        <f>IFERROR(VLOOKUP($B721,'MATRICE ARTICLE'!$A$2:$N$1395,2,FALSE),"")</f>
        <v/>
      </c>
      <c r="E721" s="37" t="str">
        <f t="shared" si="45"/>
        <v/>
      </c>
      <c r="F721" s="37" t="str">
        <f>IFERROR(VLOOKUP($B721,'MATRICE ARTICLE'!$A$2:$N$1395,9,FALSE),"")</f>
        <v/>
      </c>
      <c r="G721" s="37" t="str">
        <f>IFERROR(VLOOKUP($B721,'MATRICE ARTICLE'!$A$2:$N$1395,14,FALSE),"")</f>
        <v/>
      </c>
      <c r="H721" s="48" t="str">
        <f t="shared" si="46"/>
        <v/>
      </c>
      <c r="I721" s="48" t="str">
        <f t="shared" si="47"/>
        <v/>
      </c>
    </row>
    <row r="722" spans="2:9">
      <c r="B722" s="57" t="str">
        <f t="shared" si="44"/>
        <v/>
      </c>
      <c r="C722" s="57"/>
      <c r="D722" s="37" t="str">
        <f>IFERROR(VLOOKUP($B722,'MATRICE ARTICLE'!$A$2:$N$1395,2,FALSE),"")</f>
        <v/>
      </c>
      <c r="E722" s="37" t="str">
        <f t="shared" si="45"/>
        <v/>
      </c>
      <c r="F722" s="37" t="str">
        <f>IFERROR(VLOOKUP($B722,'MATRICE ARTICLE'!$A$2:$N$1395,9,FALSE),"")</f>
        <v/>
      </c>
      <c r="G722" s="37" t="str">
        <f>IFERROR(VLOOKUP($B722,'MATRICE ARTICLE'!$A$2:$N$1395,14,FALSE),"")</f>
        <v/>
      </c>
      <c r="H722" s="48" t="str">
        <f t="shared" si="46"/>
        <v/>
      </c>
      <c r="I722" s="48" t="str">
        <f t="shared" si="47"/>
        <v/>
      </c>
    </row>
    <row r="723" spans="2:9">
      <c r="B723" s="57" t="str">
        <f t="shared" si="44"/>
        <v/>
      </c>
      <c r="C723" s="57"/>
      <c r="D723" s="37" t="str">
        <f>IFERROR(VLOOKUP($B723,'MATRICE ARTICLE'!$A$2:$N$1395,2,FALSE),"")</f>
        <v/>
      </c>
      <c r="E723" s="37" t="str">
        <f t="shared" si="45"/>
        <v/>
      </c>
      <c r="F723" s="37" t="str">
        <f>IFERROR(VLOOKUP($B723,'MATRICE ARTICLE'!$A$2:$N$1395,9,FALSE),"")</f>
        <v/>
      </c>
      <c r="G723" s="37" t="str">
        <f>IFERROR(VLOOKUP($B723,'MATRICE ARTICLE'!$A$2:$N$1395,14,FALSE),"")</f>
        <v/>
      </c>
      <c r="H723" s="48" t="str">
        <f t="shared" si="46"/>
        <v/>
      </c>
      <c r="I723" s="48" t="str">
        <f t="shared" si="47"/>
        <v/>
      </c>
    </row>
    <row r="724" spans="2:9">
      <c r="B724" s="57" t="str">
        <f t="shared" si="44"/>
        <v/>
      </c>
      <c r="C724" s="57"/>
      <c r="D724" s="37" t="str">
        <f>IFERROR(VLOOKUP($B724,'MATRICE ARTICLE'!$A$2:$N$1395,2,FALSE),"")</f>
        <v/>
      </c>
      <c r="E724" s="37" t="str">
        <f t="shared" si="45"/>
        <v/>
      </c>
      <c r="F724" s="37" t="str">
        <f>IFERROR(VLOOKUP($B724,'MATRICE ARTICLE'!$A$2:$N$1395,9,FALSE),"")</f>
        <v/>
      </c>
      <c r="G724" s="37" t="str">
        <f>IFERROR(VLOOKUP($B724,'MATRICE ARTICLE'!$A$2:$N$1395,14,FALSE),"")</f>
        <v/>
      </c>
      <c r="H724" s="48" t="str">
        <f t="shared" si="46"/>
        <v/>
      </c>
      <c r="I724" s="48" t="str">
        <f t="shared" si="47"/>
        <v/>
      </c>
    </row>
    <row r="725" spans="2:9">
      <c r="B725" s="57" t="str">
        <f t="shared" si="44"/>
        <v/>
      </c>
      <c r="C725" s="57"/>
      <c r="D725" s="37" t="str">
        <f>IFERROR(VLOOKUP($B725,'MATRICE ARTICLE'!$A$2:$N$1395,2,FALSE),"")</f>
        <v/>
      </c>
      <c r="E725" s="37" t="str">
        <f t="shared" si="45"/>
        <v/>
      </c>
      <c r="F725" s="37" t="str">
        <f>IFERROR(VLOOKUP($B725,'MATRICE ARTICLE'!$A$2:$N$1395,9,FALSE),"")</f>
        <v/>
      </c>
      <c r="G725" s="37" t="str">
        <f>IFERROR(VLOOKUP($B725,'MATRICE ARTICLE'!$A$2:$N$1395,14,FALSE),"")</f>
        <v/>
      </c>
      <c r="H725" s="48" t="str">
        <f t="shared" si="46"/>
        <v/>
      </c>
      <c r="I725" s="48" t="str">
        <f t="shared" si="47"/>
        <v/>
      </c>
    </row>
    <row r="726" spans="2:9">
      <c r="B726" s="57" t="str">
        <f t="shared" si="44"/>
        <v/>
      </c>
      <c r="C726" s="57"/>
      <c r="D726" s="37" t="str">
        <f>IFERROR(VLOOKUP($B726,'MATRICE ARTICLE'!$A$2:$N$1395,2,FALSE),"")</f>
        <v/>
      </c>
      <c r="E726" s="37" t="str">
        <f t="shared" si="45"/>
        <v/>
      </c>
      <c r="F726" s="37" t="str">
        <f>IFERROR(VLOOKUP($B726,'MATRICE ARTICLE'!$A$2:$N$1395,9,FALSE),"")</f>
        <v/>
      </c>
      <c r="G726" s="37" t="str">
        <f>IFERROR(VLOOKUP($B726,'MATRICE ARTICLE'!$A$2:$N$1395,14,FALSE),"")</f>
        <v/>
      </c>
      <c r="H726" s="48" t="str">
        <f t="shared" si="46"/>
        <v/>
      </c>
      <c r="I726" s="48" t="str">
        <f t="shared" si="47"/>
        <v/>
      </c>
    </row>
    <row r="727" spans="2:9">
      <c r="B727" s="57" t="str">
        <f t="shared" si="44"/>
        <v/>
      </c>
      <c r="C727" s="57"/>
      <c r="D727" s="37" t="str">
        <f>IFERROR(VLOOKUP($B727,'MATRICE ARTICLE'!$A$2:$N$1395,2,FALSE),"")</f>
        <v/>
      </c>
      <c r="E727" s="37" t="str">
        <f t="shared" si="45"/>
        <v/>
      </c>
      <c r="F727" s="37" t="str">
        <f>IFERROR(VLOOKUP($B727,'MATRICE ARTICLE'!$A$2:$N$1395,9,FALSE),"")</f>
        <v/>
      </c>
      <c r="G727" s="37" t="str">
        <f>IFERROR(VLOOKUP($B727,'MATRICE ARTICLE'!$A$2:$N$1395,14,FALSE),"")</f>
        <v/>
      </c>
      <c r="H727" s="48" t="str">
        <f t="shared" si="46"/>
        <v/>
      </c>
      <c r="I727" s="48" t="str">
        <f t="shared" si="47"/>
        <v/>
      </c>
    </row>
    <row r="728" spans="2:9">
      <c r="B728" s="57" t="str">
        <f t="shared" si="44"/>
        <v/>
      </c>
      <c r="C728" s="57"/>
      <c r="D728" s="37" t="str">
        <f>IFERROR(VLOOKUP($B728,'MATRICE ARTICLE'!$A$2:$N$1395,2,FALSE),"")</f>
        <v/>
      </c>
      <c r="E728" s="37" t="str">
        <f t="shared" si="45"/>
        <v/>
      </c>
      <c r="F728" s="37" t="str">
        <f>IFERROR(VLOOKUP($B728,'MATRICE ARTICLE'!$A$2:$N$1395,9,FALSE),"")</f>
        <v/>
      </c>
      <c r="G728" s="37" t="str">
        <f>IFERROR(VLOOKUP($B728,'MATRICE ARTICLE'!$A$2:$N$1395,14,FALSE),"")</f>
        <v/>
      </c>
      <c r="H728" s="48" t="str">
        <f t="shared" si="46"/>
        <v/>
      </c>
      <c r="I728" s="48" t="str">
        <f t="shared" si="47"/>
        <v/>
      </c>
    </row>
    <row r="729" spans="2:9">
      <c r="B729" s="57" t="str">
        <f t="shared" si="44"/>
        <v/>
      </c>
      <c r="C729" s="57"/>
      <c r="D729" s="37" t="str">
        <f>IFERROR(VLOOKUP($B729,'MATRICE ARTICLE'!$A$2:$N$1395,2,FALSE),"")</f>
        <v/>
      </c>
      <c r="E729" s="37" t="str">
        <f t="shared" si="45"/>
        <v/>
      </c>
      <c r="F729" s="37" t="str">
        <f>IFERROR(VLOOKUP($B729,'MATRICE ARTICLE'!$A$2:$N$1395,9,FALSE),"")</f>
        <v/>
      </c>
      <c r="G729" s="37" t="str">
        <f>IFERROR(VLOOKUP($B729,'MATRICE ARTICLE'!$A$2:$N$1395,14,FALSE),"")</f>
        <v/>
      </c>
      <c r="H729" s="48" t="str">
        <f t="shared" si="46"/>
        <v/>
      </c>
      <c r="I729" s="48" t="str">
        <f t="shared" si="47"/>
        <v/>
      </c>
    </row>
    <row r="730" spans="2:9">
      <c r="B730" s="57" t="str">
        <f t="shared" si="44"/>
        <v/>
      </c>
      <c r="C730" s="57"/>
      <c r="D730" s="37" t="str">
        <f>IFERROR(VLOOKUP($B730,'MATRICE ARTICLE'!$A$2:$N$1395,2,FALSE),"")</f>
        <v/>
      </c>
      <c r="E730" s="37" t="str">
        <f t="shared" si="45"/>
        <v/>
      </c>
      <c r="F730" s="37" t="str">
        <f>IFERROR(VLOOKUP($B730,'MATRICE ARTICLE'!$A$2:$N$1395,9,FALSE),"")</f>
        <v/>
      </c>
      <c r="G730" s="37" t="str">
        <f>IFERROR(VLOOKUP($B730,'MATRICE ARTICLE'!$A$2:$N$1395,14,FALSE),"")</f>
        <v/>
      </c>
      <c r="H730" s="48" t="str">
        <f t="shared" si="46"/>
        <v/>
      </c>
      <c r="I730" s="48" t="str">
        <f t="shared" si="47"/>
        <v/>
      </c>
    </row>
    <row r="731" spans="2:9">
      <c r="B731" s="57" t="str">
        <f t="shared" si="44"/>
        <v/>
      </c>
      <c r="C731" s="57"/>
      <c r="D731" s="37" t="str">
        <f>IFERROR(VLOOKUP($B731,'MATRICE ARTICLE'!$A$2:$N$1395,2,FALSE),"")</f>
        <v/>
      </c>
      <c r="E731" s="37" t="str">
        <f t="shared" si="45"/>
        <v/>
      </c>
      <c r="F731" s="37" t="str">
        <f>IFERROR(VLOOKUP($B731,'MATRICE ARTICLE'!$A$2:$N$1395,9,FALSE),"")</f>
        <v/>
      </c>
      <c r="G731" s="37" t="str">
        <f>IFERROR(VLOOKUP($B731,'MATRICE ARTICLE'!$A$2:$N$1395,14,FALSE),"")</f>
        <v/>
      </c>
      <c r="H731" s="48" t="str">
        <f t="shared" si="46"/>
        <v/>
      </c>
      <c r="I731" s="48" t="str">
        <f t="shared" si="47"/>
        <v/>
      </c>
    </row>
    <row r="732" spans="2:9">
      <c r="B732" s="57" t="str">
        <f t="shared" si="44"/>
        <v/>
      </c>
      <c r="C732" s="57"/>
      <c r="D732" s="37" t="str">
        <f>IFERROR(VLOOKUP($B732,'MATRICE ARTICLE'!$A$2:$N$1395,2,FALSE),"")</f>
        <v/>
      </c>
      <c r="E732" s="37" t="str">
        <f t="shared" si="45"/>
        <v/>
      </c>
      <c r="F732" s="37" t="str">
        <f>IFERROR(VLOOKUP($B732,'MATRICE ARTICLE'!$A$2:$N$1395,9,FALSE),"")</f>
        <v/>
      </c>
      <c r="G732" s="37" t="str">
        <f>IFERROR(VLOOKUP($B732,'MATRICE ARTICLE'!$A$2:$N$1395,14,FALSE),"")</f>
        <v/>
      </c>
      <c r="H732" s="48" t="str">
        <f t="shared" si="46"/>
        <v/>
      </c>
      <c r="I732" s="48" t="str">
        <f t="shared" si="47"/>
        <v/>
      </c>
    </row>
    <row r="733" spans="2:9">
      <c r="B733" s="57" t="str">
        <f t="shared" si="44"/>
        <v/>
      </c>
      <c r="C733" s="57"/>
      <c r="D733" s="37" t="str">
        <f>IFERROR(VLOOKUP($B733,'MATRICE ARTICLE'!$A$2:$N$1395,2,FALSE),"")</f>
        <v/>
      </c>
      <c r="E733" s="37" t="str">
        <f t="shared" si="45"/>
        <v/>
      </c>
      <c r="F733" s="37" t="str">
        <f>IFERROR(VLOOKUP($B733,'MATRICE ARTICLE'!$A$2:$N$1395,9,FALSE),"")</f>
        <v/>
      </c>
      <c r="G733" s="37" t="str">
        <f>IFERROR(VLOOKUP($B733,'MATRICE ARTICLE'!$A$2:$N$1395,14,FALSE),"")</f>
        <v/>
      </c>
      <c r="H733" s="48" t="str">
        <f t="shared" si="46"/>
        <v/>
      </c>
      <c r="I733" s="48" t="str">
        <f t="shared" si="47"/>
        <v/>
      </c>
    </row>
    <row r="734" spans="2:9">
      <c r="B734" s="57" t="str">
        <f t="shared" si="44"/>
        <v/>
      </c>
      <c r="C734" s="57"/>
      <c r="D734" s="37" t="str">
        <f>IFERROR(VLOOKUP($B734,'MATRICE ARTICLE'!$A$2:$N$1395,2,FALSE),"")</f>
        <v/>
      </c>
      <c r="E734" s="37" t="str">
        <f t="shared" si="45"/>
        <v/>
      </c>
      <c r="F734" s="37" t="str">
        <f>IFERROR(VLOOKUP($B734,'MATRICE ARTICLE'!$A$2:$N$1395,9,FALSE),"")</f>
        <v/>
      </c>
      <c r="G734" s="37" t="str">
        <f>IFERROR(VLOOKUP($B734,'MATRICE ARTICLE'!$A$2:$N$1395,14,FALSE),"")</f>
        <v/>
      </c>
      <c r="H734" s="48" t="str">
        <f t="shared" si="46"/>
        <v/>
      </c>
      <c r="I734" s="48" t="str">
        <f t="shared" si="47"/>
        <v/>
      </c>
    </row>
    <row r="735" spans="2:9">
      <c r="B735" s="57" t="str">
        <f t="shared" si="44"/>
        <v/>
      </c>
      <c r="C735" s="57"/>
      <c r="D735" s="37" t="str">
        <f>IFERROR(VLOOKUP($B735,'MATRICE ARTICLE'!$A$2:$N$1395,2,FALSE),"")</f>
        <v/>
      </c>
      <c r="E735" s="37" t="str">
        <f t="shared" si="45"/>
        <v/>
      </c>
      <c r="F735" s="37" t="str">
        <f>IFERROR(VLOOKUP($B735,'MATRICE ARTICLE'!$A$2:$N$1395,9,FALSE),"")</f>
        <v/>
      </c>
      <c r="G735" s="37" t="str">
        <f>IFERROR(VLOOKUP($B735,'MATRICE ARTICLE'!$A$2:$N$1395,14,FALSE),"")</f>
        <v/>
      </c>
      <c r="H735" s="48" t="str">
        <f t="shared" si="46"/>
        <v/>
      </c>
      <c r="I735" s="48" t="str">
        <f t="shared" si="47"/>
        <v/>
      </c>
    </row>
    <row r="736" spans="2:9">
      <c r="B736" s="57" t="str">
        <f t="shared" si="44"/>
        <v/>
      </c>
      <c r="C736" s="57"/>
      <c r="D736" s="37" t="str">
        <f>IFERROR(VLOOKUP($B736,'MATRICE ARTICLE'!$A$2:$N$1395,2,FALSE),"")</f>
        <v/>
      </c>
      <c r="E736" s="37" t="str">
        <f t="shared" si="45"/>
        <v/>
      </c>
      <c r="F736" s="37" t="str">
        <f>IFERROR(VLOOKUP($B736,'MATRICE ARTICLE'!$A$2:$N$1395,9,FALSE),"")</f>
        <v/>
      </c>
      <c r="G736" s="37" t="str">
        <f>IFERROR(VLOOKUP($B736,'MATRICE ARTICLE'!$A$2:$N$1395,14,FALSE),"")</f>
        <v/>
      </c>
      <c r="H736" s="48" t="str">
        <f t="shared" si="46"/>
        <v/>
      </c>
      <c r="I736" s="48" t="str">
        <f t="shared" si="47"/>
        <v/>
      </c>
    </row>
    <row r="737" spans="2:9">
      <c r="B737" s="57" t="str">
        <f t="shared" si="44"/>
        <v/>
      </c>
      <c r="C737" s="57"/>
      <c r="D737" s="37" t="str">
        <f>IFERROR(VLOOKUP($B737,'MATRICE ARTICLE'!$A$2:$N$1395,2,FALSE),"")</f>
        <v/>
      </c>
      <c r="E737" s="37" t="str">
        <f t="shared" si="45"/>
        <v/>
      </c>
      <c r="F737" s="37" t="str">
        <f>IFERROR(VLOOKUP($B737,'MATRICE ARTICLE'!$A$2:$N$1395,9,FALSE),"")</f>
        <v/>
      </c>
      <c r="G737" s="37" t="str">
        <f>IFERROR(VLOOKUP($B737,'MATRICE ARTICLE'!$A$2:$N$1395,14,FALSE),"")</f>
        <v/>
      </c>
      <c r="H737" s="48" t="str">
        <f t="shared" si="46"/>
        <v/>
      </c>
      <c r="I737" s="48" t="str">
        <f t="shared" si="47"/>
        <v/>
      </c>
    </row>
    <row r="738" spans="2:9">
      <c r="B738" s="57" t="str">
        <f t="shared" si="44"/>
        <v/>
      </c>
      <c r="C738" s="57"/>
      <c r="D738" s="37" t="str">
        <f>IFERROR(VLOOKUP($B738,'MATRICE ARTICLE'!$A$2:$N$1395,2,FALSE),"")</f>
        <v/>
      </c>
      <c r="E738" s="37" t="str">
        <f t="shared" si="45"/>
        <v/>
      </c>
      <c r="F738" s="37" t="str">
        <f>IFERROR(VLOOKUP($B738,'MATRICE ARTICLE'!$A$2:$N$1395,9,FALSE),"")</f>
        <v/>
      </c>
      <c r="G738" s="37" t="str">
        <f>IFERROR(VLOOKUP($B738,'MATRICE ARTICLE'!$A$2:$N$1395,14,FALSE),"")</f>
        <v/>
      </c>
      <c r="H738" s="48" t="str">
        <f t="shared" si="46"/>
        <v/>
      </c>
      <c r="I738" s="48" t="str">
        <f t="shared" si="47"/>
        <v/>
      </c>
    </row>
    <row r="739" spans="2:9">
      <c r="B739" s="57" t="str">
        <f t="shared" si="44"/>
        <v/>
      </c>
      <c r="C739" s="57"/>
      <c r="D739" s="37" t="str">
        <f>IFERROR(VLOOKUP($B739,'MATRICE ARTICLE'!$A$2:$N$1395,2,FALSE),"")</f>
        <v/>
      </c>
      <c r="E739" s="37" t="str">
        <f t="shared" si="45"/>
        <v/>
      </c>
      <c r="F739" s="37" t="str">
        <f>IFERROR(VLOOKUP($B739,'MATRICE ARTICLE'!$A$2:$N$1395,9,FALSE),"")</f>
        <v/>
      </c>
      <c r="G739" s="37" t="str">
        <f>IFERROR(VLOOKUP($B739,'MATRICE ARTICLE'!$A$2:$N$1395,14,FALSE),"")</f>
        <v/>
      </c>
      <c r="H739" s="48" t="str">
        <f t="shared" si="46"/>
        <v/>
      </c>
      <c r="I739" s="48" t="str">
        <f t="shared" si="47"/>
        <v/>
      </c>
    </row>
    <row r="740" spans="2:9">
      <c r="B740" s="57" t="str">
        <f t="shared" si="44"/>
        <v/>
      </c>
      <c r="C740" s="57"/>
      <c r="D740" s="37" t="str">
        <f>IFERROR(VLOOKUP($B740,'MATRICE ARTICLE'!$A$2:$N$1395,2,FALSE),"")</f>
        <v/>
      </c>
      <c r="E740" s="37" t="str">
        <f t="shared" si="45"/>
        <v/>
      </c>
      <c r="F740" s="37" t="str">
        <f>IFERROR(VLOOKUP($B740,'MATRICE ARTICLE'!$A$2:$N$1395,9,FALSE),"")</f>
        <v/>
      </c>
      <c r="G740" s="37" t="str">
        <f>IFERROR(VLOOKUP($B740,'MATRICE ARTICLE'!$A$2:$N$1395,14,FALSE),"")</f>
        <v/>
      </c>
      <c r="H740" s="48" t="str">
        <f t="shared" si="46"/>
        <v/>
      </c>
      <c r="I740" s="48" t="str">
        <f t="shared" si="47"/>
        <v/>
      </c>
    </row>
    <row r="741" spans="2:9">
      <c r="B741" s="57" t="str">
        <f t="shared" si="44"/>
        <v/>
      </c>
      <c r="C741" s="57"/>
      <c r="D741" s="37" t="str">
        <f>IFERROR(VLOOKUP($B741,'MATRICE ARTICLE'!$A$2:$N$1395,2,FALSE),"")</f>
        <v/>
      </c>
      <c r="E741" s="37" t="str">
        <f t="shared" si="45"/>
        <v/>
      </c>
      <c r="F741" s="37" t="str">
        <f>IFERROR(VLOOKUP($B741,'MATRICE ARTICLE'!$A$2:$N$1395,9,FALSE),"")</f>
        <v/>
      </c>
      <c r="G741" s="37" t="str">
        <f>IFERROR(VLOOKUP($B741,'MATRICE ARTICLE'!$A$2:$N$1395,14,FALSE),"")</f>
        <v/>
      </c>
      <c r="H741" s="48" t="str">
        <f t="shared" si="46"/>
        <v/>
      </c>
      <c r="I741" s="48" t="str">
        <f t="shared" si="47"/>
        <v/>
      </c>
    </row>
    <row r="742" spans="2:9">
      <c r="B742" s="57" t="str">
        <f t="shared" si="44"/>
        <v/>
      </c>
      <c r="C742" s="57"/>
      <c r="D742" s="37" t="str">
        <f>IFERROR(VLOOKUP($B742,'MATRICE ARTICLE'!$A$2:$N$1395,2,FALSE),"")</f>
        <v/>
      </c>
      <c r="E742" s="37" t="str">
        <f t="shared" si="45"/>
        <v/>
      </c>
      <c r="F742" s="37" t="str">
        <f>IFERROR(VLOOKUP($B742,'MATRICE ARTICLE'!$A$2:$N$1395,9,FALSE),"")</f>
        <v/>
      </c>
      <c r="G742" s="37" t="str">
        <f>IFERROR(VLOOKUP($B742,'MATRICE ARTICLE'!$A$2:$N$1395,14,FALSE),"")</f>
        <v/>
      </c>
      <c r="H742" s="48" t="str">
        <f t="shared" si="46"/>
        <v/>
      </c>
      <c r="I742" s="48" t="str">
        <f t="shared" si="47"/>
        <v/>
      </c>
    </row>
    <row r="743" spans="2:9">
      <c r="B743" s="57" t="str">
        <f t="shared" si="44"/>
        <v/>
      </c>
      <c r="C743" s="57"/>
      <c r="D743" s="37" t="str">
        <f>IFERROR(VLOOKUP($B743,'MATRICE ARTICLE'!$A$2:$N$1395,2,FALSE),"")</f>
        <v/>
      </c>
      <c r="E743" s="37" t="str">
        <f t="shared" si="45"/>
        <v/>
      </c>
      <c r="F743" s="37" t="str">
        <f>IFERROR(VLOOKUP($B743,'MATRICE ARTICLE'!$A$2:$N$1395,9,FALSE),"")</f>
        <v/>
      </c>
      <c r="G743" s="37" t="str">
        <f>IFERROR(VLOOKUP($B743,'MATRICE ARTICLE'!$A$2:$N$1395,14,FALSE),"")</f>
        <v/>
      </c>
      <c r="H743" s="48" t="str">
        <f t="shared" si="46"/>
        <v/>
      </c>
      <c r="I743" s="48" t="str">
        <f t="shared" si="47"/>
        <v/>
      </c>
    </row>
    <row r="744" spans="2:9">
      <c r="B744" s="57" t="str">
        <f t="shared" si="44"/>
        <v/>
      </c>
      <c r="C744" s="57"/>
      <c r="D744" s="37" t="str">
        <f>IFERROR(VLOOKUP($B744,'MATRICE ARTICLE'!$A$2:$N$1395,2,FALSE),"")</f>
        <v/>
      </c>
      <c r="E744" s="37" t="str">
        <f t="shared" si="45"/>
        <v/>
      </c>
      <c r="F744" s="37" t="str">
        <f>IFERROR(VLOOKUP($B744,'MATRICE ARTICLE'!$A$2:$N$1395,9,FALSE),"")</f>
        <v/>
      </c>
      <c r="G744" s="37" t="str">
        <f>IFERROR(VLOOKUP($B744,'MATRICE ARTICLE'!$A$2:$N$1395,14,FALSE),"")</f>
        <v/>
      </c>
      <c r="H744" s="48" t="str">
        <f t="shared" si="46"/>
        <v/>
      </c>
      <c r="I744" s="48" t="str">
        <f t="shared" si="47"/>
        <v/>
      </c>
    </row>
    <row r="745" spans="2:9">
      <c r="B745" s="57" t="str">
        <f t="shared" si="44"/>
        <v/>
      </c>
      <c r="C745" s="57"/>
      <c r="D745" s="37" t="str">
        <f>IFERROR(VLOOKUP($B745,'MATRICE ARTICLE'!$A$2:$N$1395,2,FALSE),"")</f>
        <v/>
      </c>
      <c r="E745" s="37" t="str">
        <f t="shared" si="45"/>
        <v/>
      </c>
      <c r="F745" s="37" t="str">
        <f>IFERROR(VLOOKUP($B745,'MATRICE ARTICLE'!$A$2:$N$1395,9,FALSE),"")</f>
        <v/>
      </c>
      <c r="G745" s="37" t="str">
        <f>IFERROR(VLOOKUP($B745,'MATRICE ARTICLE'!$A$2:$N$1395,14,FALSE),"")</f>
        <v/>
      </c>
      <c r="H745" s="48" t="str">
        <f t="shared" si="46"/>
        <v/>
      </c>
      <c r="I745" s="48" t="str">
        <f t="shared" si="47"/>
        <v/>
      </c>
    </row>
    <row r="746" spans="2:9">
      <c r="B746" s="57" t="str">
        <f t="shared" si="44"/>
        <v/>
      </c>
      <c r="C746" s="57"/>
      <c r="D746" s="37" t="str">
        <f>IFERROR(VLOOKUP($B746,'MATRICE ARTICLE'!$A$2:$N$1395,2,FALSE),"")</f>
        <v/>
      </c>
      <c r="E746" s="37" t="str">
        <f t="shared" si="45"/>
        <v/>
      </c>
      <c r="F746" s="37" t="str">
        <f>IFERROR(VLOOKUP($B746,'MATRICE ARTICLE'!$A$2:$N$1395,9,FALSE),"")</f>
        <v/>
      </c>
      <c r="G746" s="37" t="str">
        <f>IFERROR(VLOOKUP($B746,'MATRICE ARTICLE'!$A$2:$N$1395,14,FALSE),"")</f>
        <v/>
      </c>
      <c r="H746" s="48" t="str">
        <f t="shared" si="46"/>
        <v/>
      </c>
      <c r="I746" s="48" t="str">
        <f t="shared" si="47"/>
        <v/>
      </c>
    </row>
    <row r="747" spans="2:9">
      <c r="B747" s="57" t="str">
        <f t="shared" si="44"/>
        <v/>
      </c>
      <c r="C747" s="57"/>
      <c r="D747" s="37" t="str">
        <f>IFERROR(VLOOKUP($B747,'MATRICE ARTICLE'!$A$2:$N$1395,2,FALSE),"")</f>
        <v/>
      </c>
      <c r="E747" s="37" t="str">
        <f t="shared" si="45"/>
        <v/>
      </c>
      <c r="F747" s="37" t="str">
        <f>IFERROR(VLOOKUP($B747,'MATRICE ARTICLE'!$A$2:$N$1395,9,FALSE),"")</f>
        <v/>
      </c>
      <c r="G747" s="37" t="str">
        <f>IFERROR(VLOOKUP($B747,'MATRICE ARTICLE'!$A$2:$N$1395,14,FALSE),"")</f>
        <v/>
      </c>
      <c r="H747" s="48" t="str">
        <f t="shared" si="46"/>
        <v/>
      </c>
      <c r="I747" s="48" t="str">
        <f t="shared" si="47"/>
        <v/>
      </c>
    </row>
    <row r="748" spans="2:9">
      <c r="B748" s="57" t="str">
        <f t="shared" si="44"/>
        <v/>
      </c>
      <c r="C748" s="57"/>
      <c r="D748" s="37" t="str">
        <f>IFERROR(VLOOKUP($B748,'MATRICE ARTICLE'!$A$2:$N$1395,2,FALSE),"")</f>
        <v/>
      </c>
      <c r="E748" s="37" t="str">
        <f t="shared" si="45"/>
        <v/>
      </c>
      <c r="F748" s="37" t="str">
        <f>IFERROR(VLOOKUP($B748,'MATRICE ARTICLE'!$A$2:$N$1395,9,FALSE),"")</f>
        <v/>
      </c>
      <c r="G748" s="37" t="str">
        <f>IFERROR(VLOOKUP($B748,'MATRICE ARTICLE'!$A$2:$N$1395,14,FALSE),"")</f>
        <v/>
      </c>
      <c r="H748" s="48" t="str">
        <f t="shared" si="46"/>
        <v/>
      </c>
      <c r="I748" s="48" t="str">
        <f t="shared" si="47"/>
        <v/>
      </c>
    </row>
    <row r="749" spans="2:9">
      <c r="B749" s="57" t="str">
        <f t="shared" si="44"/>
        <v/>
      </c>
      <c r="C749" s="57"/>
      <c r="D749" s="37" t="str">
        <f>IFERROR(VLOOKUP($B749,'MATRICE ARTICLE'!$A$2:$N$1395,2,FALSE),"")</f>
        <v/>
      </c>
      <c r="E749" s="37" t="str">
        <f t="shared" si="45"/>
        <v/>
      </c>
      <c r="F749" s="37" t="str">
        <f>IFERROR(VLOOKUP($B749,'MATRICE ARTICLE'!$A$2:$N$1395,9,FALSE),"")</f>
        <v/>
      </c>
      <c r="G749" s="37" t="str">
        <f>IFERROR(VLOOKUP($B749,'MATRICE ARTICLE'!$A$2:$N$1395,14,FALSE),"")</f>
        <v/>
      </c>
      <c r="H749" s="48" t="str">
        <f t="shared" si="46"/>
        <v/>
      </c>
      <c r="I749" s="48" t="str">
        <f t="shared" si="47"/>
        <v/>
      </c>
    </row>
    <row r="750" spans="2:9">
      <c r="B750" s="57" t="str">
        <f t="shared" si="44"/>
        <v/>
      </c>
      <c r="C750" s="57"/>
      <c r="D750" s="37" t="str">
        <f>IFERROR(VLOOKUP($B750,'MATRICE ARTICLE'!$A$2:$N$1395,2,FALSE),"")</f>
        <v/>
      </c>
      <c r="E750" s="37" t="str">
        <f t="shared" si="45"/>
        <v/>
      </c>
      <c r="F750" s="37" t="str">
        <f>IFERROR(VLOOKUP($B750,'MATRICE ARTICLE'!$A$2:$N$1395,9,FALSE),"")</f>
        <v/>
      </c>
      <c r="G750" s="37" t="str">
        <f>IFERROR(VLOOKUP($B750,'MATRICE ARTICLE'!$A$2:$N$1395,14,FALSE),"")</f>
        <v/>
      </c>
      <c r="H750" s="48" t="str">
        <f t="shared" si="46"/>
        <v/>
      </c>
      <c r="I750" s="48" t="str">
        <f t="shared" si="47"/>
        <v/>
      </c>
    </row>
    <row r="751" spans="2:9">
      <c r="B751" s="57" t="str">
        <f t="shared" si="44"/>
        <v/>
      </c>
      <c r="C751" s="57"/>
      <c r="D751" s="37" t="str">
        <f>IFERROR(VLOOKUP($B751,'MATRICE ARTICLE'!$A$2:$N$1395,2,FALSE),"")</f>
        <v/>
      </c>
      <c r="E751" s="37" t="str">
        <f t="shared" si="45"/>
        <v/>
      </c>
      <c r="F751" s="37" t="str">
        <f>IFERROR(VLOOKUP($B751,'MATRICE ARTICLE'!$A$2:$N$1395,9,FALSE),"")</f>
        <v/>
      </c>
      <c r="G751" s="37" t="str">
        <f>IFERROR(VLOOKUP($B751,'MATRICE ARTICLE'!$A$2:$N$1395,14,FALSE),"")</f>
        <v/>
      </c>
      <c r="H751" s="48" t="str">
        <f t="shared" si="46"/>
        <v/>
      </c>
      <c r="I751" s="48" t="str">
        <f t="shared" si="47"/>
        <v/>
      </c>
    </row>
    <row r="752" spans="2:9">
      <c r="B752" s="57" t="str">
        <f t="shared" si="44"/>
        <v/>
      </c>
      <c r="C752" s="57"/>
      <c r="D752" s="37" t="str">
        <f>IFERROR(VLOOKUP($B752,'MATRICE ARTICLE'!$A$2:$N$1395,2,FALSE),"")</f>
        <v/>
      </c>
      <c r="E752" s="37" t="str">
        <f t="shared" si="45"/>
        <v/>
      </c>
      <c r="F752" s="37" t="str">
        <f>IFERROR(VLOOKUP($B752,'MATRICE ARTICLE'!$A$2:$N$1395,9,FALSE),"")</f>
        <v/>
      </c>
      <c r="G752" s="37" t="str">
        <f>IFERROR(VLOOKUP($B752,'MATRICE ARTICLE'!$A$2:$N$1395,14,FALSE),"")</f>
        <v/>
      </c>
      <c r="H752" s="48" t="str">
        <f t="shared" si="46"/>
        <v/>
      </c>
      <c r="I752" s="48" t="str">
        <f t="shared" si="47"/>
        <v/>
      </c>
    </row>
    <row r="753" spans="2:9">
      <c r="B753" s="57" t="str">
        <f t="shared" si="44"/>
        <v/>
      </c>
      <c r="C753" s="57"/>
      <c r="D753" s="37" t="str">
        <f>IFERROR(VLOOKUP($B753,'MATRICE ARTICLE'!$A$2:$N$1395,2,FALSE),"")</f>
        <v/>
      </c>
      <c r="E753" s="37" t="str">
        <f t="shared" si="45"/>
        <v/>
      </c>
      <c r="F753" s="37" t="str">
        <f>IFERROR(VLOOKUP($B753,'MATRICE ARTICLE'!$A$2:$N$1395,9,FALSE),"")</f>
        <v/>
      </c>
      <c r="G753" s="37" t="str">
        <f>IFERROR(VLOOKUP($B753,'MATRICE ARTICLE'!$A$2:$N$1395,14,FALSE),"")</f>
        <v/>
      </c>
      <c r="H753" s="48" t="str">
        <f t="shared" si="46"/>
        <v/>
      </c>
      <c r="I753" s="48" t="str">
        <f t="shared" si="47"/>
        <v/>
      </c>
    </row>
    <row r="754" spans="2:9">
      <c r="B754" s="57" t="str">
        <f t="shared" si="44"/>
        <v/>
      </c>
      <c r="C754" s="57"/>
      <c r="D754" s="37" t="str">
        <f>IFERROR(VLOOKUP($B754,'MATRICE ARTICLE'!$A$2:$N$1395,2,FALSE),"")</f>
        <v/>
      </c>
      <c r="E754" s="37" t="str">
        <f t="shared" si="45"/>
        <v/>
      </c>
      <c r="F754" s="37" t="str">
        <f>IFERROR(VLOOKUP($B754,'MATRICE ARTICLE'!$A$2:$N$1395,9,FALSE),"")</f>
        <v/>
      </c>
      <c r="G754" s="37" t="str">
        <f>IFERROR(VLOOKUP($B754,'MATRICE ARTICLE'!$A$2:$N$1395,14,FALSE),"")</f>
        <v/>
      </c>
      <c r="H754" s="48" t="str">
        <f t="shared" si="46"/>
        <v/>
      </c>
      <c r="I754" s="48" t="str">
        <f t="shared" si="47"/>
        <v/>
      </c>
    </row>
    <row r="755" spans="2:9">
      <c r="B755" s="57" t="str">
        <f t="shared" si="44"/>
        <v/>
      </c>
      <c r="C755" s="57"/>
      <c r="D755" s="37" t="str">
        <f>IFERROR(VLOOKUP($B755,'MATRICE ARTICLE'!$A$2:$N$1395,2,FALSE),"")</f>
        <v/>
      </c>
      <c r="E755" s="37" t="str">
        <f t="shared" si="45"/>
        <v/>
      </c>
      <c r="F755" s="37" t="str">
        <f>IFERROR(VLOOKUP($B755,'MATRICE ARTICLE'!$A$2:$N$1395,9,FALSE),"")</f>
        <v/>
      </c>
      <c r="G755" s="37" t="str">
        <f>IFERROR(VLOOKUP($B755,'MATRICE ARTICLE'!$A$2:$N$1395,14,FALSE),"")</f>
        <v/>
      </c>
      <c r="H755" s="48" t="str">
        <f t="shared" si="46"/>
        <v/>
      </c>
      <c r="I755" s="48" t="str">
        <f t="shared" si="47"/>
        <v/>
      </c>
    </row>
    <row r="756" spans="2:9">
      <c r="B756" s="57" t="str">
        <f t="shared" si="44"/>
        <v/>
      </c>
      <c r="C756" s="57"/>
      <c r="D756" s="37" t="str">
        <f>IFERROR(VLOOKUP($B756,'MATRICE ARTICLE'!$A$2:$N$1395,2,FALSE),"")</f>
        <v/>
      </c>
      <c r="E756" s="37" t="str">
        <f t="shared" si="45"/>
        <v/>
      </c>
      <c r="F756" s="37" t="str">
        <f>IFERROR(VLOOKUP($B756,'MATRICE ARTICLE'!$A$2:$N$1395,9,FALSE),"")</f>
        <v/>
      </c>
      <c r="G756" s="37" t="str">
        <f>IFERROR(VLOOKUP($B756,'MATRICE ARTICLE'!$A$2:$N$1395,14,FALSE),"")</f>
        <v/>
      </c>
      <c r="H756" s="48" t="str">
        <f t="shared" si="46"/>
        <v/>
      </c>
      <c r="I756" s="48" t="str">
        <f t="shared" si="47"/>
        <v/>
      </c>
    </row>
    <row r="757" spans="2:9">
      <c r="B757" s="57" t="str">
        <f t="shared" si="44"/>
        <v/>
      </c>
      <c r="C757" s="57"/>
      <c r="D757" s="37" t="str">
        <f>IFERROR(VLOOKUP($B757,'MATRICE ARTICLE'!$A$2:$N$1395,2,FALSE),"")</f>
        <v/>
      </c>
      <c r="E757" s="37" t="str">
        <f t="shared" si="45"/>
        <v/>
      </c>
      <c r="F757" s="37" t="str">
        <f>IFERROR(VLOOKUP($B757,'MATRICE ARTICLE'!$A$2:$N$1395,9,FALSE),"")</f>
        <v/>
      </c>
      <c r="G757" s="37" t="str">
        <f>IFERROR(VLOOKUP($B757,'MATRICE ARTICLE'!$A$2:$N$1395,14,FALSE),"")</f>
        <v/>
      </c>
      <c r="H757" s="48" t="str">
        <f t="shared" si="46"/>
        <v/>
      </c>
      <c r="I757" s="48" t="str">
        <f t="shared" si="47"/>
        <v/>
      </c>
    </row>
    <row r="758" spans="2:9">
      <c r="B758" s="57" t="str">
        <f t="shared" si="44"/>
        <v/>
      </c>
      <c r="C758" s="57"/>
      <c r="D758" s="37" t="str">
        <f>IFERROR(VLOOKUP($B758,'MATRICE ARTICLE'!$A$2:$N$1395,2,FALSE),"")</f>
        <v/>
      </c>
      <c r="E758" s="37" t="str">
        <f t="shared" si="45"/>
        <v/>
      </c>
      <c r="F758" s="37" t="str">
        <f>IFERROR(VLOOKUP($B758,'MATRICE ARTICLE'!$A$2:$N$1395,9,FALSE),"")</f>
        <v/>
      </c>
      <c r="G758" s="37" t="str">
        <f>IFERROR(VLOOKUP($B758,'MATRICE ARTICLE'!$A$2:$N$1395,14,FALSE),"")</f>
        <v/>
      </c>
      <c r="H758" s="48" t="str">
        <f t="shared" si="46"/>
        <v/>
      </c>
      <c r="I758" s="48" t="str">
        <f t="shared" si="47"/>
        <v/>
      </c>
    </row>
    <row r="759" spans="2:9">
      <c r="B759" s="57" t="str">
        <f t="shared" si="44"/>
        <v/>
      </c>
      <c r="C759" s="57"/>
      <c r="D759" s="37" t="str">
        <f>IFERROR(VLOOKUP($B759,'MATRICE ARTICLE'!$A$2:$N$1395,2,FALSE),"")</f>
        <v/>
      </c>
      <c r="E759" s="37" t="str">
        <f t="shared" si="45"/>
        <v/>
      </c>
      <c r="F759" s="37" t="str">
        <f>IFERROR(VLOOKUP($B759,'MATRICE ARTICLE'!$A$2:$N$1395,9,FALSE),"")</f>
        <v/>
      </c>
      <c r="G759" s="37" t="str">
        <f>IFERROR(VLOOKUP($B759,'MATRICE ARTICLE'!$A$2:$N$1395,14,FALSE),"")</f>
        <v/>
      </c>
      <c r="H759" s="48" t="str">
        <f t="shared" si="46"/>
        <v/>
      </c>
      <c r="I759" s="48" t="str">
        <f t="shared" si="47"/>
        <v/>
      </c>
    </row>
    <row r="760" spans="2:9">
      <c r="B760" s="57" t="str">
        <f t="shared" si="44"/>
        <v/>
      </c>
      <c r="C760" s="57"/>
      <c r="D760" s="37" t="str">
        <f>IFERROR(VLOOKUP($B760,'MATRICE ARTICLE'!$A$2:$N$1395,2,FALSE),"")</f>
        <v/>
      </c>
      <c r="E760" s="37" t="str">
        <f t="shared" si="45"/>
        <v/>
      </c>
      <c r="F760" s="37" t="str">
        <f>IFERROR(VLOOKUP($B760,'MATRICE ARTICLE'!$A$2:$N$1395,9,FALSE),"")</f>
        <v/>
      </c>
      <c r="G760" s="37" t="str">
        <f>IFERROR(VLOOKUP($B760,'MATRICE ARTICLE'!$A$2:$N$1395,14,FALSE),"")</f>
        <v/>
      </c>
      <c r="H760" s="48" t="str">
        <f t="shared" si="46"/>
        <v/>
      </c>
      <c r="I760" s="48" t="str">
        <f t="shared" si="47"/>
        <v/>
      </c>
    </row>
    <row r="761" spans="2:9">
      <c r="B761" s="57" t="str">
        <f t="shared" si="44"/>
        <v/>
      </c>
      <c r="C761" s="57"/>
      <c r="D761" s="37" t="str">
        <f>IFERROR(VLOOKUP($B761,'MATRICE ARTICLE'!$A$2:$N$1395,2,FALSE),"")</f>
        <v/>
      </c>
      <c r="E761" s="37" t="str">
        <f t="shared" si="45"/>
        <v/>
      </c>
      <c r="F761" s="37" t="str">
        <f>IFERROR(VLOOKUP($B761,'MATRICE ARTICLE'!$A$2:$N$1395,9,FALSE),"")</f>
        <v/>
      </c>
      <c r="G761" s="37" t="str">
        <f>IFERROR(VLOOKUP($B761,'MATRICE ARTICLE'!$A$2:$N$1395,14,FALSE),"")</f>
        <v/>
      </c>
      <c r="H761" s="48" t="str">
        <f t="shared" si="46"/>
        <v/>
      </c>
      <c r="I761" s="48" t="str">
        <f t="shared" si="47"/>
        <v/>
      </c>
    </row>
    <row r="762" spans="2:9">
      <c r="B762" s="57" t="str">
        <f t="shared" si="44"/>
        <v/>
      </c>
      <c r="C762" s="57"/>
      <c r="D762" s="37" t="str">
        <f>IFERROR(VLOOKUP($B762,'MATRICE ARTICLE'!$A$2:$N$1395,2,FALSE),"")</f>
        <v/>
      </c>
      <c r="E762" s="37" t="str">
        <f t="shared" si="45"/>
        <v/>
      </c>
      <c r="F762" s="37" t="str">
        <f>IFERROR(VLOOKUP($B762,'MATRICE ARTICLE'!$A$2:$N$1395,9,FALSE),"")</f>
        <v/>
      </c>
      <c r="G762" s="37" t="str">
        <f>IFERROR(VLOOKUP($B762,'MATRICE ARTICLE'!$A$2:$N$1395,14,FALSE),"")</f>
        <v/>
      </c>
      <c r="H762" s="48" t="str">
        <f t="shared" si="46"/>
        <v/>
      </c>
      <c r="I762" s="48" t="str">
        <f t="shared" si="47"/>
        <v/>
      </c>
    </row>
    <row r="763" spans="2:9">
      <c r="B763" s="57" t="str">
        <f t="shared" si="44"/>
        <v/>
      </c>
      <c r="C763" s="57"/>
      <c r="D763" s="37" t="str">
        <f>IFERROR(VLOOKUP($B763,'MATRICE ARTICLE'!$A$2:$N$1395,2,FALSE),"")</f>
        <v/>
      </c>
      <c r="E763" s="37" t="str">
        <f t="shared" si="45"/>
        <v/>
      </c>
      <c r="F763" s="37" t="str">
        <f>IFERROR(VLOOKUP($B763,'MATRICE ARTICLE'!$A$2:$N$1395,9,FALSE),"")</f>
        <v/>
      </c>
      <c r="G763" s="37" t="str">
        <f>IFERROR(VLOOKUP($B763,'MATRICE ARTICLE'!$A$2:$N$1395,14,FALSE),"")</f>
        <v/>
      </c>
      <c r="H763" s="48" t="str">
        <f t="shared" si="46"/>
        <v/>
      </c>
      <c r="I763" s="48" t="str">
        <f t="shared" si="47"/>
        <v/>
      </c>
    </row>
    <row r="764" spans="2:9">
      <c r="B764" s="57" t="str">
        <f t="shared" si="44"/>
        <v/>
      </c>
      <c r="C764" s="57"/>
      <c r="D764" s="37" t="str">
        <f>IFERROR(VLOOKUP($B764,'MATRICE ARTICLE'!$A$2:$N$1395,2,FALSE),"")</f>
        <v/>
      </c>
      <c r="E764" s="37" t="str">
        <f t="shared" si="45"/>
        <v/>
      </c>
      <c r="F764" s="37" t="str">
        <f>IFERROR(VLOOKUP($B764,'MATRICE ARTICLE'!$A$2:$N$1395,9,FALSE),"")</f>
        <v/>
      </c>
      <c r="G764" s="37" t="str">
        <f>IFERROR(VLOOKUP($B764,'MATRICE ARTICLE'!$A$2:$N$1395,14,FALSE),"")</f>
        <v/>
      </c>
      <c r="H764" s="48" t="str">
        <f t="shared" si="46"/>
        <v/>
      </c>
      <c r="I764" s="48" t="str">
        <f t="shared" si="47"/>
        <v/>
      </c>
    </row>
    <row r="765" spans="2:9">
      <c r="B765" s="57" t="str">
        <f t="shared" si="44"/>
        <v/>
      </c>
      <c r="C765" s="57"/>
      <c r="D765" s="37" t="str">
        <f>IFERROR(VLOOKUP($B765,'MATRICE ARTICLE'!$A$2:$N$1395,2,FALSE),"")</f>
        <v/>
      </c>
      <c r="E765" s="37" t="str">
        <f t="shared" si="45"/>
        <v/>
      </c>
      <c r="F765" s="37" t="str">
        <f>IFERROR(VLOOKUP($B765,'MATRICE ARTICLE'!$A$2:$N$1395,9,FALSE),"")</f>
        <v/>
      </c>
      <c r="G765" s="37" t="str">
        <f>IFERROR(VLOOKUP($B765,'MATRICE ARTICLE'!$A$2:$N$1395,14,FALSE),"")</f>
        <v/>
      </c>
      <c r="H765" s="48" t="str">
        <f t="shared" si="46"/>
        <v/>
      </c>
      <c r="I765" s="48" t="str">
        <f t="shared" si="47"/>
        <v/>
      </c>
    </row>
    <row r="766" spans="2:9">
      <c r="B766" s="57" t="str">
        <f t="shared" si="44"/>
        <v/>
      </c>
      <c r="C766" s="57"/>
      <c r="D766" s="37" t="str">
        <f>IFERROR(VLOOKUP($B766,'MATRICE ARTICLE'!$A$2:$N$1395,2,FALSE),"")</f>
        <v/>
      </c>
      <c r="E766" s="37" t="str">
        <f t="shared" si="45"/>
        <v/>
      </c>
      <c r="F766" s="37" t="str">
        <f>IFERROR(VLOOKUP($B766,'MATRICE ARTICLE'!$A$2:$N$1395,9,FALSE),"")</f>
        <v/>
      </c>
      <c r="G766" s="37" t="str">
        <f>IFERROR(VLOOKUP($B766,'MATRICE ARTICLE'!$A$2:$N$1395,14,FALSE),"")</f>
        <v/>
      </c>
      <c r="H766" s="48" t="str">
        <f t="shared" si="46"/>
        <v/>
      </c>
      <c r="I766" s="48" t="str">
        <f t="shared" si="47"/>
        <v/>
      </c>
    </row>
    <row r="767" spans="2:9">
      <c r="B767" s="57" t="str">
        <f t="shared" si="44"/>
        <v/>
      </c>
      <c r="C767" s="57"/>
      <c r="D767" s="37" t="str">
        <f>IFERROR(VLOOKUP($B767,'MATRICE ARTICLE'!$A$2:$N$1395,2,FALSE),"")</f>
        <v/>
      </c>
      <c r="E767" s="37" t="str">
        <f t="shared" si="45"/>
        <v/>
      </c>
      <c r="F767" s="37" t="str">
        <f>IFERROR(VLOOKUP($B767,'MATRICE ARTICLE'!$A$2:$N$1395,9,FALSE),"")</f>
        <v/>
      </c>
      <c r="G767" s="37" t="str">
        <f>IFERROR(VLOOKUP($B767,'MATRICE ARTICLE'!$A$2:$N$1395,14,FALSE),"")</f>
        <v/>
      </c>
      <c r="H767" s="48" t="str">
        <f t="shared" si="46"/>
        <v/>
      </c>
      <c r="I767" s="48" t="str">
        <f t="shared" si="47"/>
        <v/>
      </c>
    </row>
    <row r="768" spans="2:9">
      <c r="B768" s="57" t="str">
        <f t="shared" si="44"/>
        <v/>
      </c>
      <c r="C768" s="57"/>
      <c r="D768" s="37" t="str">
        <f>IFERROR(VLOOKUP($B768,'MATRICE ARTICLE'!$A$2:$N$1395,2,FALSE),"")</f>
        <v/>
      </c>
      <c r="E768" s="37" t="str">
        <f t="shared" si="45"/>
        <v/>
      </c>
      <c r="F768" s="37" t="str">
        <f>IFERROR(VLOOKUP($B768,'MATRICE ARTICLE'!$A$2:$N$1395,9,FALSE),"")</f>
        <v/>
      </c>
      <c r="G768" s="37" t="str">
        <f>IFERROR(VLOOKUP($B768,'MATRICE ARTICLE'!$A$2:$N$1395,14,FALSE),"")</f>
        <v/>
      </c>
      <c r="H768" s="48" t="str">
        <f t="shared" si="46"/>
        <v/>
      </c>
      <c r="I768" s="48" t="str">
        <f t="shared" si="47"/>
        <v/>
      </c>
    </row>
    <row r="769" spans="2:9">
      <c r="B769" s="57" t="str">
        <f t="shared" si="44"/>
        <v/>
      </c>
      <c r="C769" s="57"/>
      <c r="D769" s="37" t="str">
        <f>IFERROR(VLOOKUP($B769,'MATRICE ARTICLE'!$A$2:$N$1395,2,FALSE),"")</f>
        <v/>
      </c>
      <c r="E769" s="37" t="str">
        <f t="shared" si="45"/>
        <v/>
      </c>
      <c r="F769" s="37" t="str">
        <f>IFERROR(VLOOKUP($B769,'MATRICE ARTICLE'!$A$2:$N$1395,9,FALSE),"")</f>
        <v/>
      </c>
      <c r="G769" s="37" t="str">
        <f>IFERROR(VLOOKUP($B769,'MATRICE ARTICLE'!$A$2:$N$1395,14,FALSE),"")</f>
        <v/>
      </c>
      <c r="H769" s="48" t="str">
        <f t="shared" si="46"/>
        <v/>
      </c>
      <c r="I769" s="48" t="str">
        <f t="shared" si="47"/>
        <v/>
      </c>
    </row>
    <row r="770" spans="2:9">
      <c r="B770" s="57" t="str">
        <f t="shared" si="44"/>
        <v/>
      </c>
      <c r="C770" s="57"/>
      <c r="D770" s="37" t="str">
        <f>IFERROR(VLOOKUP($B770,'MATRICE ARTICLE'!$A$2:$N$1395,2,FALSE),"")</f>
        <v/>
      </c>
      <c r="E770" s="37" t="str">
        <f t="shared" si="45"/>
        <v/>
      </c>
      <c r="F770" s="37" t="str">
        <f>IFERROR(VLOOKUP($B770,'MATRICE ARTICLE'!$A$2:$N$1395,9,FALSE),"")</f>
        <v/>
      </c>
      <c r="G770" s="37" t="str">
        <f>IFERROR(VLOOKUP($B770,'MATRICE ARTICLE'!$A$2:$N$1395,14,FALSE),"")</f>
        <v/>
      </c>
      <c r="H770" s="48" t="str">
        <f t="shared" si="46"/>
        <v/>
      </c>
      <c r="I770" s="48" t="str">
        <f t="shared" si="47"/>
        <v/>
      </c>
    </row>
    <row r="771" spans="2:9">
      <c r="B771" s="57" t="str">
        <f t="shared" ref="B771:B834" si="48">IF(A771=0,"",A771)</f>
        <v/>
      </c>
      <c r="C771" s="57"/>
      <c r="D771" s="37" t="str">
        <f>IFERROR(VLOOKUP($B771,'MATRICE ARTICLE'!$A$2:$N$1395,2,FALSE),"")</f>
        <v/>
      </c>
      <c r="E771" s="37" t="str">
        <f t="shared" ref="E771:E834" si="49">IF(SUM(F771:I771)=0,"",SUM(F771:I771))</f>
        <v/>
      </c>
      <c r="F771" s="37" t="str">
        <f>IFERROR(VLOOKUP($B771,'MATRICE ARTICLE'!$A$2:$N$1395,9,FALSE),"")</f>
        <v/>
      </c>
      <c r="G771" s="37" t="str">
        <f>IFERROR(VLOOKUP($B771,'MATRICE ARTICLE'!$A$2:$N$1395,14,FALSE),"")</f>
        <v/>
      </c>
      <c r="H771" s="48" t="str">
        <f t="shared" ref="H771:H834" si="50">IF(SUM(F771:G771)*$H$1=0,"",SUM(F771:G771)*$H$1)</f>
        <v/>
      </c>
      <c r="I771" s="48" t="str">
        <f t="shared" ref="I771:I834" si="51">IF(SUM(F771:H771)*$I$1=0,"",SUM(F771:H771)*$I$1)</f>
        <v/>
      </c>
    </row>
    <row r="772" spans="2:9">
      <c r="B772" s="57" t="str">
        <f t="shared" si="48"/>
        <v/>
      </c>
      <c r="C772" s="57"/>
      <c r="D772" s="37" t="str">
        <f>IFERROR(VLOOKUP($B772,'MATRICE ARTICLE'!$A$2:$N$1395,2,FALSE),"")</f>
        <v/>
      </c>
      <c r="E772" s="37" t="str">
        <f t="shared" si="49"/>
        <v/>
      </c>
      <c r="F772" s="37" t="str">
        <f>IFERROR(VLOOKUP($B772,'MATRICE ARTICLE'!$A$2:$N$1395,9,FALSE),"")</f>
        <v/>
      </c>
      <c r="G772" s="37" t="str">
        <f>IFERROR(VLOOKUP($B772,'MATRICE ARTICLE'!$A$2:$N$1395,14,FALSE),"")</f>
        <v/>
      </c>
      <c r="H772" s="48" t="str">
        <f t="shared" si="50"/>
        <v/>
      </c>
      <c r="I772" s="48" t="str">
        <f t="shared" si="51"/>
        <v/>
      </c>
    </row>
    <row r="773" spans="2:9">
      <c r="B773" s="57" t="str">
        <f t="shared" si="48"/>
        <v/>
      </c>
      <c r="C773" s="57"/>
      <c r="D773" s="37" t="str">
        <f>IFERROR(VLOOKUP($B773,'MATRICE ARTICLE'!$A$2:$N$1395,2,FALSE),"")</f>
        <v/>
      </c>
      <c r="E773" s="37" t="str">
        <f t="shared" si="49"/>
        <v/>
      </c>
      <c r="F773" s="37" t="str">
        <f>IFERROR(VLOOKUP($B773,'MATRICE ARTICLE'!$A$2:$N$1395,9,FALSE),"")</f>
        <v/>
      </c>
      <c r="G773" s="37" t="str">
        <f>IFERROR(VLOOKUP($B773,'MATRICE ARTICLE'!$A$2:$N$1395,14,FALSE),"")</f>
        <v/>
      </c>
      <c r="H773" s="48" t="str">
        <f t="shared" si="50"/>
        <v/>
      </c>
      <c r="I773" s="48" t="str">
        <f t="shared" si="51"/>
        <v/>
      </c>
    </row>
    <row r="774" spans="2:9">
      <c r="B774" s="57" t="str">
        <f t="shared" si="48"/>
        <v/>
      </c>
      <c r="C774" s="57"/>
      <c r="D774" s="37" t="str">
        <f>IFERROR(VLOOKUP($B774,'MATRICE ARTICLE'!$A$2:$N$1395,2,FALSE),"")</f>
        <v/>
      </c>
      <c r="E774" s="37" t="str">
        <f t="shared" si="49"/>
        <v/>
      </c>
      <c r="F774" s="37" t="str">
        <f>IFERROR(VLOOKUP($B774,'MATRICE ARTICLE'!$A$2:$N$1395,9,FALSE),"")</f>
        <v/>
      </c>
      <c r="G774" s="37" t="str">
        <f>IFERROR(VLOOKUP($B774,'MATRICE ARTICLE'!$A$2:$N$1395,14,FALSE),"")</f>
        <v/>
      </c>
      <c r="H774" s="48" t="str">
        <f t="shared" si="50"/>
        <v/>
      </c>
      <c r="I774" s="48" t="str">
        <f t="shared" si="51"/>
        <v/>
      </c>
    </row>
    <row r="775" spans="2:9">
      <c r="B775" s="57" t="str">
        <f t="shared" si="48"/>
        <v/>
      </c>
      <c r="C775" s="57"/>
      <c r="D775" s="37" t="str">
        <f>IFERROR(VLOOKUP($B775,'MATRICE ARTICLE'!$A$2:$N$1395,2,FALSE),"")</f>
        <v/>
      </c>
      <c r="E775" s="37" t="str">
        <f t="shared" si="49"/>
        <v/>
      </c>
      <c r="F775" s="37" t="str">
        <f>IFERROR(VLOOKUP($B775,'MATRICE ARTICLE'!$A$2:$N$1395,9,FALSE),"")</f>
        <v/>
      </c>
      <c r="G775" s="37" t="str">
        <f>IFERROR(VLOOKUP($B775,'MATRICE ARTICLE'!$A$2:$N$1395,14,FALSE),"")</f>
        <v/>
      </c>
      <c r="H775" s="48" t="str">
        <f t="shared" si="50"/>
        <v/>
      </c>
      <c r="I775" s="48" t="str">
        <f t="shared" si="51"/>
        <v/>
      </c>
    </row>
    <row r="776" spans="2:9">
      <c r="B776" s="57" t="str">
        <f t="shared" si="48"/>
        <v/>
      </c>
      <c r="C776" s="57"/>
      <c r="D776" s="37" t="str">
        <f>IFERROR(VLOOKUP($B776,'MATRICE ARTICLE'!$A$2:$N$1395,2,FALSE),"")</f>
        <v/>
      </c>
      <c r="E776" s="37" t="str">
        <f t="shared" si="49"/>
        <v/>
      </c>
      <c r="F776" s="37" t="str">
        <f>IFERROR(VLOOKUP($B776,'MATRICE ARTICLE'!$A$2:$N$1395,9,FALSE),"")</f>
        <v/>
      </c>
      <c r="G776" s="37" t="str">
        <f>IFERROR(VLOOKUP($B776,'MATRICE ARTICLE'!$A$2:$N$1395,14,FALSE),"")</f>
        <v/>
      </c>
      <c r="H776" s="48" t="str">
        <f t="shared" si="50"/>
        <v/>
      </c>
      <c r="I776" s="48" t="str">
        <f t="shared" si="51"/>
        <v/>
      </c>
    </row>
    <row r="777" spans="2:9">
      <c r="B777" s="57" t="str">
        <f t="shared" si="48"/>
        <v/>
      </c>
      <c r="C777" s="57"/>
      <c r="D777" s="37" t="str">
        <f>IFERROR(VLOOKUP($B777,'MATRICE ARTICLE'!$A$2:$N$1395,2,FALSE),"")</f>
        <v/>
      </c>
      <c r="E777" s="37" t="str">
        <f t="shared" si="49"/>
        <v/>
      </c>
      <c r="F777" s="37" t="str">
        <f>IFERROR(VLOOKUP($B777,'MATRICE ARTICLE'!$A$2:$N$1395,9,FALSE),"")</f>
        <v/>
      </c>
      <c r="G777" s="37" t="str">
        <f>IFERROR(VLOOKUP($B777,'MATRICE ARTICLE'!$A$2:$N$1395,14,FALSE),"")</f>
        <v/>
      </c>
      <c r="H777" s="48" t="str">
        <f t="shared" si="50"/>
        <v/>
      </c>
      <c r="I777" s="48" t="str">
        <f t="shared" si="51"/>
        <v/>
      </c>
    </row>
    <row r="778" spans="2:9">
      <c r="B778" s="57" t="str">
        <f t="shared" si="48"/>
        <v/>
      </c>
      <c r="C778" s="57"/>
      <c r="D778" s="37" t="str">
        <f>IFERROR(VLOOKUP($B778,'MATRICE ARTICLE'!$A$2:$N$1395,2,FALSE),"")</f>
        <v/>
      </c>
      <c r="E778" s="37" t="str">
        <f t="shared" si="49"/>
        <v/>
      </c>
      <c r="F778" s="37" t="str">
        <f>IFERROR(VLOOKUP($B778,'MATRICE ARTICLE'!$A$2:$N$1395,9,FALSE),"")</f>
        <v/>
      </c>
      <c r="G778" s="37" t="str">
        <f>IFERROR(VLOOKUP($B778,'MATRICE ARTICLE'!$A$2:$N$1395,14,FALSE),"")</f>
        <v/>
      </c>
      <c r="H778" s="48" t="str">
        <f t="shared" si="50"/>
        <v/>
      </c>
      <c r="I778" s="48" t="str">
        <f t="shared" si="51"/>
        <v/>
      </c>
    </row>
    <row r="779" spans="2:9">
      <c r="B779" s="57" t="str">
        <f t="shared" si="48"/>
        <v/>
      </c>
      <c r="C779" s="57"/>
      <c r="D779" s="37" t="str">
        <f>IFERROR(VLOOKUP($B779,'MATRICE ARTICLE'!$A$2:$N$1395,2,FALSE),"")</f>
        <v/>
      </c>
      <c r="E779" s="37" t="str">
        <f t="shared" si="49"/>
        <v/>
      </c>
      <c r="F779" s="37" t="str">
        <f>IFERROR(VLOOKUP($B779,'MATRICE ARTICLE'!$A$2:$N$1395,9,FALSE),"")</f>
        <v/>
      </c>
      <c r="G779" s="37" t="str">
        <f>IFERROR(VLOOKUP($B779,'MATRICE ARTICLE'!$A$2:$N$1395,14,FALSE),"")</f>
        <v/>
      </c>
      <c r="H779" s="48" t="str">
        <f t="shared" si="50"/>
        <v/>
      </c>
      <c r="I779" s="48" t="str">
        <f t="shared" si="51"/>
        <v/>
      </c>
    </row>
    <row r="780" spans="2:9">
      <c r="B780" s="57" t="str">
        <f t="shared" si="48"/>
        <v/>
      </c>
      <c r="C780" s="57"/>
      <c r="D780" s="37" t="str">
        <f>IFERROR(VLOOKUP($B780,'MATRICE ARTICLE'!$A$2:$N$1395,2,FALSE),"")</f>
        <v/>
      </c>
      <c r="E780" s="37" t="str">
        <f t="shared" si="49"/>
        <v/>
      </c>
      <c r="F780" s="37" t="str">
        <f>IFERROR(VLOOKUP($B780,'MATRICE ARTICLE'!$A$2:$N$1395,9,FALSE),"")</f>
        <v/>
      </c>
      <c r="G780" s="37" t="str">
        <f>IFERROR(VLOOKUP($B780,'MATRICE ARTICLE'!$A$2:$N$1395,14,FALSE),"")</f>
        <v/>
      </c>
      <c r="H780" s="48" t="str">
        <f t="shared" si="50"/>
        <v/>
      </c>
      <c r="I780" s="48" t="str">
        <f t="shared" si="51"/>
        <v/>
      </c>
    </row>
    <row r="781" spans="2:9">
      <c r="B781" s="57" t="str">
        <f t="shared" si="48"/>
        <v/>
      </c>
      <c r="C781" s="57"/>
      <c r="D781" s="37" t="str">
        <f>IFERROR(VLOOKUP($B781,'MATRICE ARTICLE'!$A$2:$N$1395,2,FALSE),"")</f>
        <v/>
      </c>
      <c r="E781" s="37" t="str">
        <f t="shared" si="49"/>
        <v/>
      </c>
      <c r="F781" s="37" t="str">
        <f>IFERROR(VLOOKUP($B781,'MATRICE ARTICLE'!$A$2:$N$1395,9,FALSE),"")</f>
        <v/>
      </c>
      <c r="G781" s="37" t="str">
        <f>IFERROR(VLOOKUP($B781,'MATRICE ARTICLE'!$A$2:$N$1395,14,FALSE),"")</f>
        <v/>
      </c>
      <c r="H781" s="48" t="str">
        <f t="shared" si="50"/>
        <v/>
      </c>
      <c r="I781" s="48" t="str">
        <f t="shared" si="51"/>
        <v/>
      </c>
    </row>
    <row r="782" spans="2:9">
      <c r="B782" s="57" t="str">
        <f t="shared" si="48"/>
        <v/>
      </c>
      <c r="C782" s="57"/>
      <c r="D782" s="37" t="str">
        <f>IFERROR(VLOOKUP($B782,'MATRICE ARTICLE'!$A$2:$N$1395,2,FALSE),"")</f>
        <v/>
      </c>
      <c r="E782" s="37" t="str">
        <f t="shared" si="49"/>
        <v/>
      </c>
      <c r="F782" s="37" t="str">
        <f>IFERROR(VLOOKUP($B782,'MATRICE ARTICLE'!$A$2:$N$1395,9,FALSE),"")</f>
        <v/>
      </c>
      <c r="G782" s="37" t="str">
        <f>IFERROR(VLOOKUP($B782,'MATRICE ARTICLE'!$A$2:$N$1395,14,FALSE),"")</f>
        <v/>
      </c>
      <c r="H782" s="48" t="str">
        <f t="shared" si="50"/>
        <v/>
      </c>
      <c r="I782" s="48" t="str">
        <f t="shared" si="51"/>
        <v/>
      </c>
    </row>
    <row r="783" spans="2:9">
      <c r="B783" s="57" t="str">
        <f t="shared" si="48"/>
        <v/>
      </c>
      <c r="C783" s="57"/>
      <c r="D783" s="37" t="str">
        <f>IFERROR(VLOOKUP($B783,'MATRICE ARTICLE'!$A$2:$N$1395,2,FALSE),"")</f>
        <v/>
      </c>
      <c r="E783" s="37" t="str">
        <f t="shared" si="49"/>
        <v/>
      </c>
      <c r="F783" s="37" t="str">
        <f>IFERROR(VLOOKUP($B783,'MATRICE ARTICLE'!$A$2:$N$1395,9,FALSE),"")</f>
        <v/>
      </c>
      <c r="G783" s="37" t="str">
        <f>IFERROR(VLOOKUP($B783,'MATRICE ARTICLE'!$A$2:$N$1395,14,FALSE),"")</f>
        <v/>
      </c>
      <c r="H783" s="48" t="str">
        <f t="shared" si="50"/>
        <v/>
      </c>
      <c r="I783" s="48" t="str">
        <f t="shared" si="51"/>
        <v/>
      </c>
    </row>
    <row r="784" spans="2:9">
      <c r="B784" s="57" t="str">
        <f t="shared" si="48"/>
        <v/>
      </c>
      <c r="C784" s="57"/>
      <c r="D784" s="37" t="str">
        <f>IFERROR(VLOOKUP($B784,'MATRICE ARTICLE'!$A$2:$N$1395,2,FALSE),"")</f>
        <v/>
      </c>
      <c r="E784" s="37" t="str">
        <f t="shared" si="49"/>
        <v/>
      </c>
      <c r="F784" s="37" t="str">
        <f>IFERROR(VLOOKUP($B784,'MATRICE ARTICLE'!$A$2:$N$1395,9,FALSE),"")</f>
        <v/>
      </c>
      <c r="G784" s="37" t="str">
        <f>IFERROR(VLOOKUP($B784,'MATRICE ARTICLE'!$A$2:$N$1395,14,FALSE),"")</f>
        <v/>
      </c>
      <c r="H784" s="48" t="str">
        <f t="shared" si="50"/>
        <v/>
      </c>
      <c r="I784" s="48" t="str">
        <f t="shared" si="51"/>
        <v/>
      </c>
    </row>
    <row r="785" spans="2:9">
      <c r="B785" s="57" t="str">
        <f t="shared" si="48"/>
        <v/>
      </c>
      <c r="C785" s="57"/>
      <c r="D785" s="37" t="str">
        <f>IFERROR(VLOOKUP($B785,'MATRICE ARTICLE'!$A$2:$N$1395,2,FALSE),"")</f>
        <v/>
      </c>
      <c r="E785" s="37" t="str">
        <f t="shared" si="49"/>
        <v/>
      </c>
      <c r="F785" s="37" t="str">
        <f>IFERROR(VLOOKUP($B785,'MATRICE ARTICLE'!$A$2:$N$1395,9,FALSE),"")</f>
        <v/>
      </c>
      <c r="G785" s="37" t="str">
        <f>IFERROR(VLOOKUP($B785,'MATRICE ARTICLE'!$A$2:$N$1395,14,FALSE),"")</f>
        <v/>
      </c>
      <c r="H785" s="48" t="str">
        <f t="shared" si="50"/>
        <v/>
      </c>
      <c r="I785" s="48" t="str">
        <f t="shared" si="51"/>
        <v/>
      </c>
    </row>
    <row r="786" spans="2:9">
      <c r="B786" s="57" t="str">
        <f t="shared" si="48"/>
        <v/>
      </c>
      <c r="C786" s="57"/>
      <c r="D786" s="37" t="str">
        <f>IFERROR(VLOOKUP($B786,'MATRICE ARTICLE'!$A$2:$N$1395,2,FALSE),"")</f>
        <v/>
      </c>
      <c r="E786" s="37" t="str">
        <f t="shared" si="49"/>
        <v/>
      </c>
      <c r="F786" s="37" t="str">
        <f>IFERROR(VLOOKUP($B786,'MATRICE ARTICLE'!$A$2:$N$1395,9,FALSE),"")</f>
        <v/>
      </c>
      <c r="G786" s="37" t="str">
        <f>IFERROR(VLOOKUP($B786,'MATRICE ARTICLE'!$A$2:$N$1395,14,FALSE),"")</f>
        <v/>
      </c>
      <c r="H786" s="48" t="str">
        <f t="shared" si="50"/>
        <v/>
      </c>
      <c r="I786" s="48" t="str">
        <f t="shared" si="51"/>
        <v/>
      </c>
    </row>
    <row r="787" spans="2:9">
      <c r="B787" s="57" t="str">
        <f t="shared" si="48"/>
        <v/>
      </c>
      <c r="C787" s="57"/>
      <c r="D787" s="37" t="str">
        <f>IFERROR(VLOOKUP($B787,'MATRICE ARTICLE'!$A$2:$N$1395,2,FALSE),"")</f>
        <v/>
      </c>
      <c r="E787" s="37" t="str">
        <f t="shared" si="49"/>
        <v/>
      </c>
      <c r="F787" s="37" t="str">
        <f>IFERROR(VLOOKUP($B787,'MATRICE ARTICLE'!$A$2:$N$1395,9,FALSE),"")</f>
        <v/>
      </c>
      <c r="G787" s="37" t="str">
        <f>IFERROR(VLOOKUP($B787,'MATRICE ARTICLE'!$A$2:$N$1395,14,FALSE),"")</f>
        <v/>
      </c>
      <c r="H787" s="48" t="str">
        <f t="shared" si="50"/>
        <v/>
      </c>
      <c r="I787" s="48" t="str">
        <f t="shared" si="51"/>
        <v/>
      </c>
    </row>
    <row r="788" spans="2:9">
      <c r="B788" s="57" t="str">
        <f t="shared" si="48"/>
        <v/>
      </c>
      <c r="C788" s="57"/>
      <c r="D788" s="37" t="str">
        <f>IFERROR(VLOOKUP($B788,'MATRICE ARTICLE'!$A$2:$N$1395,2,FALSE),"")</f>
        <v/>
      </c>
      <c r="E788" s="37" t="str">
        <f t="shared" si="49"/>
        <v/>
      </c>
      <c r="F788" s="37" t="str">
        <f>IFERROR(VLOOKUP($B788,'MATRICE ARTICLE'!$A$2:$N$1395,9,FALSE),"")</f>
        <v/>
      </c>
      <c r="G788" s="37" t="str">
        <f>IFERROR(VLOOKUP($B788,'MATRICE ARTICLE'!$A$2:$N$1395,14,FALSE),"")</f>
        <v/>
      </c>
      <c r="H788" s="48" t="str">
        <f t="shared" si="50"/>
        <v/>
      </c>
      <c r="I788" s="48" t="str">
        <f t="shared" si="51"/>
        <v/>
      </c>
    </row>
    <row r="789" spans="2:9">
      <c r="B789" s="57" t="str">
        <f t="shared" si="48"/>
        <v/>
      </c>
      <c r="C789" s="57"/>
      <c r="D789" s="37" t="str">
        <f>IFERROR(VLOOKUP($B789,'MATRICE ARTICLE'!$A$2:$N$1395,2,FALSE),"")</f>
        <v/>
      </c>
      <c r="E789" s="37" t="str">
        <f t="shared" si="49"/>
        <v/>
      </c>
      <c r="F789" s="37" t="str">
        <f>IFERROR(VLOOKUP($B789,'MATRICE ARTICLE'!$A$2:$N$1395,9,FALSE),"")</f>
        <v/>
      </c>
      <c r="G789" s="37" t="str">
        <f>IFERROR(VLOOKUP($B789,'MATRICE ARTICLE'!$A$2:$N$1395,14,FALSE),"")</f>
        <v/>
      </c>
      <c r="H789" s="48" t="str">
        <f t="shared" si="50"/>
        <v/>
      </c>
      <c r="I789" s="48" t="str">
        <f t="shared" si="51"/>
        <v/>
      </c>
    </row>
    <row r="790" spans="2:9">
      <c r="B790" s="57" t="str">
        <f t="shared" si="48"/>
        <v/>
      </c>
      <c r="C790" s="57"/>
      <c r="D790" s="37" t="str">
        <f>IFERROR(VLOOKUP($B790,'MATRICE ARTICLE'!$A$2:$N$1395,2,FALSE),"")</f>
        <v/>
      </c>
      <c r="E790" s="37" t="str">
        <f t="shared" si="49"/>
        <v/>
      </c>
      <c r="F790" s="37" t="str">
        <f>IFERROR(VLOOKUP($B790,'MATRICE ARTICLE'!$A$2:$N$1395,9,FALSE),"")</f>
        <v/>
      </c>
      <c r="G790" s="37" t="str">
        <f>IFERROR(VLOOKUP($B790,'MATRICE ARTICLE'!$A$2:$N$1395,14,FALSE),"")</f>
        <v/>
      </c>
      <c r="H790" s="48" t="str">
        <f t="shared" si="50"/>
        <v/>
      </c>
      <c r="I790" s="48" t="str">
        <f t="shared" si="51"/>
        <v/>
      </c>
    </row>
    <row r="791" spans="2:9">
      <c r="B791" s="57" t="str">
        <f t="shared" si="48"/>
        <v/>
      </c>
      <c r="C791" s="57"/>
      <c r="D791" s="37" t="str">
        <f>IFERROR(VLOOKUP($B791,'MATRICE ARTICLE'!$A$2:$N$1395,2,FALSE),"")</f>
        <v/>
      </c>
      <c r="E791" s="37" t="str">
        <f t="shared" si="49"/>
        <v/>
      </c>
      <c r="F791" s="37" t="str">
        <f>IFERROR(VLOOKUP($B791,'MATRICE ARTICLE'!$A$2:$N$1395,9,FALSE),"")</f>
        <v/>
      </c>
      <c r="G791" s="37" t="str">
        <f>IFERROR(VLOOKUP($B791,'MATRICE ARTICLE'!$A$2:$N$1395,14,FALSE),"")</f>
        <v/>
      </c>
      <c r="H791" s="48" t="str">
        <f t="shared" si="50"/>
        <v/>
      </c>
      <c r="I791" s="48" t="str">
        <f t="shared" si="51"/>
        <v/>
      </c>
    </row>
    <row r="792" spans="2:9">
      <c r="B792" s="57" t="str">
        <f t="shared" si="48"/>
        <v/>
      </c>
      <c r="C792" s="57"/>
      <c r="D792" s="37" t="str">
        <f>IFERROR(VLOOKUP($B792,'MATRICE ARTICLE'!$A$2:$N$1395,2,FALSE),"")</f>
        <v/>
      </c>
      <c r="E792" s="37" t="str">
        <f t="shared" si="49"/>
        <v/>
      </c>
      <c r="F792" s="37" t="str">
        <f>IFERROR(VLOOKUP($B792,'MATRICE ARTICLE'!$A$2:$N$1395,9,FALSE),"")</f>
        <v/>
      </c>
      <c r="G792" s="37" t="str">
        <f>IFERROR(VLOOKUP($B792,'MATRICE ARTICLE'!$A$2:$N$1395,14,FALSE),"")</f>
        <v/>
      </c>
      <c r="H792" s="48" t="str">
        <f t="shared" si="50"/>
        <v/>
      </c>
      <c r="I792" s="48" t="str">
        <f t="shared" si="51"/>
        <v/>
      </c>
    </row>
    <row r="793" spans="2:9">
      <c r="B793" s="57" t="str">
        <f t="shared" si="48"/>
        <v/>
      </c>
      <c r="C793" s="57"/>
      <c r="D793" s="37" t="str">
        <f>IFERROR(VLOOKUP($B793,'MATRICE ARTICLE'!$A$2:$N$1395,2,FALSE),"")</f>
        <v/>
      </c>
      <c r="E793" s="37" t="str">
        <f t="shared" si="49"/>
        <v/>
      </c>
      <c r="F793" s="37" t="str">
        <f>IFERROR(VLOOKUP($B793,'MATRICE ARTICLE'!$A$2:$N$1395,9,FALSE),"")</f>
        <v/>
      </c>
      <c r="G793" s="37" t="str">
        <f>IFERROR(VLOOKUP($B793,'MATRICE ARTICLE'!$A$2:$N$1395,14,FALSE),"")</f>
        <v/>
      </c>
      <c r="H793" s="48" t="str">
        <f t="shared" si="50"/>
        <v/>
      </c>
      <c r="I793" s="48" t="str">
        <f t="shared" si="51"/>
        <v/>
      </c>
    </row>
    <row r="794" spans="2:9">
      <c r="B794" s="57" t="str">
        <f t="shared" si="48"/>
        <v/>
      </c>
      <c r="C794" s="57"/>
      <c r="D794" s="37" t="str">
        <f>IFERROR(VLOOKUP($B794,'MATRICE ARTICLE'!$A$2:$N$1395,2,FALSE),"")</f>
        <v/>
      </c>
      <c r="E794" s="37" t="str">
        <f t="shared" si="49"/>
        <v/>
      </c>
      <c r="F794" s="37" t="str">
        <f>IFERROR(VLOOKUP($B794,'MATRICE ARTICLE'!$A$2:$N$1395,9,FALSE),"")</f>
        <v/>
      </c>
      <c r="G794" s="37" t="str">
        <f>IFERROR(VLOOKUP($B794,'MATRICE ARTICLE'!$A$2:$N$1395,14,FALSE),"")</f>
        <v/>
      </c>
      <c r="H794" s="48" t="str">
        <f t="shared" si="50"/>
        <v/>
      </c>
      <c r="I794" s="48" t="str">
        <f t="shared" si="51"/>
        <v/>
      </c>
    </row>
    <row r="795" spans="2:9">
      <c r="B795" s="57" t="str">
        <f t="shared" si="48"/>
        <v/>
      </c>
      <c r="C795" s="57"/>
      <c r="D795" s="37" t="str">
        <f>IFERROR(VLOOKUP($B795,'MATRICE ARTICLE'!$A$2:$N$1395,2,FALSE),"")</f>
        <v/>
      </c>
      <c r="E795" s="37" t="str">
        <f t="shared" si="49"/>
        <v/>
      </c>
      <c r="F795" s="37" t="str">
        <f>IFERROR(VLOOKUP($B795,'MATRICE ARTICLE'!$A$2:$N$1395,9,FALSE),"")</f>
        <v/>
      </c>
      <c r="G795" s="37" t="str">
        <f>IFERROR(VLOOKUP($B795,'MATRICE ARTICLE'!$A$2:$N$1395,14,FALSE),"")</f>
        <v/>
      </c>
      <c r="H795" s="48" t="str">
        <f t="shared" si="50"/>
        <v/>
      </c>
      <c r="I795" s="48" t="str">
        <f t="shared" si="51"/>
        <v/>
      </c>
    </row>
    <row r="796" spans="2:9">
      <c r="B796" s="57" t="str">
        <f t="shared" si="48"/>
        <v/>
      </c>
      <c r="C796" s="57"/>
      <c r="D796" s="37" t="str">
        <f>IFERROR(VLOOKUP($B796,'MATRICE ARTICLE'!$A$2:$N$1395,2,FALSE),"")</f>
        <v/>
      </c>
      <c r="E796" s="37" t="str">
        <f t="shared" si="49"/>
        <v/>
      </c>
      <c r="F796" s="37" t="str">
        <f>IFERROR(VLOOKUP($B796,'MATRICE ARTICLE'!$A$2:$N$1395,9,FALSE),"")</f>
        <v/>
      </c>
      <c r="G796" s="37" t="str">
        <f>IFERROR(VLOOKUP($B796,'MATRICE ARTICLE'!$A$2:$N$1395,14,FALSE),"")</f>
        <v/>
      </c>
      <c r="H796" s="48" t="str">
        <f t="shared" si="50"/>
        <v/>
      </c>
      <c r="I796" s="48" t="str">
        <f t="shared" si="51"/>
        <v/>
      </c>
    </row>
    <row r="797" spans="2:9">
      <c r="B797" s="57" t="str">
        <f t="shared" si="48"/>
        <v/>
      </c>
      <c r="C797" s="57"/>
      <c r="D797" s="37" t="str">
        <f>IFERROR(VLOOKUP($B797,'MATRICE ARTICLE'!$A$2:$N$1395,2,FALSE),"")</f>
        <v/>
      </c>
      <c r="E797" s="37" t="str">
        <f t="shared" si="49"/>
        <v/>
      </c>
      <c r="F797" s="37" t="str">
        <f>IFERROR(VLOOKUP($B797,'MATRICE ARTICLE'!$A$2:$N$1395,9,FALSE),"")</f>
        <v/>
      </c>
      <c r="G797" s="37" t="str">
        <f>IFERROR(VLOOKUP($B797,'MATRICE ARTICLE'!$A$2:$N$1395,14,FALSE),"")</f>
        <v/>
      </c>
      <c r="H797" s="48" t="str">
        <f t="shared" si="50"/>
        <v/>
      </c>
      <c r="I797" s="48" t="str">
        <f t="shared" si="51"/>
        <v/>
      </c>
    </row>
    <row r="798" spans="2:9">
      <c r="B798" s="57" t="str">
        <f t="shared" si="48"/>
        <v/>
      </c>
      <c r="C798" s="57"/>
      <c r="D798" s="37" t="str">
        <f>IFERROR(VLOOKUP($B798,'MATRICE ARTICLE'!$A$2:$N$1395,2,FALSE),"")</f>
        <v/>
      </c>
      <c r="E798" s="37" t="str">
        <f t="shared" si="49"/>
        <v/>
      </c>
      <c r="F798" s="37" t="str">
        <f>IFERROR(VLOOKUP($B798,'MATRICE ARTICLE'!$A$2:$N$1395,9,FALSE),"")</f>
        <v/>
      </c>
      <c r="G798" s="37" t="str">
        <f>IFERROR(VLOOKUP($B798,'MATRICE ARTICLE'!$A$2:$N$1395,14,FALSE),"")</f>
        <v/>
      </c>
      <c r="H798" s="48" t="str">
        <f t="shared" si="50"/>
        <v/>
      </c>
      <c r="I798" s="48" t="str">
        <f t="shared" si="51"/>
        <v/>
      </c>
    </row>
    <row r="799" spans="2:9">
      <c r="B799" s="57" t="str">
        <f t="shared" si="48"/>
        <v/>
      </c>
      <c r="C799" s="57"/>
      <c r="D799" s="37" t="str">
        <f>IFERROR(VLOOKUP($B799,'MATRICE ARTICLE'!$A$2:$N$1395,2,FALSE),"")</f>
        <v/>
      </c>
      <c r="E799" s="37" t="str">
        <f t="shared" si="49"/>
        <v/>
      </c>
      <c r="F799" s="37" t="str">
        <f>IFERROR(VLOOKUP($B799,'MATRICE ARTICLE'!$A$2:$N$1395,9,FALSE),"")</f>
        <v/>
      </c>
      <c r="G799" s="37" t="str">
        <f>IFERROR(VLOOKUP($B799,'MATRICE ARTICLE'!$A$2:$N$1395,14,FALSE),"")</f>
        <v/>
      </c>
      <c r="H799" s="48" t="str">
        <f t="shared" si="50"/>
        <v/>
      </c>
      <c r="I799" s="48" t="str">
        <f t="shared" si="51"/>
        <v/>
      </c>
    </row>
    <row r="800" spans="2:9">
      <c r="B800" s="57" t="str">
        <f t="shared" si="48"/>
        <v/>
      </c>
      <c r="C800" s="57"/>
      <c r="D800" s="37" t="str">
        <f>IFERROR(VLOOKUP($B800,'MATRICE ARTICLE'!$A$2:$N$1395,2,FALSE),"")</f>
        <v/>
      </c>
      <c r="E800" s="37" t="str">
        <f t="shared" si="49"/>
        <v/>
      </c>
      <c r="F800" s="37" t="str">
        <f>IFERROR(VLOOKUP($B800,'MATRICE ARTICLE'!$A$2:$N$1395,9,FALSE),"")</f>
        <v/>
      </c>
      <c r="G800" s="37" t="str">
        <f>IFERROR(VLOOKUP($B800,'MATRICE ARTICLE'!$A$2:$N$1395,14,FALSE),"")</f>
        <v/>
      </c>
      <c r="H800" s="48" t="str">
        <f t="shared" si="50"/>
        <v/>
      </c>
      <c r="I800" s="48" t="str">
        <f t="shared" si="51"/>
        <v/>
      </c>
    </row>
    <row r="801" spans="2:9">
      <c r="B801" s="57" t="str">
        <f t="shared" si="48"/>
        <v/>
      </c>
      <c r="C801" s="57"/>
      <c r="D801" s="37" t="str">
        <f>IFERROR(VLOOKUP($B801,'MATRICE ARTICLE'!$A$2:$N$1395,2,FALSE),"")</f>
        <v/>
      </c>
      <c r="E801" s="37" t="str">
        <f t="shared" si="49"/>
        <v/>
      </c>
      <c r="F801" s="37" t="str">
        <f>IFERROR(VLOOKUP($B801,'MATRICE ARTICLE'!$A$2:$N$1395,9,FALSE),"")</f>
        <v/>
      </c>
      <c r="G801" s="37" t="str">
        <f>IFERROR(VLOOKUP($B801,'MATRICE ARTICLE'!$A$2:$N$1395,14,FALSE),"")</f>
        <v/>
      </c>
      <c r="H801" s="48" t="str">
        <f t="shared" si="50"/>
        <v/>
      </c>
      <c r="I801" s="48" t="str">
        <f t="shared" si="51"/>
        <v/>
      </c>
    </row>
    <row r="802" spans="2:9">
      <c r="B802" s="57" t="str">
        <f t="shared" si="48"/>
        <v/>
      </c>
      <c r="C802" s="57"/>
      <c r="D802" s="37" t="str">
        <f>IFERROR(VLOOKUP($B802,'MATRICE ARTICLE'!$A$2:$N$1395,2,FALSE),"")</f>
        <v/>
      </c>
      <c r="E802" s="37" t="str">
        <f t="shared" si="49"/>
        <v/>
      </c>
      <c r="F802" s="37" t="str">
        <f>IFERROR(VLOOKUP($B802,'MATRICE ARTICLE'!$A$2:$N$1395,9,FALSE),"")</f>
        <v/>
      </c>
      <c r="G802" s="37" t="str">
        <f>IFERROR(VLOOKUP($B802,'MATRICE ARTICLE'!$A$2:$N$1395,14,FALSE),"")</f>
        <v/>
      </c>
      <c r="H802" s="48" t="str">
        <f t="shared" si="50"/>
        <v/>
      </c>
      <c r="I802" s="48" t="str">
        <f t="shared" si="51"/>
        <v/>
      </c>
    </row>
    <row r="803" spans="2:9">
      <c r="B803" s="57" t="str">
        <f t="shared" si="48"/>
        <v/>
      </c>
      <c r="C803" s="57"/>
      <c r="D803" s="37" t="str">
        <f>IFERROR(VLOOKUP($B803,'MATRICE ARTICLE'!$A$2:$N$1395,2,FALSE),"")</f>
        <v/>
      </c>
      <c r="E803" s="37" t="str">
        <f t="shared" si="49"/>
        <v/>
      </c>
      <c r="F803" s="37" t="str">
        <f>IFERROR(VLOOKUP($B803,'MATRICE ARTICLE'!$A$2:$N$1395,9,FALSE),"")</f>
        <v/>
      </c>
      <c r="G803" s="37" t="str">
        <f>IFERROR(VLOOKUP($B803,'MATRICE ARTICLE'!$A$2:$N$1395,14,FALSE),"")</f>
        <v/>
      </c>
      <c r="H803" s="48" t="str">
        <f t="shared" si="50"/>
        <v/>
      </c>
      <c r="I803" s="48" t="str">
        <f t="shared" si="51"/>
        <v/>
      </c>
    </row>
    <row r="804" spans="2:9">
      <c r="B804" s="57" t="str">
        <f t="shared" si="48"/>
        <v/>
      </c>
      <c r="C804" s="57"/>
      <c r="D804" s="37" t="str">
        <f>IFERROR(VLOOKUP($B804,'MATRICE ARTICLE'!$A$2:$N$1395,2,FALSE),"")</f>
        <v/>
      </c>
      <c r="E804" s="37" t="str">
        <f t="shared" si="49"/>
        <v/>
      </c>
      <c r="F804" s="37" t="str">
        <f>IFERROR(VLOOKUP($B804,'MATRICE ARTICLE'!$A$2:$N$1395,9,FALSE),"")</f>
        <v/>
      </c>
      <c r="G804" s="37" t="str">
        <f>IFERROR(VLOOKUP($B804,'MATRICE ARTICLE'!$A$2:$N$1395,14,FALSE),"")</f>
        <v/>
      </c>
      <c r="H804" s="48" t="str">
        <f t="shared" si="50"/>
        <v/>
      </c>
      <c r="I804" s="48" t="str">
        <f t="shared" si="51"/>
        <v/>
      </c>
    </row>
    <row r="805" spans="2:9">
      <c r="B805" s="57" t="str">
        <f t="shared" si="48"/>
        <v/>
      </c>
      <c r="C805" s="57"/>
      <c r="D805" s="37" t="str">
        <f>IFERROR(VLOOKUP($B805,'MATRICE ARTICLE'!$A$2:$N$1395,2,FALSE),"")</f>
        <v/>
      </c>
      <c r="E805" s="37" t="str">
        <f t="shared" si="49"/>
        <v/>
      </c>
      <c r="F805" s="37" t="str">
        <f>IFERROR(VLOOKUP($B805,'MATRICE ARTICLE'!$A$2:$N$1395,9,FALSE),"")</f>
        <v/>
      </c>
      <c r="G805" s="37" t="str">
        <f>IFERROR(VLOOKUP($B805,'MATRICE ARTICLE'!$A$2:$N$1395,14,FALSE),"")</f>
        <v/>
      </c>
      <c r="H805" s="48" t="str">
        <f t="shared" si="50"/>
        <v/>
      </c>
      <c r="I805" s="48" t="str">
        <f t="shared" si="51"/>
        <v/>
      </c>
    </row>
    <row r="806" spans="2:9">
      <c r="B806" s="57" t="str">
        <f t="shared" si="48"/>
        <v/>
      </c>
      <c r="C806" s="57"/>
      <c r="D806" s="37" t="str">
        <f>IFERROR(VLOOKUP($B806,'MATRICE ARTICLE'!$A$2:$N$1395,2,FALSE),"")</f>
        <v/>
      </c>
      <c r="E806" s="37" t="str">
        <f t="shared" si="49"/>
        <v/>
      </c>
      <c r="F806" s="37" t="str">
        <f>IFERROR(VLOOKUP($B806,'MATRICE ARTICLE'!$A$2:$N$1395,9,FALSE),"")</f>
        <v/>
      </c>
      <c r="G806" s="37" t="str">
        <f>IFERROR(VLOOKUP($B806,'MATRICE ARTICLE'!$A$2:$N$1395,14,FALSE),"")</f>
        <v/>
      </c>
      <c r="H806" s="48" t="str">
        <f t="shared" si="50"/>
        <v/>
      </c>
      <c r="I806" s="48" t="str">
        <f t="shared" si="51"/>
        <v/>
      </c>
    </row>
    <row r="807" spans="2:9">
      <c r="B807" s="57" t="str">
        <f t="shared" si="48"/>
        <v/>
      </c>
      <c r="C807" s="57"/>
      <c r="D807" s="37" t="str">
        <f>IFERROR(VLOOKUP($B807,'MATRICE ARTICLE'!$A$2:$N$1395,2,FALSE),"")</f>
        <v/>
      </c>
      <c r="E807" s="37" t="str">
        <f t="shared" si="49"/>
        <v/>
      </c>
      <c r="F807" s="37" t="str">
        <f>IFERROR(VLOOKUP($B807,'MATRICE ARTICLE'!$A$2:$N$1395,9,FALSE),"")</f>
        <v/>
      </c>
      <c r="G807" s="37" t="str">
        <f>IFERROR(VLOOKUP($B807,'MATRICE ARTICLE'!$A$2:$N$1395,14,FALSE),"")</f>
        <v/>
      </c>
      <c r="H807" s="48" t="str">
        <f t="shared" si="50"/>
        <v/>
      </c>
      <c r="I807" s="48" t="str">
        <f t="shared" si="51"/>
        <v/>
      </c>
    </row>
    <row r="808" spans="2:9">
      <c r="B808" s="57" t="str">
        <f t="shared" si="48"/>
        <v/>
      </c>
      <c r="C808" s="57"/>
      <c r="D808" s="37" t="str">
        <f>IFERROR(VLOOKUP($B808,'MATRICE ARTICLE'!$A$2:$N$1395,2,FALSE),"")</f>
        <v/>
      </c>
      <c r="E808" s="37" t="str">
        <f t="shared" si="49"/>
        <v/>
      </c>
      <c r="F808" s="37" t="str">
        <f>IFERROR(VLOOKUP($B808,'MATRICE ARTICLE'!$A$2:$N$1395,9,FALSE),"")</f>
        <v/>
      </c>
      <c r="G808" s="37" t="str">
        <f>IFERROR(VLOOKUP($B808,'MATRICE ARTICLE'!$A$2:$N$1395,14,FALSE),"")</f>
        <v/>
      </c>
      <c r="H808" s="48" t="str">
        <f t="shared" si="50"/>
        <v/>
      </c>
      <c r="I808" s="48" t="str">
        <f t="shared" si="51"/>
        <v/>
      </c>
    </row>
    <row r="809" spans="2:9">
      <c r="B809" s="57" t="str">
        <f t="shared" si="48"/>
        <v/>
      </c>
      <c r="C809" s="57"/>
      <c r="D809" s="37" t="str">
        <f>IFERROR(VLOOKUP($B809,'MATRICE ARTICLE'!$A$2:$N$1395,2,FALSE),"")</f>
        <v/>
      </c>
      <c r="E809" s="37" t="str">
        <f t="shared" si="49"/>
        <v/>
      </c>
      <c r="F809" s="37" t="str">
        <f>IFERROR(VLOOKUP($B809,'MATRICE ARTICLE'!$A$2:$N$1395,9,FALSE),"")</f>
        <v/>
      </c>
      <c r="G809" s="37" t="str">
        <f>IFERROR(VLOOKUP($B809,'MATRICE ARTICLE'!$A$2:$N$1395,14,FALSE),"")</f>
        <v/>
      </c>
      <c r="H809" s="48" t="str">
        <f t="shared" si="50"/>
        <v/>
      </c>
      <c r="I809" s="48" t="str">
        <f t="shared" si="51"/>
        <v/>
      </c>
    </row>
    <row r="810" spans="2:9">
      <c r="B810" s="57" t="str">
        <f t="shared" si="48"/>
        <v/>
      </c>
      <c r="C810" s="57"/>
      <c r="D810" s="37" t="str">
        <f>IFERROR(VLOOKUP($B810,'MATRICE ARTICLE'!$A$2:$N$1395,2,FALSE),"")</f>
        <v/>
      </c>
      <c r="E810" s="37" t="str">
        <f t="shared" si="49"/>
        <v/>
      </c>
      <c r="F810" s="37" t="str">
        <f>IFERROR(VLOOKUP($B810,'MATRICE ARTICLE'!$A$2:$N$1395,9,FALSE),"")</f>
        <v/>
      </c>
      <c r="G810" s="37" t="str">
        <f>IFERROR(VLOOKUP($B810,'MATRICE ARTICLE'!$A$2:$N$1395,14,FALSE),"")</f>
        <v/>
      </c>
      <c r="H810" s="48" t="str">
        <f t="shared" si="50"/>
        <v/>
      </c>
      <c r="I810" s="48" t="str">
        <f t="shared" si="51"/>
        <v/>
      </c>
    </row>
    <row r="811" spans="2:9">
      <c r="B811" s="57" t="str">
        <f t="shared" si="48"/>
        <v/>
      </c>
      <c r="C811" s="57"/>
      <c r="D811" s="37" t="str">
        <f>IFERROR(VLOOKUP($B811,'MATRICE ARTICLE'!$A$2:$N$1395,2,FALSE),"")</f>
        <v/>
      </c>
      <c r="E811" s="37" t="str">
        <f t="shared" si="49"/>
        <v/>
      </c>
      <c r="F811" s="37" t="str">
        <f>IFERROR(VLOOKUP($B811,'MATRICE ARTICLE'!$A$2:$N$1395,9,FALSE),"")</f>
        <v/>
      </c>
      <c r="G811" s="37" t="str">
        <f>IFERROR(VLOOKUP($B811,'MATRICE ARTICLE'!$A$2:$N$1395,14,FALSE),"")</f>
        <v/>
      </c>
      <c r="H811" s="48" t="str">
        <f t="shared" si="50"/>
        <v/>
      </c>
      <c r="I811" s="48" t="str">
        <f t="shared" si="51"/>
        <v/>
      </c>
    </row>
    <row r="812" spans="2:9">
      <c r="B812" s="57" t="str">
        <f t="shared" si="48"/>
        <v/>
      </c>
      <c r="C812" s="57"/>
      <c r="D812" s="37" t="str">
        <f>IFERROR(VLOOKUP($B812,'MATRICE ARTICLE'!$A$2:$N$1395,2,FALSE),"")</f>
        <v/>
      </c>
      <c r="E812" s="37" t="str">
        <f t="shared" si="49"/>
        <v/>
      </c>
      <c r="F812" s="37" t="str">
        <f>IFERROR(VLOOKUP($B812,'MATRICE ARTICLE'!$A$2:$N$1395,9,FALSE),"")</f>
        <v/>
      </c>
      <c r="G812" s="37" t="str">
        <f>IFERROR(VLOOKUP($B812,'MATRICE ARTICLE'!$A$2:$N$1395,14,FALSE),"")</f>
        <v/>
      </c>
      <c r="H812" s="48" t="str">
        <f t="shared" si="50"/>
        <v/>
      </c>
      <c r="I812" s="48" t="str">
        <f t="shared" si="51"/>
        <v/>
      </c>
    </row>
    <row r="813" spans="2:9">
      <c r="B813" s="57" t="str">
        <f t="shared" si="48"/>
        <v/>
      </c>
      <c r="C813" s="57"/>
      <c r="D813" s="37" t="str">
        <f>IFERROR(VLOOKUP($B813,'MATRICE ARTICLE'!$A$2:$N$1395,2,FALSE),"")</f>
        <v/>
      </c>
      <c r="E813" s="37" t="str">
        <f t="shared" si="49"/>
        <v/>
      </c>
      <c r="F813" s="37" t="str">
        <f>IFERROR(VLOOKUP($B813,'MATRICE ARTICLE'!$A$2:$N$1395,9,FALSE),"")</f>
        <v/>
      </c>
      <c r="G813" s="37" t="str">
        <f>IFERROR(VLOOKUP($B813,'MATRICE ARTICLE'!$A$2:$N$1395,14,FALSE),"")</f>
        <v/>
      </c>
      <c r="H813" s="48" t="str">
        <f t="shared" si="50"/>
        <v/>
      </c>
      <c r="I813" s="48" t="str">
        <f t="shared" si="51"/>
        <v/>
      </c>
    </row>
    <row r="814" spans="2:9">
      <c r="B814" s="57" t="str">
        <f t="shared" si="48"/>
        <v/>
      </c>
      <c r="C814" s="57"/>
      <c r="D814" s="37" t="str">
        <f>IFERROR(VLOOKUP($B814,'MATRICE ARTICLE'!$A$2:$N$1395,2,FALSE),"")</f>
        <v/>
      </c>
      <c r="E814" s="37" t="str">
        <f t="shared" si="49"/>
        <v/>
      </c>
      <c r="F814" s="37" t="str">
        <f>IFERROR(VLOOKUP($B814,'MATRICE ARTICLE'!$A$2:$N$1395,9,FALSE),"")</f>
        <v/>
      </c>
      <c r="G814" s="37" t="str">
        <f>IFERROR(VLOOKUP($B814,'MATRICE ARTICLE'!$A$2:$N$1395,14,FALSE),"")</f>
        <v/>
      </c>
      <c r="H814" s="48" t="str">
        <f t="shared" si="50"/>
        <v/>
      </c>
      <c r="I814" s="48" t="str">
        <f t="shared" si="51"/>
        <v/>
      </c>
    </row>
    <row r="815" spans="2:9">
      <c r="B815" s="57" t="str">
        <f t="shared" si="48"/>
        <v/>
      </c>
      <c r="C815" s="57"/>
      <c r="D815" s="37" t="str">
        <f>IFERROR(VLOOKUP($B815,'MATRICE ARTICLE'!$A$2:$N$1395,2,FALSE),"")</f>
        <v/>
      </c>
      <c r="E815" s="37" t="str">
        <f t="shared" si="49"/>
        <v/>
      </c>
      <c r="F815" s="37" t="str">
        <f>IFERROR(VLOOKUP($B815,'MATRICE ARTICLE'!$A$2:$N$1395,9,FALSE),"")</f>
        <v/>
      </c>
      <c r="G815" s="37" t="str">
        <f>IFERROR(VLOOKUP($B815,'MATRICE ARTICLE'!$A$2:$N$1395,14,FALSE),"")</f>
        <v/>
      </c>
      <c r="H815" s="48" t="str">
        <f t="shared" si="50"/>
        <v/>
      </c>
      <c r="I815" s="48" t="str">
        <f t="shared" si="51"/>
        <v/>
      </c>
    </row>
    <row r="816" spans="2:9">
      <c r="B816" s="57" t="str">
        <f t="shared" si="48"/>
        <v/>
      </c>
      <c r="C816" s="57"/>
      <c r="D816" s="37" t="str">
        <f>IFERROR(VLOOKUP($B816,'MATRICE ARTICLE'!$A$2:$N$1395,2,FALSE),"")</f>
        <v/>
      </c>
      <c r="E816" s="37" t="str">
        <f t="shared" si="49"/>
        <v/>
      </c>
      <c r="F816" s="37" t="str">
        <f>IFERROR(VLOOKUP($B816,'MATRICE ARTICLE'!$A$2:$N$1395,9,FALSE),"")</f>
        <v/>
      </c>
      <c r="G816" s="37" t="str">
        <f>IFERROR(VLOOKUP($B816,'MATRICE ARTICLE'!$A$2:$N$1395,14,FALSE),"")</f>
        <v/>
      </c>
      <c r="H816" s="48" t="str">
        <f t="shared" si="50"/>
        <v/>
      </c>
      <c r="I816" s="48" t="str">
        <f t="shared" si="51"/>
        <v/>
      </c>
    </row>
    <row r="817" spans="2:9">
      <c r="B817" s="57" t="str">
        <f t="shared" si="48"/>
        <v/>
      </c>
      <c r="C817" s="57"/>
      <c r="D817" s="37" t="str">
        <f>IFERROR(VLOOKUP($B817,'MATRICE ARTICLE'!$A$2:$N$1395,2,FALSE),"")</f>
        <v/>
      </c>
      <c r="E817" s="37" t="str">
        <f t="shared" si="49"/>
        <v/>
      </c>
      <c r="F817" s="37" t="str">
        <f>IFERROR(VLOOKUP($B817,'MATRICE ARTICLE'!$A$2:$N$1395,9,FALSE),"")</f>
        <v/>
      </c>
      <c r="G817" s="37" t="str">
        <f>IFERROR(VLOOKUP($B817,'MATRICE ARTICLE'!$A$2:$N$1395,14,FALSE),"")</f>
        <v/>
      </c>
      <c r="H817" s="48" t="str">
        <f t="shared" si="50"/>
        <v/>
      </c>
      <c r="I817" s="48" t="str">
        <f t="shared" si="51"/>
        <v/>
      </c>
    </row>
    <row r="818" spans="2:9">
      <c r="B818" s="57" t="str">
        <f t="shared" si="48"/>
        <v/>
      </c>
      <c r="C818" s="57"/>
      <c r="D818" s="37" t="str">
        <f>IFERROR(VLOOKUP($B818,'MATRICE ARTICLE'!$A$2:$N$1395,2,FALSE),"")</f>
        <v/>
      </c>
      <c r="E818" s="37" t="str">
        <f t="shared" si="49"/>
        <v/>
      </c>
      <c r="F818" s="37" t="str">
        <f>IFERROR(VLOOKUP($B818,'MATRICE ARTICLE'!$A$2:$N$1395,9,FALSE),"")</f>
        <v/>
      </c>
      <c r="G818" s="37" t="str">
        <f>IFERROR(VLOOKUP($B818,'MATRICE ARTICLE'!$A$2:$N$1395,14,FALSE),"")</f>
        <v/>
      </c>
      <c r="H818" s="48" t="str">
        <f t="shared" si="50"/>
        <v/>
      </c>
      <c r="I818" s="48" t="str">
        <f t="shared" si="51"/>
        <v/>
      </c>
    </row>
    <row r="819" spans="2:9">
      <c r="B819" s="57" t="str">
        <f t="shared" si="48"/>
        <v/>
      </c>
      <c r="C819" s="57"/>
      <c r="D819" s="37" t="str">
        <f>IFERROR(VLOOKUP($B819,'MATRICE ARTICLE'!$A$2:$N$1395,2,FALSE),"")</f>
        <v/>
      </c>
      <c r="E819" s="37" t="str">
        <f t="shared" si="49"/>
        <v/>
      </c>
      <c r="F819" s="37" t="str">
        <f>IFERROR(VLOOKUP($B819,'MATRICE ARTICLE'!$A$2:$N$1395,9,FALSE),"")</f>
        <v/>
      </c>
      <c r="G819" s="37" t="str">
        <f>IFERROR(VLOOKUP($B819,'MATRICE ARTICLE'!$A$2:$N$1395,14,FALSE),"")</f>
        <v/>
      </c>
      <c r="H819" s="48" t="str">
        <f t="shared" si="50"/>
        <v/>
      </c>
      <c r="I819" s="48" t="str">
        <f t="shared" si="51"/>
        <v/>
      </c>
    </row>
    <row r="820" spans="2:9">
      <c r="B820" s="57" t="str">
        <f t="shared" si="48"/>
        <v/>
      </c>
      <c r="C820" s="57"/>
      <c r="D820" s="37" t="str">
        <f>IFERROR(VLOOKUP($B820,'MATRICE ARTICLE'!$A$2:$N$1395,2,FALSE),"")</f>
        <v/>
      </c>
      <c r="E820" s="37" t="str">
        <f t="shared" si="49"/>
        <v/>
      </c>
      <c r="F820" s="37" t="str">
        <f>IFERROR(VLOOKUP($B820,'MATRICE ARTICLE'!$A$2:$N$1395,9,FALSE),"")</f>
        <v/>
      </c>
      <c r="G820" s="37" t="str">
        <f>IFERROR(VLOOKUP($B820,'MATRICE ARTICLE'!$A$2:$N$1395,14,FALSE),"")</f>
        <v/>
      </c>
      <c r="H820" s="48" t="str">
        <f t="shared" si="50"/>
        <v/>
      </c>
      <c r="I820" s="48" t="str">
        <f t="shared" si="51"/>
        <v/>
      </c>
    </row>
    <row r="821" spans="2:9">
      <c r="B821" s="57" t="str">
        <f t="shared" si="48"/>
        <v/>
      </c>
      <c r="C821" s="57"/>
      <c r="D821" s="37" t="str">
        <f>IFERROR(VLOOKUP($B821,'MATRICE ARTICLE'!$A$2:$N$1395,2,FALSE),"")</f>
        <v/>
      </c>
      <c r="E821" s="37" t="str">
        <f t="shared" si="49"/>
        <v/>
      </c>
      <c r="F821" s="37" t="str">
        <f>IFERROR(VLOOKUP($B821,'MATRICE ARTICLE'!$A$2:$N$1395,9,FALSE),"")</f>
        <v/>
      </c>
      <c r="G821" s="37" t="str">
        <f>IFERROR(VLOOKUP($B821,'MATRICE ARTICLE'!$A$2:$N$1395,14,FALSE),"")</f>
        <v/>
      </c>
      <c r="H821" s="48" t="str">
        <f t="shared" si="50"/>
        <v/>
      </c>
      <c r="I821" s="48" t="str">
        <f t="shared" si="51"/>
        <v/>
      </c>
    </row>
    <row r="822" spans="2:9">
      <c r="B822" s="57" t="str">
        <f t="shared" si="48"/>
        <v/>
      </c>
      <c r="C822" s="57"/>
      <c r="D822" s="37" t="str">
        <f>IFERROR(VLOOKUP($B822,'MATRICE ARTICLE'!$A$2:$N$1395,2,FALSE),"")</f>
        <v/>
      </c>
      <c r="E822" s="37" t="str">
        <f t="shared" si="49"/>
        <v/>
      </c>
      <c r="F822" s="37" t="str">
        <f>IFERROR(VLOOKUP($B822,'MATRICE ARTICLE'!$A$2:$N$1395,9,FALSE),"")</f>
        <v/>
      </c>
      <c r="G822" s="37" t="str">
        <f>IFERROR(VLOOKUP($B822,'MATRICE ARTICLE'!$A$2:$N$1395,14,FALSE),"")</f>
        <v/>
      </c>
      <c r="H822" s="48" t="str">
        <f t="shared" si="50"/>
        <v/>
      </c>
      <c r="I822" s="48" t="str">
        <f t="shared" si="51"/>
        <v/>
      </c>
    </row>
    <row r="823" spans="2:9">
      <c r="B823" s="57" t="str">
        <f t="shared" si="48"/>
        <v/>
      </c>
      <c r="C823" s="57"/>
      <c r="D823" s="37" t="str">
        <f>IFERROR(VLOOKUP($B823,'MATRICE ARTICLE'!$A$2:$N$1395,2,FALSE),"")</f>
        <v/>
      </c>
      <c r="E823" s="37" t="str">
        <f t="shared" si="49"/>
        <v/>
      </c>
      <c r="F823" s="37" t="str">
        <f>IFERROR(VLOOKUP($B823,'MATRICE ARTICLE'!$A$2:$N$1395,9,FALSE),"")</f>
        <v/>
      </c>
      <c r="G823" s="37" t="str">
        <f>IFERROR(VLOOKUP($B823,'MATRICE ARTICLE'!$A$2:$N$1395,14,FALSE),"")</f>
        <v/>
      </c>
      <c r="H823" s="48" t="str">
        <f t="shared" si="50"/>
        <v/>
      </c>
      <c r="I823" s="48" t="str">
        <f t="shared" si="51"/>
        <v/>
      </c>
    </row>
    <row r="824" spans="2:9">
      <c r="B824" s="57" t="str">
        <f t="shared" si="48"/>
        <v/>
      </c>
      <c r="C824" s="57"/>
      <c r="D824" s="37" t="str">
        <f>IFERROR(VLOOKUP($B824,'MATRICE ARTICLE'!$A$2:$N$1395,2,FALSE),"")</f>
        <v/>
      </c>
      <c r="E824" s="37" t="str">
        <f t="shared" si="49"/>
        <v/>
      </c>
      <c r="F824" s="37" t="str">
        <f>IFERROR(VLOOKUP($B824,'MATRICE ARTICLE'!$A$2:$N$1395,9,FALSE),"")</f>
        <v/>
      </c>
      <c r="G824" s="37" t="str">
        <f>IFERROR(VLOOKUP($B824,'MATRICE ARTICLE'!$A$2:$N$1395,14,FALSE),"")</f>
        <v/>
      </c>
      <c r="H824" s="48" t="str">
        <f t="shared" si="50"/>
        <v/>
      </c>
      <c r="I824" s="48" t="str">
        <f t="shared" si="51"/>
        <v/>
      </c>
    </row>
    <row r="825" spans="2:9">
      <c r="B825" s="57" t="str">
        <f t="shared" si="48"/>
        <v/>
      </c>
      <c r="C825" s="57"/>
      <c r="D825" s="37" t="str">
        <f>IFERROR(VLOOKUP($B825,'MATRICE ARTICLE'!$A$2:$N$1395,2,FALSE),"")</f>
        <v/>
      </c>
      <c r="E825" s="37" t="str">
        <f t="shared" si="49"/>
        <v/>
      </c>
      <c r="F825" s="37" t="str">
        <f>IFERROR(VLOOKUP($B825,'MATRICE ARTICLE'!$A$2:$N$1395,9,FALSE),"")</f>
        <v/>
      </c>
      <c r="G825" s="37" t="str">
        <f>IFERROR(VLOOKUP($B825,'MATRICE ARTICLE'!$A$2:$N$1395,14,FALSE),"")</f>
        <v/>
      </c>
      <c r="H825" s="48" t="str">
        <f t="shared" si="50"/>
        <v/>
      </c>
      <c r="I825" s="48" t="str">
        <f t="shared" si="51"/>
        <v/>
      </c>
    </row>
    <row r="826" spans="2:9">
      <c r="B826" s="57" t="str">
        <f t="shared" si="48"/>
        <v/>
      </c>
      <c r="C826" s="57"/>
      <c r="D826" s="37" t="str">
        <f>IFERROR(VLOOKUP($B826,'MATRICE ARTICLE'!$A$2:$N$1395,2,FALSE),"")</f>
        <v/>
      </c>
      <c r="E826" s="37" t="str">
        <f t="shared" si="49"/>
        <v/>
      </c>
      <c r="F826" s="37" t="str">
        <f>IFERROR(VLOOKUP($B826,'MATRICE ARTICLE'!$A$2:$N$1395,9,FALSE),"")</f>
        <v/>
      </c>
      <c r="G826" s="37" t="str">
        <f>IFERROR(VLOOKUP($B826,'MATRICE ARTICLE'!$A$2:$N$1395,14,FALSE),"")</f>
        <v/>
      </c>
      <c r="H826" s="48" t="str">
        <f t="shared" si="50"/>
        <v/>
      </c>
      <c r="I826" s="48" t="str">
        <f t="shared" si="51"/>
        <v/>
      </c>
    </row>
    <row r="827" spans="2:9">
      <c r="B827" s="57" t="str">
        <f t="shared" si="48"/>
        <v/>
      </c>
      <c r="C827" s="57"/>
      <c r="D827" s="37" t="str">
        <f>IFERROR(VLOOKUP($B827,'MATRICE ARTICLE'!$A$2:$N$1395,2,FALSE),"")</f>
        <v/>
      </c>
      <c r="E827" s="37" t="str">
        <f t="shared" si="49"/>
        <v/>
      </c>
      <c r="F827" s="37" t="str">
        <f>IFERROR(VLOOKUP($B827,'MATRICE ARTICLE'!$A$2:$N$1395,9,FALSE),"")</f>
        <v/>
      </c>
      <c r="G827" s="37" t="str">
        <f>IFERROR(VLOOKUP($B827,'MATRICE ARTICLE'!$A$2:$N$1395,14,FALSE),"")</f>
        <v/>
      </c>
      <c r="H827" s="48" t="str">
        <f t="shared" si="50"/>
        <v/>
      </c>
      <c r="I827" s="48" t="str">
        <f t="shared" si="51"/>
        <v/>
      </c>
    </row>
    <row r="828" spans="2:9">
      <c r="B828" s="57" t="str">
        <f t="shared" si="48"/>
        <v/>
      </c>
      <c r="C828" s="57"/>
      <c r="D828" s="37" t="str">
        <f>IFERROR(VLOOKUP($B828,'MATRICE ARTICLE'!$A$2:$N$1395,2,FALSE),"")</f>
        <v/>
      </c>
      <c r="E828" s="37" t="str">
        <f t="shared" si="49"/>
        <v/>
      </c>
      <c r="F828" s="37" t="str">
        <f>IFERROR(VLOOKUP($B828,'MATRICE ARTICLE'!$A$2:$N$1395,9,FALSE),"")</f>
        <v/>
      </c>
      <c r="G828" s="37" t="str">
        <f>IFERROR(VLOOKUP($B828,'MATRICE ARTICLE'!$A$2:$N$1395,14,FALSE),"")</f>
        <v/>
      </c>
      <c r="H828" s="48" t="str">
        <f t="shared" si="50"/>
        <v/>
      </c>
      <c r="I828" s="48" t="str">
        <f t="shared" si="51"/>
        <v/>
      </c>
    </row>
    <row r="829" spans="2:9">
      <c r="B829" s="57" t="str">
        <f t="shared" si="48"/>
        <v/>
      </c>
      <c r="C829" s="57"/>
      <c r="D829" s="37" t="str">
        <f>IFERROR(VLOOKUP($B829,'MATRICE ARTICLE'!$A$2:$N$1395,2,FALSE),"")</f>
        <v/>
      </c>
      <c r="E829" s="37" t="str">
        <f t="shared" si="49"/>
        <v/>
      </c>
      <c r="F829" s="37" t="str">
        <f>IFERROR(VLOOKUP($B829,'MATRICE ARTICLE'!$A$2:$N$1395,9,FALSE),"")</f>
        <v/>
      </c>
      <c r="G829" s="37" t="str">
        <f>IFERROR(VLOOKUP($B829,'MATRICE ARTICLE'!$A$2:$N$1395,14,FALSE),"")</f>
        <v/>
      </c>
      <c r="H829" s="48" t="str">
        <f t="shared" si="50"/>
        <v/>
      </c>
      <c r="I829" s="48" t="str">
        <f t="shared" si="51"/>
        <v/>
      </c>
    </row>
    <row r="830" spans="2:9">
      <c r="B830" s="57" t="str">
        <f t="shared" si="48"/>
        <v/>
      </c>
      <c r="C830" s="57"/>
      <c r="D830" s="37" t="str">
        <f>IFERROR(VLOOKUP($B830,'MATRICE ARTICLE'!$A$2:$N$1395,2,FALSE),"")</f>
        <v/>
      </c>
      <c r="E830" s="37" t="str">
        <f t="shared" si="49"/>
        <v/>
      </c>
      <c r="F830" s="37" t="str">
        <f>IFERROR(VLOOKUP($B830,'MATRICE ARTICLE'!$A$2:$N$1395,9,FALSE),"")</f>
        <v/>
      </c>
      <c r="G830" s="37" t="str">
        <f>IFERROR(VLOOKUP($B830,'MATRICE ARTICLE'!$A$2:$N$1395,14,FALSE),"")</f>
        <v/>
      </c>
      <c r="H830" s="48" t="str">
        <f t="shared" si="50"/>
        <v/>
      </c>
      <c r="I830" s="48" t="str">
        <f t="shared" si="51"/>
        <v/>
      </c>
    </row>
    <row r="831" spans="2:9">
      <c r="B831" s="57" t="str">
        <f t="shared" si="48"/>
        <v/>
      </c>
      <c r="C831" s="57"/>
      <c r="D831" s="37" t="str">
        <f>IFERROR(VLOOKUP($B831,'MATRICE ARTICLE'!$A$2:$N$1395,2,FALSE),"")</f>
        <v/>
      </c>
      <c r="E831" s="37" t="str">
        <f t="shared" si="49"/>
        <v/>
      </c>
      <c r="F831" s="37" t="str">
        <f>IFERROR(VLOOKUP($B831,'MATRICE ARTICLE'!$A$2:$N$1395,9,FALSE),"")</f>
        <v/>
      </c>
      <c r="G831" s="37" t="str">
        <f>IFERROR(VLOOKUP($B831,'MATRICE ARTICLE'!$A$2:$N$1395,14,FALSE),"")</f>
        <v/>
      </c>
      <c r="H831" s="48" t="str">
        <f t="shared" si="50"/>
        <v/>
      </c>
      <c r="I831" s="48" t="str">
        <f t="shared" si="51"/>
        <v/>
      </c>
    </row>
    <row r="832" spans="2:9">
      <c r="B832" s="57" t="str">
        <f t="shared" si="48"/>
        <v/>
      </c>
      <c r="C832" s="57"/>
      <c r="D832" s="37" t="str">
        <f>IFERROR(VLOOKUP($B832,'MATRICE ARTICLE'!$A$2:$N$1395,2,FALSE),"")</f>
        <v/>
      </c>
      <c r="E832" s="37" t="str">
        <f t="shared" si="49"/>
        <v/>
      </c>
      <c r="F832" s="37" t="str">
        <f>IFERROR(VLOOKUP($B832,'MATRICE ARTICLE'!$A$2:$N$1395,9,FALSE),"")</f>
        <v/>
      </c>
      <c r="G832" s="37" t="str">
        <f>IFERROR(VLOOKUP($B832,'MATRICE ARTICLE'!$A$2:$N$1395,14,FALSE),"")</f>
        <v/>
      </c>
      <c r="H832" s="48" t="str">
        <f t="shared" si="50"/>
        <v/>
      </c>
      <c r="I832" s="48" t="str">
        <f t="shared" si="51"/>
        <v/>
      </c>
    </row>
    <row r="833" spans="2:9">
      <c r="B833" s="57" t="str">
        <f t="shared" si="48"/>
        <v/>
      </c>
      <c r="C833" s="57"/>
      <c r="D833" s="37" t="str">
        <f>IFERROR(VLOOKUP($B833,'MATRICE ARTICLE'!$A$2:$N$1395,2,FALSE),"")</f>
        <v/>
      </c>
      <c r="E833" s="37" t="str">
        <f t="shared" si="49"/>
        <v/>
      </c>
      <c r="F833" s="37" t="str">
        <f>IFERROR(VLOOKUP($B833,'MATRICE ARTICLE'!$A$2:$N$1395,9,FALSE),"")</f>
        <v/>
      </c>
      <c r="G833" s="37" t="str">
        <f>IFERROR(VLOOKUP($B833,'MATRICE ARTICLE'!$A$2:$N$1395,14,FALSE),"")</f>
        <v/>
      </c>
      <c r="H833" s="48" t="str">
        <f t="shared" si="50"/>
        <v/>
      </c>
      <c r="I833" s="48" t="str">
        <f t="shared" si="51"/>
        <v/>
      </c>
    </row>
    <row r="834" spans="2:9">
      <c r="B834" s="57" t="str">
        <f t="shared" si="48"/>
        <v/>
      </c>
      <c r="C834" s="57"/>
      <c r="D834" s="37" t="str">
        <f>IFERROR(VLOOKUP($B834,'MATRICE ARTICLE'!$A$2:$N$1395,2,FALSE),"")</f>
        <v/>
      </c>
      <c r="E834" s="37" t="str">
        <f t="shared" si="49"/>
        <v/>
      </c>
      <c r="F834" s="37" t="str">
        <f>IFERROR(VLOOKUP($B834,'MATRICE ARTICLE'!$A$2:$N$1395,9,FALSE),"")</f>
        <v/>
      </c>
      <c r="G834" s="37" t="str">
        <f>IFERROR(VLOOKUP($B834,'MATRICE ARTICLE'!$A$2:$N$1395,14,FALSE),"")</f>
        <v/>
      </c>
      <c r="H834" s="48" t="str">
        <f t="shared" si="50"/>
        <v/>
      </c>
      <c r="I834" s="48" t="str">
        <f t="shared" si="51"/>
        <v/>
      </c>
    </row>
    <row r="835" spans="2:9">
      <c r="B835" s="57" t="str">
        <f t="shared" ref="B835:B898" si="52">IF(A835=0,"",A835)</f>
        <v/>
      </c>
      <c r="C835" s="57"/>
      <c r="D835" s="37" t="str">
        <f>IFERROR(VLOOKUP($B835,'MATRICE ARTICLE'!$A$2:$N$1395,2,FALSE),"")</f>
        <v/>
      </c>
      <c r="E835" s="37" t="str">
        <f t="shared" ref="E835:E898" si="53">IF(SUM(F835:I835)=0,"",SUM(F835:I835))</f>
        <v/>
      </c>
      <c r="F835" s="37" t="str">
        <f>IFERROR(VLOOKUP($B835,'MATRICE ARTICLE'!$A$2:$N$1395,9,FALSE),"")</f>
        <v/>
      </c>
      <c r="G835" s="37" t="str">
        <f>IFERROR(VLOOKUP($B835,'MATRICE ARTICLE'!$A$2:$N$1395,14,FALSE),"")</f>
        <v/>
      </c>
      <c r="H835" s="48" t="str">
        <f t="shared" ref="H835:H898" si="54">IF(SUM(F835:G835)*$H$1=0,"",SUM(F835:G835)*$H$1)</f>
        <v/>
      </c>
      <c r="I835" s="48" t="str">
        <f t="shared" ref="I835:I898" si="55">IF(SUM(F835:H835)*$I$1=0,"",SUM(F835:H835)*$I$1)</f>
        <v/>
      </c>
    </row>
    <row r="836" spans="2:9">
      <c r="B836" s="57" t="str">
        <f t="shared" si="52"/>
        <v/>
      </c>
      <c r="C836" s="57"/>
      <c r="D836" s="37" t="str">
        <f>IFERROR(VLOOKUP($B836,'MATRICE ARTICLE'!$A$2:$N$1395,2,FALSE),"")</f>
        <v/>
      </c>
      <c r="E836" s="37" t="str">
        <f t="shared" si="53"/>
        <v/>
      </c>
      <c r="F836" s="37" t="str">
        <f>IFERROR(VLOOKUP($B836,'MATRICE ARTICLE'!$A$2:$N$1395,9,FALSE),"")</f>
        <v/>
      </c>
      <c r="G836" s="37" t="str">
        <f>IFERROR(VLOOKUP($B836,'MATRICE ARTICLE'!$A$2:$N$1395,14,FALSE),"")</f>
        <v/>
      </c>
      <c r="H836" s="48" t="str">
        <f t="shared" si="54"/>
        <v/>
      </c>
      <c r="I836" s="48" t="str">
        <f t="shared" si="55"/>
        <v/>
      </c>
    </row>
    <row r="837" spans="2:9">
      <c r="B837" s="57" t="str">
        <f t="shared" si="52"/>
        <v/>
      </c>
      <c r="C837" s="57"/>
      <c r="D837" s="37" t="str">
        <f>IFERROR(VLOOKUP($B837,'MATRICE ARTICLE'!$A$2:$N$1395,2,FALSE),"")</f>
        <v/>
      </c>
      <c r="E837" s="37" t="str">
        <f t="shared" si="53"/>
        <v/>
      </c>
      <c r="F837" s="37" t="str">
        <f>IFERROR(VLOOKUP($B837,'MATRICE ARTICLE'!$A$2:$N$1395,9,FALSE),"")</f>
        <v/>
      </c>
      <c r="G837" s="37" t="str">
        <f>IFERROR(VLOOKUP($B837,'MATRICE ARTICLE'!$A$2:$N$1395,14,FALSE),"")</f>
        <v/>
      </c>
      <c r="H837" s="48" t="str">
        <f t="shared" si="54"/>
        <v/>
      </c>
      <c r="I837" s="48" t="str">
        <f t="shared" si="55"/>
        <v/>
      </c>
    </row>
    <row r="838" spans="2:9">
      <c r="B838" s="57" t="str">
        <f t="shared" si="52"/>
        <v/>
      </c>
      <c r="C838" s="57"/>
      <c r="D838" s="37" t="str">
        <f>IFERROR(VLOOKUP($B838,'MATRICE ARTICLE'!$A$2:$N$1395,2,FALSE),"")</f>
        <v/>
      </c>
      <c r="E838" s="37" t="str">
        <f t="shared" si="53"/>
        <v/>
      </c>
      <c r="F838" s="37" t="str">
        <f>IFERROR(VLOOKUP($B838,'MATRICE ARTICLE'!$A$2:$N$1395,9,FALSE),"")</f>
        <v/>
      </c>
      <c r="G838" s="37" t="str">
        <f>IFERROR(VLOOKUP($B838,'MATRICE ARTICLE'!$A$2:$N$1395,14,FALSE),"")</f>
        <v/>
      </c>
      <c r="H838" s="48" t="str">
        <f t="shared" si="54"/>
        <v/>
      </c>
      <c r="I838" s="48" t="str">
        <f t="shared" si="55"/>
        <v/>
      </c>
    </row>
    <row r="839" spans="2:9">
      <c r="B839" s="57" t="str">
        <f t="shared" si="52"/>
        <v/>
      </c>
      <c r="C839" s="57"/>
      <c r="D839" s="37" t="str">
        <f>IFERROR(VLOOKUP($B839,'MATRICE ARTICLE'!$A$2:$N$1395,2,FALSE),"")</f>
        <v/>
      </c>
      <c r="E839" s="37" t="str">
        <f t="shared" si="53"/>
        <v/>
      </c>
      <c r="F839" s="37" t="str">
        <f>IFERROR(VLOOKUP($B839,'MATRICE ARTICLE'!$A$2:$N$1395,9,FALSE),"")</f>
        <v/>
      </c>
      <c r="G839" s="37" t="str">
        <f>IFERROR(VLOOKUP($B839,'MATRICE ARTICLE'!$A$2:$N$1395,14,FALSE),"")</f>
        <v/>
      </c>
      <c r="H839" s="48" t="str">
        <f t="shared" si="54"/>
        <v/>
      </c>
      <c r="I839" s="48" t="str">
        <f t="shared" si="55"/>
        <v/>
      </c>
    </row>
    <row r="840" spans="2:9">
      <c r="B840" s="57" t="str">
        <f t="shared" si="52"/>
        <v/>
      </c>
      <c r="C840" s="57"/>
      <c r="D840" s="37" t="str">
        <f>IFERROR(VLOOKUP($B840,'MATRICE ARTICLE'!$A$2:$N$1395,2,FALSE),"")</f>
        <v/>
      </c>
      <c r="E840" s="37" t="str">
        <f t="shared" si="53"/>
        <v/>
      </c>
      <c r="F840" s="37" t="str">
        <f>IFERROR(VLOOKUP($B840,'MATRICE ARTICLE'!$A$2:$N$1395,9,FALSE),"")</f>
        <v/>
      </c>
      <c r="G840" s="37" t="str">
        <f>IFERROR(VLOOKUP($B840,'MATRICE ARTICLE'!$A$2:$N$1395,14,FALSE),"")</f>
        <v/>
      </c>
      <c r="H840" s="48" t="str">
        <f t="shared" si="54"/>
        <v/>
      </c>
      <c r="I840" s="48" t="str">
        <f t="shared" si="55"/>
        <v/>
      </c>
    </row>
    <row r="841" spans="2:9">
      <c r="B841" s="57" t="str">
        <f t="shared" si="52"/>
        <v/>
      </c>
      <c r="C841" s="57"/>
      <c r="D841" s="37" t="str">
        <f>IFERROR(VLOOKUP($B841,'MATRICE ARTICLE'!$A$2:$N$1395,2,FALSE),"")</f>
        <v/>
      </c>
      <c r="E841" s="37" t="str">
        <f t="shared" si="53"/>
        <v/>
      </c>
      <c r="F841" s="37" t="str">
        <f>IFERROR(VLOOKUP($B841,'MATRICE ARTICLE'!$A$2:$N$1395,9,FALSE),"")</f>
        <v/>
      </c>
      <c r="G841" s="37" t="str">
        <f>IFERROR(VLOOKUP($B841,'MATRICE ARTICLE'!$A$2:$N$1395,14,FALSE),"")</f>
        <v/>
      </c>
      <c r="H841" s="48" t="str">
        <f t="shared" si="54"/>
        <v/>
      </c>
      <c r="I841" s="48" t="str">
        <f t="shared" si="55"/>
        <v/>
      </c>
    </row>
    <row r="842" spans="2:9">
      <c r="B842" s="57" t="str">
        <f t="shared" si="52"/>
        <v/>
      </c>
      <c r="C842" s="57"/>
      <c r="D842" s="37" t="str">
        <f>IFERROR(VLOOKUP($B842,'MATRICE ARTICLE'!$A$2:$N$1395,2,FALSE),"")</f>
        <v/>
      </c>
      <c r="E842" s="37" t="str">
        <f t="shared" si="53"/>
        <v/>
      </c>
      <c r="F842" s="37" t="str">
        <f>IFERROR(VLOOKUP($B842,'MATRICE ARTICLE'!$A$2:$N$1395,9,FALSE),"")</f>
        <v/>
      </c>
      <c r="G842" s="37" t="str">
        <f>IFERROR(VLOOKUP($B842,'MATRICE ARTICLE'!$A$2:$N$1395,14,FALSE),"")</f>
        <v/>
      </c>
      <c r="H842" s="48" t="str">
        <f t="shared" si="54"/>
        <v/>
      </c>
      <c r="I842" s="48" t="str">
        <f t="shared" si="55"/>
        <v/>
      </c>
    </row>
    <row r="843" spans="2:9">
      <c r="B843" s="57" t="str">
        <f t="shared" si="52"/>
        <v/>
      </c>
      <c r="C843" s="57"/>
      <c r="D843" s="37" t="str">
        <f>IFERROR(VLOOKUP($B843,'MATRICE ARTICLE'!$A$2:$N$1395,2,FALSE),"")</f>
        <v/>
      </c>
      <c r="E843" s="37" t="str">
        <f t="shared" si="53"/>
        <v/>
      </c>
      <c r="F843" s="37" t="str">
        <f>IFERROR(VLOOKUP($B843,'MATRICE ARTICLE'!$A$2:$N$1395,9,FALSE),"")</f>
        <v/>
      </c>
      <c r="G843" s="37" t="str">
        <f>IFERROR(VLOOKUP($B843,'MATRICE ARTICLE'!$A$2:$N$1395,14,FALSE),"")</f>
        <v/>
      </c>
      <c r="H843" s="48" t="str">
        <f t="shared" si="54"/>
        <v/>
      </c>
      <c r="I843" s="48" t="str">
        <f t="shared" si="55"/>
        <v/>
      </c>
    </row>
    <row r="844" spans="2:9">
      <c r="B844" s="57" t="str">
        <f t="shared" si="52"/>
        <v/>
      </c>
      <c r="C844" s="57"/>
      <c r="D844" s="37" t="str">
        <f>IFERROR(VLOOKUP($B844,'MATRICE ARTICLE'!$A$2:$N$1395,2,FALSE),"")</f>
        <v/>
      </c>
      <c r="E844" s="37" t="str">
        <f t="shared" si="53"/>
        <v/>
      </c>
      <c r="F844" s="37" t="str">
        <f>IFERROR(VLOOKUP($B844,'MATRICE ARTICLE'!$A$2:$N$1395,9,FALSE),"")</f>
        <v/>
      </c>
      <c r="G844" s="37" t="str">
        <f>IFERROR(VLOOKUP($B844,'MATRICE ARTICLE'!$A$2:$N$1395,14,FALSE),"")</f>
        <v/>
      </c>
      <c r="H844" s="48" t="str">
        <f t="shared" si="54"/>
        <v/>
      </c>
      <c r="I844" s="48" t="str">
        <f t="shared" si="55"/>
        <v/>
      </c>
    </row>
    <row r="845" spans="2:9">
      <c r="B845" s="57" t="str">
        <f t="shared" si="52"/>
        <v/>
      </c>
      <c r="C845" s="57"/>
      <c r="D845" s="37" t="str">
        <f>IFERROR(VLOOKUP($B845,'MATRICE ARTICLE'!$A$2:$N$1395,2,FALSE),"")</f>
        <v/>
      </c>
      <c r="E845" s="37" t="str">
        <f t="shared" si="53"/>
        <v/>
      </c>
      <c r="F845" s="37" t="str">
        <f>IFERROR(VLOOKUP($B845,'MATRICE ARTICLE'!$A$2:$N$1395,9,FALSE),"")</f>
        <v/>
      </c>
      <c r="G845" s="37" t="str">
        <f>IFERROR(VLOOKUP($B845,'MATRICE ARTICLE'!$A$2:$N$1395,14,FALSE),"")</f>
        <v/>
      </c>
      <c r="H845" s="48" t="str">
        <f t="shared" si="54"/>
        <v/>
      </c>
      <c r="I845" s="48" t="str">
        <f t="shared" si="55"/>
        <v/>
      </c>
    </row>
    <row r="846" spans="2:9">
      <c r="B846" s="57" t="str">
        <f t="shared" si="52"/>
        <v/>
      </c>
      <c r="C846" s="57"/>
      <c r="D846" s="37" t="str">
        <f>IFERROR(VLOOKUP($B846,'MATRICE ARTICLE'!$A$2:$N$1395,2,FALSE),"")</f>
        <v/>
      </c>
      <c r="E846" s="37" t="str">
        <f t="shared" si="53"/>
        <v/>
      </c>
      <c r="F846" s="37" t="str">
        <f>IFERROR(VLOOKUP($B846,'MATRICE ARTICLE'!$A$2:$N$1395,9,FALSE),"")</f>
        <v/>
      </c>
      <c r="G846" s="37" t="str">
        <f>IFERROR(VLOOKUP($B846,'MATRICE ARTICLE'!$A$2:$N$1395,14,FALSE),"")</f>
        <v/>
      </c>
      <c r="H846" s="48" t="str">
        <f t="shared" si="54"/>
        <v/>
      </c>
      <c r="I846" s="48" t="str">
        <f t="shared" si="55"/>
        <v/>
      </c>
    </row>
    <row r="847" spans="2:9">
      <c r="B847" s="57" t="str">
        <f t="shared" si="52"/>
        <v/>
      </c>
      <c r="C847" s="57"/>
      <c r="D847" s="37" t="str">
        <f>IFERROR(VLOOKUP($B847,'MATRICE ARTICLE'!$A$2:$N$1395,2,FALSE),"")</f>
        <v/>
      </c>
      <c r="E847" s="37" t="str">
        <f t="shared" si="53"/>
        <v/>
      </c>
      <c r="F847" s="37" t="str">
        <f>IFERROR(VLOOKUP($B847,'MATRICE ARTICLE'!$A$2:$N$1395,9,FALSE),"")</f>
        <v/>
      </c>
      <c r="G847" s="37" t="str">
        <f>IFERROR(VLOOKUP($B847,'MATRICE ARTICLE'!$A$2:$N$1395,14,FALSE),"")</f>
        <v/>
      </c>
      <c r="H847" s="48" t="str">
        <f t="shared" si="54"/>
        <v/>
      </c>
      <c r="I847" s="48" t="str">
        <f t="shared" si="55"/>
        <v/>
      </c>
    </row>
    <row r="848" spans="2:9">
      <c r="B848" s="57" t="str">
        <f t="shared" si="52"/>
        <v/>
      </c>
      <c r="C848" s="57"/>
      <c r="D848" s="37" t="str">
        <f>IFERROR(VLOOKUP($B848,'MATRICE ARTICLE'!$A$2:$N$1395,2,FALSE),"")</f>
        <v/>
      </c>
      <c r="E848" s="37" t="str">
        <f t="shared" si="53"/>
        <v/>
      </c>
      <c r="F848" s="37" t="str">
        <f>IFERROR(VLOOKUP($B848,'MATRICE ARTICLE'!$A$2:$N$1395,9,FALSE),"")</f>
        <v/>
      </c>
      <c r="G848" s="37" t="str">
        <f>IFERROR(VLOOKUP($B848,'MATRICE ARTICLE'!$A$2:$N$1395,14,FALSE),"")</f>
        <v/>
      </c>
      <c r="H848" s="48" t="str">
        <f t="shared" si="54"/>
        <v/>
      </c>
      <c r="I848" s="48" t="str">
        <f t="shared" si="55"/>
        <v/>
      </c>
    </row>
    <row r="849" spans="2:9">
      <c r="B849" s="57" t="str">
        <f t="shared" si="52"/>
        <v/>
      </c>
      <c r="C849" s="57"/>
      <c r="D849" s="37" t="str">
        <f>IFERROR(VLOOKUP($B849,'MATRICE ARTICLE'!$A$2:$N$1395,2,FALSE),"")</f>
        <v/>
      </c>
      <c r="E849" s="37" t="str">
        <f t="shared" si="53"/>
        <v/>
      </c>
      <c r="F849" s="37" t="str">
        <f>IFERROR(VLOOKUP($B849,'MATRICE ARTICLE'!$A$2:$N$1395,9,FALSE),"")</f>
        <v/>
      </c>
      <c r="G849" s="37" t="str">
        <f>IFERROR(VLOOKUP($B849,'MATRICE ARTICLE'!$A$2:$N$1395,14,FALSE),"")</f>
        <v/>
      </c>
      <c r="H849" s="48" t="str">
        <f t="shared" si="54"/>
        <v/>
      </c>
      <c r="I849" s="48" t="str">
        <f t="shared" si="55"/>
        <v/>
      </c>
    </row>
    <row r="850" spans="2:9">
      <c r="B850" s="57" t="str">
        <f t="shared" si="52"/>
        <v/>
      </c>
      <c r="C850" s="57"/>
      <c r="D850" s="37" t="str">
        <f>IFERROR(VLOOKUP($B850,'MATRICE ARTICLE'!$A$2:$N$1395,2,FALSE),"")</f>
        <v/>
      </c>
      <c r="E850" s="37" t="str">
        <f t="shared" si="53"/>
        <v/>
      </c>
      <c r="F850" s="37" t="str">
        <f>IFERROR(VLOOKUP($B850,'MATRICE ARTICLE'!$A$2:$N$1395,9,FALSE),"")</f>
        <v/>
      </c>
      <c r="G850" s="37" t="str">
        <f>IFERROR(VLOOKUP($B850,'MATRICE ARTICLE'!$A$2:$N$1395,14,FALSE),"")</f>
        <v/>
      </c>
      <c r="H850" s="48" t="str">
        <f t="shared" si="54"/>
        <v/>
      </c>
      <c r="I850" s="48" t="str">
        <f t="shared" si="55"/>
        <v/>
      </c>
    </row>
    <row r="851" spans="2:9">
      <c r="B851" s="57" t="str">
        <f t="shared" si="52"/>
        <v/>
      </c>
      <c r="C851" s="57"/>
      <c r="D851" s="37" t="str">
        <f>IFERROR(VLOOKUP($B851,'MATRICE ARTICLE'!$A$2:$N$1395,2,FALSE),"")</f>
        <v/>
      </c>
      <c r="E851" s="37" t="str">
        <f t="shared" si="53"/>
        <v/>
      </c>
      <c r="F851" s="37" t="str">
        <f>IFERROR(VLOOKUP($B851,'MATRICE ARTICLE'!$A$2:$N$1395,9,FALSE),"")</f>
        <v/>
      </c>
      <c r="G851" s="37" t="str">
        <f>IFERROR(VLOOKUP($B851,'MATRICE ARTICLE'!$A$2:$N$1395,14,FALSE),"")</f>
        <v/>
      </c>
      <c r="H851" s="48" t="str">
        <f t="shared" si="54"/>
        <v/>
      </c>
      <c r="I851" s="48" t="str">
        <f t="shared" si="55"/>
        <v/>
      </c>
    </row>
    <row r="852" spans="2:9">
      <c r="B852" s="57" t="str">
        <f t="shared" si="52"/>
        <v/>
      </c>
      <c r="C852" s="57"/>
      <c r="D852" s="37" t="str">
        <f>IFERROR(VLOOKUP($B852,'MATRICE ARTICLE'!$A$2:$N$1395,2,FALSE),"")</f>
        <v/>
      </c>
      <c r="E852" s="37" t="str">
        <f t="shared" si="53"/>
        <v/>
      </c>
      <c r="F852" s="37" t="str">
        <f>IFERROR(VLOOKUP($B852,'MATRICE ARTICLE'!$A$2:$N$1395,9,FALSE),"")</f>
        <v/>
      </c>
      <c r="G852" s="37" t="str">
        <f>IFERROR(VLOOKUP($B852,'MATRICE ARTICLE'!$A$2:$N$1395,14,FALSE),"")</f>
        <v/>
      </c>
      <c r="H852" s="48" t="str">
        <f t="shared" si="54"/>
        <v/>
      </c>
      <c r="I852" s="48" t="str">
        <f t="shared" si="55"/>
        <v/>
      </c>
    </row>
    <row r="853" spans="2:9">
      <c r="B853" s="57" t="str">
        <f t="shared" si="52"/>
        <v/>
      </c>
      <c r="C853" s="57"/>
      <c r="D853" s="37" t="str">
        <f>IFERROR(VLOOKUP($B853,'MATRICE ARTICLE'!$A$2:$N$1395,2,FALSE),"")</f>
        <v/>
      </c>
      <c r="E853" s="37" t="str">
        <f t="shared" si="53"/>
        <v/>
      </c>
      <c r="F853" s="37" t="str">
        <f>IFERROR(VLOOKUP($B853,'MATRICE ARTICLE'!$A$2:$N$1395,9,FALSE),"")</f>
        <v/>
      </c>
      <c r="G853" s="37" t="str">
        <f>IFERROR(VLOOKUP($B853,'MATRICE ARTICLE'!$A$2:$N$1395,14,FALSE),"")</f>
        <v/>
      </c>
      <c r="H853" s="48" t="str">
        <f t="shared" si="54"/>
        <v/>
      </c>
      <c r="I853" s="48" t="str">
        <f t="shared" si="55"/>
        <v/>
      </c>
    </row>
    <row r="854" spans="2:9">
      <c r="B854" s="57" t="str">
        <f t="shared" si="52"/>
        <v/>
      </c>
      <c r="C854" s="57"/>
      <c r="D854" s="37" t="str">
        <f>IFERROR(VLOOKUP($B854,'MATRICE ARTICLE'!$A$2:$N$1395,2,FALSE),"")</f>
        <v/>
      </c>
      <c r="E854" s="37" t="str">
        <f t="shared" si="53"/>
        <v/>
      </c>
      <c r="F854" s="37" t="str">
        <f>IFERROR(VLOOKUP($B854,'MATRICE ARTICLE'!$A$2:$N$1395,9,FALSE),"")</f>
        <v/>
      </c>
      <c r="G854" s="37" t="str">
        <f>IFERROR(VLOOKUP($B854,'MATRICE ARTICLE'!$A$2:$N$1395,14,FALSE),"")</f>
        <v/>
      </c>
      <c r="H854" s="48" t="str">
        <f t="shared" si="54"/>
        <v/>
      </c>
      <c r="I854" s="48" t="str">
        <f t="shared" si="55"/>
        <v/>
      </c>
    </row>
    <row r="855" spans="2:9">
      <c r="B855" s="57" t="str">
        <f t="shared" si="52"/>
        <v/>
      </c>
      <c r="C855" s="57"/>
      <c r="D855" s="37" t="str">
        <f>IFERROR(VLOOKUP($B855,'MATRICE ARTICLE'!$A$2:$N$1395,2,FALSE),"")</f>
        <v/>
      </c>
      <c r="E855" s="37" t="str">
        <f t="shared" si="53"/>
        <v/>
      </c>
      <c r="F855" s="37" t="str">
        <f>IFERROR(VLOOKUP($B855,'MATRICE ARTICLE'!$A$2:$N$1395,9,FALSE),"")</f>
        <v/>
      </c>
      <c r="G855" s="37" t="str">
        <f>IFERROR(VLOOKUP($B855,'MATRICE ARTICLE'!$A$2:$N$1395,14,FALSE),"")</f>
        <v/>
      </c>
      <c r="H855" s="48" t="str">
        <f t="shared" si="54"/>
        <v/>
      </c>
      <c r="I855" s="48" t="str">
        <f t="shared" si="55"/>
        <v/>
      </c>
    </row>
    <row r="856" spans="2:9">
      <c r="B856" s="57" t="str">
        <f t="shared" si="52"/>
        <v/>
      </c>
      <c r="C856" s="57"/>
      <c r="D856" s="37" t="str">
        <f>IFERROR(VLOOKUP($B856,'MATRICE ARTICLE'!$A$2:$N$1395,2,FALSE),"")</f>
        <v/>
      </c>
      <c r="E856" s="37" t="str">
        <f t="shared" si="53"/>
        <v/>
      </c>
      <c r="F856" s="37" t="str">
        <f>IFERROR(VLOOKUP($B856,'MATRICE ARTICLE'!$A$2:$N$1395,9,FALSE),"")</f>
        <v/>
      </c>
      <c r="G856" s="37" t="str">
        <f>IFERROR(VLOOKUP($B856,'MATRICE ARTICLE'!$A$2:$N$1395,14,FALSE),"")</f>
        <v/>
      </c>
      <c r="H856" s="48" t="str">
        <f t="shared" si="54"/>
        <v/>
      </c>
      <c r="I856" s="48" t="str">
        <f t="shared" si="55"/>
        <v/>
      </c>
    </row>
    <row r="857" spans="2:9">
      <c r="B857" s="57" t="str">
        <f t="shared" si="52"/>
        <v/>
      </c>
      <c r="C857" s="57"/>
      <c r="D857" s="37" t="str">
        <f>IFERROR(VLOOKUP($B857,'MATRICE ARTICLE'!$A$2:$N$1395,2,FALSE),"")</f>
        <v/>
      </c>
      <c r="E857" s="37" t="str">
        <f t="shared" si="53"/>
        <v/>
      </c>
      <c r="F857" s="37" t="str">
        <f>IFERROR(VLOOKUP($B857,'MATRICE ARTICLE'!$A$2:$N$1395,9,FALSE),"")</f>
        <v/>
      </c>
      <c r="G857" s="37" t="str">
        <f>IFERROR(VLOOKUP($B857,'MATRICE ARTICLE'!$A$2:$N$1395,14,FALSE),"")</f>
        <v/>
      </c>
      <c r="H857" s="48" t="str">
        <f t="shared" si="54"/>
        <v/>
      </c>
      <c r="I857" s="48" t="str">
        <f t="shared" si="55"/>
        <v/>
      </c>
    </row>
    <row r="858" spans="2:9">
      <c r="B858" s="57" t="str">
        <f t="shared" si="52"/>
        <v/>
      </c>
      <c r="C858" s="57"/>
      <c r="D858" s="37" t="str">
        <f>IFERROR(VLOOKUP($B858,'MATRICE ARTICLE'!$A$2:$N$1395,2,FALSE),"")</f>
        <v/>
      </c>
      <c r="E858" s="37" t="str">
        <f t="shared" si="53"/>
        <v/>
      </c>
      <c r="F858" s="37" t="str">
        <f>IFERROR(VLOOKUP($B858,'MATRICE ARTICLE'!$A$2:$N$1395,9,FALSE),"")</f>
        <v/>
      </c>
      <c r="G858" s="37" t="str">
        <f>IFERROR(VLOOKUP($B858,'MATRICE ARTICLE'!$A$2:$N$1395,14,FALSE),"")</f>
        <v/>
      </c>
      <c r="H858" s="48" t="str">
        <f t="shared" si="54"/>
        <v/>
      </c>
      <c r="I858" s="48" t="str">
        <f t="shared" si="55"/>
        <v/>
      </c>
    </row>
    <row r="859" spans="2:9">
      <c r="B859" s="57" t="str">
        <f t="shared" si="52"/>
        <v/>
      </c>
      <c r="C859" s="57"/>
      <c r="D859" s="37" t="str">
        <f>IFERROR(VLOOKUP($B859,'MATRICE ARTICLE'!$A$2:$N$1395,2,FALSE),"")</f>
        <v/>
      </c>
      <c r="E859" s="37" t="str">
        <f t="shared" si="53"/>
        <v/>
      </c>
      <c r="F859" s="37" t="str">
        <f>IFERROR(VLOOKUP($B859,'MATRICE ARTICLE'!$A$2:$N$1395,9,FALSE),"")</f>
        <v/>
      </c>
      <c r="G859" s="37" t="str">
        <f>IFERROR(VLOOKUP($B859,'MATRICE ARTICLE'!$A$2:$N$1395,14,FALSE),"")</f>
        <v/>
      </c>
      <c r="H859" s="48" t="str">
        <f t="shared" si="54"/>
        <v/>
      </c>
      <c r="I859" s="48" t="str">
        <f t="shared" si="55"/>
        <v/>
      </c>
    </row>
    <row r="860" spans="2:9">
      <c r="B860" s="57" t="str">
        <f t="shared" si="52"/>
        <v/>
      </c>
      <c r="C860" s="57"/>
      <c r="D860" s="37" t="str">
        <f>IFERROR(VLOOKUP($B860,'MATRICE ARTICLE'!$A$2:$N$1395,2,FALSE),"")</f>
        <v/>
      </c>
      <c r="E860" s="37" t="str">
        <f t="shared" si="53"/>
        <v/>
      </c>
      <c r="F860" s="37" t="str">
        <f>IFERROR(VLOOKUP($B860,'MATRICE ARTICLE'!$A$2:$N$1395,9,FALSE),"")</f>
        <v/>
      </c>
      <c r="G860" s="37" t="str">
        <f>IFERROR(VLOOKUP($B860,'MATRICE ARTICLE'!$A$2:$N$1395,14,FALSE),"")</f>
        <v/>
      </c>
      <c r="H860" s="48" t="str">
        <f t="shared" si="54"/>
        <v/>
      </c>
      <c r="I860" s="48" t="str">
        <f t="shared" si="55"/>
        <v/>
      </c>
    </row>
    <row r="861" spans="2:9">
      <c r="B861" s="57" t="str">
        <f t="shared" si="52"/>
        <v/>
      </c>
      <c r="C861" s="57"/>
      <c r="D861" s="37" t="str">
        <f>IFERROR(VLOOKUP($B861,'MATRICE ARTICLE'!$A$2:$N$1395,2,FALSE),"")</f>
        <v/>
      </c>
      <c r="E861" s="37" t="str">
        <f t="shared" si="53"/>
        <v/>
      </c>
      <c r="F861" s="37" t="str">
        <f>IFERROR(VLOOKUP($B861,'MATRICE ARTICLE'!$A$2:$N$1395,9,FALSE),"")</f>
        <v/>
      </c>
      <c r="G861" s="37" t="str">
        <f>IFERROR(VLOOKUP($B861,'MATRICE ARTICLE'!$A$2:$N$1395,14,FALSE),"")</f>
        <v/>
      </c>
      <c r="H861" s="48" t="str">
        <f t="shared" si="54"/>
        <v/>
      </c>
      <c r="I861" s="48" t="str">
        <f t="shared" si="55"/>
        <v/>
      </c>
    </row>
    <row r="862" spans="2:9">
      <c r="B862" s="57" t="str">
        <f t="shared" si="52"/>
        <v/>
      </c>
      <c r="C862" s="57"/>
      <c r="D862" s="37" t="str">
        <f>IFERROR(VLOOKUP($B862,'MATRICE ARTICLE'!$A$2:$N$1395,2,FALSE),"")</f>
        <v/>
      </c>
      <c r="E862" s="37" t="str">
        <f t="shared" si="53"/>
        <v/>
      </c>
      <c r="F862" s="37" t="str">
        <f>IFERROR(VLOOKUP($B862,'MATRICE ARTICLE'!$A$2:$N$1395,9,FALSE),"")</f>
        <v/>
      </c>
      <c r="G862" s="37" t="str">
        <f>IFERROR(VLOOKUP($B862,'MATRICE ARTICLE'!$A$2:$N$1395,14,FALSE),"")</f>
        <v/>
      </c>
      <c r="H862" s="48" t="str">
        <f t="shared" si="54"/>
        <v/>
      </c>
      <c r="I862" s="48" t="str">
        <f t="shared" si="55"/>
        <v/>
      </c>
    </row>
    <row r="863" spans="2:9">
      <c r="B863" s="57" t="str">
        <f t="shared" si="52"/>
        <v/>
      </c>
      <c r="C863" s="57"/>
      <c r="D863" s="37" t="str">
        <f>IFERROR(VLOOKUP($B863,'MATRICE ARTICLE'!$A$2:$N$1395,2,FALSE),"")</f>
        <v/>
      </c>
      <c r="E863" s="37" t="str">
        <f t="shared" si="53"/>
        <v/>
      </c>
      <c r="F863" s="37" t="str">
        <f>IFERROR(VLOOKUP($B863,'MATRICE ARTICLE'!$A$2:$N$1395,9,FALSE),"")</f>
        <v/>
      </c>
      <c r="G863" s="37" t="str">
        <f>IFERROR(VLOOKUP($B863,'MATRICE ARTICLE'!$A$2:$N$1395,14,FALSE),"")</f>
        <v/>
      </c>
      <c r="H863" s="48" t="str">
        <f t="shared" si="54"/>
        <v/>
      </c>
      <c r="I863" s="48" t="str">
        <f t="shared" si="55"/>
        <v/>
      </c>
    </row>
    <row r="864" spans="2:9">
      <c r="B864" s="57" t="str">
        <f t="shared" si="52"/>
        <v/>
      </c>
      <c r="C864" s="57"/>
      <c r="D864" s="37" t="str">
        <f>IFERROR(VLOOKUP($B864,'MATRICE ARTICLE'!$A$2:$N$1395,2,FALSE),"")</f>
        <v/>
      </c>
      <c r="E864" s="37" t="str">
        <f t="shared" si="53"/>
        <v/>
      </c>
      <c r="F864" s="37" t="str">
        <f>IFERROR(VLOOKUP($B864,'MATRICE ARTICLE'!$A$2:$N$1395,9,FALSE),"")</f>
        <v/>
      </c>
      <c r="G864" s="37" t="str">
        <f>IFERROR(VLOOKUP($B864,'MATRICE ARTICLE'!$A$2:$N$1395,14,FALSE),"")</f>
        <v/>
      </c>
      <c r="H864" s="48" t="str">
        <f t="shared" si="54"/>
        <v/>
      </c>
      <c r="I864" s="48" t="str">
        <f t="shared" si="55"/>
        <v/>
      </c>
    </row>
    <row r="865" spans="2:9">
      <c r="B865" s="57" t="str">
        <f t="shared" si="52"/>
        <v/>
      </c>
      <c r="C865" s="57"/>
      <c r="D865" s="37" t="str">
        <f>IFERROR(VLOOKUP($B865,'MATRICE ARTICLE'!$A$2:$N$1395,2,FALSE),"")</f>
        <v/>
      </c>
      <c r="E865" s="37" t="str">
        <f t="shared" si="53"/>
        <v/>
      </c>
      <c r="F865" s="37" t="str">
        <f>IFERROR(VLOOKUP($B865,'MATRICE ARTICLE'!$A$2:$N$1395,9,FALSE),"")</f>
        <v/>
      </c>
      <c r="G865" s="37" t="str">
        <f>IFERROR(VLOOKUP($B865,'MATRICE ARTICLE'!$A$2:$N$1395,14,FALSE),"")</f>
        <v/>
      </c>
      <c r="H865" s="48" t="str">
        <f t="shared" si="54"/>
        <v/>
      </c>
      <c r="I865" s="48" t="str">
        <f t="shared" si="55"/>
        <v/>
      </c>
    </row>
    <row r="866" spans="2:9">
      <c r="B866" s="57" t="str">
        <f t="shared" si="52"/>
        <v/>
      </c>
      <c r="C866" s="57"/>
      <c r="D866" s="37" t="str">
        <f>IFERROR(VLOOKUP($B866,'MATRICE ARTICLE'!$A$2:$N$1395,2,FALSE),"")</f>
        <v/>
      </c>
      <c r="E866" s="37" t="str">
        <f t="shared" si="53"/>
        <v/>
      </c>
      <c r="F866" s="37" t="str">
        <f>IFERROR(VLOOKUP($B866,'MATRICE ARTICLE'!$A$2:$N$1395,9,FALSE),"")</f>
        <v/>
      </c>
      <c r="G866" s="37" t="str">
        <f>IFERROR(VLOOKUP($B866,'MATRICE ARTICLE'!$A$2:$N$1395,14,FALSE),"")</f>
        <v/>
      </c>
      <c r="H866" s="48" t="str">
        <f t="shared" si="54"/>
        <v/>
      </c>
      <c r="I866" s="48" t="str">
        <f t="shared" si="55"/>
        <v/>
      </c>
    </row>
    <row r="867" spans="2:9">
      <c r="B867" s="57" t="str">
        <f t="shared" si="52"/>
        <v/>
      </c>
      <c r="C867" s="57"/>
      <c r="D867" s="37" t="str">
        <f>IFERROR(VLOOKUP($B867,'MATRICE ARTICLE'!$A$2:$N$1395,2,FALSE),"")</f>
        <v/>
      </c>
      <c r="E867" s="37" t="str">
        <f t="shared" si="53"/>
        <v/>
      </c>
      <c r="F867" s="37" t="str">
        <f>IFERROR(VLOOKUP($B867,'MATRICE ARTICLE'!$A$2:$N$1395,9,FALSE),"")</f>
        <v/>
      </c>
      <c r="G867" s="37" t="str">
        <f>IFERROR(VLOOKUP($B867,'MATRICE ARTICLE'!$A$2:$N$1395,14,FALSE),"")</f>
        <v/>
      </c>
      <c r="H867" s="48" t="str">
        <f t="shared" si="54"/>
        <v/>
      </c>
      <c r="I867" s="48" t="str">
        <f t="shared" si="55"/>
        <v/>
      </c>
    </row>
    <row r="868" spans="2:9">
      <c r="B868" s="57" t="str">
        <f t="shared" si="52"/>
        <v/>
      </c>
      <c r="C868" s="57"/>
      <c r="D868" s="37" t="str">
        <f>IFERROR(VLOOKUP($B868,'MATRICE ARTICLE'!$A$2:$N$1395,2,FALSE),"")</f>
        <v/>
      </c>
      <c r="E868" s="37" t="str">
        <f t="shared" si="53"/>
        <v/>
      </c>
      <c r="F868" s="37" t="str">
        <f>IFERROR(VLOOKUP($B868,'MATRICE ARTICLE'!$A$2:$N$1395,9,FALSE),"")</f>
        <v/>
      </c>
      <c r="G868" s="37" t="str">
        <f>IFERROR(VLOOKUP($B868,'MATRICE ARTICLE'!$A$2:$N$1395,14,FALSE),"")</f>
        <v/>
      </c>
      <c r="H868" s="48" t="str">
        <f t="shared" si="54"/>
        <v/>
      </c>
      <c r="I868" s="48" t="str">
        <f t="shared" si="55"/>
        <v/>
      </c>
    </row>
    <row r="869" spans="2:9">
      <c r="B869" s="57" t="str">
        <f t="shared" si="52"/>
        <v/>
      </c>
      <c r="C869" s="57"/>
      <c r="D869" s="37" t="str">
        <f>IFERROR(VLOOKUP($B869,'MATRICE ARTICLE'!$A$2:$N$1395,2,FALSE),"")</f>
        <v/>
      </c>
      <c r="E869" s="37" t="str">
        <f t="shared" si="53"/>
        <v/>
      </c>
      <c r="F869" s="37" t="str">
        <f>IFERROR(VLOOKUP($B869,'MATRICE ARTICLE'!$A$2:$N$1395,9,FALSE),"")</f>
        <v/>
      </c>
      <c r="G869" s="37" t="str">
        <f>IFERROR(VLOOKUP($B869,'MATRICE ARTICLE'!$A$2:$N$1395,14,FALSE),"")</f>
        <v/>
      </c>
      <c r="H869" s="48" t="str">
        <f t="shared" si="54"/>
        <v/>
      </c>
      <c r="I869" s="48" t="str">
        <f t="shared" si="55"/>
        <v/>
      </c>
    </row>
    <row r="870" spans="2:9">
      <c r="B870" s="57" t="str">
        <f t="shared" si="52"/>
        <v/>
      </c>
      <c r="C870" s="57"/>
      <c r="D870" s="37" t="str">
        <f>IFERROR(VLOOKUP($B870,'MATRICE ARTICLE'!$A$2:$N$1395,2,FALSE),"")</f>
        <v/>
      </c>
      <c r="E870" s="37" t="str">
        <f t="shared" si="53"/>
        <v/>
      </c>
      <c r="F870" s="37" t="str">
        <f>IFERROR(VLOOKUP($B870,'MATRICE ARTICLE'!$A$2:$N$1395,9,FALSE),"")</f>
        <v/>
      </c>
      <c r="G870" s="37" t="str">
        <f>IFERROR(VLOOKUP($B870,'MATRICE ARTICLE'!$A$2:$N$1395,14,FALSE),"")</f>
        <v/>
      </c>
      <c r="H870" s="48" t="str">
        <f t="shared" si="54"/>
        <v/>
      </c>
      <c r="I870" s="48" t="str">
        <f t="shared" si="55"/>
        <v/>
      </c>
    </row>
    <row r="871" spans="2:9">
      <c r="B871" s="57" t="str">
        <f t="shared" si="52"/>
        <v/>
      </c>
      <c r="C871" s="57"/>
      <c r="D871" s="37" t="str">
        <f>IFERROR(VLOOKUP($B871,'MATRICE ARTICLE'!$A$2:$N$1395,2,FALSE),"")</f>
        <v/>
      </c>
      <c r="E871" s="37" t="str">
        <f t="shared" si="53"/>
        <v/>
      </c>
      <c r="F871" s="37" t="str">
        <f>IFERROR(VLOOKUP($B871,'MATRICE ARTICLE'!$A$2:$N$1395,9,FALSE),"")</f>
        <v/>
      </c>
      <c r="G871" s="37" t="str">
        <f>IFERROR(VLOOKUP($B871,'MATRICE ARTICLE'!$A$2:$N$1395,14,FALSE),"")</f>
        <v/>
      </c>
      <c r="H871" s="48" t="str">
        <f t="shared" si="54"/>
        <v/>
      </c>
      <c r="I871" s="48" t="str">
        <f t="shared" si="55"/>
        <v/>
      </c>
    </row>
    <row r="872" spans="2:9">
      <c r="B872" s="57" t="str">
        <f t="shared" si="52"/>
        <v/>
      </c>
      <c r="C872" s="57"/>
      <c r="D872" s="37" t="str">
        <f>IFERROR(VLOOKUP($B872,'MATRICE ARTICLE'!$A$2:$N$1395,2,FALSE),"")</f>
        <v/>
      </c>
      <c r="E872" s="37" t="str">
        <f t="shared" si="53"/>
        <v/>
      </c>
      <c r="F872" s="37" t="str">
        <f>IFERROR(VLOOKUP($B872,'MATRICE ARTICLE'!$A$2:$N$1395,9,FALSE),"")</f>
        <v/>
      </c>
      <c r="G872" s="37" t="str">
        <f>IFERROR(VLOOKUP($B872,'MATRICE ARTICLE'!$A$2:$N$1395,14,FALSE),"")</f>
        <v/>
      </c>
      <c r="H872" s="48" t="str">
        <f t="shared" si="54"/>
        <v/>
      </c>
      <c r="I872" s="48" t="str">
        <f t="shared" si="55"/>
        <v/>
      </c>
    </row>
    <row r="873" spans="2:9">
      <c r="B873" s="57" t="str">
        <f t="shared" si="52"/>
        <v/>
      </c>
      <c r="C873" s="57"/>
      <c r="D873" s="37" t="str">
        <f>IFERROR(VLOOKUP($B873,'MATRICE ARTICLE'!$A$2:$N$1395,2,FALSE),"")</f>
        <v/>
      </c>
      <c r="E873" s="37" t="str">
        <f t="shared" si="53"/>
        <v/>
      </c>
      <c r="F873" s="37" t="str">
        <f>IFERROR(VLOOKUP($B873,'MATRICE ARTICLE'!$A$2:$N$1395,9,FALSE),"")</f>
        <v/>
      </c>
      <c r="G873" s="37" t="str">
        <f>IFERROR(VLOOKUP($B873,'MATRICE ARTICLE'!$A$2:$N$1395,14,FALSE),"")</f>
        <v/>
      </c>
      <c r="H873" s="48" t="str">
        <f t="shared" si="54"/>
        <v/>
      </c>
      <c r="I873" s="48" t="str">
        <f t="shared" si="55"/>
        <v/>
      </c>
    </row>
    <row r="874" spans="2:9">
      <c r="B874" s="57" t="str">
        <f t="shared" si="52"/>
        <v/>
      </c>
      <c r="C874" s="57"/>
      <c r="D874" s="37" t="str">
        <f>IFERROR(VLOOKUP($B874,'MATRICE ARTICLE'!$A$2:$N$1395,2,FALSE),"")</f>
        <v/>
      </c>
      <c r="E874" s="37" t="str">
        <f t="shared" si="53"/>
        <v/>
      </c>
      <c r="F874" s="37" t="str">
        <f>IFERROR(VLOOKUP($B874,'MATRICE ARTICLE'!$A$2:$N$1395,9,FALSE),"")</f>
        <v/>
      </c>
      <c r="G874" s="37" t="str">
        <f>IFERROR(VLOOKUP($B874,'MATRICE ARTICLE'!$A$2:$N$1395,14,FALSE),"")</f>
        <v/>
      </c>
      <c r="H874" s="48" t="str">
        <f t="shared" si="54"/>
        <v/>
      </c>
      <c r="I874" s="48" t="str">
        <f t="shared" si="55"/>
        <v/>
      </c>
    </row>
    <row r="875" spans="2:9">
      <c r="B875" s="57" t="str">
        <f t="shared" si="52"/>
        <v/>
      </c>
      <c r="C875" s="57"/>
      <c r="D875" s="37" t="str">
        <f>IFERROR(VLOOKUP($B875,'MATRICE ARTICLE'!$A$2:$N$1395,2,FALSE),"")</f>
        <v/>
      </c>
      <c r="E875" s="37" t="str">
        <f t="shared" si="53"/>
        <v/>
      </c>
      <c r="F875" s="37" t="str">
        <f>IFERROR(VLOOKUP($B875,'MATRICE ARTICLE'!$A$2:$N$1395,9,FALSE),"")</f>
        <v/>
      </c>
      <c r="G875" s="37" t="str">
        <f>IFERROR(VLOOKUP($B875,'MATRICE ARTICLE'!$A$2:$N$1395,14,FALSE),"")</f>
        <v/>
      </c>
      <c r="H875" s="48" t="str">
        <f t="shared" si="54"/>
        <v/>
      </c>
      <c r="I875" s="48" t="str">
        <f t="shared" si="55"/>
        <v/>
      </c>
    </row>
    <row r="876" spans="2:9">
      <c r="B876" s="57" t="str">
        <f t="shared" si="52"/>
        <v/>
      </c>
      <c r="C876" s="57"/>
      <c r="D876" s="37" t="str">
        <f>IFERROR(VLOOKUP($B876,'MATRICE ARTICLE'!$A$2:$N$1395,2,FALSE),"")</f>
        <v/>
      </c>
      <c r="E876" s="37" t="str">
        <f t="shared" si="53"/>
        <v/>
      </c>
      <c r="F876" s="37" t="str">
        <f>IFERROR(VLOOKUP($B876,'MATRICE ARTICLE'!$A$2:$N$1395,9,FALSE),"")</f>
        <v/>
      </c>
      <c r="G876" s="37" t="str">
        <f>IFERROR(VLOOKUP($B876,'MATRICE ARTICLE'!$A$2:$N$1395,14,FALSE),"")</f>
        <v/>
      </c>
      <c r="H876" s="48" t="str">
        <f t="shared" si="54"/>
        <v/>
      </c>
      <c r="I876" s="48" t="str">
        <f t="shared" si="55"/>
        <v/>
      </c>
    </row>
    <row r="877" spans="2:9">
      <c r="B877" s="57" t="str">
        <f t="shared" si="52"/>
        <v/>
      </c>
      <c r="C877" s="57"/>
      <c r="D877" s="37" t="str">
        <f>IFERROR(VLOOKUP($B877,'MATRICE ARTICLE'!$A$2:$N$1395,2,FALSE),"")</f>
        <v/>
      </c>
      <c r="E877" s="37" t="str">
        <f t="shared" si="53"/>
        <v/>
      </c>
      <c r="F877" s="37" t="str">
        <f>IFERROR(VLOOKUP($B877,'MATRICE ARTICLE'!$A$2:$N$1395,9,FALSE),"")</f>
        <v/>
      </c>
      <c r="G877" s="37" t="str">
        <f>IFERROR(VLOOKUP($B877,'MATRICE ARTICLE'!$A$2:$N$1395,14,FALSE),"")</f>
        <v/>
      </c>
      <c r="H877" s="48" t="str">
        <f t="shared" si="54"/>
        <v/>
      </c>
      <c r="I877" s="48" t="str">
        <f t="shared" si="55"/>
        <v/>
      </c>
    </row>
    <row r="878" spans="2:9">
      <c r="B878" s="57" t="str">
        <f t="shared" si="52"/>
        <v/>
      </c>
      <c r="C878" s="57"/>
      <c r="D878" s="37" t="str">
        <f>IFERROR(VLOOKUP($B878,'MATRICE ARTICLE'!$A$2:$N$1395,2,FALSE),"")</f>
        <v/>
      </c>
      <c r="E878" s="37" t="str">
        <f t="shared" si="53"/>
        <v/>
      </c>
      <c r="F878" s="37" t="str">
        <f>IFERROR(VLOOKUP($B878,'MATRICE ARTICLE'!$A$2:$N$1395,9,FALSE),"")</f>
        <v/>
      </c>
      <c r="G878" s="37" t="str">
        <f>IFERROR(VLOOKUP($B878,'MATRICE ARTICLE'!$A$2:$N$1395,14,FALSE),"")</f>
        <v/>
      </c>
      <c r="H878" s="48" t="str">
        <f t="shared" si="54"/>
        <v/>
      </c>
      <c r="I878" s="48" t="str">
        <f t="shared" si="55"/>
        <v/>
      </c>
    </row>
    <row r="879" spans="2:9">
      <c r="B879" s="57" t="str">
        <f t="shared" si="52"/>
        <v/>
      </c>
      <c r="C879" s="57"/>
      <c r="D879" s="37" t="str">
        <f>IFERROR(VLOOKUP($B879,'MATRICE ARTICLE'!$A$2:$N$1395,2,FALSE),"")</f>
        <v/>
      </c>
      <c r="E879" s="37" t="str">
        <f t="shared" si="53"/>
        <v/>
      </c>
      <c r="F879" s="37" t="str">
        <f>IFERROR(VLOOKUP($B879,'MATRICE ARTICLE'!$A$2:$N$1395,9,FALSE),"")</f>
        <v/>
      </c>
      <c r="G879" s="37" t="str">
        <f>IFERROR(VLOOKUP($B879,'MATRICE ARTICLE'!$A$2:$N$1395,14,FALSE),"")</f>
        <v/>
      </c>
      <c r="H879" s="48" t="str">
        <f t="shared" si="54"/>
        <v/>
      </c>
      <c r="I879" s="48" t="str">
        <f t="shared" si="55"/>
        <v/>
      </c>
    </row>
    <row r="880" spans="2:9">
      <c r="B880" s="57" t="str">
        <f t="shared" si="52"/>
        <v/>
      </c>
      <c r="C880" s="57"/>
      <c r="D880" s="37" t="str">
        <f>IFERROR(VLOOKUP($B880,'MATRICE ARTICLE'!$A$2:$N$1395,2,FALSE),"")</f>
        <v/>
      </c>
      <c r="E880" s="37" t="str">
        <f t="shared" si="53"/>
        <v/>
      </c>
      <c r="F880" s="37" t="str">
        <f>IFERROR(VLOOKUP($B880,'MATRICE ARTICLE'!$A$2:$N$1395,9,FALSE),"")</f>
        <v/>
      </c>
      <c r="G880" s="37" t="str">
        <f>IFERROR(VLOOKUP($B880,'MATRICE ARTICLE'!$A$2:$N$1395,14,FALSE),"")</f>
        <v/>
      </c>
      <c r="H880" s="48" t="str">
        <f t="shared" si="54"/>
        <v/>
      </c>
      <c r="I880" s="48" t="str">
        <f t="shared" si="55"/>
        <v/>
      </c>
    </row>
    <row r="881" spans="2:9">
      <c r="B881" s="57" t="str">
        <f t="shared" si="52"/>
        <v/>
      </c>
      <c r="C881" s="57"/>
      <c r="D881" s="37" t="str">
        <f>IFERROR(VLOOKUP($B881,'MATRICE ARTICLE'!$A$2:$N$1395,2,FALSE),"")</f>
        <v/>
      </c>
      <c r="E881" s="37" t="str">
        <f t="shared" si="53"/>
        <v/>
      </c>
      <c r="F881" s="37" t="str">
        <f>IFERROR(VLOOKUP($B881,'MATRICE ARTICLE'!$A$2:$N$1395,9,FALSE),"")</f>
        <v/>
      </c>
      <c r="G881" s="37" t="str">
        <f>IFERROR(VLOOKUP($B881,'MATRICE ARTICLE'!$A$2:$N$1395,14,FALSE),"")</f>
        <v/>
      </c>
      <c r="H881" s="48" t="str">
        <f t="shared" si="54"/>
        <v/>
      </c>
      <c r="I881" s="48" t="str">
        <f t="shared" si="55"/>
        <v/>
      </c>
    </row>
    <row r="882" spans="2:9">
      <c r="B882" s="57" t="str">
        <f t="shared" si="52"/>
        <v/>
      </c>
      <c r="C882" s="57"/>
      <c r="D882" s="37" t="str">
        <f>IFERROR(VLOOKUP($B882,'MATRICE ARTICLE'!$A$2:$N$1395,2,FALSE),"")</f>
        <v/>
      </c>
      <c r="E882" s="37" t="str">
        <f t="shared" si="53"/>
        <v/>
      </c>
      <c r="F882" s="37" t="str">
        <f>IFERROR(VLOOKUP($B882,'MATRICE ARTICLE'!$A$2:$N$1395,9,FALSE),"")</f>
        <v/>
      </c>
      <c r="G882" s="37" t="str">
        <f>IFERROR(VLOOKUP($B882,'MATRICE ARTICLE'!$A$2:$N$1395,14,FALSE),"")</f>
        <v/>
      </c>
      <c r="H882" s="48" t="str">
        <f t="shared" si="54"/>
        <v/>
      </c>
      <c r="I882" s="48" t="str">
        <f t="shared" si="55"/>
        <v/>
      </c>
    </row>
    <row r="883" spans="2:9">
      <c r="B883" s="57" t="str">
        <f t="shared" si="52"/>
        <v/>
      </c>
      <c r="C883" s="57"/>
      <c r="D883" s="37" t="str">
        <f>IFERROR(VLOOKUP($B883,'MATRICE ARTICLE'!$A$2:$N$1395,2,FALSE),"")</f>
        <v/>
      </c>
      <c r="E883" s="37" t="str">
        <f t="shared" si="53"/>
        <v/>
      </c>
      <c r="F883" s="37" t="str">
        <f>IFERROR(VLOOKUP($B883,'MATRICE ARTICLE'!$A$2:$N$1395,9,FALSE),"")</f>
        <v/>
      </c>
      <c r="G883" s="37" t="str">
        <f>IFERROR(VLOOKUP($B883,'MATRICE ARTICLE'!$A$2:$N$1395,14,FALSE),"")</f>
        <v/>
      </c>
      <c r="H883" s="48" t="str">
        <f t="shared" si="54"/>
        <v/>
      </c>
      <c r="I883" s="48" t="str">
        <f t="shared" si="55"/>
        <v/>
      </c>
    </row>
    <row r="884" spans="2:9">
      <c r="B884" s="57" t="str">
        <f t="shared" si="52"/>
        <v/>
      </c>
      <c r="C884" s="57"/>
      <c r="D884" s="37" t="str">
        <f>IFERROR(VLOOKUP($B884,'MATRICE ARTICLE'!$A$2:$N$1395,2,FALSE),"")</f>
        <v/>
      </c>
      <c r="E884" s="37" t="str">
        <f t="shared" si="53"/>
        <v/>
      </c>
      <c r="F884" s="37" t="str">
        <f>IFERROR(VLOOKUP($B884,'MATRICE ARTICLE'!$A$2:$N$1395,9,FALSE),"")</f>
        <v/>
      </c>
      <c r="G884" s="37" t="str">
        <f>IFERROR(VLOOKUP($B884,'MATRICE ARTICLE'!$A$2:$N$1395,14,FALSE),"")</f>
        <v/>
      </c>
      <c r="H884" s="48" t="str">
        <f t="shared" si="54"/>
        <v/>
      </c>
      <c r="I884" s="48" t="str">
        <f t="shared" si="55"/>
        <v/>
      </c>
    </row>
    <row r="885" spans="2:9">
      <c r="B885" s="57" t="str">
        <f t="shared" si="52"/>
        <v/>
      </c>
      <c r="C885" s="57"/>
      <c r="D885" s="37" t="str">
        <f>IFERROR(VLOOKUP($B885,'MATRICE ARTICLE'!$A$2:$N$1395,2,FALSE),"")</f>
        <v/>
      </c>
      <c r="E885" s="37" t="str">
        <f t="shared" si="53"/>
        <v/>
      </c>
      <c r="F885" s="37" t="str">
        <f>IFERROR(VLOOKUP($B885,'MATRICE ARTICLE'!$A$2:$N$1395,9,FALSE),"")</f>
        <v/>
      </c>
      <c r="G885" s="37" t="str">
        <f>IFERROR(VLOOKUP($B885,'MATRICE ARTICLE'!$A$2:$N$1395,14,FALSE),"")</f>
        <v/>
      </c>
      <c r="H885" s="48" t="str">
        <f t="shared" si="54"/>
        <v/>
      </c>
      <c r="I885" s="48" t="str">
        <f t="shared" si="55"/>
        <v/>
      </c>
    </row>
    <row r="886" spans="2:9">
      <c r="B886" s="57" t="str">
        <f t="shared" si="52"/>
        <v/>
      </c>
      <c r="C886" s="57"/>
      <c r="D886" s="37" t="str">
        <f>IFERROR(VLOOKUP($B886,'MATRICE ARTICLE'!$A$2:$N$1395,2,FALSE),"")</f>
        <v/>
      </c>
      <c r="E886" s="37" t="str">
        <f t="shared" si="53"/>
        <v/>
      </c>
      <c r="F886" s="37" t="str">
        <f>IFERROR(VLOOKUP($B886,'MATRICE ARTICLE'!$A$2:$N$1395,9,FALSE),"")</f>
        <v/>
      </c>
      <c r="G886" s="37" t="str">
        <f>IFERROR(VLOOKUP($B886,'MATRICE ARTICLE'!$A$2:$N$1395,14,FALSE),"")</f>
        <v/>
      </c>
      <c r="H886" s="48" t="str">
        <f t="shared" si="54"/>
        <v/>
      </c>
      <c r="I886" s="48" t="str">
        <f t="shared" si="55"/>
        <v/>
      </c>
    </row>
    <row r="887" spans="2:9">
      <c r="B887" s="57" t="str">
        <f t="shared" si="52"/>
        <v/>
      </c>
      <c r="C887" s="57"/>
      <c r="D887" s="37" t="str">
        <f>IFERROR(VLOOKUP($B887,'MATRICE ARTICLE'!$A$2:$N$1395,2,FALSE),"")</f>
        <v/>
      </c>
      <c r="E887" s="37" t="str">
        <f t="shared" si="53"/>
        <v/>
      </c>
      <c r="F887" s="37" t="str">
        <f>IFERROR(VLOOKUP($B887,'MATRICE ARTICLE'!$A$2:$N$1395,9,FALSE),"")</f>
        <v/>
      </c>
      <c r="G887" s="37" t="str">
        <f>IFERROR(VLOOKUP($B887,'MATRICE ARTICLE'!$A$2:$N$1395,14,FALSE),"")</f>
        <v/>
      </c>
      <c r="H887" s="48" t="str">
        <f t="shared" si="54"/>
        <v/>
      </c>
      <c r="I887" s="48" t="str">
        <f t="shared" si="55"/>
        <v/>
      </c>
    </row>
    <row r="888" spans="2:9">
      <c r="B888" s="57" t="str">
        <f t="shared" si="52"/>
        <v/>
      </c>
      <c r="C888" s="57"/>
      <c r="D888" s="37" t="str">
        <f>IFERROR(VLOOKUP($B888,'MATRICE ARTICLE'!$A$2:$N$1395,2,FALSE),"")</f>
        <v/>
      </c>
      <c r="E888" s="37" t="str">
        <f t="shared" si="53"/>
        <v/>
      </c>
      <c r="F888" s="37" t="str">
        <f>IFERROR(VLOOKUP($B888,'MATRICE ARTICLE'!$A$2:$N$1395,9,FALSE),"")</f>
        <v/>
      </c>
      <c r="G888" s="37" t="str">
        <f>IFERROR(VLOOKUP($B888,'MATRICE ARTICLE'!$A$2:$N$1395,14,FALSE),"")</f>
        <v/>
      </c>
      <c r="H888" s="48" t="str">
        <f t="shared" si="54"/>
        <v/>
      </c>
      <c r="I888" s="48" t="str">
        <f t="shared" si="55"/>
        <v/>
      </c>
    </row>
    <row r="889" spans="2:9">
      <c r="B889" s="57" t="str">
        <f t="shared" si="52"/>
        <v/>
      </c>
      <c r="C889" s="57"/>
      <c r="D889" s="37" t="str">
        <f>IFERROR(VLOOKUP($B889,'MATRICE ARTICLE'!$A$2:$N$1395,2,FALSE),"")</f>
        <v/>
      </c>
      <c r="E889" s="37" t="str">
        <f t="shared" si="53"/>
        <v/>
      </c>
      <c r="F889" s="37" t="str">
        <f>IFERROR(VLOOKUP($B889,'MATRICE ARTICLE'!$A$2:$N$1395,9,FALSE),"")</f>
        <v/>
      </c>
      <c r="G889" s="37" t="str">
        <f>IFERROR(VLOOKUP($B889,'MATRICE ARTICLE'!$A$2:$N$1395,14,FALSE),"")</f>
        <v/>
      </c>
      <c r="H889" s="48" t="str">
        <f t="shared" si="54"/>
        <v/>
      </c>
      <c r="I889" s="48" t="str">
        <f t="shared" si="55"/>
        <v/>
      </c>
    </row>
    <row r="890" spans="2:9">
      <c r="B890" s="57" t="str">
        <f t="shared" si="52"/>
        <v/>
      </c>
      <c r="C890" s="57"/>
      <c r="D890" s="37" t="str">
        <f>IFERROR(VLOOKUP($B890,'MATRICE ARTICLE'!$A$2:$N$1395,2,FALSE),"")</f>
        <v/>
      </c>
      <c r="E890" s="37" t="str">
        <f t="shared" si="53"/>
        <v/>
      </c>
      <c r="F890" s="37" t="str">
        <f>IFERROR(VLOOKUP($B890,'MATRICE ARTICLE'!$A$2:$N$1395,9,FALSE),"")</f>
        <v/>
      </c>
      <c r="G890" s="37" t="str">
        <f>IFERROR(VLOOKUP($B890,'MATRICE ARTICLE'!$A$2:$N$1395,14,FALSE),"")</f>
        <v/>
      </c>
      <c r="H890" s="48" t="str">
        <f t="shared" si="54"/>
        <v/>
      </c>
      <c r="I890" s="48" t="str">
        <f t="shared" si="55"/>
        <v/>
      </c>
    </row>
    <row r="891" spans="2:9">
      <c r="B891" s="57" t="str">
        <f t="shared" si="52"/>
        <v/>
      </c>
      <c r="C891" s="57"/>
      <c r="D891" s="37" t="str">
        <f>IFERROR(VLOOKUP($B891,'MATRICE ARTICLE'!$A$2:$N$1395,2,FALSE),"")</f>
        <v/>
      </c>
      <c r="E891" s="37" t="str">
        <f t="shared" si="53"/>
        <v/>
      </c>
      <c r="F891" s="37" t="str">
        <f>IFERROR(VLOOKUP($B891,'MATRICE ARTICLE'!$A$2:$N$1395,9,FALSE),"")</f>
        <v/>
      </c>
      <c r="G891" s="37" t="str">
        <f>IFERROR(VLOOKUP($B891,'MATRICE ARTICLE'!$A$2:$N$1395,14,FALSE),"")</f>
        <v/>
      </c>
      <c r="H891" s="48" t="str">
        <f t="shared" si="54"/>
        <v/>
      </c>
      <c r="I891" s="48" t="str">
        <f t="shared" si="55"/>
        <v/>
      </c>
    </row>
    <row r="892" spans="2:9">
      <c r="B892" s="57" t="str">
        <f t="shared" si="52"/>
        <v/>
      </c>
      <c r="C892" s="57"/>
      <c r="D892" s="37" t="str">
        <f>IFERROR(VLOOKUP($B892,'MATRICE ARTICLE'!$A$2:$N$1395,2,FALSE),"")</f>
        <v/>
      </c>
      <c r="E892" s="37" t="str">
        <f t="shared" si="53"/>
        <v/>
      </c>
      <c r="F892" s="37" t="str">
        <f>IFERROR(VLOOKUP($B892,'MATRICE ARTICLE'!$A$2:$N$1395,9,FALSE),"")</f>
        <v/>
      </c>
      <c r="G892" s="37" t="str">
        <f>IFERROR(VLOOKUP($B892,'MATRICE ARTICLE'!$A$2:$N$1395,14,FALSE),"")</f>
        <v/>
      </c>
      <c r="H892" s="48" t="str">
        <f t="shared" si="54"/>
        <v/>
      </c>
      <c r="I892" s="48" t="str">
        <f t="shared" si="55"/>
        <v/>
      </c>
    </row>
    <row r="893" spans="2:9">
      <c r="B893" s="57" t="str">
        <f t="shared" si="52"/>
        <v/>
      </c>
      <c r="C893" s="57"/>
      <c r="D893" s="37" t="str">
        <f>IFERROR(VLOOKUP($B893,'MATRICE ARTICLE'!$A$2:$N$1395,2,FALSE),"")</f>
        <v/>
      </c>
      <c r="E893" s="37" t="str">
        <f t="shared" si="53"/>
        <v/>
      </c>
      <c r="F893" s="37" t="str">
        <f>IFERROR(VLOOKUP($B893,'MATRICE ARTICLE'!$A$2:$N$1395,9,FALSE),"")</f>
        <v/>
      </c>
      <c r="G893" s="37" t="str">
        <f>IFERROR(VLOOKUP($B893,'MATRICE ARTICLE'!$A$2:$N$1395,14,FALSE),"")</f>
        <v/>
      </c>
      <c r="H893" s="48" t="str">
        <f t="shared" si="54"/>
        <v/>
      </c>
      <c r="I893" s="48" t="str">
        <f t="shared" si="55"/>
        <v/>
      </c>
    </row>
    <row r="894" spans="2:9">
      <c r="B894" s="57" t="str">
        <f t="shared" si="52"/>
        <v/>
      </c>
      <c r="C894" s="57"/>
      <c r="D894" s="37" t="str">
        <f>IFERROR(VLOOKUP($B894,'MATRICE ARTICLE'!$A$2:$N$1395,2,FALSE),"")</f>
        <v/>
      </c>
      <c r="E894" s="37" t="str">
        <f t="shared" si="53"/>
        <v/>
      </c>
      <c r="F894" s="37" t="str">
        <f>IFERROR(VLOOKUP($B894,'MATRICE ARTICLE'!$A$2:$N$1395,9,FALSE),"")</f>
        <v/>
      </c>
      <c r="G894" s="37" t="str">
        <f>IFERROR(VLOOKUP($B894,'MATRICE ARTICLE'!$A$2:$N$1395,14,FALSE),"")</f>
        <v/>
      </c>
      <c r="H894" s="48" t="str">
        <f t="shared" si="54"/>
        <v/>
      </c>
      <c r="I894" s="48" t="str">
        <f t="shared" si="55"/>
        <v/>
      </c>
    </row>
    <row r="895" spans="2:9">
      <c r="B895" s="57" t="str">
        <f t="shared" si="52"/>
        <v/>
      </c>
      <c r="C895" s="57"/>
      <c r="D895" s="37" t="str">
        <f>IFERROR(VLOOKUP($B895,'MATRICE ARTICLE'!$A$2:$N$1395,2,FALSE),"")</f>
        <v/>
      </c>
      <c r="E895" s="37" t="str">
        <f t="shared" si="53"/>
        <v/>
      </c>
      <c r="F895" s="37" t="str">
        <f>IFERROR(VLOOKUP($B895,'MATRICE ARTICLE'!$A$2:$N$1395,9,FALSE),"")</f>
        <v/>
      </c>
      <c r="G895" s="37" t="str">
        <f>IFERROR(VLOOKUP($B895,'MATRICE ARTICLE'!$A$2:$N$1395,14,FALSE),"")</f>
        <v/>
      </c>
      <c r="H895" s="48" t="str">
        <f t="shared" si="54"/>
        <v/>
      </c>
      <c r="I895" s="48" t="str">
        <f t="shared" si="55"/>
        <v/>
      </c>
    </row>
    <row r="896" spans="2:9">
      <c r="B896" s="57" t="str">
        <f t="shared" si="52"/>
        <v/>
      </c>
      <c r="C896" s="57"/>
      <c r="D896" s="37" t="str">
        <f>IFERROR(VLOOKUP($B896,'MATRICE ARTICLE'!$A$2:$N$1395,2,FALSE),"")</f>
        <v/>
      </c>
      <c r="E896" s="37" t="str">
        <f t="shared" si="53"/>
        <v/>
      </c>
      <c r="F896" s="37" t="str">
        <f>IFERROR(VLOOKUP($B896,'MATRICE ARTICLE'!$A$2:$N$1395,9,FALSE),"")</f>
        <v/>
      </c>
      <c r="G896" s="37" t="str">
        <f>IFERROR(VLOOKUP($B896,'MATRICE ARTICLE'!$A$2:$N$1395,14,FALSE),"")</f>
        <v/>
      </c>
      <c r="H896" s="48" t="str">
        <f t="shared" si="54"/>
        <v/>
      </c>
      <c r="I896" s="48" t="str">
        <f t="shared" si="55"/>
        <v/>
      </c>
    </row>
    <row r="897" spans="2:9">
      <c r="B897" s="57" t="str">
        <f t="shared" si="52"/>
        <v/>
      </c>
      <c r="C897" s="57"/>
      <c r="D897" s="37" t="str">
        <f>IFERROR(VLOOKUP($B897,'MATRICE ARTICLE'!$A$2:$N$1395,2,FALSE),"")</f>
        <v/>
      </c>
      <c r="E897" s="37" t="str">
        <f t="shared" si="53"/>
        <v/>
      </c>
      <c r="F897" s="37" t="str">
        <f>IFERROR(VLOOKUP($B897,'MATRICE ARTICLE'!$A$2:$N$1395,9,FALSE),"")</f>
        <v/>
      </c>
      <c r="G897" s="37" t="str">
        <f>IFERROR(VLOOKUP($B897,'MATRICE ARTICLE'!$A$2:$N$1395,14,FALSE),"")</f>
        <v/>
      </c>
      <c r="H897" s="48" t="str">
        <f t="shared" si="54"/>
        <v/>
      </c>
      <c r="I897" s="48" t="str">
        <f t="shared" si="55"/>
        <v/>
      </c>
    </row>
    <row r="898" spans="2:9">
      <c r="B898" s="57" t="str">
        <f t="shared" si="52"/>
        <v/>
      </c>
      <c r="C898" s="57"/>
      <c r="D898" s="37" t="str">
        <f>IFERROR(VLOOKUP($B898,'MATRICE ARTICLE'!$A$2:$N$1395,2,FALSE),"")</f>
        <v/>
      </c>
      <c r="E898" s="37" t="str">
        <f t="shared" si="53"/>
        <v/>
      </c>
      <c r="F898" s="37" t="str">
        <f>IFERROR(VLOOKUP($B898,'MATRICE ARTICLE'!$A$2:$N$1395,9,FALSE),"")</f>
        <v/>
      </c>
      <c r="G898" s="37" t="str">
        <f>IFERROR(VLOOKUP($B898,'MATRICE ARTICLE'!$A$2:$N$1395,14,FALSE),"")</f>
        <v/>
      </c>
      <c r="H898" s="48" t="str">
        <f t="shared" si="54"/>
        <v/>
      </c>
      <c r="I898" s="48" t="str">
        <f t="shared" si="55"/>
        <v/>
      </c>
    </row>
    <row r="899" spans="2:9">
      <c r="B899" s="57" t="str">
        <f t="shared" ref="B899:B962" si="56">IF(A899=0,"",A899)</f>
        <v/>
      </c>
      <c r="C899" s="57"/>
      <c r="D899" s="37" t="str">
        <f>IFERROR(VLOOKUP($B899,'MATRICE ARTICLE'!$A$2:$N$1395,2,FALSE),"")</f>
        <v/>
      </c>
      <c r="E899" s="37" t="str">
        <f t="shared" ref="E899:E962" si="57">IF(SUM(F899:I899)=0,"",SUM(F899:I899))</f>
        <v/>
      </c>
      <c r="F899" s="37" t="str">
        <f>IFERROR(VLOOKUP($B899,'MATRICE ARTICLE'!$A$2:$N$1395,9,FALSE),"")</f>
        <v/>
      </c>
      <c r="G899" s="37" t="str">
        <f>IFERROR(VLOOKUP($B899,'MATRICE ARTICLE'!$A$2:$N$1395,14,FALSE),"")</f>
        <v/>
      </c>
      <c r="H899" s="48" t="str">
        <f t="shared" ref="H899:H962" si="58">IF(SUM(F899:G899)*$H$1=0,"",SUM(F899:G899)*$H$1)</f>
        <v/>
      </c>
      <c r="I899" s="48" t="str">
        <f t="shared" ref="I899:I962" si="59">IF(SUM(F899:H899)*$I$1=0,"",SUM(F899:H899)*$I$1)</f>
        <v/>
      </c>
    </row>
    <row r="900" spans="2:9">
      <c r="B900" s="57" t="str">
        <f t="shared" si="56"/>
        <v/>
      </c>
      <c r="C900" s="57"/>
      <c r="D900" s="37" t="str">
        <f>IFERROR(VLOOKUP($B900,'MATRICE ARTICLE'!$A$2:$N$1395,2,FALSE),"")</f>
        <v/>
      </c>
      <c r="E900" s="37" t="str">
        <f t="shared" si="57"/>
        <v/>
      </c>
      <c r="F900" s="37" t="str">
        <f>IFERROR(VLOOKUP($B900,'MATRICE ARTICLE'!$A$2:$N$1395,9,FALSE),"")</f>
        <v/>
      </c>
      <c r="G900" s="37" t="str">
        <f>IFERROR(VLOOKUP($B900,'MATRICE ARTICLE'!$A$2:$N$1395,14,FALSE),"")</f>
        <v/>
      </c>
      <c r="H900" s="48" t="str">
        <f t="shared" si="58"/>
        <v/>
      </c>
      <c r="I900" s="48" t="str">
        <f t="shared" si="59"/>
        <v/>
      </c>
    </row>
    <row r="901" spans="2:9">
      <c r="B901" s="57" t="str">
        <f t="shared" si="56"/>
        <v/>
      </c>
      <c r="C901" s="57"/>
      <c r="D901" s="37" t="str">
        <f>IFERROR(VLOOKUP($B901,'MATRICE ARTICLE'!$A$2:$N$1395,2,FALSE),"")</f>
        <v/>
      </c>
      <c r="E901" s="37" t="str">
        <f t="shared" si="57"/>
        <v/>
      </c>
      <c r="F901" s="37" t="str">
        <f>IFERROR(VLOOKUP($B901,'MATRICE ARTICLE'!$A$2:$N$1395,9,FALSE),"")</f>
        <v/>
      </c>
      <c r="G901" s="37" t="str">
        <f>IFERROR(VLOOKUP($B901,'MATRICE ARTICLE'!$A$2:$N$1395,14,FALSE),"")</f>
        <v/>
      </c>
      <c r="H901" s="48" t="str">
        <f t="shared" si="58"/>
        <v/>
      </c>
      <c r="I901" s="48" t="str">
        <f t="shared" si="59"/>
        <v/>
      </c>
    </row>
    <row r="902" spans="2:9">
      <c r="B902" s="57" t="str">
        <f t="shared" si="56"/>
        <v/>
      </c>
      <c r="C902" s="57"/>
      <c r="D902" s="37" t="str">
        <f>IFERROR(VLOOKUP($B902,'MATRICE ARTICLE'!$A$2:$N$1395,2,FALSE),"")</f>
        <v/>
      </c>
      <c r="E902" s="37" t="str">
        <f t="shared" si="57"/>
        <v/>
      </c>
      <c r="F902" s="37" t="str">
        <f>IFERROR(VLOOKUP($B902,'MATRICE ARTICLE'!$A$2:$N$1395,9,FALSE),"")</f>
        <v/>
      </c>
      <c r="G902" s="37" t="str">
        <f>IFERROR(VLOOKUP($B902,'MATRICE ARTICLE'!$A$2:$N$1395,14,FALSE),"")</f>
        <v/>
      </c>
      <c r="H902" s="48" t="str">
        <f t="shared" si="58"/>
        <v/>
      </c>
      <c r="I902" s="48" t="str">
        <f t="shared" si="59"/>
        <v/>
      </c>
    </row>
    <row r="903" spans="2:9">
      <c r="B903" s="57" t="str">
        <f t="shared" si="56"/>
        <v/>
      </c>
      <c r="C903" s="57"/>
      <c r="D903" s="37" t="str">
        <f>IFERROR(VLOOKUP($B903,'MATRICE ARTICLE'!$A$2:$N$1395,2,FALSE),"")</f>
        <v/>
      </c>
      <c r="E903" s="37" t="str">
        <f t="shared" si="57"/>
        <v/>
      </c>
      <c r="F903" s="37" t="str">
        <f>IFERROR(VLOOKUP($B903,'MATRICE ARTICLE'!$A$2:$N$1395,9,FALSE),"")</f>
        <v/>
      </c>
      <c r="G903" s="37" t="str">
        <f>IFERROR(VLOOKUP($B903,'MATRICE ARTICLE'!$A$2:$N$1395,14,FALSE),"")</f>
        <v/>
      </c>
      <c r="H903" s="48" t="str">
        <f t="shared" si="58"/>
        <v/>
      </c>
      <c r="I903" s="48" t="str">
        <f t="shared" si="59"/>
        <v/>
      </c>
    </row>
    <row r="904" spans="2:9">
      <c r="B904" s="57" t="str">
        <f t="shared" si="56"/>
        <v/>
      </c>
      <c r="C904" s="57"/>
      <c r="D904" s="37" t="str">
        <f>IFERROR(VLOOKUP($B904,'MATRICE ARTICLE'!$A$2:$N$1395,2,FALSE),"")</f>
        <v/>
      </c>
      <c r="E904" s="37" t="str">
        <f t="shared" si="57"/>
        <v/>
      </c>
      <c r="F904" s="37" t="str">
        <f>IFERROR(VLOOKUP($B904,'MATRICE ARTICLE'!$A$2:$N$1395,9,FALSE),"")</f>
        <v/>
      </c>
      <c r="G904" s="37" t="str">
        <f>IFERROR(VLOOKUP($B904,'MATRICE ARTICLE'!$A$2:$N$1395,14,FALSE),"")</f>
        <v/>
      </c>
      <c r="H904" s="48" t="str">
        <f t="shared" si="58"/>
        <v/>
      </c>
      <c r="I904" s="48" t="str">
        <f t="shared" si="59"/>
        <v/>
      </c>
    </row>
    <row r="905" spans="2:9">
      <c r="B905" s="57" t="str">
        <f t="shared" si="56"/>
        <v/>
      </c>
      <c r="C905" s="57"/>
      <c r="D905" s="37" t="str">
        <f>IFERROR(VLOOKUP($B905,'MATRICE ARTICLE'!$A$2:$N$1395,2,FALSE),"")</f>
        <v/>
      </c>
      <c r="E905" s="37" t="str">
        <f t="shared" si="57"/>
        <v/>
      </c>
      <c r="F905" s="37" t="str">
        <f>IFERROR(VLOOKUP($B905,'MATRICE ARTICLE'!$A$2:$N$1395,9,FALSE),"")</f>
        <v/>
      </c>
      <c r="G905" s="37" t="str">
        <f>IFERROR(VLOOKUP($B905,'MATRICE ARTICLE'!$A$2:$N$1395,14,FALSE),"")</f>
        <v/>
      </c>
      <c r="H905" s="48" t="str">
        <f t="shared" si="58"/>
        <v/>
      </c>
      <c r="I905" s="48" t="str">
        <f t="shared" si="59"/>
        <v/>
      </c>
    </row>
    <row r="906" spans="2:9">
      <c r="B906" s="57" t="str">
        <f t="shared" si="56"/>
        <v/>
      </c>
      <c r="C906" s="57"/>
      <c r="D906" s="37" t="str">
        <f>IFERROR(VLOOKUP($B906,'MATRICE ARTICLE'!$A$2:$N$1395,2,FALSE),"")</f>
        <v/>
      </c>
      <c r="E906" s="37" t="str">
        <f t="shared" si="57"/>
        <v/>
      </c>
      <c r="F906" s="37" t="str">
        <f>IFERROR(VLOOKUP($B906,'MATRICE ARTICLE'!$A$2:$N$1395,9,FALSE),"")</f>
        <v/>
      </c>
      <c r="G906" s="37" t="str">
        <f>IFERROR(VLOOKUP($B906,'MATRICE ARTICLE'!$A$2:$N$1395,14,FALSE),"")</f>
        <v/>
      </c>
      <c r="H906" s="48" t="str">
        <f t="shared" si="58"/>
        <v/>
      </c>
      <c r="I906" s="48" t="str">
        <f t="shared" si="59"/>
        <v/>
      </c>
    </row>
    <row r="907" spans="2:9">
      <c r="B907" s="57" t="str">
        <f t="shared" si="56"/>
        <v/>
      </c>
      <c r="C907" s="57"/>
      <c r="D907" s="37" t="str">
        <f>IFERROR(VLOOKUP($B907,'MATRICE ARTICLE'!$A$2:$N$1395,2,FALSE),"")</f>
        <v/>
      </c>
      <c r="E907" s="37" t="str">
        <f t="shared" si="57"/>
        <v/>
      </c>
      <c r="F907" s="37" t="str">
        <f>IFERROR(VLOOKUP($B907,'MATRICE ARTICLE'!$A$2:$N$1395,9,FALSE),"")</f>
        <v/>
      </c>
      <c r="G907" s="37" t="str">
        <f>IFERROR(VLOOKUP($B907,'MATRICE ARTICLE'!$A$2:$N$1395,14,FALSE),"")</f>
        <v/>
      </c>
      <c r="H907" s="48" t="str">
        <f t="shared" si="58"/>
        <v/>
      </c>
      <c r="I907" s="48" t="str">
        <f t="shared" si="59"/>
        <v/>
      </c>
    </row>
    <row r="908" spans="2:9">
      <c r="B908" s="57" t="str">
        <f t="shared" si="56"/>
        <v/>
      </c>
      <c r="C908" s="57"/>
      <c r="D908" s="37" t="str">
        <f>IFERROR(VLOOKUP($B908,'MATRICE ARTICLE'!$A$2:$N$1395,2,FALSE),"")</f>
        <v/>
      </c>
      <c r="E908" s="37" t="str">
        <f t="shared" si="57"/>
        <v/>
      </c>
      <c r="F908" s="37" t="str">
        <f>IFERROR(VLOOKUP($B908,'MATRICE ARTICLE'!$A$2:$N$1395,9,FALSE),"")</f>
        <v/>
      </c>
      <c r="G908" s="37" t="str">
        <f>IFERROR(VLOOKUP($B908,'MATRICE ARTICLE'!$A$2:$N$1395,14,FALSE),"")</f>
        <v/>
      </c>
      <c r="H908" s="48" t="str">
        <f t="shared" si="58"/>
        <v/>
      </c>
      <c r="I908" s="48" t="str">
        <f t="shared" si="59"/>
        <v/>
      </c>
    </row>
    <row r="909" spans="2:9">
      <c r="B909" s="57" t="str">
        <f t="shared" si="56"/>
        <v/>
      </c>
      <c r="C909" s="57"/>
      <c r="D909" s="37" t="str">
        <f>IFERROR(VLOOKUP($B909,'MATRICE ARTICLE'!$A$2:$N$1395,2,FALSE),"")</f>
        <v/>
      </c>
      <c r="E909" s="37" t="str">
        <f t="shared" si="57"/>
        <v/>
      </c>
      <c r="F909" s="37" t="str">
        <f>IFERROR(VLOOKUP($B909,'MATRICE ARTICLE'!$A$2:$N$1395,9,FALSE),"")</f>
        <v/>
      </c>
      <c r="G909" s="37" t="str">
        <f>IFERROR(VLOOKUP($B909,'MATRICE ARTICLE'!$A$2:$N$1395,14,FALSE),"")</f>
        <v/>
      </c>
      <c r="H909" s="48" t="str">
        <f t="shared" si="58"/>
        <v/>
      </c>
      <c r="I909" s="48" t="str">
        <f t="shared" si="59"/>
        <v/>
      </c>
    </row>
    <row r="910" spans="2:9">
      <c r="B910" s="57" t="str">
        <f t="shared" si="56"/>
        <v/>
      </c>
      <c r="C910" s="57"/>
      <c r="D910" s="37" t="str">
        <f>IFERROR(VLOOKUP($B910,'MATRICE ARTICLE'!$A$2:$N$1395,2,FALSE),"")</f>
        <v/>
      </c>
      <c r="E910" s="37" t="str">
        <f t="shared" si="57"/>
        <v/>
      </c>
      <c r="F910" s="37" t="str">
        <f>IFERROR(VLOOKUP($B910,'MATRICE ARTICLE'!$A$2:$N$1395,9,FALSE),"")</f>
        <v/>
      </c>
      <c r="G910" s="37" t="str">
        <f>IFERROR(VLOOKUP($B910,'MATRICE ARTICLE'!$A$2:$N$1395,14,FALSE),"")</f>
        <v/>
      </c>
      <c r="H910" s="48" t="str">
        <f t="shared" si="58"/>
        <v/>
      </c>
      <c r="I910" s="48" t="str">
        <f t="shared" si="59"/>
        <v/>
      </c>
    </row>
    <row r="911" spans="2:9">
      <c r="B911" s="57" t="str">
        <f t="shared" si="56"/>
        <v/>
      </c>
      <c r="C911" s="57"/>
      <c r="D911" s="37" t="str">
        <f>IFERROR(VLOOKUP($B911,'MATRICE ARTICLE'!$A$2:$N$1395,2,FALSE),"")</f>
        <v/>
      </c>
      <c r="E911" s="37" t="str">
        <f t="shared" si="57"/>
        <v/>
      </c>
      <c r="F911" s="37" t="str">
        <f>IFERROR(VLOOKUP($B911,'MATRICE ARTICLE'!$A$2:$N$1395,9,FALSE),"")</f>
        <v/>
      </c>
      <c r="G911" s="37" t="str">
        <f>IFERROR(VLOOKUP($B911,'MATRICE ARTICLE'!$A$2:$N$1395,14,FALSE),"")</f>
        <v/>
      </c>
      <c r="H911" s="48" t="str">
        <f t="shared" si="58"/>
        <v/>
      </c>
      <c r="I911" s="48" t="str">
        <f t="shared" si="59"/>
        <v/>
      </c>
    </row>
    <row r="912" spans="2:9">
      <c r="B912" s="57" t="str">
        <f t="shared" si="56"/>
        <v/>
      </c>
      <c r="C912" s="57"/>
      <c r="D912" s="37" t="str">
        <f>IFERROR(VLOOKUP($B912,'MATRICE ARTICLE'!$A$2:$N$1395,2,FALSE),"")</f>
        <v/>
      </c>
      <c r="E912" s="37" t="str">
        <f t="shared" si="57"/>
        <v/>
      </c>
      <c r="F912" s="37" t="str">
        <f>IFERROR(VLOOKUP($B912,'MATRICE ARTICLE'!$A$2:$N$1395,9,FALSE),"")</f>
        <v/>
      </c>
      <c r="G912" s="37" t="str">
        <f>IFERROR(VLOOKUP($B912,'MATRICE ARTICLE'!$A$2:$N$1395,14,FALSE),"")</f>
        <v/>
      </c>
      <c r="H912" s="48" t="str">
        <f t="shared" si="58"/>
        <v/>
      </c>
      <c r="I912" s="48" t="str">
        <f t="shared" si="59"/>
        <v/>
      </c>
    </row>
    <row r="913" spans="2:9">
      <c r="B913" s="57" t="str">
        <f t="shared" si="56"/>
        <v/>
      </c>
      <c r="C913" s="57"/>
      <c r="D913" s="37" t="str">
        <f>IFERROR(VLOOKUP($B913,'MATRICE ARTICLE'!$A$2:$N$1395,2,FALSE),"")</f>
        <v/>
      </c>
      <c r="E913" s="37" t="str">
        <f t="shared" si="57"/>
        <v/>
      </c>
      <c r="F913" s="37" t="str">
        <f>IFERROR(VLOOKUP($B913,'MATRICE ARTICLE'!$A$2:$N$1395,9,FALSE),"")</f>
        <v/>
      </c>
      <c r="G913" s="37" t="str">
        <f>IFERROR(VLOOKUP($B913,'MATRICE ARTICLE'!$A$2:$N$1395,14,FALSE),"")</f>
        <v/>
      </c>
      <c r="H913" s="48" t="str">
        <f t="shared" si="58"/>
        <v/>
      </c>
      <c r="I913" s="48" t="str">
        <f t="shared" si="59"/>
        <v/>
      </c>
    </row>
    <row r="914" spans="2:9">
      <c r="B914" s="57" t="str">
        <f t="shared" si="56"/>
        <v/>
      </c>
      <c r="C914" s="57"/>
      <c r="D914" s="37" t="str">
        <f>IFERROR(VLOOKUP($B914,'MATRICE ARTICLE'!$A$2:$N$1395,2,FALSE),"")</f>
        <v/>
      </c>
      <c r="E914" s="37" t="str">
        <f t="shared" si="57"/>
        <v/>
      </c>
      <c r="F914" s="37" t="str">
        <f>IFERROR(VLOOKUP($B914,'MATRICE ARTICLE'!$A$2:$N$1395,9,FALSE),"")</f>
        <v/>
      </c>
      <c r="G914" s="37" t="str">
        <f>IFERROR(VLOOKUP($B914,'MATRICE ARTICLE'!$A$2:$N$1395,14,FALSE),"")</f>
        <v/>
      </c>
      <c r="H914" s="48" t="str">
        <f t="shared" si="58"/>
        <v/>
      </c>
      <c r="I914" s="48" t="str">
        <f t="shared" si="59"/>
        <v/>
      </c>
    </row>
    <row r="915" spans="2:9">
      <c r="B915" s="57" t="str">
        <f t="shared" si="56"/>
        <v/>
      </c>
      <c r="C915" s="57"/>
      <c r="D915" s="37" t="str">
        <f>IFERROR(VLOOKUP($B915,'MATRICE ARTICLE'!$A$2:$N$1395,2,FALSE),"")</f>
        <v/>
      </c>
      <c r="E915" s="37" t="str">
        <f t="shared" si="57"/>
        <v/>
      </c>
      <c r="F915" s="37" t="str">
        <f>IFERROR(VLOOKUP($B915,'MATRICE ARTICLE'!$A$2:$N$1395,9,FALSE),"")</f>
        <v/>
      </c>
      <c r="G915" s="37" t="str">
        <f>IFERROR(VLOOKUP($B915,'MATRICE ARTICLE'!$A$2:$N$1395,14,FALSE),"")</f>
        <v/>
      </c>
      <c r="H915" s="48" t="str">
        <f t="shared" si="58"/>
        <v/>
      </c>
      <c r="I915" s="48" t="str">
        <f t="shared" si="59"/>
        <v/>
      </c>
    </row>
    <row r="916" spans="2:9">
      <c r="B916" s="57" t="str">
        <f t="shared" si="56"/>
        <v/>
      </c>
      <c r="C916" s="57"/>
      <c r="D916" s="37" t="str">
        <f>IFERROR(VLOOKUP($B916,'MATRICE ARTICLE'!$A$2:$N$1395,2,FALSE),"")</f>
        <v/>
      </c>
      <c r="E916" s="37" t="str">
        <f t="shared" si="57"/>
        <v/>
      </c>
      <c r="F916" s="37" t="str">
        <f>IFERROR(VLOOKUP($B916,'MATRICE ARTICLE'!$A$2:$N$1395,9,FALSE),"")</f>
        <v/>
      </c>
      <c r="G916" s="37" t="str">
        <f>IFERROR(VLOOKUP($B916,'MATRICE ARTICLE'!$A$2:$N$1395,14,FALSE),"")</f>
        <v/>
      </c>
      <c r="H916" s="48" t="str">
        <f t="shared" si="58"/>
        <v/>
      </c>
      <c r="I916" s="48" t="str">
        <f t="shared" si="59"/>
        <v/>
      </c>
    </row>
    <row r="917" spans="2:9">
      <c r="B917" s="57" t="str">
        <f t="shared" si="56"/>
        <v/>
      </c>
      <c r="C917" s="57"/>
      <c r="D917" s="37" t="str">
        <f>IFERROR(VLOOKUP($B917,'MATRICE ARTICLE'!$A$2:$N$1395,2,FALSE),"")</f>
        <v/>
      </c>
      <c r="E917" s="37" t="str">
        <f t="shared" si="57"/>
        <v/>
      </c>
      <c r="F917" s="37" t="str">
        <f>IFERROR(VLOOKUP($B917,'MATRICE ARTICLE'!$A$2:$N$1395,9,FALSE),"")</f>
        <v/>
      </c>
      <c r="G917" s="37" t="str">
        <f>IFERROR(VLOOKUP($B917,'MATRICE ARTICLE'!$A$2:$N$1395,14,FALSE),"")</f>
        <v/>
      </c>
      <c r="H917" s="48" t="str">
        <f t="shared" si="58"/>
        <v/>
      </c>
      <c r="I917" s="48" t="str">
        <f t="shared" si="59"/>
        <v/>
      </c>
    </row>
    <row r="918" spans="2:9">
      <c r="B918" s="57" t="str">
        <f t="shared" si="56"/>
        <v/>
      </c>
      <c r="C918" s="57"/>
      <c r="D918" s="37" t="str">
        <f>IFERROR(VLOOKUP($B918,'MATRICE ARTICLE'!$A$2:$N$1395,2,FALSE),"")</f>
        <v/>
      </c>
      <c r="E918" s="37" t="str">
        <f t="shared" si="57"/>
        <v/>
      </c>
      <c r="F918" s="37" t="str">
        <f>IFERROR(VLOOKUP($B918,'MATRICE ARTICLE'!$A$2:$N$1395,9,FALSE),"")</f>
        <v/>
      </c>
      <c r="G918" s="37" t="str">
        <f>IFERROR(VLOOKUP($B918,'MATRICE ARTICLE'!$A$2:$N$1395,14,FALSE),"")</f>
        <v/>
      </c>
      <c r="H918" s="48" t="str">
        <f t="shared" si="58"/>
        <v/>
      </c>
      <c r="I918" s="48" t="str">
        <f t="shared" si="59"/>
        <v/>
      </c>
    </row>
    <row r="919" spans="2:9">
      <c r="B919" s="57" t="str">
        <f t="shared" si="56"/>
        <v/>
      </c>
      <c r="C919" s="57"/>
      <c r="D919" s="37" t="str">
        <f>IFERROR(VLOOKUP($B919,'MATRICE ARTICLE'!$A$2:$N$1395,2,FALSE),"")</f>
        <v/>
      </c>
      <c r="E919" s="37" t="str">
        <f t="shared" si="57"/>
        <v/>
      </c>
      <c r="F919" s="37" t="str">
        <f>IFERROR(VLOOKUP($B919,'MATRICE ARTICLE'!$A$2:$N$1395,9,FALSE),"")</f>
        <v/>
      </c>
      <c r="G919" s="37" t="str">
        <f>IFERROR(VLOOKUP($B919,'MATRICE ARTICLE'!$A$2:$N$1395,14,FALSE),"")</f>
        <v/>
      </c>
      <c r="H919" s="48" t="str">
        <f t="shared" si="58"/>
        <v/>
      </c>
      <c r="I919" s="48" t="str">
        <f t="shared" si="59"/>
        <v/>
      </c>
    </row>
    <row r="920" spans="2:9">
      <c r="B920" s="57" t="str">
        <f t="shared" si="56"/>
        <v/>
      </c>
      <c r="C920" s="57"/>
      <c r="D920" s="37" t="str">
        <f>IFERROR(VLOOKUP($B920,'MATRICE ARTICLE'!$A$2:$N$1395,2,FALSE),"")</f>
        <v/>
      </c>
      <c r="E920" s="37" t="str">
        <f t="shared" si="57"/>
        <v/>
      </c>
      <c r="F920" s="37" t="str">
        <f>IFERROR(VLOOKUP($B920,'MATRICE ARTICLE'!$A$2:$N$1395,9,FALSE),"")</f>
        <v/>
      </c>
      <c r="G920" s="37" t="str">
        <f>IFERROR(VLOOKUP($B920,'MATRICE ARTICLE'!$A$2:$N$1395,14,FALSE),"")</f>
        <v/>
      </c>
      <c r="H920" s="48" t="str">
        <f t="shared" si="58"/>
        <v/>
      </c>
      <c r="I920" s="48" t="str">
        <f t="shared" si="59"/>
        <v/>
      </c>
    </row>
    <row r="921" spans="2:9">
      <c r="B921" s="57" t="str">
        <f t="shared" si="56"/>
        <v/>
      </c>
      <c r="C921" s="57"/>
      <c r="D921" s="37" t="str">
        <f>IFERROR(VLOOKUP($B921,'MATRICE ARTICLE'!$A$2:$N$1395,2,FALSE),"")</f>
        <v/>
      </c>
      <c r="E921" s="37" t="str">
        <f t="shared" si="57"/>
        <v/>
      </c>
      <c r="F921" s="37" t="str">
        <f>IFERROR(VLOOKUP($B921,'MATRICE ARTICLE'!$A$2:$N$1395,9,FALSE),"")</f>
        <v/>
      </c>
      <c r="G921" s="37" t="str">
        <f>IFERROR(VLOOKUP($B921,'MATRICE ARTICLE'!$A$2:$N$1395,14,FALSE),"")</f>
        <v/>
      </c>
      <c r="H921" s="48" t="str">
        <f t="shared" si="58"/>
        <v/>
      </c>
      <c r="I921" s="48" t="str">
        <f t="shared" si="59"/>
        <v/>
      </c>
    </row>
    <row r="922" spans="2:9">
      <c r="B922" s="57" t="str">
        <f t="shared" si="56"/>
        <v/>
      </c>
      <c r="C922" s="57"/>
      <c r="D922" s="37" t="str">
        <f>IFERROR(VLOOKUP($B922,'MATRICE ARTICLE'!$A$2:$N$1395,2,FALSE),"")</f>
        <v/>
      </c>
      <c r="E922" s="37" t="str">
        <f t="shared" si="57"/>
        <v/>
      </c>
      <c r="F922" s="37" t="str">
        <f>IFERROR(VLOOKUP($B922,'MATRICE ARTICLE'!$A$2:$N$1395,9,FALSE),"")</f>
        <v/>
      </c>
      <c r="G922" s="37" t="str">
        <f>IFERROR(VLOOKUP($B922,'MATRICE ARTICLE'!$A$2:$N$1395,14,FALSE),"")</f>
        <v/>
      </c>
      <c r="H922" s="48" t="str">
        <f t="shared" si="58"/>
        <v/>
      </c>
      <c r="I922" s="48" t="str">
        <f t="shared" si="59"/>
        <v/>
      </c>
    </row>
    <row r="923" spans="2:9">
      <c r="B923" s="57" t="str">
        <f t="shared" si="56"/>
        <v/>
      </c>
      <c r="C923" s="57"/>
      <c r="D923" s="37" t="str">
        <f>IFERROR(VLOOKUP($B923,'MATRICE ARTICLE'!$A$2:$N$1395,2,FALSE),"")</f>
        <v/>
      </c>
      <c r="E923" s="37" t="str">
        <f t="shared" si="57"/>
        <v/>
      </c>
      <c r="F923" s="37" t="str">
        <f>IFERROR(VLOOKUP($B923,'MATRICE ARTICLE'!$A$2:$N$1395,9,FALSE),"")</f>
        <v/>
      </c>
      <c r="G923" s="37" t="str">
        <f>IFERROR(VLOOKUP($B923,'MATRICE ARTICLE'!$A$2:$N$1395,14,FALSE),"")</f>
        <v/>
      </c>
      <c r="H923" s="48" t="str">
        <f t="shared" si="58"/>
        <v/>
      </c>
      <c r="I923" s="48" t="str">
        <f t="shared" si="59"/>
        <v/>
      </c>
    </row>
    <row r="924" spans="2:9">
      <c r="B924" s="57" t="str">
        <f t="shared" si="56"/>
        <v/>
      </c>
      <c r="C924" s="57"/>
      <c r="D924" s="37" t="str">
        <f>IFERROR(VLOOKUP($B924,'MATRICE ARTICLE'!$A$2:$N$1395,2,FALSE),"")</f>
        <v/>
      </c>
      <c r="E924" s="37" t="str">
        <f t="shared" si="57"/>
        <v/>
      </c>
      <c r="F924" s="37" t="str">
        <f>IFERROR(VLOOKUP($B924,'MATRICE ARTICLE'!$A$2:$N$1395,9,FALSE),"")</f>
        <v/>
      </c>
      <c r="G924" s="37" t="str">
        <f>IFERROR(VLOOKUP($B924,'MATRICE ARTICLE'!$A$2:$N$1395,14,FALSE),"")</f>
        <v/>
      </c>
      <c r="H924" s="48" t="str">
        <f t="shared" si="58"/>
        <v/>
      </c>
      <c r="I924" s="48" t="str">
        <f t="shared" si="59"/>
        <v/>
      </c>
    </row>
    <row r="925" spans="2:9">
      <c r="B925" s="57" t="str">
        <f t="shared" si="56"/>
        <v/>
      </c>
      <c r="C925" s="57"/>
      <c r="D925" s="37" t="str">
        <f>IFERROR(VLOOKUP($B925,'MATRICE ARTICLE'!$A$2:$N$1395,2,FALSE),"")</f>
        <v/>
      </c>
      <c r="E925" s="37" t="str">
        <f t="shared" si="57"/>
        <v/>
      </c>
      <c r="F925" s="37" t="str">
        <f>IFERROR(VLOOKUP($B925,'MATRICE ARTICLE'!$A$2:$N$1395,9,FALSE),"")</f>
        <v/>
      </c>
      <c r="G925" s="37" t="str">
        <f>IFERROR(VLOOKUP($B925,'MATRICE ARTICLE'!$A$2:$N$1395,14,FALSE),"")</f>
        <v/>
      </c>
      <c r="H925" s="48" t="str">
        <f t="shared" si="58"/>
        <v/>
      </c>
      <c r="I925" s="48" t="str">
        <f t="shared" si="59"/>
        <v/>
      </c>
    </row>
    <row r="926" spans="2:9">
      <c r="B926" s="57" t="str">
        <f t="shared" si="56"/>
        <v/>
      </c>
      <c r="C926" s="57"/>
      <c r="D926" s="37" t="str">
        <f>IFERROR(VLOOKUP($B926,'MATRICE ARTICLE'!$A$2:$N$1395,2,FALSE),"")</f>
        <v/>
      </c>
      <c r="E926" s="37" t="str">
        <f t="shared" si="57"/>
        <v/>
      </c>
      <c r="F926" s="37" t="str">
        <f>IFERROR(VLOOKUP($B926,'MATRICE ARTICLE'!$A$2:$N$1395,9,FALSE),"")</f>
        <v/>
      </c>
      <c r="G926" s="37" t="str">
        <f>IFERROR(VLOOKUP($B926,'MATRICE ARTICLE'!$A$2:$N$1395,14,FALSE),"")</f>
        <v/>
      </c>
      <c r="H926" s="48" t="str">
        <f t="shared" si="58"/>
        <v/>
      </c>
      <c r="I926" s="48" t="str">
        <f t="shared" si="59"/>
        <v/>
      </c>
    </row>
    <row r="927" spans="2:9">
      <c r="B927" s="57" t="str">
        <f t="shared" si="56"/>
        <v/>
      </c>
      <c r="C927" s="57"/>
      <c r="D927" s="37" t="str">
        <f>IFERROR(VLOOKUP($B927,'MATRICE ARTICLE'!$A$2:$N$1395,2,FALSE),"")</f>
        <v/>
      </c>
      <c r="E927" s="37" t="str">
        <f t="shared" si="57"/>
        <v/>
      </c>
      <c r="F927" s="37" t="str">
        <f>IFERROR(VLOOKUP($B927,'MATRICE ARTICLE'!$A$2:$N$1395,9,FALSE),"")</f>
        <v/>
      </c>
      <c r="G927" s="37" t="str">
        <f>IFERROR(VLOOKUP($B927,'MATRICE ARTICLE'!$A$2:$N$1395,14,FALSE),"")</f>
        <v/>
      </c>
      <c r="H927" s="48" t="str">
        <f t="shared" si="58"/>
        <v/>
      </c>
      <c r="I927" s="48" t="str">
        <f t="shared" si="59"/>
        <v/>
      </c>
    </row>
    <row r="928" spans="2:9">
      <c r="B928" s="57" t="str">
        <f t="shared" si="56"/>
        <v/>
      </c>
      <c r="C928" s="57"/>
      <c r="D928" s="37" t="str">
        <f>IFERROR(VLOOKUP($B928,'MATRICE ARTICLE'!$A$2:$N$1395,2,FALSE),"")</f>
        <v/>
      </c>
      <c r="E928" s="37" t="str">
        <f t="shared" si="57"/>
        <v/>
      </c>
      <c r="F928" s="37" t="str">
        <f>IFERROR(VLOOKUP($B928,'MATRICE ARTICLE'!$A$2:$N$1395,9,FALSE),"")</f>
        <v/>
      </c>
      <c r="G928" s="37" t="str">
        <f>IFERROR(VLOOKUP($B928,'MATRICE ARTICLE'!$A$2:$N$1395,14,FALSE),"")</f>
        <v/>
      </c>
      <c r="H928" s="48" t="str">
        <f t="shared" si="58"/>
        <v/>
      </c>
      <c r="I928" s="48" t="str">
        <f t="shared" si="59"/>
        <v/>
      </c>
    </row>
    <row r="929" spans="2:9">
      <c r="B929" s="57" t="str">
        <f t="shared" si="56"/>
        <v/>
      </c>
      <c r="C929" s="57"/>
      <c r="D929" s="37" t="str">
        <f>IFERROR(VLOOKUP($B929,'MATRICE ARTICLE'!$A$2:$N$1395,2,FALSE),"")</f>
        <v/>
      </c>
      <c r="E929" s="37" t="str">
        <f t="shared" si="57"/>
        <v/>
      </c>
      <c r="F929" s="37" t="str">
        <f>IFERROR(VLOOKUP($B929,'MATRICE ARTICLE'!$A$2:$N$1395,9,FALSE),"")</f>
        <v/>
      </c>
      <c r="G929" s="37" t="str">
        <f>IFERROR(VLOOKUP($B929,'MATRICE ARTICLE'!$A$2:$N$1395,14,FALSE),"")</f>
        <v/>
      </c>
      <c r="H929" s="48" t="str">
        <f t="shared" si="58"/>
        <v/>
      </c>
      <c r="I929" s="48" t="str">
        <f t="shared" si="59"/>
        <v/>
      </c>
    </row>
    <row r="930" spans="2:9">
      <c r="B930" s="57" t="str">
        <f t="shared" si="56"/>
        <v/>
      </c>
      <c r="C930" s="57"/>
      <c r="D930" s="37" t="str">
        <f>IFERROR(VLOOKUP($B930,'MATRICE ARTICLE'!$A$2:$N$1395,2,FALSE),"")</f>
        <v/>
      </c>
      <c r="E930" s="37" t="str">
        <f t="shared" si="57"/>
        <v/>
      </c>
      <c r="F930" s="37" t="str">
        <f>IFERROR(VLOOKUP($B930,'MATRICE ARTICLE'!$A$2:$N$1395,9,FALSE),"")</f>
        <v/>
      </c>
      <c r="G930" s="37" t="str">
        <f>IFERROR(VLOOKUP($B930,'MATRICE ARTICLE'!$A$2:$N$1395,14,FALSE),"")</f>
        <v/>
      </c>
      <c r="H930" s="48" t="str">
        <f t="shared" si="58"/>
        <v/>
      </c>
      <c r="I930" s="48" t="str">
        <f t="shared" si="59"/>
        <v/>
      </c>
    </row>
    <row r="931" spans="2:9">
      <c r="B931" s="57" t="str">
        <f t="shared" si="56"/>
        <v/>
      </c>
      <c r="C931" s="57"/>
      <c r="D931" s="37" t="str">
        <f>IFERROR(VLOOKUP($B931,'MATRICE ARTICLE'!$A$2:$N$1395,2,FALSE),"")</f>
        <v/>
      </c>
      <c r="E931" s="37" t="str">
        <f t="shared" si="57"/>
        <v/>
      </c>
      <c r="F931" s="37" t="str">
        <f>IFERROR(VLOOKUP($B931,'MATRICE ARTICLE'!$A$2:$N$1395,9,FALSE),"")</f>
        <v/>
      </c>
      <c r="G931" s="37" t="str">
        <f>IFERROR(VLOOKUP($B931,'MATRICE ARTICLE'!$A$2:$N$1395,14,FALSE),"")</f>
        <v/>
      </c>
      <c r="H931" s="48" t="str">
        <f t="shared" si="58"/>
        <v/>
      </c>
      <c r="I931" s="48" t="str">
        <f t="shared" si="59"/>
        <v/>
      </c>
    </row>
    <row r="932" spans="2:9">
      <c r="B932" s="57" t="str">
        <f t="shared" si="56"/>
        <v/>
      </c>
      <c r="C932" s="57"/>
      <c r="D932" s="37" t="str">
        <f>IFERROR(VLOOKUP($B932,'MATRICE ARTICLE'!$A$2:$N$1395,2,FALSE),"")</f>
        <v/>
      </c>
      <c r="E932" s="37" t="str">
        <f t="shared" si="57"/>
        <v/>
      </c>
      <c r="F932" s="37" t="str">
        <f>IFERROR(VLOOKUP($B932,'MATRICE ARTICLE'!$A$2:$N$1395,9,FALSE),"")</f>
        <v/>
      </c>
      <c r="G932" s="37" t="str">
        <f>IFERROR(VLOOKUP($B932,'MATRICE ARTICLE'!$A$2:$N$1395,14,FALSE),"")</f>
        <v/>
      </c>
      <c r="H932" s="48" t="str">
        <f t="shared" si="58"/>
        <v/>
      </c>
      <c r="I932" s="48" t="str">
        <f t="shared" si="59"/>
        <v/>
      </c>
    </row>
    <row r="933" spans="2:9">
      <c r="B933" s="57" t="str">
        <f t="shared" si="56"/>
        <v/>
      </c>
      <c r="C933" s="57"/>
      <c r="D933" s="37" t="str">
        <f>IFERROR(VLOOKUP($B933,'MATRICE ARTICLE'!$A$2:$N$1395,2,FALSE),"")</f>
        <v/>
      </c>
      <c r="E933" s="37" t="str">
        <f t="shared" si="57"/>
        <v/>
      </c>
      <c r="F933" s="37" t="str">
        <f>IFERROR(VLOOKUP($B933,'MATRICE ARTICLE'!$A$2:$N$1395,9,FALSE),"")</f>
        <v/>
      </c>
      <c r="G933" s="37" t="str">
        <f>IFERROR(VLOOKUP($B933,'MATRICE ARTICLE'!$A$2:$N$1395,14,FALSE),"")</f>
        <v/>
      </c>
      <c r="H933" s="48" t="str">
        <f t="shared" si="58"/>
        <v/>
      </c>
      <c r="I933" s="48" t="str">
        <f t="shared" si="59"/>
        <v/>
      </c>
    </row>
    <row r="934" spans="2:9">
      <c r="B934" s="57" t="str">
        <f t="shared" si="56"/>
        <v/>
      </c>
      <c r="C934" s="57"/>
      <c r="D934" s="37" t="str">
        <f>IFERROR(VLOOKUP($B934,'MATRICE ARTICLE'!$A$2:$N$1395,2,FALSE),"")</f>
        <v/>
      </c>
      <c r="E934" s="37" t="str">
        <f t="shared" si="57"/>
        <v/>
      </c>
      <c r="F934" s="37" t="str">
        <f>IFERROR(VLOOKUP($B934,'MATRICE ARTICLE'!$A$2:$N$1395,9,FALSE),"")</f>
        <v/>
      </c>
      <c r="G934" s="37" t="str">
        <f>IFERROR(VLOOKUP($B934,'MATRICE ARTICLE'!$A$2:$N$1395,14,FALSE),"")</f>
        <v/>
      </c>
      <c r="H934" s="48" t="str">
        <f t="shared" si="58"/>
        <v/>
      </c>
      <c r="I934" s="48" t="str">
        <f t="shared" si="59"/>
        <v/>
      </c>
    </row>
    <row r="935" spans="2:9">
      <c r="B935" s="57" t="str">
        <f t="shared" si="56"/>
        <v/>
      </c>
      <c r="C935" s="57"/>
      <c r="D935" s="37" t="str">
        <f>IFERROR(VLOOKUP($B935,'MATRICE ARTICLE'!$A$2:$N$1395,2,FALSE),"")</f>
        <v/>
      </c>
      <c r="E935" s="37" t="str">
        <f t="shared" si="57"/>
        <v/>
      </c>
      <c r="F935" s="37" t="str">
        <f>IFERROR(VLOOKUP($B935,'MATRICE ARTICLE'!$A$2:$N$1395,9,FALSE),"")</f>
        <v/>
      </c>
      <c r="G935" s="37" t="str">
        <f>IFERROR(VLOOKUP($B935,'MATRICE ARTICLE'!$A$2:$N$1395,14,FALSE),"")</f>
        <v/>
      </c>
      <c r="H935" s="48" t="str">
        <f t="shared" si="58"/>
        <v/>
      </c>
      <c r="I935" s="48" t="str">
        <f t="shared" si="59"/>
        <v/>
      </c>
    </row>
    <row r="936" spans="2:9">
      <c r="B936" s="57" t="str">
        <f t="shared" si="56"/>
        <v/>
      </c>
      <c r="C936" s="57"/>
      <c r="D936" s="37" t="str">
        <f>IFERROR(VLOOKUP($B936,'MATRICE ARTICLE'!$A$2:$N$1395,2,FALSE),"")</f>
        <v/>
      </c>
      <c r="E936" s="37" t="str">
        <f t="shared" si="57"/>
        <v/>
      </c>
      <c r="F936" s="37" t="str">
        <f>IFERROR(VLOOKUP($B936,'MATRICE ARTICLE'!$A$2:$N$1395,9,FALSE),"")</f>
        <v/>
      </c>
      <c r="G936" s="37" t="str">
        <f>IFERROR(VLOOKUP($B936,'MATRICE ARTICLE'!$A$2:$N$1395,14,FALSE),"")</f>
        <v/>
      </c>
      <c r="H936" s="48" t="str">
        <f t="shared" si="58"/>
        <v/>
      </c>
      <c r="I936" s="48" t="str">
        <f t="shared" si="59"/>
        <v/>
      </c>
    </row>
    <row r="937" spans="2:9">
      <c r="B937" s="57" t="str">
        <f t="shared" si="56"/>
        <v/>
      </c>
      <c r="C937" s="57"/>
      <c r="D937" s="37" t="str">
        <f>IFERROR(VLOOKUP($B937,'MATRICE ARTICLE'!$A$2:$N$1395,2,FALSE),"")</f>
        <v/>
      </c>
      <c r="E937" s="37" t="str">
        <f t="shared" si="57"/>
        <v/>
      </c>
      <c r="F937" s="37" t="str">
        <f>IFERROR(VLOOKUP($B937,'MATRICE ARTICLE'!$A$2:$N$1395,9,FALSE),"")</f>
        <v/>
      </c>
      <c r="G937" s="37" t="str">
        <f>IFERROR(VLOOKUP($B937,'MATRICE ARTICLE'!$A$2:$N$1395,14,FALSE),"")</f>
        <v/>
      </c>
      <c r="H937" s="48" t="str">
        <f t="shared" si="58"/>
        <v/>
      </c>
      <c r="I937" s="48" t="str">
        <f t="shared" si="59"/>
        <v/>
      </c>
    </row>
    <row r="938" spans="2:9">
      <c r="B938" s="57" t="str">
        <f t="shared" si="56"/>
        <v/>
      </c>
      <c r="C938" s="57"/>
      <c r="D938" s="37" t="str">
        <f>IFERROR(VLOOKUP($B938,'MATRICE ARTICLE'!$A$2:$N$1395,2,FALSE),"")</f>
        <v/>
      </c>
      <c r="E938" s="37" t="str">
        <f t="shared" si="57"/>
        <v/>
      </c>
      <c r="F938" s="37" t="str">
        <f>IFERROR(VLOOKUP($B938,'MATRICE ARTICLE'!$A$2:$N$1395,9,FALSE),"")</f>
        <v/>
      </c>
      <c r="G938" s="37" t="str">
        <f>IFERROR(VLOOKUP($B938,'MATRICE ARTICLE'!$A$2:$N$1395,14,FALSE),"")</f>
        <v/>
      </c>
      <c r="H938" s="48" t="str">
        <f t="shared" si="58"/>
        <v/>
      </c>
      <c r="I938" s="48" t="str">
        <f t="shared" si="59"/>
        <v/>
      </c>
    </row>
    <row r="939" spans="2:9">
      <c r="B939" s="57" t="str">
        <f t="shared" si="56"/>
        <v/>
      </c>
      <c r="C939" s="57"/>
      <c r="D939" s="37" t="str">
        <f>IFERROR(VLOOKUP($B939,'MATRICE ARTICLE'!$A$2:$N$1395,2,FALSE),"")</f>
        <v/>
      </c>
      <c r="E939" s="37" t="str">
        <f t="shared" si="57"/>
        <v/>
      </c>
      <c r="F939" s="37" t="str">
        <f>IFERROR(VLOOKUP($B939,'MATRICE ARTICLE'!$A$2:$N$1395,9,FALSE),"")</f>
        <v/>
      </c>
      <c r="G939" s="37" t="str">
        <f>IFERROR(VLOOKUP($B939,'MATRICE ARTICLE'!$A$2:$N$1395,14,FALSE),"")</f>
        <v/>
      </c>
      <c r="H939" s="48" t="str">
        <f t="shared" si="58"/>
        <v/>
      </c>
      <c r="I939" s="48" t="str">
        <f t="shared" si="59"/>
        <v/>
      </c>
    </row>
    <row r="940" spans="2:9">
      <c r="B940" s="57" t="str">
        <f t="shared" si="56"/>
        <v/>
      </c>
      <c r="C940" s="57"/>
      <c r="D940" s="37" t="str">
        <f>IFERROR(VLOOKUP($B940,'MATRICE ARTICLE'!$A$2:$N$1395,2,FALSE),"")</f>
        <v/>
      </c>
      <c r="E940" s="37" t="str">
        <f t="shared" si="57"/>
        <v/>
      </c>
      <c r="F940" s="37" t="str">
        <f>IFERROR(VLOOKUP($B940,'MATRICE ARTICLE'!$A$2:$N$1395,9,FALSE),"")</f>
        <v/>
      </c>
      <c r="G940" s="37" t="str">
        <f>IFERROR(VLOOKUP($B940,'MATRICE ARTICLE'!$A$2:$N$1395,14,FALSE),"")</f>
        <v/>
      </c>
      <c r="H940" s="48" t="str">
        <f t="shared" si="58"/>
        <v/>
      </c>
      <c r="I940" s="48" t="str">
        <f t="shared" si="59"/>
        <v/>
      </c>
    </row>
    <row r="941" spans="2:9">
      <c r="B941" s="57" t="str">
        <f t="shared" si="56"/>
        <v/>
      </c>
      <c r="C941" s="57"/>
      <c r="D941" s="37" t="str">
        <f>IFERROR(VLOOKUP($B941,'MATRICE ARTICLE'!$A$2:$N$1395,2,FALSE),"")</f>
        <v/>
      </c>
      <c r="E941" s="37" t="str">
        <f t="shared" si="57"/>
        <v/>
      </c>
      <c r="F941" s="37" t="str">
        <f>IFERROR(VLOOKUP($B941,'MATRICE ARTICLE'!$A$2:$N$1395,9,FALSE),"")</f>
        <v/>
      </c>
      <c r="G941" s="37" t="str">
        <f>IFERROR(VLOOKUP($B941,'MATRICE ARTICLE'!$A$2:$N$1395,14,FALSE),"")</f>
        <v/>
      </c>
      <c r="H941" s="48" t="str">
        <f t="shared" si="58"/>
        <v/>
      </c>
      <c r="I941" s="48" t="str">
        <f t="shared" si="59"/>
        <v/>
      </c>
    </row>
    <row r="942" spans="2:9">
      <c r="B942" s="57" t="str">
        <f t="shared" si="56"/>
        <v/>
      </c>
      <c r="C942" s="57"/>
      <c r="D942" s="37" t="str">
        <f>IFERROR(VLOOKUP($B942,'MATRICE ARTICLE'!$A$2:$N$1395,2,FALSE),"")</f>
        <v/>
      </c>
      <c r="E942" s="37" t="str">
        <f t="shared" si="57"/>
        <v/>
      </c>
      <c r="F942" s="37" t="str">
        <f>IFERROR(VLOOKUP($B942,'MATRICE ARTICLE'!$A$2:$N$1395,9,FALSE),"")</f>
        <v/>
      </c>
      <c r="G942" s="37" t="str">
        <f>IFERROR(VLOOKUP($B942,'MATRICE ARTICLE'!$A$2:$N$1395,14,FALSE),"")</f>
        <v/>
      </c>
      <c r="H942" s="48" t="str">
        <f t="shared" si="58"/>
        <v/>
      </c>
      <c r="I942" s="48" t="str">
        <f t="shared" si="59"/>
        <v/>
      </c>
    </row>
    <row r="943" spans="2:9">
      <c r="B943" s="57" t="str">
        <f t="shared" si="56"/>
        <v/>
      </c>
      <c r="C943" s="57"/>
      <c r="D943" s="37" t="str">
        <f>IFERROR(VLOOKUP($B943,'MATRICE ARTICLE'!$A$2:$N$1395,2,FALSE),"")</f>
        <v/>
      </c>
      <c r="E943" s="37" t="str">
        <f t="shared" si="57"/>
        <v/>
      </c>
      <c r="F943" s="37" t="str">
        <f>IFERROR(VLOOKUP($B943,'MATRICE ARTICLE'!$A$2:$N$1395,9,FALSE),"")</f>
        <v/>
      </c>
      <c r="G943" s="37" t="str">
        <f>IFERROR(VLOOKUP($B943,'MATRICE ARTICLE'!$A$2:$N$1395,14,FALSE),"")</f>
        <v/>
      </c>
      <c r="H943" s="48" t="str">
        <f t="shared" si="58"/>
        <v/>
      </c>
      <c r="I943" s="48" t="str">
        <f t="shared" si="59"/>
        <v/>
      </c>
    </row>
    <row r="944" spans="2:9">
      <c r="B944" s="57" t="str">
        <f t="shared" si="56"/>
        <v/>
      </c>
      <c r="C944" s="57"/>
      <c r="D944" s="37" t="str">
        <f>IFERROR(VLOOKUP($B944,'MATRICE ARTICLE'!$A$2:$N$1395,2,FALSE),"")</f>
        <v/>
      </c>
      <c r="E944" s="37" t="str">
        <f t="shared" si="57"/>
        <v/>
      </c>
      <c r="F944" s="37" t="str">
        <f>IFERROR(VLOOKUP($B944,'MATRICE ARTICLE'!$A$2:$N$1395,9,FALSE),"")</f>
        <v/>
      </c>
      <c r="G944" s="37" t="str">
        <f>IFERROR(VLOOKUP($B944,'MATRICE ARTICLE'!$A$2:$N$1395,14,FALSE),"")</f>
        <v/>
      </c>
      <c r="H944" s="48" t="str">
        <f t="shared" si="58"/>
        <v/>
      </c>
      <c r="I944" s="48" t="str">
        <f t="shared" si="59"/>
        <v/>
      </c>
    </row>
    <row r="945" spans="2:9">
      <c r="B945" s="57" t="str">
        <f t="shared" si="56"/>
        <v/>
      </c>
      <c r="C945" s="57"/>
      <c r="D945" s="37" t="str">
        <f>IFERROR(VLOOKUP($B945,'MATRICE ARTICLE'!$A$2:$N$1395,2,FALSE),"")</f>
        <v/>
      </c>
      <c r="E945" s="37" t="str">
        <f t="shared" si="57"/>
        <v/>
      </c>
      <c r="F945" s="37" t="str">
        <f>IFERROR(VLOOKUP($B945,'MATRICE ARTICLE'!$A$2:$N$1395,9,FALSE),"")</f>
        <v/>
      </c>
      <c r="G945" s="37" t="str">
        <f>IFERROR(VLOOKUP($B945,'MATRICE ARTICLE'!$A$2:$N$1395,14,FALSE),"")</f>
        <v/>
      </c>
      <c r="H945" s="48" t="str">
        <f t="shared" si="58"/>
        <v/>
      </c>
      <c r="I945" s="48" t="str">
        <f t="shared" si="59"/>
        <v/>
      </c>
    </row>
    <row r="946" spans="2:9">
      <c r="B946" s="57" t="str">
        <f t="shared" si="56"/>
        <v/>
      </c>
      <c r="C946" s="57"/>
      <c r="D946" s="37" t="str">
        <f>IFERROR(VLOOKUP($B946,'MATRICE ARTICLE'!$A$2:$N$1395,2,FALSE),"")</f>
        <v/>
      </c>
      <c r="E946" s="37" t="str">
        <f t="shared" si="57"/>
        <v/>
      </c>
      <c r="F946" s="37" t="str">
        <f>IFERROR(VLOOKUP($B946,'MATRICE ARTICLE'!$A$2:$N$1395,9,FALSE),"")</f>
        <v/>
      </c>
      <c r="G946" s="37" t="str">
        <f>IFERROR(VLOOKUP($B946,'MATRICE ARTICLE'!$A$2:$N$1395,14,FALSE),"")</f>
        <v/>
      </c>
      <c r="H946" s="48" t="str">
        <f t="shared" si="58"/>
        <v/>
      </c>
      <c r="I946" s="48" t="str">
        <f t="shared" si="59"/>
        <v/>
      </c>
    </row>
    <row r="947" spans="2:9">
      <c r="B947" s="57" t="str">
        <f t="shared" si="56"/>
        <v/>
      </c>
      <c r="C947" s="57"/>
      <c r="D947" s="37" t="str">
        <f>IFERROR(VLOOKUP($B947,'MATRICE ARTICLE'!$A$2:$N$1395,2,FALSE),"")</f>
        <v/>
      </c>
      <c r="E947" s="37" t="str">
        <f t="shared" si="57"/>
        <v/>
      </c>
      <c r="F947" s="37" t="str">
        <f>IFERROR(VLOOKUP($B947,'MATRICE ARTICLE'!$A$2:$N$1395,9,FALSE),"")</f>
        <v/>
      </c>
      <c r="G947" s="37" t="str">
        <f>IFERROR(VLOOKUP($B947,'MATRICE ARTICLE'!$A$2:$N$1395,14,FALSE),"")</f>
        <v/>
      </c>
      <c r="H947" s="48" t="str">
        <f t="shared" si="58"/>
        <v/>
      </c>
      <c r="I947" s="48" t="str">
        <f t="shared" si="59"/>
        <v/>
      </c>
    </row>
    <row r="948" spans="2:9">
      <c r="B948" s="57" t="str">
        <f t="shared" si="56"/>
        <v/>
      </c>
      <c r="C948" s="57"/>
      <c r="D948" s="37" t="str">
        <f>IFERROR(VLOOKUP($B948,'MATRICE ARTICLE'!$A$2:$N$1395,2,FALSE),"")</f>
        <v/>
      </c>
      <c r="E948" s="37" t="str">
        <f t="shared" si="57"/>
        <v/>
      </c>
      <c r="F948" s="37" t="str">
        <f>IFERROR(VLOOKUP($B948,'MATRICE ARTICLE'!$A$2:$N$1395,9,FALSE),"")</f>
        <v/>
      </c>
      <c r="G948" s="37" t="str">
        <f>IFERROR(VLOOKUP($B948,'MATRICE ARTICLE'!$A$2:$N$1395,14,FALSE),"")</f>
        <v/>
      </c>
      <c r="H948" s="48" t="str">
        <f t="shared" si="58"/>
        <v/>
      </c>
      <c r="I948" s="48" t="str">
        <f t="shared" si="59"/>
        <v/>
      </c>
    </row>
    <row r="949" spans="2:9">
      <c r="B949" s="57" t="str">
        <f t="shared" si="56"/>
        <v/>
      </c>
      <c r="C949" s="57"/>
      <c r="D949" s="37" t="str">
        <f>IFERROR(VLOOKUP($B949,'MATRICE ARTICLE'!$A$2:$N$1395,2,FALSE),"")</f>
        <v/>
      </c>
      <c r="E949" s="37" t="str">
        <f t="shared" si="57"/>
        <v/>
      </c>
      <c r="F949" s="37" t="str">
        <f>IFERROR(VLOOKUP($B949,'MATRICE ARTICLE'!$A$2:$N$1395,9,FALSE),"")</f>
        <v/>
      </c>
      <c r="G949" s="37" t="str">
        <f>IFERROR(VLOOKUP($B949,'MATRICE ARTICLE'!$A$2:$N$1395,14,FALSE),"")</f>
        <v/>
      </c>
      <c r="H949" s="48" t="str">
        <f t="shared" si="58"/>
        <v/>
      </c>
      <c r="I949" s="48" t="str">
        <f t="shared" si="59"/>
        <v/>
      </c>
    </row>
    <row r="950" spans="2:9">
      <c r="B950" s="57" t="str">
        <f t="shared" si="56"/>
        <v/>
      </c>
      <c r="C950" s="57"/>
      <c r="D950" s="37" t="str">
        <f>IFERROR(VLOOKUP($B950,'MATRICE ARTICLE'!$A$2:$N$1395,2,FALSE),"")</f>
        <v/>
      </c>
      <c r="E950" s="37" t="str">
        <f t="shared" si="57"/>
        <v/>
      </c>
      <c r="F950" s="37" t="str">
        <f>IFERROR(VLOOKUP($B950,'MATRICE ARTICLE'!$A$2:$N$1395,9,FALSE),"")</f>
        <v/>
      </c>
      <c r="G950" s="37" t="str">
        <f>IFERROR(VLOOKUP($B950,'MATRICE ARTICLE'!$A$2:$N$1395,14,FALSE),"")</f>
        <v/>
      </c>
      <c r="H950" s="48" t="str">
        <f t="shared" si="58"/>
        <v/>
      </c>
      <c r="I950" s="48" t="str">
        <f t="shared" si="59"/>
        <v/>
      </c>
    </row>
    <row r="951" spans="2:9">
      <c r="B951" s="57" t="str">
        <f t="shared" si="56"/>
        <v/>
      </c>
      <c r="C951" s="57"/>
      <c r="D951" s="37" t="str">
        <f>IFERROR(VLOOKUP($B951,'MATRICE ARTICLE'!$A$2:$N$1395,2,FALSE),"")</f>
        <v/>
      </c>
      <c r="E951" s="37" t="str">
        <f t="shared" si="57"/>
        <v/>
      </c>
      <c r="F951" s="37" t="str">
        <f>IFERROR(VLOOKUP($B951,'MATRICE ARTICLE'!$A$2:$N$1395,9,FALSE),"")</f>
        <v/>
      </c>
      <c r="G951" s="37" t="str">
        <f>IFERROR(VLOOKUP($B951,'MATRICE ARTICLE'!$A$2:$N$1395,14,FALSE),"")</f>
        <v/>
      </c>
      <c r="H951" s="48" t="str">
        <f t="shared" si="58"/>
        <v/>
      </c>
      <c r="I951" s="48" t="str">
        <f t="shared" si="59"/>
        <v/>
      </c>
    </row>
    <row r="952" spans="2:9">
      <c r="B952" s="57" t="str">
        <f t="shared" si="56"/>
        <v/>
      </c>
      <c r="C952" s="57"/>
      <c r="D952" s="37" t="str">
        <f>IFERROR(VLOOKUP($B952,'MATRICE ARTICLE'!$A$2:$N$1395,2,FALSE),"")</f>
        <v/>
      </c>
      <c r="E952" s="37" t="str">
        <f t="shared" si="57"/>
        <v/>
      </c>
      <c r="F952" s="37" t="str">
        <f>IFERROR(VLOOKUP($B952,'MATRICE ARTICLE'!$A$2:$N$1395,9,FALSE),"")</f>
        <v/>
      </c>
      <c r="G952" s="37" t="str">
        <f>IFERROR(VLOOKUP($B952,'MATRICE ARTICLE'!$A$2:$N$1395,14,FALSE),"")</f>
        <v/>
      </c>
      <c r="H952" s="48" t="str">
        <f t="shared" si="58"/>
        <v/>
      </c>
      <c r="I952" s="48" t="str">
        <f t="shared" si="59"/>
        <v/>
      </c>
    </row>
    <row r="953" spans="2:9">
      <c r="B953" s="57" t="str">
        <f t="shared" si="56"/>
        <v/>
      </c>
      <c r="C953" s="57"/>
      <c r="D953" s="37" t="str">
        <f>IFERROR(VLOOKUP($B953,'MATRICE ARTICLE'!$A$2:$N$1395,2,FALSE),"")</f>
        <v/>
      </c>
      <c r="E953" s="37" t="str">
        <f t="shared" si="57"/>
        <v/>
      </c>
      <c r="F953" s="37" t="str">
        <f>IFERROR(VLOOKUP($B953,'MATRICE ARTICLE'!$A$2:$N$1395,9,FALSE),"")</f>
        <v/>
      </c>
      <c r="G953" s="37" t="str">
        <f>IFERROR(VLOOKUP($B953,'MATRICE ARTICLE'!$A$2:$N$1395,14,FALSE),"")</f>
        <v/>
      </c>
      <c r="H953" s="48" t="str">
        <f t="shared" si="58"/>
        <v/>
      </c>
      <c r="I953" s="48" t="str">
        <f t="shared" si="59"/>
        <v/>
      </c>
    </row>
    <row r="954" spans="2:9">
      <c r="B954" s="57" t="str">
        <f t="shared" si="56"/>
        <v/>
      </c>
      <c r="C954" s="57"/>
      <c r="D954" s="37" t="str">
        <f>IFERROR(VLOOKUP($B954,'MATRICE ARTICLE'!$A$2:$N$1395,2,FALSE),"")</f>
        <v/>
      </c>
      <c r="E954" s="37" t="str">
        <f t="shared" si="57"/>
        <v/>
      </c>
      <c r="F954" s="37" t="str">
        <f>IFERROR(VLOOKUP($B954,'MATRICE ARTICLE'!$A$2:$N$1395,9,FALSE),"")</f>
        <v/>
      </c>
      <c r="G954" s="37" t="str">
        <f>IFERROR(VLOOKUP($B954,'MATRICE ARTICLE'!$A$2:$N$1395,14,FALSE),"")</f>
        <v/>
      </c>
      <c r="H954" s="48" t="str">
        <f t="shared" si="58"/>
        <v/>
      </c>
      <c r="I954" s="48" t="str">
        <f t="shared" si="59"/>
        <v/>
      </c>
    </row>
    <row r="955" spans="2:9">
      <c r="B955" s="57" t="str">
        <f t="shared" si="56"/>
        <v/>
      </c>
      <c r="C955" s="57"/>
      <c r="D955" s="37" t="str">
        <f>IFERROR(VLOOKUP($B955,'MATRICE ARTICLE'!$A$2:$N$1395,2,FALSE),"")</f>
        <v/>
      </c>
      <c r="E955" s="37" t="str">
        <f t="shared" si="57"/>
        <v/>
      </c>
      <c r="F955" s="37" t="str">
        <f>IFERROR(VLOOKUP($B955,'MATRICE ARTICLE'!$A$2:$N$1395,9,FALSE),"")</f>
        <v/>
      </c>
      <c r="G955" s="37" t="str">
        <f>IFERROR(VLOOKUP($B955,'MATRICE ARTICLE'!$A$2:$N$1395,14,FALSE),"")</f>
        <v/>
      </c>
      <c r="H955" s="48" t="str">
        <f t="shared" si="58"/>
        <v/>
      </c>
      <c r="I955" s="48" t="str">
        <f t="shared" si="59"/>
        <v/>
      </c>
    </row>
    <row r="956" spans="2:9">
      <c r="B956" s="57" t="str">
        <f t="shared" si="56"/>
        <v/>
      </c>
      <c r="C956" s="57"/>
      <c r="D956" s="37" t="str">
        <f>IFERROR(VLOOKUP($B956,'MATRICE ARTICLE'!$A$2:$N$1395,2,FALSE),"")</f>
        <v/>
      </c>
      <c r="E956" s="37" t="str">
        <f t="shared" si="57"/>
        <v/>
      </c>
      <c r="F956" s="37" t="str">
        <f>IFERROR(VLOOKUP($B956,'MATRICE ARTICLE'!$A$2:$N$1395,9,FALSE),"")</f>
        <v/>
      </c>
      <c r="G956" s="37" t="str">
        <f>IFERROR(VLOOKUP($B956,'MATRICE ARTICLE'!$A$2:$N$1395,14,FALSE),"")</f>
        <v/>
      </c>
      <c r="H956" s="48" t="str">
        <f t="shared" si="58"/>
        <v/>
      </c>
      <c r="I956" s="48" t="str">
        <f t="shared" si="59"/>
        <v/>
      </c>
    </row>
    <row r="957" spans="2:9">
      <c r="B957" s="57" t="str">
        <f t="shared" si="56"/>
        <v/>
      </c>
      <c r="C957" s="57"/>
      <c r="D957" s="37" t="str">
        <f>IFERROR(VLOOKUP($B957,'MATRICE ARTICLE'!$A$2:$N$1395,2,FALSE),"")</f>
        <v/>
      </c>
      <c r="E957" s="37" t="str">
        <f t="shared" si="57"/>
        <v/>
      </c>
      <c r="F957" s="37" t="str">
        <f>IFERROR(VLOOKUP($B957,'MATRICE ARTICLE'!$A$2:$N$1395,9,FALSE),"")</f>
        <v/>
      </c>
      <c r="G957" s="37" t="str">
        <f>IFERROR(VLOOKUP($B957,'MATRICE ARTICLE'!$A$2:$N$1395,14,FALSE),"")</f>
        <v/>
      </c>
      <c r="H957" s="48" t="str">
        <f t="shared" si="58"/>
        <v/>
      </c>
      <c r="I957" s="48" t="str">
        <f t="shared" si="59"/>
        <v/>
      </c>
    </row>
    <row r="958" spans="2:9">
      <c r="B958" s="57" t="str">
        <f t="shared" si="56"/>
        <v/>
      </c>
      <c r="C958" s="57"/>
      <c r="D958" s="37" t="str">
        <f>IFERROR(VLOOKUP($B958,'MATRICE ARTICLE'!$A$2:$N$1395,2,FALSE),"")</f>
        <v/>
      </c>
      <c r="E958" s="37" t="str">
        <f t="shared" si="57"/>
        <v/>
      </c>
      <c r="F958" s="37" t="str">
        <f>IFERROR(VLOOKUP($B958,'MATRICE ARTICLE'!$A$2:$N$1395,9,FALSE),"")</f>
        <v/>
      </c>
      <c r="G958" s="37" t="str">
        <f>IFERROR(VLOOKUP($B958,'MATRICE ARTICLE'!$A$2:$N$1395,14,FALSE),"")</f>
        <v/>
      </c>
      <c r="H958" s="48" t="str">
        <f t="shared" si="58"/>
        <v/>
      </c>
      <c r="I958" s="48" t="str">
        <f t="shared" si="59"/>
        <v/>
      </c>
    </row>
    <row r="959" spans="2:9">
      <c r="B959" s="57" t="str">
        <f t="shared" si="56"/>
        <v/>
      </c>
      <c r="C959" s="57"/>
      <c r="D959" s="37" t="str">
        <f>IFERROR(VLOOKUP($B959,'MATRICE ARTICLE'!$A$2:$N$1395,2,FALSE),"")</f>
        <v/>
      </c>
      <c r="E959" s="37" t="str">
        <f t="shared" si="57"/>
        <v/>
      </c>
      <c r="F959" s="37" t="str">
        <f>IFERROR(VLOOKUP($B959,'MATRICE ARTICLE'!$A$2:$N$1395,9,FALSE),"")</f>
        <v/>
      </c>
      <c r="G959" s="37" t="str">
        <f>IFERROR(VLOOKUP($B959,'MATRICE ARTICLE'!$A$2:$N$1395,14,FALSE),"")</f>
        <v/>
      </c>
      <c r="H959" s="48" t="str">
        <f t="shared" si="58"/>
        <v/>
      </c>
      <c r="I959" s="48" t="str">
        <f t="shared" si="59"/>
        <v/>
      </c>
    </row>
    <row r="960" spans="2:9">
      <c r="B960" s="57" t="str">
        <f t="shared" si="56"/>
        <v/>
      </c>
      <c r="C960" s="57"/>
      <c r="D960" s="37" t="str">
        <f>IFERROR(VLOOKUP($B960,'MATRICE ARTICLE'!$A$2:$N$1395,2,FALSE),"")</f>
        <v/>
      </c>
      <c r="E960" s="37" t="str">
        <f t="shared" si="57"/>
        <v/>
      </c>
      <c r="F960" s="37" t="str">
        <f>IFERROR(VLOOKUP($B960,'MATRICE ARTICLE'!$A$2:$N$1395,9,FALSE),"")</f>
        <v/>
      </c>
      <c r="G960" s="37" t="str">
        <f>IFERROR(VLOOKUP($B960,'MATRICE ARTICLE'!$A$2:$N$1395,14,FALSE),"")</f>
        <v/>
      </c>
      <c r="H960" s="48" t="str">
        <f t="shared" si="58"/>
        <v/>
      </c>
      <c r="I960" s="48" t="str">
        <f t="shared" si="59"/>
        <v/>
      </c>
    </row>
    <row r="961" spans="2:9">
      <c r="B961" s="57" t="str">
        <f t="shared" si="56"/>
        <v/>
      </c>
      <c r="C961" s="57"/>
      <c r="D961" s="37" t="str">
        <f>IFERROR(VLOOKUP($B961,'MATRICE ARTICLE'!$A$2:$N$1395,2,FALSE),"")</f>
        <v/>
      </c>
      <c r="E961" s="37" t="str">
        <f t="shared" si="57"/>
        <v/>
      </c>
      <c r="F961" s="37" t="str">
        <f>IFERROR(VLOOKUP($B961,'MATRICE ARTICLE'!$A$2:$N$1395,9,FALSE),"")</f>
        <v/>
      </c>
      <c r="G961" s="37" t="str">
        <f>IFERROR(VLOOKUP($B961,'MATRICE ARTICLE'!$A$2:$N$1395,14,FALSE),"")</f>
        <v/>
      </c>
      <c r="H961" s="48" t="str">
        <f t="shared" si="58"/>
        <v/>
      </c>
      <c r="I961" s="48" t="str">
        <f t="shared" si="59"/>
        <v/>
      </c>
    </row>
    <row r="962" spans="2:9">
      <c r="B962" s="57" t="str">
        <f t="shared" si="56"/>
        <v/>
      </c>
      <c r="C962" s="57"/>
      <c r="D962" s="37" t="str">
        <f>IFERROR(VLOOKUP($B962,'MATRICE ARTICLE'!$A$2:$N$1395,2,FALSE),"")</f>
        <v/>
      </c>
      <c r="E962" s="37" t="str">
        <f t="shared" si="57"/>
        <v/>
      </c>
      <c r="F962" s="37" t="str">
        <f>IFERROR(VLOOKUP($B962,'MATRICE ARTICLE'!$A$2:$N$1395,9,FALSE),"")</f>
        <v/>
      </c>
      <c r="G962" s="37" t="str">
        <f>IFERROR(VLOOKUP($B962,'MATRICE ARTICLE'!$A$2:$N$1395,14,FALSE),"")</f>
        <v/>
      </c>
      <c r="H962" s="48" t="str">
        <f t="shared" si="58"/>
        <v/>
      </c>
      <c r="I962" s="48" t="str">
        <f t="shared" si="59"/>
        <v/>
      </c>
    </row>
    <row r="963" spans="2:9">
      <c r="B963" s="57" t="str">
        <f t="shared" ref="B963:B1026" si="60">IF(A963=0,"",A963)</f>
        <v/>
      </c>
      <c r="C963" s="57"/>
      <c r="D963" s="37" t="str">
        <f>IFERROR(VLOOKUP($B963,'MATRICE ARTICLE'!$A$2:$N$1395,2,FALSE),"")</f>
        <v/>
      </c>
      <c r="E963" s="37" t="str">
        <f t="shared" ref="E963:E1026" si="61">IF(SUM(F963:I963)=0,"",SUM(F963:I963))</f>
        <v/>
      </c>
      <c r="F963" s="37" t="str">
        <f>IFERROR(VLOOKUP($B963,'MATRICE ARTICLE'!$A$2:$N$1395,9,FALSE),"")</f>
        <v/>
      </c>
      <c r="G963" s="37" t="str">
        <f>IFERROR(VLOOKUP($B963,'MATRICE ARTICLE'!$A$2:$N$1395,14,FALSE),"")</f>
        <v/>
      </c>
      <c r="H963" s="48" t="str">
        <f t="shared" ref="H963:H1026" si="62">IF(SUM(F963:G963)*$H$1=0,"",SUM(F963:G963)*$H$1)</f>
        <v/>
      </c>
      <c r="I963" s="48" t="str">
        <f t="shared" ref="I963:I1026" si="63">IF(SUM(F963:H963)*$I$1=0,"",SUM(F963:H963)*$I$1)</f>
        <v/>
      </c>
    </row>
    <row r="964" spans="2:9">
      <c r="B964" s="57" t="str">
        <f t="shared" si="60"/>
        <v/>
      </c>
      <c r="C964" s="57"/>
      <c r="D964" s="37" t="str">
        <f>IFERROR(VLOOKUP($B964,'MATRICE ARTICLE'!$A$2:$N$1395,2,FALSE),"")</f>
        <v/>
      </c>
      <c r="E964" s="37" t="str">
        <f t="shared" si="61"/>
        <v/>
      </c>
      <c r="F964" s="37" t="str">
        <f>IFERROR(VLOOKUP($B964,'MATRICE ARTICLE'!$A$2:$N$1395,9,FALSE),"")</f>
        <v/>
      </c>
      <c r="G964" s="37" t="str">
        <f>IFERROR(VLOOKUP($B964,'MATRICE ARTICLE'!$A$2:$N$1395,14,FALSE),"")</f>
        <v/>
      </c>
      <c r="H964" s="48" t="str">
        <f t="shared" si="62"/>
        <v/>
      </c>
      <c r="I964" s="48" t="str">
        <f t="shared" si="63"/>
        <v/>
      </c>
    </row>
    <row r="965" spans="2:9">
      <c r="B965" s="57" t="str">
        <f t="shared" si="60"/>
        <v/>
      </c>
      <c r="C965" s="57"/>
      <c r="D965" s="37" t="str">
        <f>IFERROR(VLOOKUP($B965,'MATRICE ARTICLE'!$A$2:$N$1395,2,FALSE),"")</f>
        <v/>
      </c>
      <c r="E965" s="37" t="str">
        <f t="shared" si="61"/>
        <v/>
      </c>
      <c r="F965" s="37" t="str">
        <f>IFERROR(VLOOKUP($B965,'MATRICE ARTICLE'!$A$2:$N$1395,9,FALSE),"")</f>
        <v/>
      </c>
      <c r="G965" s="37" t="str">
        <f>IFERROR(VLOOKUP($B965,'MATRICE ARTICLE'!$A$2:$N$1395,14,FALSE),"")</f>
        <v/>
      </c>
      <c r="H965" s="48" t="str">
        <f t="shared" si="62"/>
        <v/>
      </c>
      <c r="I965" s="48" t="str">
        <f t="shared" si="63"/>
        <v/>
      </c>
    </row>
    <row r="966" spans="2:9">
      <c r="B966" s="57" t="str">
        <f t="shared" si="60"/>
        <v/>
      </c>
      <c r="C966" s="57"/>
      <c r="D966" s="37" t="str">
        <f>IFERROR(VLOOKUP($B966,'MATRICE ARTICLE'!$A$2:$N$1395,2,FALSE),"")</f>
        <v/>
      </c>
      <c r="E966" s="37" t="str">
        <f t="shared" si="61"/>
        <v/>
      </c>
      <c r="F966" s="37" t="str">
        <f>IFERROR(VLOOKUP($B966,'MATRICE ARTICLE'!$A$2:$N$1395,9,FALSE),"")</f>
        <v/>
      </c>
      <c r="G966" s="37" t="str">
        <f>IFERROR(VLOOKUP($B966,'MATRICE ARTICLE'!$A$2:$N$1395,14,FALSE),"")</f>
        <v/>
      </c>
      <c r="H966" s="48" t="str">
        <f t="shared" si="62"/>
        <v/>
      </c>
      <c r="I966" s="48" t="str">
        <f t="shared" si="63"/>
        <v/>
      </c>
    </row>
    <row r="967" spans="2:9">
      <c r="B967" s="57" t="str">
        <f t="shared" si="60"/>
        <v/>
      </c>
      <c r="C967" s="57"/>
      <c r="D967" s="37" t="str">
        <f>IFERROR(VLOOKUP($B967,'MATRICE ARTICLE'!$A$2:$N$1395,2,FALSE),"")</f>
        <v/>
      </c>
      <c r="E967" s="37" t="str">
        <f t="shared" si="61"/>
        <v/>
      </c>
      <c r="F967" s="37" t="str">
        <f>IFERROR(VLOOKUP($B967,'MATRICE ARTICLE'!$A$2:$N$1395,9,FALSE),"")</f>
        <v/>
      </c>
      <c r="G967" s="37" t="str">
        <f>IFERROR(VLOOKUP($B967,'MATRICE ARTICLE'!$A$2:$N$1395,14,FALSE),"")</f>
        <v/>
      </c>
      <c r="H967" s="48" t="str">
        <f t="shared" si="62"/>
        <v/>
      </c>
      <c r="I967" s="48" t="str">
        <f t="shared" si="63"/>
        <v/>
      </c>
    </row>
    <row r="968" spans="2:9">
      <c r="B968" s="57" t="str">
        <f t="shared" si="60"/>
        <v/>
      </c>
      <c r="C968" s="57"/>
      <c r="D968" s="37" t="str">
        <f>IFERROR(VLOOKUP($B968,'MATRICE ARTICLE'!$A$2:$N$1395,2,FALSE),"")</f>
        <v/>
      </c>
      <c r="E968" s="37" t="str">
        <f t="shared" si="61"/>
        <v/>
      </c>
      <c r="F968" s="37" t="str">
        <f>IFERROR(VLOOKUP($B968,'MATRICE ARTICLE'!$A$2:$N$1395,9,FALSE),"")</f>
        <v/>
      </c>
      <c r="G968" s="37" t="str">
        <f>IFERROR(VLOOKUP($B968,'MATRICE ARTICLE'!$A$2:$N$1395,14,FALSE),"")</f>
        <v/>
      </c>
      <c r="H968" s="48" t="str">
        <f t="shared" si="62"/>
        <v/>
      </c>
      <c r="I968" s="48" t="str">
        <f t="shared" si="63"/>
        <v/>
      </c>
    </row>
    <row r="969" spans="2:9">
      <c r="B969" s="57" t="str">
        <f t="shared" si="60"/>
        <v/>
      </c>
      <c r="C969" s="57"/>
      <c r="D969" s="37" t="str">
        <f>IFERROR(VLOOKUP($B969,'MATRICE ARTICLE'!$A$2:$N$1395,2,FALSE),"")</f>
        <v/>
      </c>
      <c r="E969" s="37" t="str">
        <f t="shared" si="61"/>
        <v/>
      </c>
      <c r="F969" s="37" t="str">
        <f>IFERROR(VLOOKUP($B969,'MATRICE ARTICLE'!$A$2:$N$1395,9,FALSE),"")</f>
        <v/>
      </c>
      <c r="G969" s="37" t="str">
        <f>IFERROR(VLOOKUP($B969,'MATRICE ARTICLE'!$A$2:$N$1395,14,FALSE),"")</f>
        <v/>
      </c>
      <c r="H969" s="48" t="str">
        <f t="shared" si="62"/>
        <v/>
      </c>
      <c r="I969" s="48" t="str">
        <f t="shared" si="63"/>
        <v/>
      </c>
    </row>
    <row r="970" spans="2:9">
      <c r="B970" s="57" t="str">
        <f t="shared" si="60"/>
        <v/>
      </c>
      <c r="C970" s="57"/>
      <c r="D970" s="37" t="str">
        <f>IFERROR(VLOOKUP($B970,'MATRICE ARTICLE'!$A$2:$N$1395,2,FALSE),"")</f>
        <v/>
      </c>
      <c r="E970" s="37" t="str">
        <f t="shared" si="61"/>
        <v/>
      </c>
      <c r="F970" s="37" t="str">
        <f>IFERROR(VLOOKUP($B970,'MATRICE ARTICLE'!$A$2:$N$1395,9,FALSE),"")</f>
        <v/>
      </c>
      <c r="G970" s="37" t="str">
        <f>IFERROR(VLOOKUP($B970,'MATRICE ARTICLE'!$A$2:$N$1395,14,FALSE),"")</f>
        <v/>
      </c>
      <c r="H970" s="48" t="str">
        <f t="shared" si="62"/>
        <v/>
      </c>
      <c r="I970" s="48" t="str">
        <f t="shared" si="63"/>
        <v/>
      </c>
    </row>
    <row r="971" spans="2:9">
      <c r="B971" s="57" t="str">
        <f t="shared" si="60"/>
        <v/>
      </c>
      <c r="C971" s="57"/>
      <c r="D971" s="37" t="str">
        <f>IFERROR(VLOOKUP($B971,'MATRICE ARTICLE'!$A$2:$N$1395,2,FALSE),"")</f>
        <v/>
      </c>
      <c r="E971" s="37" t="str">
        <f t="shared" si="61"/>
        <v/>
      </c>
      <c r="F971" s="37" t="str">
        <f>IFERROR(VLOOKUP($B971,'MATRICE ARTICLE'!$A$2:$N$1395,9,FALSE),"")</f>
        <v/>
      </c>
      <c r="G971" s="37" t="str">
        <f>IFERROR(VLOOKUP($B971,'MATRICE ARTICLE'!$A$2:$N$1395,14,FALSE),"")</f>
        <v/>
      </c>
      <c r="H971" s="48" t="str">
        <f t="shared" si="62"/>
        <v/>
      </c>
      <c r="I971" s="48" t="str">
        <f t="shared" si="63"/>
        <v/>
      </c>
    </row>
    <row r="972" spans="2:9">
      <c r="B972" s="57" t="str">
        <f t="shared" si="60"/>
        <v/>
      </c>
      <c r="C972" s="57"/>
      <c r="D972" s="37" t="str">
        <f>IFERROR(VLOOKUP($B972,'MATRICE ARTICLE'!$A$2:$N$1395,2,FALSE),"")</f>
        <v/>
      </c>
      <c r="E972" s="37" t="str">
        <f t="shared" si="61"/>
        <v/>
      </c>
      <c r="F972" s="37" t="str">
        <f>IFERROR(VLOOKUP($B972,'MATRICE ARTICLE'!$A$2:$N$1395,9,FALSE),"")</f>
        <v/>
      </c>
      <c r="G972" s="37" t="str">
        <f>IFERROR(VLOOKUP($B972,'MATRICE ARTICLE'!$A$2:$N$1395,14,FALSE),"")</f>
        <v/>
      </c>
      <c r="H972" s="48" t="str">
        <f t="shared" si="62"/>
        <v/>
      </c>
      <c r="I972" s="48" t="str">
        <f t="shared" si="63"/>
        <v/>
      </c>
    </row>
    <row r="973" spans="2:9">
      <c r="B973" s="57" t="str">
        <f t="shared" si="60"/>
        <v/>
      </c>
      <c r="C973" s="57"/>
      <c r="D973" s="37" t="str">
        <f>IFERROR(VLOOKUP($B973,'MATRICE ARTICLE'!$A$2:$N$1395,2,FALSE),"")</f>
        <v/>
      </c>
      <c r="E973" s="37" t="str">
        <f t="shared" si="61"/>
        <v/>
      </c>
      <c r="F973" s="37" t="str">
        <f>IFERROR(VLOOKUP($B973,'MATRICE ARTICLE'!$A$2:$N$1395,9,FALSE),"")</f>
        <v/>
      </c>
      <c r="G973" s="37" t="str">
        <f>IFERROR(VLOOKUP($B973,'MATRICE ARTICLE'!$A$2:$N$1395,14,FALSE),"")</f>
        <v/>
      </c>
      <c r="H973" s="48" t="str">
        <f t="shared" si="62"/>
        <v/>
      </c>
      <c r="I973" s="48" t="str">
        <f t="shared" si="63"/>
        <v/>
      </c>
    </row>
    <row r="974" spans="2:9">
      <c r="B974" s="57" t="str">
        <f t="shared" si="60"/>
        <v/>
      </c>
      <c r="C974" s="57"/>
      <c r="D974" s="37" t="str">
        <f>IFERROR(VLOOKUP($B974,'MATRICE ARTICLE'!$A$2:$N$1395,2,FALSE),"")</f>
        <v/>
      </c>
      <c r="E974" s="37" t="str">
        <f t="shared" si="61"/>
        <v/>
      </c>
      <c r="F974" s="37" t="str">
        <f>IFERROR(VLOOKUP($B974,'MATRICE ARTICLE'!$A$2:$N$1395,9,FALSE),"")</f>
        <v/>
      </c>
      <c r="G974" s="37" t="str">
        <f>IFERROR(VLOOKUP($B974,'MATRICE ARTICLE'!$A$2:$N$1395,14,FALSE),"")</f>
        <v/>
      </c>
      <c r="H974" s="48" t="str">
        <f t="shared" si="62"/>
        <v/>
      </c>
      <c r="I974" s="48" t="str">
        <f t="shared" si="63"/>
        <v/>
      </c>
    </row>
    <row r="975" spans="2:9">
      <c r="B975" s="57" t="str">
        <f t="shared" si="60"/>
        <v/>
      </c>
      <c r="C975" s="57"/>
      <c r="D975" s="37" t="str">
        <f>IFERROR(VLOOKUP($B975,'MATRICE ARTICLE'!$A$2:$N$1395,2,FALSE),"")</f>
        <v/>
      </c>
      <c r="E975" s="37" t="str">
        <f t="shared" si="61"/>
        <v/>
      </c>
      <c r="F975" s="37" t="str">
        <f>IFERROR(VLOOKUP($B975,'MATRICE ARTICLE'!$A$2:$N$1395,9,FALSE),"")</f>
        <v/>
      </c>
      <c r="G975" s="37" t="str">
        <f>IFERROR(VLOOKUP($B975,'MATRICE ARTICLE'!$A$2:$N$1395,14,FALSE),"")</f>
        <v/>
      </c>
      <c r="H975" s="48" t="str">
        <f t="shared" si="62"/>
        <v/>
      </c>
      <c r="I975" s="48" t="str">
        <f t="shared" si="63"/>
        <v/>
      </c>
    </row>
    <row r="976" spans="2:9">
      <c r="B976" s="57" t="str">
        <f t="shared" si="60"/>
        <v/>
      </c>
      <c r="C976" s="57"/>
      <c r="D976" s="37" t="str">
        <f>IFERROR(VLOOKUP($B976,'MATRICE ARTICLE'!$A$2:$N$1395,2,FALSE),"")</f>
        <v/>
      </c>
      <c r="E976" s="37" t="str">
        <f t="shared" si="61"/>
        <v/>
      </c>
      <c r="F976" s="37" t="str">
        <f>IFERROR(VLOOKUP($B976,'MATRICE ARTICLE'!$A$2:$N$1395,9,FALSE),"")</f>
        <v/>
      </c>
      <c r="G976" s="37" t="str">
        <f>IFERROR(VLOOKUP($B976,'MATRICE ARTICLE'!$A$2:$N$1395,14,FALSE),"")</f>
        <v/>
      </c>
      <c r="H976" s="48" t="str">
        <f t="shared" si="62"/>
        <v/>
      </c>
      <c r="I976" s="48" t="str">
        <f t="shared" si="63"/>
        <v/>
      </c>
    </row>
    <row r="977" spans="2:9">
      <c r="B977" s="57" t="str">
        <f t="shared" si="60"/>
        <v/>
      </c>
      <c r="C977" s="57"/>
      <c r="D977" s="37" t="str">
        <f>IFERROR(VLOOKUP($B977,'MATRICE ARTICLE'!$A$2:$N$1395,2,FALSE),"")</f>
        <v/>
      </c>
      <c r="E977" s="37" t="str">
        <f t="shared" si="61"/>
        <v/>
      </c>
      <c r="F977" s="37" t="str">
        <f>IFERROR(VLOOKUP($B977,'MATRICE ARTICLE'!$A$2:$N$1395,9,FALSE),"")</f>
        <v/>
      </c>
      <c r="G977" s="37" t="str">
        <f>IFERROR(VLOOKUP($B977,'MATRICE ARTICLE'!$A$2:$N$1395,14,FALSE),"")</f>
        <v/>
      </c>
      <c r="H977" s="48" t="str">
        <f t="shared" si="62"/>
        <v/>
      </c>
      <c r="I977" s="48" t="str">
        <f t="shared" si="63"/>
        <v/>
      </c>
    </row>
    <row r="978" spans="2:9">
      <c r="B978" s="57" t="str">
        <f t="shared" si="60"/>
        <v/>
      </c>
      <c r="C978" s="57"/>
      <c r="D978" s="37" t="str">
        <f>IFERROR(VLOOKUP($B978,'MATRICE ARTICLE'!$A$2:$N$1395,2,FALSE),"")</f>
        <v/>
      </c>
      <c r="E978" s="37" t="str">
        <f t="shared" si="61"/>
        <v/>
      </c>
      <c r="F978" s="37" t="str">
        <f>IFERROR(VLOOKUP($B978,'MATRICE ARTICLE'!$A$2:$N$1395,9,FALSE),"")</f>
        <v/>
      </c>
      <c r="G978" s="37" t="str">
        <f>IFERROR(VLOOKUP($B978,'MATRICE ARTICLE'!$A$2:$N$1395,14,FALSE),"")</f>
        <v/>
      </c>
      <c r="H978" s="48" t="str">
        <f t="shared" si="62"/>
        <v/>
      </c>
      <c r="I978" s="48" t="str">
        <f t="shared" si="63"/>
        <v/>
      </c>
    </row>
    <row r="979" spans="2:9">
      <c r="B979" s="57" t="str">
        <f t="shared" si="60"/>
        <v/>
      </c>
      <c r="C979" s="57"/>
      <c r="D979" s="37" t="str">
        <f>IFERROR(VLOOKUP($B979,'MATRICE ARTICLE'!$A$2:$N$1395,2,FALSE),"")</f>
        <v/>
      </c>
      <c r="E979" s="37" t="str">
        <f t="shared" si="61"/>
        <v/>
      </c>
      <c r="F979" s="37" t="str">
        <f>IFERROR(VLOOKUP($B979,'MATRICE ARTICLE'!$A$2:$N$1395,9,FALSE),"")</f>
        <v/>
      </c>
      <c r="G979" s="37" t="str">
        <f>IFERROR(VLOOKUP($B979,'MATRICE ARTICLE'!$A$2:$N$1395,14,FALSE),"")</f>
        <v/>
      </c>
      <c r="H979" s="48" t="str">
        <f t="shared" si="62"/>
        <v/>
      </c>
      <c r="I979" s="48" t="str">
        <f t="shared" si="63"/>
        <v/>
      </c>
    </row>
    <row r="980" spans="2:9">
      <c r="B980" s="57" t="str">
        <f t="shared" si="60"/>
        <v/>
      </c>
      <c r="C980" s="57"/>
      <c r="D980" s="37" t="str">
        <f>IFERROR(VLOOKUP($B980,'MATRICE ARTICLE'!$A$2:$N$1395,2,FALSE),"")</f>
        <v/>
      </c>
      <c r="E980" s="37" t="str">
        <f t="shared" si="61"/>
        <v/>
      </c>
      <c r="F980" s="37" t="str">
        <f>IFERROR(VLOOKUP($B980,'MATRICE ARTICLE'!$A$2:$N$1395,9,FALSE),"")</f>
        <v/>
      </c>
      <c r="G980" s="37" t="str">
        <f>IFERROR(VLOOKUP($B980,'MATRICE ARTICLE'!$A$2:$N$1395,14,FALSE),"")</f>
        <v/>
      </c>
      <c r="H980" s="48" t="str">
        <f t="shared" si="62"/>
        <v/>
      </c>
      <c r="I980" s="48" t="str">
        <f t="shared" si="63"/>
        <v/>
      </c>
    </row>
    <row r="981" spans="2:9">
      <c r="B981" s="57" t="str">
        <f t="shared" si="60"/>
        <v/>
      </c>
      <c r="C981" s="57"/>
      <c r="D981" s="37" t="str">
        <f>IFERROR(VLOOKUP($B981,'MATRICE ARTICLE'!$A$2:$N$1395,2,FALSE),"")</f>
        <v/>
      </c>
      <c r="E981" s="37" t="str">
        <f t="shared" si="61"/>
        <v/>
      </c>
      <c r="F981" s="37" t="str">
        <f>IFERROR(VLOOKUP($B981,'MATRICE ARTICLE'!$A$2:$N$1395,9,FALSE),"")</f>
        <v/>
      </c>
      <c r="G981" s="37" t="str">
        <f>IFERROR(VLOOKUP($B981,'MATRICE ARTICLE'!$A$2:$N$1395,14,FALSE),"")</f>
        <v/>
      </c>
      <c r="H981" s="48" t="str">
        <f t="shared" si="62"/>
        <v/>
      </c>
      <c r="I981" s="48" t="str">
        <f t="shared" si="63"/>
        <v/>
      </c>
    </row>
    <row r="982" spans="2:9">
      <c r="B982" s="57" t="str">
        <f t="shared" si="60"/>
        <v/>
      </c>
      <c r="C982" s="57"/>
      <c r="D982" s="37" t="str">
        <f>IFERROR(VLOOKUP($B982,'MATRICE ARTICLE'!$A$2:$N$1395,2,FALSE),"")</f>
        <v/>
      </c>
      <c r="E982" s="37" t="str">
        <f t="shared" si="61"/>
        <v/>
      </c>
      <c r="F982" s="37" t="str">
        <f>IFERROR(VLOOKUP($B982,'MATRICE ARTICLE'!$A$2:$N$1395,9,FALSE),"")</f>
        <v/>
      </c>
      <c r="G982" s="37" t="str">
        <f>IFERROR(VLOOKUP($B982,'MATRICE ARTICLE'!$A$2:$N$1395,14,FALSE),"")</f>
        <v/>
      </c>
      <c r="H982" s="48" t="str">
        <f t="shared" si="62"/>
        <v/>
      </c>
      <c r="I982" s="48" t="str">
        <f t="shared" si="63"/>
        <v/>
      </c>
    </row>
    <row r="983" spans="2:9">
      <c r="B983" s="57" t="str">
        <f t="shared" si="60"/>
        <v/>
      </c>
      <c r="C983" s="57"/>
      <c r="D983" s="37" t="str">
        <f>IFERROR(VLOOKUP($B983,'MATRICE ARTICLE'!$A$2:$N$1395,2,FALSE),"")</f>
        <v/>
      </c>
      <c r="E983" s="37" t="str">
        <f t="shared" si="61"/>
        <v/>
      </c>
      <c r="F983" s="37" t="str">
        <f>IFERROR(VLOOKUP($B983,'MATRICE ARTICLE'!$A$2:$N$1395,9,FALSE),"")</f>
        <v/>
      </c>
      <c r="G983" s="37" t="str">
        <f>IFERROR(VLOOKUP($B983,'MATRICE ARTICLE'!$A$2:$N$1395,14,FALSE),"")</f>
        <v/>
      </c>
      <c r="H983" s="48" t="str">
        <f t="shared" si="62"/>
        <v/>
      </c>
      <c r="I983" s="48" t="str">
        <f t="shared" si="63"/>
        <v/>
      </c>
    </row>
    <row r="984" spans="2:9">
      <c r="B984" s="57" t="str">
        <f t="shared" si="60"/>
        <v/>
      </c>
      <c r="C984" s="57"/>
      <c r="D984" s="37" t="str">
        <f>IFERROR(VLOOKUP($B984,'MATRICE ARTICLE'!$A$2:$N$1395,2,FALSE),"")</f>
        <v/>
      </c>
      <c r="E984" s="37" t="str">
        <f t="shared" si="61"/>
        <v/>
      </c>
      <c r="F984" s="37" t="str">
        <f>IFERROR(VLOOKUP($B984,'MATRICE ARTICLE'!$A$2:$N$1395,9,FALSE),"")</f>
        <v/>
      </c>
      <c r="G984" s="37" t="str">
        <f>IFERROR(VLOOKUP($B984,'MATRICE ARTICLE'!$A$2:$N$1395,14,FALSE),"")</f>
        <v/>
      </c>
      <c r="H984" s="48" t="str">
        <f t="shared" si="62"/>
        <v/>
      </c>
      <c r="I984" s="48" t="str">
        <f t="shared" si="63"/>
        <v/>
      </c>
    </row>
    <row r="985" spans="2:9">
      <c r="B985" s="57" t="str">
        <f t="shared" si="60"/>
        <v/>
      </c>
      <c r="C985" s="57"/>
      <c r="D985" s="37" t="str">
        <f>IFERROR(VLOOKUP($B985,'MATRICE ARTICLE'!$A$2:$N$1395,2,FALSE),"")</f>
        <v/>
      </c>
      <c r="E985" s="37" t="str">
        <f t="shared" si="61"/>
        <v/>
      </c>
      <c r="F985" s="37" t="str">
        <f>IFERROR(VLOOKUP($B985,'MATRICE ARTICLE'!$A$2:$N$1395,9,FALSE),"")</f>
        <v/>
      </c>
      <c r="G985" s="37" t="str">
        <f>IFERROR(VLOOKUP($B985,'MATRICE ARTICLE'!$A$2:$N$1395,14,FALSE),"")</f>
        <v/>
      </c>
      <c r="H985" s="48" t="str">
        <f t="shared" si="62"/>
        <v/>
      </c>
      <c r="I985" s="48" t="str">
        <f t="shared" si="63"/>
        <v/>
      </c>
    </row>
    <row r="986" spans="2:9">
      <c r="B986" s="57" t="str">
        <f t="shared" si="60"/>
        <v/>
      </c>
      <c r="C986" s="57"/>
      <c r="D986" s="37" t="str">
        <f>IFERROR(VLOOKUP($B986,'MATRICE ARTICLE'!$A$2:$N$1395,2,FALSE),"")</f>
        <v/>
      </c>
      <c r="E986" s="37" t="str">
        <f t="shared" si="61"/>
        <v/>
      </c>
      <c r="F986" s="37" t="str">
        <f>IFERROR(VLOOKUP($B986,'MATRICE ARTICLE'!$A$2:$N$1395,9,FALSE),"")</f>
        <v/>
      </c>
      <c r="G986" s="37" t="str">
        <f>IFERROR(VLOOKUP($B986,'MATRICE ARTICLE'!$A$2:$N$1395,14,FALSE),"")</f>
        <v/>
      </c>
      <c r="H986" s="48" t="str">
        <f t="shared" si="62"/>
        <v/>
      </c>
      <c r="I986" s="48" t="str">
        <f t="shared" si="63"/>
        <v/>
      </c>
    </row>
    <row r="987" spans="2:9">
      <c r="B987" s="57" t="str">
        <f t="shared" si="60"/>
        <v/>
      </c>
      <c r="C987" s="57"/>
      <c r="D987" s="37" t="str">
        <f>IFERROR(VLOOKUP($B987,'MATRICE ARTICLE'!$A$2:$N$1395,2,FALSE),"")</f>
        <v/>
      </c>
      <c r="E987" s="37" t="str">
        <f t="shared" si="61"/>
        <v/>
      </c>
      <c r="F987" s="37" t="str">
        <f>IFERROR(VLOOKUP($B987,'MATRICE ARTICLE'!$A$2:$N$1395,9,FALSE),"")</f>
        <v/>
      </c>
      <c r="G987" s="37" t="str">
        <f>IFERROR(VLOOKUP($B987,'MATRICE ARTICLE'!$A$2:$N$1395,14,FALSE),"")</f>
        <v/>
      </c>
      <c r="H987" s="48" t="str">
        <f t="shared" si="62"/>
        <v/>
      </c>
      <c r="I987" s="48" t="str">
        <f t="shared" si="63"/>
        <v/>
      </c>
    </row>
    <row r="988" spans="2:9">
      <c r="B988" s="57" t="str">
        <f t="shared" si="60"/>
        <v/>
      </c>
      <c r="C988" s="57"/>
      <c r="D988" s="37" t="str">
        <f>IFERROR(VLOOKUP($B988,'MATRICE ARTICLE'!$A$2:$N$1395,2,FALSE),"")</f>
        <v/>
      </c>
      <c r="E988" s="37" t="str">
        <f t="shared" si="61"/>
        <v/>
      </c>
      <c r="F988" s="37" t="str">
        <f>IFERROR(VLOOKUP($B988,'MATRICE ARTICLE'!$A$2:$N$1395,9,FALSE),"")</f>
        <v/>
      </c>
      <c r="G988" s="37" t="str">
        <f>IFERROR(VLOOKUP($B988,'MATRICE ARTICLE'!$A$2:$N$1395,14,FALSE),"")</f>
        <v/>
      </c>
      <c r="H988" s="48" t="str">
        <f t="shared" si="62"/>
        <v/>
      </c>
      <c r="I988" s="48" t="str">
        <f t="shared" si="63"/>
        <v/>
      </c>
    </row>
    <row r="989" spans="2:9">
      <c r="B989" s="57" t="str">
        <f t="shared" si="60"/>
        <v/>
      </c>
      <c r="C989" s="57"/>
      <c r="D989" s="37" t="str">
        <f>IFERROR(VLOOKUP($B989,'MATRICE ARTICLE'!$A$2:$N$1395,2,FALSE),"")</f>
        <v/>
      </c>
      <c r="E989" s="37" t="str">
        <f t="shared" si="61"/>
        <v/>
      </c>
      <c r="F989" s="37" t="str">
        <f>IFERROR(VLOOKUP($B989,'MATRICE ARTICLE'!$A$2:$N$1395,9,FALSE),"")</f>
        <v/>
      </c>
      <c r="G989" s="37" t="str">
        <f>IFERROR(VLOOKUP($B989,'MATRICE ARTICLE'!$A$2:$N$1395,14,FALSE),"")</f>
        <v/>
      </c>
      <c r="H989" s="48" t="str">
        <f t="shared" si="62"/>
        <v/>
      </c>
      <c r="I989" s="48" t="str">
        <f t="shared" si="63"/>
        <v/>
      </c>
    </row>
    <row r="990" spans="2:9">
      <c r="B990" s="57" t="str">
        <f t="shared" si="60"/>
        <v/>
      </c>
      <c r="C990" s="57"/>
      <c r="D990" s="37" t="str">
        <f>IFERROR(VLOOKUP($B990,'MATRICE ARTICLE'!$A$2:$N$1395,2,FALSE),"")</f>
        <v/>
      </c>
      <c r="E990" s="37" t="str">
        <f t="shared" si="61"/>
        <v/>
      </c>
      <c r="F990" s="37" t="str">
        <f>IFERROR(VLOOKUP($B990,'MATRICE ARTICLE'!$A$2:$N$1395,9,FALSE),"")</f>
        <v/>
      </c>
      <c r="G990" s="37" t="str">
        <f>IFERROR(VLOOKUP($B990,'MATRICE ARTICLE'!$A$2:$N$1395,14,FALSE),"")</f>
        <v/>
      </c>
      <c r="H990" s="48" t="str">
        <f t="shared" si="62"/>
        <v/>
      </c>
      <c r="I990" s="48" t="str">
        <f t="shared" si="63"/>
        <v/>
      </c>
    </row>
    <row r="991" spans="2:9">
      <c r="B991" s="57" t="str">
        <f t="shared" si="60"/>
        <v/>
      </c>
      <c r="C991" s="57"/>
      <c r="D991" s="37" t="str">
        <f>IFERROR(VLOOKUP($B991,'MATRICE ARTICLE'!$A$2:$N$1395,2,FALSE),"")</f>
        <v/>
      </c>
      <c r="E991" s="37" t="str">
        <f t="shared" si="61"/>
        <v/>
      </c>
      <c r="F991" s="37" t="str">
        <f>IFERROR(VLOOKUP($B991,'MATRICE ARTICLE'!$A$2:$N$1395,9,FALSE),"")</f>
        <v/>
      </c>
      <c r="G991" s="37" t="str">
        <f>IFERROR(VLOOKUP($B991,'MATRICE ARTICLE'!$A$2:$N$1395,14,FALSE),"")</f>
        <v/>
      </c>
      <c r="H991" s="48" t="str">
        <f t="shared" si="62"/>
        <v/>
      </c>
      <c r="I991" s="48" t="str">
        <f t="shared" si="63"/>
        <v/>
      </c>
    </row>
    <row r="992" spans="2:9">
      <c r="B992" s="57" t="str">
        <f t="shared" si="60"/>
        <v/>
      </c>
      <c r="C992" s="57"/>
      <c r="D992" s="37" t="str">
        <f>IFERROR(VLOOKUP($B992,'MATRICE ARTICLE'!$A$2:$N$1395,2,FALSE),"")</f>
        <v/>
      </c>
      <c r="E992" s="37" t="str">
        <f t="shared" si="61"/>
        <v/>
      </c>
      <c r="F992" s="37" t="str">
        <f>IFERROR(VLOOKUP($B992,'MATRICE ARTICLE'!$A$2:$N$1395,9,FALSE),"")</f>
        <v/>
      </c>
      <c r="G992" s="37" t="str">
        <f>IFERROR(VLOOKUP($B992,'MATRICE ARTICLE'!$A$2:$N$1395,14,FALSE),"")</f>
        <v/>
      </c>
      <c r="H992" s="48" t="str">
        <f t="shared" si="62"/>
        <v/>
      </c>
      <c r="I992" s="48" t="str">
        <f t="shared" si="63"/>
        <v/>
      </c>
    </row>
    <row r="993" spans="2:9">
      <c r="B993" s="57" t="str">
        <f t="shared" si="60"/>
        <v/>
      </c>
      <c r="C993" s="57"/>
      <c r="D993" s="37" t="str">
        <f>IFERROR(VLOOKUP($B993,'MATRICE ARTICLE'!$A$2:$N$1395,2,FALSE),"")</f>
        <v/>
      </c>
      <c r="E993" s="37" t="str">
        <f t="shared" si="61"/>
        <v/>
      </c>
      <c r="F993" s="37" t="str">
        <f>IFERROR(VLOOKUP($B993,'MATRICE ARTICLE'!$A$2:$N$1395,9,FALSE),"")</f>
        <v/>
      </c>
      <c r="G993" s="37" t="str">
        <f>IFERROR(VLOOKUP($B993,'MATRICE ARTICLE'!$A$2:$N$1395,14,FALSE),"")</f>
        <v/>
      </c>
      <c r="H993" s="48" t="str">
        <f t="shared" si="62"/>
        <v/>
      </c>
      <c r="I993" s="48" t="str">
        <f t="shared" si="63"/>
        <v/>
      </c>
    </row>
    <row r="994" spans="2:9">
      <c r="B994" s="57" t="str">
        <f t="shared" si="60"/>
        <v/>
      </c>
      <c r="C994" s="57"/>
      <c r="D994" s="37" t="str">
        <f>IFERROR(VLOOKUP($B994,'MATRICE ARTICLE'!$A$2:$N$1395,2,FALSE),"")</f>
        <v/>
      </c>
      <c r="E994" s="37" t="str">
        <f t="shared" si="61"/>
        <v/>
      </c>
      <c r="F994" s="37" t="str">
        <f>IFERROR(VLOOKUP($B994,'MATRICE ARTICLE'!$A$2:$N$1395,9,FALSE),"")</f>
        <v/>
      </c>
      <c r="G994" s="37" t="str">
        <f>IFERROR(VLOOKUP($B994,'MATRICE ARTICLE'!$A$2:$N$1395,14,FALSE),"")</f>
        <v/>
      </c>
      <c r="H994" s="48" t="str">
        <f t="shared" si="62"/>
        <v/>
      </c>
      <c r="I994" s="48" t="str">
        <f t="shared" si="63"/>
        <v/>
      </c>
    </row>
    <row r="995" spans="2:9">
      <c r="B995" s="57" t="str">
        <f t="shared" si="60"/>
        <v/>
      </c>
      <c r="C995" s="57"/>
      <c r="D995" s="37" t="str">
        <f>IFERROR(VLOOKUP($B995,'MATRICE ARTICLE'!$A$2:$N$1395,2,FALSE),"")</f>
        <v/>
      </c>
      <c r="E995" s="37" t="str">
        <f t="shared" si="61"/>
        <v/>
      </c>
      <c r="F995" s="37" t="str">
        <f>IFERROR(VLOOKUP($B995,'MATRICE ARTICLE'!$A$2:$N$1395,9,FALSE),"")</f>
        <v/>
      </c>
      <c r="G995" s="37" t="str">
        <f>IFERROR(VLOOKUP($B995,'MATRICE ARTICLE'!$A$2:$N$1395,14,FALSE),"")</f>
        <v/>
      </c>
      <c r="H995" s="48" t="str">
        <f t="shared" si="62"/>
        <v/>
      </c>
      <c r="I995" s="48" t="str">
        <f t="shared" si="63"/>
        <v/>
      </c>
    </row>
    <row r="996" spans="2:9">
      <c r="B996" s="57" t="str">
        <f t="shared" si="60"/>
        <v/>
      </c>
      <c r="C996" s="57"/>
      <c r="D996" s="37" t="str">
        <f>IFERROR(VLOOKUP($B996,'MATRICE ARTICLE'!$A$2:$N$1395,2,FALSE),"")</f>
        <v/>
      </c>
      <c r="E996" s="37" t="str">
        <f t="shared" si="61"/>
        <v/>
      </c>
      <c r="F996" s="37" t="str">
        <f>IFERROR(VLOOKUP($B996,'MATRICE ARTICLE'!$A$2:$N$1395,9,FALSE),"")</f>
        <v/>
      </c>
      <c r="G996" s="37" t="str">
        <f>IFERROR(VLOOKUP($B996,'MATRICE ARTICLE'!$A$2:$N$1395,14,FALSE),"")</f>
        <v/>
      </c>
      <c r="H996" s="48" t="str">
        <f t="shared" si="62"/>
        <v/>
      </c>
      <c r="I996" s="48" t="str">
        <f t="shared" si="63"/>
        <v/>
      </c>
    </row>
    <row r="997" spans="2:9">
      <c r="B997" s="57" t="str">
        <f t="shared" si="60"/>
        <v/>
      </c>
      <c r="C997" s="57"/>
      <c r="D997" s="37" t="str">
        <f>IFERROR(VLOOKUP($B997,'MATRICE ARTICLE'!$A$2:$N$1395,2,FALSE),"")</f>
        <v/>
      </c>
      <c r="E997" s="37" t="str">
        <f t="shared" si="61"/>
        <v/>
      </c>
      <c r="F997" s="37" t="str">
        <f>IFERROR(VLOOKUP($B997,'MATRICE ARTICLE'!$A$2:$N$1395,9,FALSE),"")</f>
        <v/>
      </c>
      <c r="G997" s="37" t="str">
        <f>IFERROR(VLOOKUP($B997,'MATRICE ARTICLE'!$A$2:$N$1395,14,FALSE),"")</f>
        <v/>
      </c>
      <c r="H997" s="48" t="str">
        <f t="shared" si="62"/>
        <v/>
      </c>
      <c r="I997" s="48" t="str">
        <f t="shared" si="63"/>
        <v/>
      </c>
    </row>
    <row r="998" spans="2:9">
      <c r="B998" s="57" t="str">
        <f t="shared" si="60"/>
        <v/>
      </c>
      <c r="C998" s="57"/>
      <c r="D998" s="37" t="str">
        <f>IFERROR(VLOOKUP($B998,'MATRICE ARTICLE'!$A$2:$N$1395,2,FALSE),"")</f>
        <v/>
      </c>
      <c r="E998" s="37" t="str">
        <f t="shared" si="61"/>
        <v/>
      </c>
      <c r="F998" s="37" t="str">
        <f>IFERROR(VLOOKUP($B998,'MATRICE ARTICLE'!$A$2:$N$1395,9,FALSE),"")</f>
        <v/>
      </c>
      <c r="G998" s="37" t="str">
        <f>IFERROR(VLOOKUP($B998,'MATRICE ARTICLE'!$A$2:$N$1395,14,FALSE),"")</f>
        <v/>
      </c>
      <c r="H998" s="48" t="str">
        <f t="shared" si="62"/>
        <v/>
      </c>
      <c r="I998" s="48" t="str">
        <f t="shared" si="63"/>
        <v/>
      </c>
    </row>
    <row r="999" spans="2:9">
      <c r="B999" s="57" t="str">
        <f t="shared" si="60"/>
        <v/>
      </c>
      <c r="C999" s="57"/>
      <c r="D999" s="37" t="str">
        <f>IFERROR(VLOOKUP($B999,'MATRICE ARTICLE'!$A$2:$N$1395,2,FALSE),"")</f>
        <v/>
      </c>
      <c r="E999" s="37" t="str">
        <f t="shared" si="61"/>
        <v/>
      </c>
      <c r="F999" s="37" t="str">
        <f>IFERROR(VLOOKUP($B999,'MATRICE ARTICLE'!$A$2:$N$1395,9,FALSE),"")</f>
        <v/>
      </c>
      <c r="G999" s="37" t="str">
        <f>IFERROR(VLOOKUP($B999,'MATRICE ARTICLE'!$A$2:$N$1395,14,FALSE),"")</f>
        <v/>
      </c>
      <c r="H999" s="48" t="str">
        <f t="shared" si="62"/>
        <v/>
      </c>
      <c r="I999" s="48" t="str">
        <f t="shared" si="63"/>
        <v/>
      </c>
    </row>
    <row r="1000" spans="2:9">
      <c r="B1000" s="57" t="str">
        <f t="shared" si="60"/>
        <v/>
      </c>
      <c r="C1000" s="57"/>
      <c r="D1000" s="37" t="str">
        <f>IFERROR(VLOOKUP($B1000,'MATRICE ARTICLE'!$A$2:$N$1395,2,FALSE),"")</f>
        <v/>
      </c>
      <c r="E1000" s="37" t="str">
        <f t="shared" si="61"/>
        <v/>
      </c>
      <c r="F1000" s="37" t="str">
        <f>IFERROR(VLOOKUP($B1000,'MATRICE ARTICLE'!$A$2:$N$1395,9,FALSE),"")</f>
        <v/>
      </c>
      <c r="G1000" s="37" t="str">
        <f>IFERROR(VLOOKUP($B1000,'MATRICE ARTICLE'!$A$2:$N$1395,14,FALSE),"")</f>
        <v/>
      </c>
      <c r="H1000" s="48" t="str">
        <f t="shared" si="62"/>
        <v/>
      </c>
      <c r="I1000" s="48" t="str">
        <f t="shared" si="63"/>
        <v/>
      </c>
    </row>
    <row r="1001" spans="2:9">
      <c r="B1001" s="57" t="str">
        <f t="shared" si="60"/>
        <v/>
      </c>
      <c r="C1001" s="57"/>
      <c r="D1001" s="37" t="str">
        <f>IFERROR(VLOOKUP($B1001,'MATRICE ARTICLE'!$A$2:$N$1395,2,FALSE),"")</f>
        <v/>
      </c>
      <c r="E1001" s="37" t="str">
        <f t="shared" si="61"/>
        <v/>
      </c>
      <c r="F1001" s="37" t="str">
        <f>IFERROR(VLOOKUP($B1001,'MATRICE ARTICLE'!$A$2:$N$1395,9,FALSE),"")</f>
        <v/>
      </c>
      <c r="G1001" s="37" t="str">
        <f>IFERROR(VLOOKUP($B1001,'MATRICE ARTICLE'!$A$2:$N$1395,14,FALSE),"")</f>
        <v/>
      </c>
      <c r="H1001" s="48" t="str">
        <f t="shared" si="62"/>
        <v/>
      </c>
      <c r="I1001" s="48" t="str">
        <f t="shared" si="63"/>
        <v/>
      </c>
    </row>
    <row r="1002" spans="2:9">
      <c r="B1002" s="57" t="str">
        <f t="shared" si="60"/>
        <v/>
      </c>
      <c r="C1002" s="57"/>
      <c r="D1002" s="37" t="str">
        <f>IFERROR(VLOOKUP($B1002,'MATRICE ARTICLE'!$A$2:$N$1395,2,FALSE),"")</f>
        <v/>
      </c>
      <c r="E1002" s="37" t="str">
        <f t="shared" si="61"/>
        <v/>
      </c>
      <c r="F1002" s="37" t="str">
        <f>IFERROR(VLOOKUP($B1002,'MATRICE ARTICLE'!$A$2:$N$1395,9,FALSE),"")</f>
        <v/>
      </c>
      <c r="G1002" s="37" t="str">
        <f>IFERROR(VLOOKUP($B1002,'MATRICE ARTICLE'!$A$2:$N$1395,14,FALSE),"")</f>
        <v/>
      </c>
      <c r="H1002" s="48" t="str">
        <f t="shared" si="62"/>
        <v/>
      </c>
      <c r="I1002" s="48" t="str">
        <f t="shared" si="63"/>
        <v/>
      </c>
    </row>
    <row r="1003" spans="2:9">
      <c r="B1003" s="57" t="str">
        <f t="shared" si="60"/>
        <v/>
      </c>
      <c r="C1003" s="57"/>
      <c r="D1003" s="37" t="str">
        <f>IFERROR(VLOOKUP($B1003,'MATRICE ARTICLE'!$A$2:$N$1395,2,FALSE),"")</f>
        <v/>
      </c>
      <c r="E1003" s="37" t="str">
        <f t="shared" si="61"/>
        <v/>
      </c>
      <c r="F1003" s="37" t="str">
        <f>IFERROR(VLOOKUP($B1003,'MATRICE ARTICLE'!$A$2:$N$1395,9,FALSE),"")</f>
        <v/>
      </c>
      <c r="G1003" s="37" t="str">
        <f>IFERROR(VLOOKUP($B1003,'MATRICE ARTICLE'!$A$2:$N$1395,14,FALSE),"")</f>
        <v/>
      </c>
      <c r="H1003" s="48" t="str">
        <f t="shared" si="62"/>
        <v/>
      </c>
      <c r="I1003" s="48" t="str">
        <f t="shared" si="63"/>
        <v/>
      </c>
    </row>
    <row r="1004" spans="2:9">
      <c r="B1004" s="57" t="str">
        <f t="shared" si="60"/>
        <v/>
      </c>
      <c r="C1004" s="57"/>
      <c r="D1004" s="37" t="str">
        <f>IFERROR(VLOOKUP($B1004,'MATRICE ARTICLE'!$A$2:$N$1395,2,FALSE),"")</f>
        <v/>
      </c>
      <c r="E1004" s="37" t="str">
        <f t="shared" si="61"/>
        <v/>
      </c>
      <c r="F1004" s="37" t="str">
        <f>IFERROR(VLOOKUP($B1004,'MATRICE ARTICLE'!$A$2:$N$1395,9,FALSE),"")</f>
        <v/>
      </c>
      <c r="G1004" s="37" t="str">
        <f>IFERROR(VLOOKUP($B1004,'MATRICE ARTICLE'!$A$2:$N$1395,14,FALSE),"")</f>
        <v/>
      </c>
      <c r="H1004" s="48" t="str">
        <f t="shared" si="62"/>
        <v/>
      </c>
      <c r="I1004" s="48" t="str">
        <f t="shared" si="63"/>
        <v/>
      </c>
    </row>
    <row r="1005" spans="2:9">
      <c r="B1005" s="57" t="str">
        <f t="shared" si="60"/>
        <v/>
      </c>
      <c r="C1005" s="57"/>
      <c r="D1005" s="37" t="str">
        <f>IFERROR(VLOOKUP($B1005,'MATRICE ARTICLE'!$A$2:$N$1395,2,FALSE),"")</f>
        <v/>
      </c>
      <c r="E1005" s="37" t="str">
        <f t="shared" si="61"/>
        <v/>
      </c>
      <c r="F1005" s="37" t="str">
        <f>IFERROR(VLOOKUP($B1005,'MATRICE ARTICLE'!$A$2:$N$1395,9,FALSE),"")</f>
        <v/>
      </c>
      <c r="G1005" s="37" t="str">
        <f>IFERROR(VLOOKUP($B1005,'MATRICE ARTICLE'!$A$2:$N$1395,14,FALSE),"")</f>
        <v/>
      </c>
      <c r="H1005" s="48" t="str">
        <f t="shared" si="62"/>
        <v/>
      </c>
      <c r="I1005" s="48" t="str">
        <f t="shared" si="63"/>
        <v/>
      </c>
    </row>
    <row r="1006" spans="2:9">
      <c r="B1006" s="57" t="str">
        <f t="shared" si="60"/>
        <v/>
      </c>
      <c r="C1006" s="57"/>
      <c r="D1006" s="37" t="str">
        <f>IFERROR(VLOOKUP($B1006,'MATRICE ARTICLE'!$A$2:$N$1395,2,FALSE),"")</f>
        <v/>
      </c>
      <c r="E1006" s="37" t="str">
        <f t="shared" si="61"/>
        <v/>
      </c>
      <c r="F1006" s="37" t="str">
        <f>IFERROR(VLOOKUP($B1006,'MATRICE ARTICLE'!$A$2:$N$1395,9,FALSE),"")</f>
        <v/>
      </c>
      <c r="G1006" s="37" t="str">
        <f>IFERROR(VLOOKUP($B1006,'MATRICE ARTICLE'!$A$2:$N$1395,14,FALSE),"")</f>
        <v/>
      </c>
      <c r="H1006" s="48" t="str">
        <f t="shared" si="62"/>
        <v/>
      </c>
      <c r="I1006" s="48" t="str">
        <f t="shared" si="63"/>
        <v/>
      </c>
    </row>
    <row r="1007" spans="2:9">
      <c r="B1007" s="57" t="str">
        <f t="shared" si="60"/>
        <v/>
      </c>
      <c r="C1007" s="57"/>
      <c r="D1007" s="37" t="str">
        <f>IFERROR(VLOOKUP($B1007,'MATRICE ARTICLE'!$A$2:$N$1395,2,FALSE),"")</f>
        <v/>
      </c>
      <c r="E1007" s="37" t="str">
        <f t="shared" si="61"/>
        <v/>
      </c>
      <c r="F1007" s="37" t="str">
        <f>IFERROR(VLOOKUP($B1007,'MATRICE ARTICLE'!$A$2:$N$1395,9,FALSE),"")</f>
        <v/>
      </c>
      <c r="G1007" s="37" t="str">
        <f>IFERROR(VLOOKUP($B1007,'MATRICE ARTICLE'!$A$2:$N$1395,14,FALSE),"")</f>
        <v/>
      </c>
      <c r="H1007" s="48" t="str">
        <f t="shared" si="62"/>
        <v/>
      </c>
      <c r="I1007" s="48" t="str">
        <f t="shared" si="63"/>
        <v/>
      </c>
    </row>
    <row r="1008" spans="2:9">
      <c r="B1008" s="57" t="str">
        <f t="shared" si="60"/>
        <v/>
      </c>
      <c r="C1008" s="57"/>
      <c r="D1008" s="37" t="str">
        <f>IFERROR(VLOOKUP($B1008,'MATRICE ARTICLE'!$A$2:$N$1395,2,FALSE),"")</f>
        <v/>
      </c>
      <c r="E1008" s="37" t="str">
        <f t="shared" si="61"/>
        <v/>
      </c>
      <c r="F1008" s="37" t="str">
        <f>IFERROR(VLOOKUP($B1008,'MATRICE ARTICLE'!$A$2:$N$1395,9,FALSE),"")</f>
        <v/>
      </c>
      <c r="G1008" s="37" t="str">
        <f>IFERROR(VLOOKUP($B1008,'MATRICE ARTICLE'!$A$2:$N$1395,14,FALSE),"")</f>
        <v/>
      </c>
      <c r="H1008" s="48" t="str">
        <f t="shared" si="62"/>
        <v/>
      </c>
      <c r="I1008" s="48" t="str">
        <f t="shared" si="63"/>
        <v/>
      </c>
    </row>
    <row r="1009" spans="2:9">
      <c r="B1009" s="57" t="str">
        <f t="shared" si="60"/>
        <v/>
      </c>
      <c r="C1009" s="57"/>
      <c r="D1009" s="37" t="str">
        <f>IFERROR(VLOOKUP($B1009,'MATRICE ARTICLE'!$A$2:$N$1395,2,FALSE),"")</f>
        <v/>
      </c>
      <c r="E1009" s="37" t="str">
        <f t="shared" si="61"/>
        <v/>
      </c>
      <c r="F1009" s="37" t="str">
        <f>IFERROR(VLOOKUP($B1009,'MATRICE ARTICLE'!$A$2:$N$1395,9,FALSE),"")</f>
        <v/>
      </c>
      <c r="G1009" s="37" t="str">
        <f>IFERROR(VLOOKUP($B1009,'MATRICE ARTICLE'!$A$2:$N$1395,14,FALSE),"")</f>
        <v/>
      </c>
      <c r="H1009" s="48" t="str">
        <f t="shared" si="62"/>
        <v/>
      </c>
      <c r="I1009" s="48" t="str">
        <f t="shared" si="63"/>
        <v/>
      </c>
    </row>
    <row r="1010" spans="2:9">
      <c r="B1010" s="57" t="str">
        <f t="shared" si="60"/>
        <v/>
      </c>
      <c r="C1010" s="57"/>
      <c r="D1010" s="37" t="str">
        <f>IFERROR(VLOOKUP($B1010,'MATRICE ARTICLE'!$A$2:$N$1395,2,FALSE),"")</f>
        <v/>
      </c>
      <c r="E1010" s="37" t="str">
        <f t="shared" si="61"/>
        <v/>
      </c>
      <c r="F1010" s="37" t="str">
        <f>IFERROR(VLOOKUP($B1010,'MATRICE ARTICLE'!$A$2:$N$1395,9,FALSE),"")</f>
        <v/>
      </c>
      <c r="G1010" s="37" t="str">
        <f>IFERROR(VLOOKUP($B1010,'MATRICE ARTICLE'!$A$2:$N$1395,14,FALSE),"")</f>
        <v/>
      </c>
      <c r="H1010" s="48" t="str">
        <f t="shared" si="62"/>
        <v/>
      </c>
      <c r="I1010" s="48" t="str">
        <f t="shared" si="63"/>
        <v/>
      </c>
    </row>
    <row r="1011" spans="2:9">
      <c r="B1011" s="57" t="str">
        <f t="shared" si="60"/>
        <v/>
      </c>
      <c r="C1011" s="57"/>
      <c r="D1011" s="37" t="str">
        <f>IFERROR(VLOOKUP($B1011,'MATRICE ARTICLE'!$A$2:$N$1395,2,FALSE),"")</f>
        <v/>
      </c>
      <c r="E1011" s="37" t="str">
        <f t="shared" si="61"/>
        <v/>
      </c>
      <c r="F1011" s="37" t="str">
        <f>IFERROR(VLOOKUP($B1011,'MATRICE ARTICLE'!$A$2:$N$1395,9,FALSE),"")</f>
        <v/>
      </c>
      <c r="G1011" s="37" t="str">
        <f>IFERROR(VLOOKUP($B1011,'MATRICE ARTICLE'!$A$2:$N$1395,14,FALSE),"")</f>
        <v/>
      </c>
      <c r="H1011" s="48" t="str">
        <f t="shared" si="62"/>
        <v/>
      </c>
      <c r="I1011" s="48" t="str">
        <f t="shared" si="63"/>
        <v/>
      </c>
    </row>
    <row r="1012" spans="2:9">
      <c r="B1012" s="57" t="str">
        <f t="shared" si="60"/>
        <v/>
      </c>
      <c r="C1012" s="57"/>
      <c r="D1012" s="37" t="str">
        <f>IFERROR(VLOOKUP($B1012,'MATRICE ARTICLE'!$A$2:$N$1395,2,FALSE),"")</f>
        <v/>
      </c>
      <c r="E1012" s="37" t="str">
        <f t="shared" si="61"/>
        <v/>
      </c>
      <c r="F1012" s="37" t="str">
        <f>IFERROR(VLOOKUP($B1012,'MATRICE ARTICLE'!$A$2:$N$1395,9,FALSE),"")</f>
        <v/>
      </c>
      <c r="G1012" s="37" t="str">
        <f>IFERROR(VLOOKUP($B1012,'MATRICE ARTICLE'!$A$2:$N$1395,14,FALSE),"")</f>
        <v/>
      </c>
      <c r="H1012" s="48" t="str">
        <f t="shared" si="62"/>
        <v/>
      </c>
      <c r="I1012" s="48" t="str">
        <f t="shared" si="63"/>
        <v/>
      </c>
    </row>
    <row r="1013" spans="2:9">
      <c r="B1013" s="57" t="str">
        <f t="shared" si="60"/>
        <v/>
      </c>
      <c r="C1013" s="57"/>
      <c r="D1013" s="37" t="str">
        <f>IFERROR(VLOOKUP($B1013,'MATRICE ARTICLE'!$A$2:$N$1395,2,FALSE),"")</f>
        <v/>
      </c>
      <c r="E1013" s="37" t="str">
        <f t="shared" si="61"/>
        <v/>
      </c>
      <c r="F1013" s="37" t="str">
        <f>IFERROR(VLOOKUP($B1013,'MATRICE ARTICLE'!$A$2:$N$1395,9,FALSE),"")</f>
        <v/>
      </c>
      <c r="G1013" s="37" t="str">
        <f>IFERROR(VLOOKUP($B1013,'MATRICE ARTICLE'!$A$2:$N$1395,14,FALSE),"")</f>
        <v/>
      </c>
      <c r="H1013" s="48" t="str">
        <f t="shared" si="62"/>
        <v/>
      </c>
      <c r="I1013" s="48" t="str">
        <f t="shared" si="63"/>
        <v/>
      </c>
    </row>
    <row r="1014" spans="2:9">
      <c r="B1014" s="57" t="str">
        <f t="shared" si="60"/>
        <v/>
      </c>
      <c r="C1014" s="57"/>
      <c r="D1014" s="37" t="str">
        <f>IFERROR(VLOOKUP($B1014,'MATRICE ARTICLE'!$A$2:$N$1395,2,FALSE),"")</f>
        <v/>
      </c>
      <c r="E1014" s="37" t="str">
        <f t="shared" si="61"/>
        <v/>
      </c>
      <c r="F1014" s="37" t="str">
        <f>IFERROR(VLOOKUP($B1014,'MATRICE ARTICLE'!$A$2:$N$1395,9,FALSE),"")</f>
        <v/>
      </c>
      <c r="G1014" s="37" t="str">
        <f>IFERROR(VLOOKUP($B1014,'MATRICE ARTICLE'!$A$2:$N$1395,14,FALSE),"")</f>
        <v/>
      </c>
      <c r="H1014" s="48" t="str">
        <f t="shared" si="62"/>
        <v/>
      </c>
      <c r="I1014" s="48" t="str">
        <f t="shared" si="63"/>
        <v/>
      </c>
    </row>
    <row r="1015" spans="2:9">
      <c r="B1015" s="57" t="str">
        <f t="shared" si="60"/>
        <v/>
      </c>
      <c r="C1015" s="57"/>
      <c r="D1015" s="37" t="str">
        <f>IFERROR(VLOOKUP($B1015,'MATRICE ARTICLE'!$A$2:$N$1395,2,FALSE),"")</f>
        <v/>
      </c>
      <c r="E1015" s="37" t="str">
        <f t="shared" si="61"/>
        <v/>
      </c>
      <c r="F1015" s="37" t="str">
        <f>IFERROR(VLOOKUP($B1015,'MATRICE ARTICLE'!$A$2:$N$1395,9,FALSE),"")</f>
        <v/>
      </c>
      <c r="G1015" s="37" t="str">
        <f>IFERROR(VLOOKUP($B1015,'MATRICE ARTICLE'!$A$2:$N$1395,14,FALSE),"")</f>
        <v/>
      </c>
      <c r="H1015" s="48" t="str">
        <f t="shared" si="62"/>
        <v/>
      </c>
      <c r="I1015" s="48" t="str">
        <f t="shared" si="63"/>
        <v/>
      </c>
    </row>
    <row r="1016" spans="2:9">
      <c r="B1016" s="57" t="str">
        <f t="shared" si="60"/>
        <v/>
      </c>
      <c r="C1016" s="57"/>
      <c r="D1016" s="37" t="str">
        <f>IFERROR(VLOOKUP($B1016,'MATRICE ARTICLE'!$A$2:$N$1395,2,FALSE),"")</f>
        <v/>
      </c>
      <c r="E1016" s="37" t="str">
        <f t="shared" si="61"/>
        <v/>
      </c>
      <c r="F1016" s="37" t="str">
        <f>IFERROR(VLOOKUP($B1016,'MATRICE ARTICLE'!$A$2:$N$1395,9,FALSE),"")</f>
        <v/>
      </c>
      <c r="G1016" s="37" t="str">
        <f>IFERROR(VLOOKUP($B1016,'MATRICE ARTICLE'!$A$2:$N$1395,14,FALSE),"")</f>
        <v/>
      </c>
      <c r="H1016" s="48" t="str">
        <f t="shared" si="62"/>
        <v/>
      </c>
      <c r="I1016" s="48" t="str">
        <f t="shared" si="63"/>
        <v/>
      </c>
    </row>
    <row r="1017" spans="2:9">
      <c r="B1017" s="57" t="str">
        <f t="shared" si="60"/>
        <v/>
      </c>
      <c r="C1017" s="57"/>
      <c r="D1017" s="37" t="str">
        <f>IFERROR(VLOOKUP($B1017,'MATRICE ARTICLE'!$A$2:$N$1395,2,FALSE),"")</f>
        <v/>
      </c>
      <c r="E1017" s="37" t="str">
        <f t="shared" si="61"/>
        <v/>
      </c>
      <c r="F1017" s="37" t="str">
        <f>IFERROR(VLOOKUP($B1017,'MATRICE ARTICLE'!$A$2:$N$1395,9,FALSE),"")</f>
        <v/>
      </c>
      <c r="G1017" s="37" t="str">
        <f>IFERROR(VLOOKUP($B1017,'MATRICE ARTICLE'!$A$2:$N$1395,14,FALSE),"")</f>
        <v/>
      </c>
      <c r="H1017" s="48" t="str">
        <f t="shared" si="62"/>
        <v/>
      </c>
      <c r="I1017" s="48" t="str">
        <f t="shared" si="63"/>
        <v/>
      </c>
    </row>
    <row r="1018" spans="2:9">
      <c r="B1018" s="57" t="str">
        <f t="shared" si="60"/>
        <v/>
      </c>
      <c r="C1018" s="57"/>
      <c r="D1018" s="37" t="str">
        <f>IFERROR(VLOOKUP($B1018,'MATRICE ARTICLE'!$A$2:$N$1395,2,FALSE),"")</f>
        <v/>
      </c>
      <c r="E1018" s="37" t="str">
        <f t="shared" si="61"/>
        <v/>
      </c>
      <c r="F1018" s="37" t="str">
        <f>IFERROR(VLOOKUP($B1018,'MATRICE ARTICLE'!$A$2:$N$1395,9,FALSE),"")</f>
        <v/>
      </c>
      <c r="G1018" s="37" t="str">
        <f>IFERROR(VLOOKUP($B1018,'MATRICE ARTICLE'!$A$2:$N$1395,14,FALSE),"")</f>
        <v/>
      </c>
      <c r="H1018" s="48" t="str">
        <f t="shared" si="62"/>
        <v/>
      </c>
      <c r="I1018" s="48" t="str">
        <f t="shared" si="63"/>
        <v/>
      </c>
    </row>
    <row r="1019" spans="2:9">
      <c r="B1019" s="57" t="str">
        <f t="shared" si="60"/>
        <v/>
      </c>
      <c r="C1019" s="57"/>
      <c r="D1019" s="37" t="str">
        <f>IFERROR(VLOOKUP($B1019,'MATRICE ARTICLE'!$A$2:$N$1395,2,FALSE),"")</f>
        <v/>
      </c>
      <c r="E1019" s="37" t="str">
        <f t="shared" si="61"/>
        <v/>
      </c>
      <c r="F1019" s="37" t="str">
        <f>IFERROR(VLOOKUP($B1019,'MATRICE ARTICLE'!$A$2:$N$1395,9,FALSE),"")</f>
        <v/>
      </c>
      <c r="G1019" s="37" t="str">
        <f>IFERROR(VLOOKUP($B1019,'MATRICE ARTICLE'!$A$2:$N$1395,14,FALSE),"")</f>
        <v/>
      </c>
      <c r="H1019" s="48" t="str">
        <f t="shared" si="62"/>
        <v/>
      </c>
      <c r="I1019" s="48" t="str">
        <f t="shared" si="63"/>
        <v/>
      </c>
    </row>
    <row r="1020" spans="2:9">
      <c r="B1020" s="57" t="str">
        <f t="shared" si="60"/>
        <v/>
      </c>
      <c r="C1020" s="57"/>
      <c r="D1020" s="37" t="str">
        <f>IFERROR(VLOOKUP($B1020,'MATRICE ARTICLE'!$A$2:$N$1395,2,FALSE),"")</f>
        <v/>
      </c>
      <c r="E1020" s="37" t="str">
        <f t="shared" si="61"/>
        <v/>
      </c>
      <c r="F1020" s="37" t="str">
        <f>IFERROR(VLOOKUP($B1020,'MATRICE ARTICLE'!$A$2:$N$1395,9,FALSE),"")</f>
        <v/>
      </c>
      <c r="G1020" s="37" t="str">
        <f>IFERROR(VLOOKUP($B1020,'MATRICE ARTICLE'!$A$2:$N$1395,14,FALSE),"")</f>
        <v/>
      </c>
      <c r="H1020" s="48" t="str">
        <f t="shared" si="62"/>
        <v/>
      </c>
      <c r="I1020" s="48" t="str">
        <f t="shared" si="63"/>
        <v/>
      </c>
    </row>
    <row r="1021" spans="2:9">
      <c r="B1021" s="57" t="str">
        <f t="shared" si="60"/>
        <v/>
      </c>
      <c r="C1021" s="57"/>
      <c r="D1021" s="37" t="str">
        <f>IFERROR(VLOOKUP($B1021,'MATRICE ARTICLE'!$A$2:$N$1395,2,FALSE),"")</f>
        <v/>
      </c>
      <c r="E1021" s="37" t="str">
        <f t="shared" si="61"/>
        <v/>
      </c>
      <c r="F1021" s="37" t="str">
        <f>IFERROR(VLOOKUP($B1021,'MATRICE ARTICLE'!$A$2:$N$1395,9,FALSE),"")</f>
        <v/>
      </c>
      <c r="G1021" s="37" t="str">
        <f>IFERROR(VLOOKUP($B1021,'MATRICE ARTICLE'!$A$2:$N$1395,14,FALSE),"")</f>
        <v/>
      </c>
      <c r="H1021" s="48" t="str">
        <f t="shared" si="62"/>
        <v/>
      </c>
      <c r="I1021" s="48" t="str">
        <f t="shared" si="63"/>
        <v/>
      </c>
    </row>
    <row r="1022" spans="2:9">
      <c r="B1022" s="57" t="str">
        <f t="shared" si="60"/>
        <v/>
      </c>
      <c r="C1022" s="57"/>
      <c r="D1022" s="37" t="str">
        <f>IFERROR(VLOOKUP($B1022,'MATRICE ARTICLE'!$A$2:$N$1395,2,FALSE),"")</f>
        <v/>
      </c>
      <c r="E1022" s="37" t="str">
        <f t="shared" si="61"/>
        <v/>
      </c>
      <c r="F1022" s="37" t="str">
        <f>IFERROR(VLOOKUP($B1022,'MATRICE ARTICLE'!$A$2:$N$1395,9,FALSE),"")</f>
        <v/>
      </c>
      <c r="G1022" s="37" t="str">
        <f>IFERROR(VLOOKUP($B1022,'MATRICE ARTICLE'!$A$2:$N$1395,14,FALSE),"")</f>
        <v/>
      </c>
      <c r="H1022" s="48" t="str">
        <f t="shared" si="62"/>
        <v/>
      </c>
      <c r="I1022" s="48" t="str">
        <f t="shared" si="63"/>
        <v/>
      </c>
    </row>
    <row r="1023" spans="2:9">
      <c r="B1023" s="57" t="str">
        <f t="shared" si="60"/>
        <v/>
      </c>
      <c r="C1023" s="57"/>
      <c r="D1023" s="37" t="str">
        <f>IFERROR(VLOOKUP($B1023,'MATRICE ARTICLE'!$A$2:$N$1395,2,FALSE),"")</f>
        <v/>
      </c>
      <c r="E1023" s="37" t="str">
        <f t="shared" si="61"/>
        <v/>
      </c>
      <c r="F1023" s="37" t="str">
        <f>IFERROR(VLOOKUP($B1023,'MATRICE ARTICLE'!$A$2:$N$1395,9,FALSE),"")</f>
        <v/>
      </c>
      <c r="G1023" s="37" t="str">
        <f>IFERROR(VLOOKUP($B1023,'MATRICE ARTICLE'!$A$2:$N$1395,14,FALSE),"")</f>
        <v/>
      </c>
      <c r="H1023" s="48" t="str">
        <f t="shared" si="62"/>
        <v/>
      </c>
      <c r="I1023" s="48" t="str">
        <f t="shared" si="63"/>
        <v/>
      </c>
    </row>
    <row r="1024" spans="2:9">
      <c r="B1024" s="57" t="str">
        <f t="shared" si="60"/>
        <v/>
      </c>
      <c r="C1024" s="57"/>
      <c r="D1024" s="37" t="str">
        <f>IFERROR(VLOOKUP($B1024,'MATRICE ARTICLE'!$A$2:$N$1395,2,FALSE),"")</f>
        <v/>
      </c>
      <c r="E1024" s="37" t="str">
        <f t="shared" si="61"/>
        <v/>
      </c>
      <c r="F1024" s="37" t="str">
        <f>IFERROR(VLOOKUP($B1024,'MATRICE ARTICLE'!$A$2:$N$1395,9,FALSE),"")</f>
        <v/>
      </c>
      <c r="G1024" s="37" t="str">
        <f>IFERROR(VLOOKUP($B1024,'MATRICE ARTICLE'!$A$2:$N$1395,14,FALSE),"")</f>
        <v/>
      </c>
      <c r="H1024" s="48" t="str">
        <f t="shared" si="62"/>
        <v/>
      </c>
      <c r="I1024" s="48" t="str">
        <f t="shared" si="63"/>
        <v/>
      </c>
    </row>
    <row r="1025" spans="2:9">
      <c r="B1025" s="57" t="str">
        <f t="shared" si="60"/>
        <v/>
      </c>
      <c r="C1025" s="57"/>
      <c r="D1025" s="37" t="str">
        <f>IFERROR(VLOOKUP($B1025,'MATRICE ARTICLE'!$A$2:$N$1395,2,FALSE),"")</f>
        <v/>
      </c>
      <c r="E1025" s="37" t="str">
        <f t="shared" si="61"/>
        <v/>
      </c>
      <c r="F1025" s="37" t="str">
        <f>IFERROR(VLOOKUP($B1025,'MATRICE ARTICLE'!$A$2:$N$1395,9,FALSE),"")</f>
        <v/>
      </c>
      <c r="G1025" s="37" t="str">
        <f>IFERROR(VLOOKUP($B1025,'MATRICE ARTICLE'!$A$2:$N$1395,14,FALSE),"")</f>
        <v/>
      </c>
      <c r="H1025" s="48" t="str">
        <f t="shared" si="62"/>
        <v/>
      </c>
      <c r="I1025" s="48" t="str">
        <f t="shared" si="63"/>
        <v/>
      </c>
    </row>
    <row r="1026" spans="2:9">
      <c r="B1026" s="57" t="str">
        <f t="shared" si="60"/>
        <v/>
      </c>
      <c r="C1026" s="57"/>
      <c r="D1026" s="37" t="str">
        <f>IFERROR(VLOOKUP($B1026,'MATRICE ARTICLE'!$A$2:$N$1395,2,FALSE),"")</f>
        <v/>
      </c>
      <c r="E1026" s="37" t="str">
        <f t="shared" si="61"/>
        <v/>
      </c>
      <c r="F1026" s="37" t="str">
        <f>IFERROR(VLOOKUP($B1026,'MATRICE ARTICLE'!$A$2:$N$1395,9,FALSE),"")</f>
        <v/>
      </c>
      <c r="G1026" s="37" t="str">
        <f>IFERROR(VLOOKUP($B1026,'MATRICE ARTICLE'!$A$2:$N$1395,14,FALSE),"")</f>
        <v/>
      </c>
      <c r="H1026" s="48" t="str">
        <f t="shared" si="62"/>
        <v/>
      </c>
      <c r="I1026" s="48" t="str">
        <f t="shared" si="63"/>
        <v/>
      </c>
    </row>
    <row r="1027" spans="2:9">
      <c r="B1027" s="57" t="str">
        <f t="shared" ref="B1027:B1090" si="64">IF(A1027=0,"",A1027)</f>
        <v/>
      </c>
      <c r="C1027" s="57"/>
      <c r="D1027" s="37" t="str">
        <f>IFERROR(VLOOKUP($B1027,'MATRICE ARTICLE'!$A$2:$N$1395,2,FALSE),"")</f>
        <v/>
      </c>
      <c r="E1027" s="37" t="str">
        <f t="shared" ref="E1027:E1090" si="65">IF(SUM(F1027:I1027)=0,"",SUM(F1027:I1027))</f>
        <v/>
      </c>
      <c r="F1027" s="37" t="str">
        <f>IFERROR(VLOOKUP($B1027,'MATRICE ARTICLE'!$A$2:$N$1395,9,FALSE),"")</f>
        <v/>
      </c>
      <c r="G1027" s="37" t="str">
        <f>IFERROR(VLOOKUP($B1027,'MATRICE ARTICLE'!$A$2:$N$1395,14,FALSE),"")</f>
        <v/>
      </c>
      <c r="H1027" s="48" t="str">
        <f t="shared" ref="H1027:H1090" si="66">IF(SUM(F1027:G1027)*$H$1=0,"",SUM(F1027:G1027)*$H$1)</f>
        <v/>
      </c>
      <c r="I1027" s="48" t="str">
        <f t="shared" ref="I1027:I1090" si="67">IF(SUM(F1027:H1027)*$I$1=0,"",SUM(F1027:H1027)*$I$1)</f>
        <v/>
      </c>
    </row>
    <row r="1028" spans="2:9">
      <c r="B1028" s="57" t="str">
        <f t="shared" si="64"/>
        <v/>
      </c>
      <c r="C1028" s="57"/>
      <c r="D1028" s="37" t="str">
        <f>IFERROR(VLOOKUP($B1028,'MATRICE ARTICLE'!$A$2:$N$1395,2,FALSE),"")</f>
        <v/>
      </c>
      <c r="E1028" s="37" t="str">
        <f t="shared" si="65"/>
        <v/>
      </c>
      <c r="F1028" s="37" t="str">
        <f>IFERROR(VLOOKUP($B1028,'MATRICE ARTICLE'!$A$2:$N$1395,9,FALSE),"")</f>
        <v/>
      </c>
      <c r="G1028" s="37" t="str">
        <f>IFERROR(VLOOKUP($B1028,'MATRICE ARTICLE'!$A$2:$N$1395,14,FALSE),"")</f>
        <v/>
      </c>
      <c r="H1028" s="48" t="str">
        <f t="shared" si="66"/>
        <v/>
      </c>
      <c r="I1028" s="48" t="str">
        <f t="shared" si="67"/>
        <v/>
      </c>
    </row>
    <row r="1029" spans="2:9">
      <c r="B1029" s="57" t="str">
        <f t="shared" si="64"/>
        <v/>
      </c>
      <c r="C1029" s="57"/>
      <c r="D1029" s="37" t="str">
        <f>IFERROR(VLOOKUP($B1029,'MATRICE ARTICLE'!$A$2:$N$1395,2,FALSE),"")</f>
        <v/>
      </c>
      <c r="E1029" s="37" t="str">
        <f t="shared" si="65"/>
        <v/>
      </c>
      <c r="F1029" s="37" t="str">
        <f>IFERROR(VLOOKUP($B1029,'MATRICE ARTICLE'!$A$2:$N$1395,9,FALSE),"")</f>
        <v/>
      </c>
      <c r="G1029" s="37" t="str">
        <f>IFERROR(VLOOKUP($B1029,'MATRICE ARTICLE'!$A$2:$N$1395,14,FALSE),"")</f>
        <v/>
      </c>
      <c r="H1029" s="48" t="str">
        <f t="shared" si="66"/>
        <v/>
      </c>
      <c r="I1029" s="48" t="str">
        <f t="shared" si="67"/>
        <v/>
      </c>
    </row>
    <row r="1030" spans="2:9">
      <c r="B1030" s="57" t="str">
        <f t="shared" si="64"/>
        <v/>
      </c>
      <c r="C1030" s="57"/>
      <c r="D1030" s="37" t="str">
        <f>IFERROR(VLOOKUP($B1030,'MATRICE ARTICLE'!$A$2:$N$1395,2,FALSE),"")</f>
        <v/>
      </c>
      <c r="E1030" s="37" t="str">
        <f t="shared" si="65"/>
        <v/>
      </c>
      <c r="F1030" s="37" t="str">
        <f>IFERROR(VLOOKUP($B1030,'MATRICE ARTICLE'!$A$2:$N$1395,9,FALSE),"")</f>
        <v/>
      </c>
      <c r="G1030" s="37" t="str">
        <f>IFERROR(VLOOKUP($B1030,'MATRICE ARTICLE'!$A$2:$N$1395,14,FALSE),"")</f>
        <v/>
      </c>
      <c r="H1030" s="48" t="str">
        <f t="shared" si="66"/>
        <v/>
      </c>
      <c r="I1030" s="48" t="str">
        <f t="shared" si="67"/>
        <v/>
      </c>
    </row>
    <row r="1031" spans="2:9">
      <c r="B1031" s="57" t="str">
        <f t="shared" si="64"/>
        <v/>
      </c>
      <c r="C1031" s="57"/>
      <c r="D1031" s="37" t="str">
        <f>IFERROR(VLOOKUP($B1031,'MATRICE ARTICLE'!$A$2:$N$1395,2,FALSE),"")</f>
        <v/>
      </c>
      <c r="E1031" s="37" t="str">
        <f t="shared" si="65"/>
        <v/>
      </c>
      <c r="F1031" s="37" t="str">
        <f>IFERROR(VLOOKUP($B1031,'MATRICE ARTICLE'!$A$2:$N$1395,9,FALSE),"")</f>
        <v/>
      </c>
      <c r="G1031" s="37" t="str">
        <f>IFERROR(VLOOKUP($B1031,'MATRICE ARTICLE'!$A$2:$N$1395,14,FALSE),"")</f>
        <v/>
      </c>
      <c r="H1031" s="48" t="str">
        <f t="shared" si="66"/>
        <v/>
      </c>
      <c r="I1031" s="48" t="str">
        <f t="shared" si="67"/>
        <v/>
      </c>
    </row>
    <row r="1032" spans="2:9">
      <c r="B1032" s="57" t="str">
        <f t="shared" si="64"/>
        <v/>
      </c>
      <c r="C1032" s="57"/>
      <c r="D1032" s="37" t="str">
        <f>IFERROR(VLOOKUP($B1032,'MATRICE ARTICLE'!$A$2:$N$1395,2,FALSE),"")</f>
        <v/>
      </c>
      <c r="E1032" s="37" t="str">
        <f t="shared" si="65"/>
        <v/>
      </c>
      <c r="F1032" s="37" t="str">
        <f>IFERROR(VLOOKUP($B1032,'MATRICE ARTICLE'!$A$2:$N$1395,9,FALSE),"")</f>
        <v/>
      </c>
      <c r="G1032" s="37" t="str">
        <f>IFERROR(VLOOKUP($B1032,'MATRICE ARTICLE'!$A$2:$N$1395,14,FALSE),"")</f>
        <v/>
      </c>
      <c r="H1032" s="48" t="str">
        <f t="shared" si="66"/>
        <v/>
      </c>
      <c r="I1032" s="48" t="str">
        <f t="shared" si="67"/>
        <v/>
      </c>
    </row>
    <row r="1033" spans="2:9">
      <c r="B1033" s="57" t="str">
        <f t="shared" si="64"/>
        <v/>
      </c>
      <c r="C1033" s="57"/>
      <c r="D1033" s="37" t="str">
        <f>IFERROR(VLOOKUP($B1033,'MATRICE ARTICLE'!$A$2:$N$1395,2,FALSE),"")</f>
        <v/>
      </c>
      <c r="E1033" s="37" t="str">
        <f t="shared" si="65"/>
        <v/>
      </c>
      <c r="F1033" s="37" t="str">
        <f>IFERROR(VLOOKUP($B1033,'MATRICE ARTICLE'!$A$2:$N$1395,9,FALSE),"")</f>
        <v/>
      </c>
      <c r="G1033" s="37" t="str">
        <f>IFERROR(VLOOKUP($B1033,'MATRICE ARTICLE'!$A$2:$N$1395,14,FALSE),"")</f>
        <v/>
      </c>
      <c r="H1033" s="48" t="str">
        <f t="shared" si="66"/>
        <v/>
      </c>
      <c r="I1033" s="48" t="str">
        <f t="shared" si="67"/>
        <v/>
      </c>
    </row>
    <row r="1034" spans="2:9">
      <c r="B1034" s="57" t="str">
        <f t="shared" si="64"/>
        <v/>
      </c>
      <c r="C1034" s="57"/>
      <c r="D1034" s="37" t="str">
        <f>IFERROR(VLOOKUP($B1034,'MATRICE ARTICLE'!$A$2:$N$1395,2,FALSE),"")</f>
        <v/>
      </c>
      <c r="E1034" s="37" t="str">
        <f t="shared" si="65"/>
        <v/>
      </c>
      <c r="F1034" s="37" t="str">
        <f>IFERROR(VLOOKUP($B1034,'MATRICE ARTICLE'!$A$2:$N$1395,9,FALSE),"")</f>
        <v/>
      </c>
      <c r="G1034" s="37" t="str">
        <f>IFERROR(VLOOKUP($B1034,'MATRICE ARTICLE'!$A$2:$N$1395,14,FALSE),"")</f>
        <v/>
      </c>
      <c r="H1034" s="48" t="str">
        <f t="shared" si="66"/>
        <v/>
      </c>
      <c r="I1034" s="48" t="str">
        <f t="shared" si="67"/>
        <v/>
      </c>
    </row>
    <row r="1035" spans="2:9">
      <c r="B1035" s="57" t="str">
        <f t="shared" si="64"/>
        <v/>
      </c>
      <c r="C1035" s="57"/>
      <c r="D1035" s="37" t="str">
        <f>IFERROR(VLOOKUP($B1035,'MATRICE ARTICLE'!$A$2:$N$1395,2,FALSE),"")</f>
        <v/>
      </c>
      <c r="E1035" s="37" t="str">
        <f t="shared" si="65"/>
        <v/>
      </c>
      <c r="F1035" s="37" t="str">
        <f>IFERROR(VLOOKUP($B1035,'MATRICE ARTICLE'!$A$2:$N$1395,9,FALSE),"")</f>
        <v/>
      </c>
      <c r="G1035" s="37" t="str">
        <f>IFERROR(VLOOKUP($B1035,'MATRICE ARTICLE'!$A$2:$N$1395,14,FALSE),"")</f>
        <v/>
      </c>
      <c r="H1035" s="48" t="str">
        <f t="shared" si="66"/>
        <v/>
      </c>
      <c r="I1035" s="48" t="str">
        <f t="shared" si="67"/>
        <v/>
      </c>
    </row>
    <row r="1036" spans="2:9">
      <c r="B1036" s="57" t="str">
        <f t="shared" si="64"/>
        <v/>
      </c>
      <c r="C1036" s="57"/>
      <c r="D1036" s="37" t="str">
        <f>IFERROR(VLOOKUP($B1036,'MATRICE ARTICLE'!$A$2:$N$1395,2,FALSE),"")</f>
        <v/>
      </c>
      <c r="E1036" s="37" t="str">
        <f t="shared" si="65"/>
        <v/>
      </c>
      <c r="F1036" s="37" t="str">
        <f>IFERROR(VLOOKUP($B1036,'MATRICE ARTICLE'!$A$2:$N$1395,9,FALSE),"")</f>
        <v/>
      </c>
      <c r="G1036" s="37" t="str">
        <f>IFERROR(VLOOKUP($B1036,'MATRICE ARTICLE'!$A$2:$N$1395,14,FALSE),"")</f>
        <v/>
      </c>
      <c r="H1036" s="48" t="str">
        <f t="shared" si="66"/>
        <v/>
      </c>
      <c r="I1036" s="48" t="str">
        <f t="shared" si="67"/>
        <v/>
      </c>
    </row>
    <row r="1037" spans="2:9">
      <c r="B1037" s="57" t="str">
        <f t="shared" si="64"/>
        <v/>
      </c>
      <c r="C1037" s="57"/>
      <c r="D1037" s="37" t="str">
        <f>IFERROR(VLOOKUP($B1037,'MATRICE ARTICLE'!$A$2:$N$1395,2,FALSE),"")</f>
        <v/>
      </c>
      <c r="E1037" s="37" t="str">
        <f t="shared" si="65"/>
        <v/>
      </c>
      <c r="F1037" s="37" t="str">
        <f>IFERROR(VLOOKUP($B1037,'MATRICE ARTICLE'!$A$2:$N$1395,9,FALSE),"")</f>
        <v/>
      </c>
      <c r="G1037" s="37" t="str">
        <f>IFERROR(VLOOKUP($B1037,'MATRICE ARTICLE'!$A$2:$N$1395,14,FALSE),"")</f>
        <v/>
      </c>
      <c r="H1037" s="48" t="str">
        <f t="shared" si="66"/>
        <v/>
      </c>
      <c r="I1037" s="48" t="str">
        <f t="shared" si="67"/>
        <v/>
      </c>
    </row>
    <row r="1038" spans="2:9">
      <c r="B1038" s="57" t="str">
        <f t="shared" si="64"/>
        <v/>
      </c>
      <c r="C1038" s="57"/>
      <c r="D1038" s="37" t="str">
        <f>IFERROR(VLOOKUP($B1038,'MATRICE ARTICLE'!$A$2:$N$1395,2,FALSE),"")</f>
        <v/>
      </c>
      <c r="E1038" s="37" t="str">
        <f t="shared" si="65"/>
        <v/>
      </c>
      <c r="F1038" s="37" t="str">
        <f>IFERROR(VLOOKUP($B1038,'MATRICE ARTICLE'!$A$2:$N$1395,9,FALSE),"")</f>
        <v/>
      </c>
      <c r="G1038" s="37" t="str">
        <f>IFERROR(VLOOKUP($B1038,'MATRICE ARTICLE'!$A$2:$N$1395,14,FALSE),"")</f>
        <v/>
      </c>
      <c r="H1038" s="48" t="str">
        <f t="shared" si="66"/>
        <v/>
      </c>
      <c r="I1038" s="48" t="str">
        <f t="shared" si="67"/>
        <v/>
      </c>
    </row>
    <row r="1039" spans="2:9">
      <c r="B1039" s="57" t="str">
        <f t="shared" si="64"/>
        <v/>
      </c>
      <c r="C1039" s="57"/>
      <c r="D1039" s="37" t="str">
        <f>IFERROR(VLOOKUP($B1039,'MATRICE ARTICLE'!$A$2:$N$1395,2,FALSE),"")</f>
        <v/>
      </c>
      <c r="E1039" s="37" t="str">
        <f t="shared" si="65"/>
        <v/>
      </c>
      <c r="F1039" s="37" t="str">
        <f>IFERROR(VLOOKUP($B1039,'MATRICE ARTICLE'!$A$2:$N$1395,9,FALSE),"")</f>
        <v/>
      </c>
      <c r="G1039" s="37" t="str">
        <f>IFERROR(VLOOKUP($B1039,'MATRICE ARTICLE'!$A$2:$N$1395,14,FALSE),"")</f>
        <v/>
      </c>
      <c r="H1039" s="48" t="str">
        <f t="shared" si="66"/>
        <v/>
      </c>
      <c r="I1039" s="48" t="str">
        <f t="shared" si="67"/>
        <v/>
      </c>
    </row>
    <row r="1040" spans="2:9">
      <c r="B1040" s="57" t="str">
        <f t="shared" si="64"/>
        <v/>
      </c>
      <c r="C1040" s="57"/>
      <c r="D1040" s="37" t="str">
        <f>IFERROR(VLOOKUP($B1040,'MATRICE ARTICLE'!$A$2:$N$1395,2,FALSE),"")</f>
        <v/>
      </c>
      <c r="E1040" s="37" t="str">
        <f t="shared" si="65"/>
        <v/>
      </c>
      <c r="F1040" s="37" t="str">
        <f>IFERROR(VLOOKUP($B1040,'MATRICE ARTICLE'!$A$2:$N$1395,9,FALSE),"")</f>
        <v/>
      </c>
      <c r="G1040" s="37" t="str">
        <f>IFERROR(VLOOKUP($B1040,'MATRICE ARTICLE'!$A$2:$N$1395,14,FALSE),"")</f>
        <v/>
      </c>
      <c r="H1040" s="48" t="str">
        <f t="shared" si="66"/>
        <v/>
      </c>
      <c r="I1040" s="48" t="str">
        <f t="shared" si="67"/>
        <v/>
      </c>
    </row>
    <row r="1041" spans="2:9">
      <c r="B1041" s="57" t="str">
        <f t="shared" si="64"/>
        <v/>
      </c>
      <c r="C1041" s="57"/>
      <c r="D1041" s="37" t="str">
        <f>IFERROR(VLOOKUP($B1041,'MATRICE ARTICLE'!$A$2:$N$1395,2,FALSE),"")</f>
        <v/>
      </c>
      <c r="E1041" s="37" t="str">
        <f t="shared" si="65"/>
        <v/>
      </c>
      <c r="F1041" s="37" t="str">
        <f>IFERROR(VLOOKUP($B1041,'MATRICE ARTICLE'!$A$2:$N$1395,9,FALSE),"")</f>
        <v/>
      </c>
      <c r="G1041" s="37" t="str">
        <f>IFERROR(VLOOKUP($B1041,'MATRICE ARTICLE'!$A$2:$N$1395,14,FALSE),"")</f>
        <v/>
      </c>
      <c r="H1041" s="48" t="str">
        <f t="shared" si="66"/>
        <v/>
      </c>
      <c r="I1041" s="48" t="str">
        <f t="shared" si="67"/>
        <v/>
      </c>
    </row>
    <row r="1042" spans="2:9">
      <c r="B1042" s="57" t="str">
        <f t="shared" si="64"/>
        <v/>
      </c>
      <c r="C1042" s="57"/>
      <c r="D1042" s="37" t="str">
        <f>IFERROR(VLOOKUP($B1042,'MATRICE ARTICLE'!$A$2:$N$1395,2,FALSE),"")</f>
        <v/>
      </c>
      <c r="E1042" s="37" t="str">
        <f t="shared" si="65"/>
        <v/>
      </c>
      <c r="F1042" s="37" t="str">
        <f>IFERROR(VLOOKUP($B1042,'MATRICE ARTICLE'!$A$2:$N$1395,9,FALSE),"")</f>
        <v/>
      </c>
      <c r="G1042" s="37" t="str">
        <f>IFERROR(VLOOKUP($B1042,'MATRICE ARTICLE'!$A$2:$N$1395,14,FALSE),"")</f>
        <v/>
      </c>
      <c r="H1042" s="48" t="str">
        <f t="shared" si="66"/>
        <v/>
      </c>
      <c r="I1042" s="48" t="str">
        <f t="shared" si="67"/>
        <v/>
      </c>
    </row>
    <row r="1043" spans="2:9">
      <c r="B1043" s="57" t="str">
        <f t="shared" si="64"/>
        <v/>
      </c>
      <c r="C1043" s="57"/>
      <c r="D1043" s="37" t="str">
        <f>IFERROR(VLOOKUP($B1043,'MATRICE ARTICLE'!$A$2:$N$1395,2,FALSE),"")</f>
        <v/>
      </c>
      <c r="E1043" s="37" t="str">
        <f t="shared" si="65"/>
        <v/>
      </c>
      <c r="F1043" s="37" t="str">
        <f>IFERROR(VLOOKUP($B1043,'MATRICE ARTICLE'!$A$2:$N$1395,9,FALSE),"")</f>
        <v/>
      </c>
      <c r="G1043" s="37" t="str">
        <f>IFERROR(VLOOKUP($B1043,'MATRICE ARTICLE'!$A$2:$N$1395,14,FALSE),"")</f>
        <v/>
      </c>
      <c r="H1043" s="48" t="str">
        <f t="shared" si="66"/>
        <v/>
      </c>
      <c r="I1043" s="48" t="str">
        <f t="shared" si="67"/>
        <v/>
      </c>
    </row>
    <row r="1044" spans="2:9">
      <c r="B1044" s="57" t="str">
        <f t="shared" si="64"/>
        <v/>
      </c>
      <c r="C1044" s="57"/>
      <c r="D1044" s="37" t="str">
        <f>IFERROR(VLOOKUP($B1044,'MATRICE ARTICLE'!$A$2:$N$1395,2,FALSE),"")</f>
        <v/>
      </c>
      <c r="E1044" s="37" t="str">
        <f t="shared" si="65"/>
        <v/>
      </c>
      <c r="F1044" s="37" t="str">
        <f>IFERROR(VLOOKUP($B1044,'MATRICE ARTICLE'!$A$2:$N$1395,9,FALSE),"")</f>
        <v/>
      </c>
      <c r="G1044" s="37" t="str">
        <f>IFERROR(VLOOKUP($B1044,'MATRICE ARTICLE'!$A$2:$N$1395,14,FALSE),"")</f>
        <v/>
      </c>
      <c r="H1044" s="48" t="str">
        <f t="shared" si="66"/>
        <v/>
      </c>
      <c r="I1044" s="48" t="str">
        <f t="shared" si="67"/>
        <v/>
      </c>
    </row>
    <row r="1045" spans="2:9">
      <c r="B1045" s="57" t="str">
        <f t="shared" si="64"/>
        <v/>
      </c>
      <c r="C1045" s="57"/>
      <c r="D1045" s="37" t="str">
        <f>IFERROR(VLOOKUP($B1045,'MATRICE ARTICLE'!$A$2:$N$1395,2,FALSE),"")</f>
        <v/>
      </c>
      <c r="E1045" s="37" t="str">
        <f t="shared" si="65"/>
        <v/>
      </c>
      <c r="F1045" s="37" t="str">
        <f>IFERROR(VLOOKUP($B1045,'MATRICE ARTICLE'!$A$2:$N$1395,9,FALSE),"")</f>
        <v/>
      </c>
      <c r="G1045" s="37" t="str">
        <f>IFERROR(VLOOKUP($B1045,'MATRICE ARTICLE'!$A$2:$N$1395,14,FALSE),"")</f>
        <v/>
      </c>
      <c r="H1045" s="48" t="str">
        <f t="shared" si="66"/>
        <v/>
      </c>
      <c r="I1045" s="48" t="str">
        <f t="shared" si="67"/>
        <v/>
      </c>
    </row>
    <row r="1046" spans="2:9">
      <c r="B1046" s="57" t="str">
        <f t="shared" si="64"/>
        <v/>
      </c>
      <c r="C1046" s="57"/>
      <c r="D1046" s="37" t="str">
        <f>IFERROR(VLOOKUP($B1046,'MATRICE ARTICLE'!$A$2:$N$1395,2,FALSE),"")</f>
        <v/>
      </c>
      <c r="E1046" s="37" t="str">
        <f t="shared" si="65"/>
        <v/>
      </c>
      <c r="F1046" s="37" t="str">
        <f>IFERROR(VLOOKUP($B1046,'MATRICE ARTICLE'!$A$2:$N$1395,9,FALSE),"")</f>
        <v/>
      </c>
      <c r="G1046" s="37" t="str">
        <f>IFERROR(VLOOKUP($B1046,'MATRICE ARTICLE'!$A$2:$N$1395,14,FALSE),"")</f>
        <v/>
      </c>
      <c r="H1046" s="48" t="str">
        <f t="shared" si="66"/>
        <v/>
      </c>
      <c r="I1046" s="48" t="str">
        <f t="shared" si="67"/>
        <v/>
      </c>
    </row>
    <row r="1047" spans="2:9">
      <c r="B1047" s="57" t="str">
        <f t="shared" si="64"/>
        <v/>
      </c>
      <c r="C1047" s="57"/>
      <c r="D1047" s="37" t="str">
        <f>IFERROR(VLOOKUP($B1047,'MATRICE ARTICLE'!$A$2:$N$1395,2,FALSE),"")</f>
        <v/>
      </c>
      <c r="E1047" s="37" t="str">
        <f t="shared" si="65"/>
        <v/>
      </c>
      <c r="F1047" s="37" t="str">
        <f>IFERROR(VLOOKUP($B1047,'MATRICE ARTICLE'!$A$2:$N$1395,9,FALSE),"")</f>
        <v/>
      </c>
      <c r="G1047" s="37" t="str">
        <f>IFERROR(VLOOKUP($B1047,'MATRICE ARTICLE'!$A$2:$N$1395,14,FALSE),"")</f>
        <v/>
      </c>
      <c r="H1047" s="48" t="str">
        <f t="shared" si="66"/>
        <v/>
      </c>
      <c r="I1047" s="48" t="str">
        <f t="shared" si="67"/>
        <v/>
      </c>
    </row>
    <row r="1048" spans="2:9">
      <c r="B1048" s="57" t="str">
        <f t="shared" si="64"/>
        <v/>
      </c>
      <c r="C1048" s="57"/>
      <c r="D1048" s="37" t="str">
        <f>IFERROR(VLOOKUP($B1048,'MATRICE ARTICLE'!$A$2:$N$1395,2,FALSE),"")</f>
        <v/>
      </c>
      <c r="E1048" s="37" t="str">
        <f t="shared" si="65"/>
        <v/>
      </c>
      <c r="F1048" s="37" t="str">
        <f>IFERROR(VLOOKUP($B1048,'MATRICE ARTICLE'!$A$2:$N$1395,9,FALSE),"")</f>
        <v/>
      </c>
      <c r="G1048" s="37" t="str">
        <f>IFERROR(VLOOKUP($B1048,'MATRICE ARTICLE'!$A$2:$N$1395,14,FALSE),"")</f>
        <v/>
      </c>
      <c r="H1048" s="48" t="str">
        <f t="shared" si="66"/>
        <v/>
      </c>
      <c r="I1048" s="48" t="str">
        <f t="shared" si="67"/>
        <v/>
      </c>
    </row>
    <row r="1049" spans="2:9">
      <c r="B1049" s="57" t="str">
        <f t="shared" si="64"/>
        <v/>
      </c>
      <c r="C1049" s="57"/>
      <c r="D1049" s="37" t="str">
        <f>IFERROR(VLOOKUP($B1049,'MATRICE ARTICLE'!$A$2:$N$1395,2,FALSE),"")</f>
        <v/>
      </c>
      <c r="E1049" s="37" t="str">
        <f t="shared" si="65"/>
        <v/>
      </c>
      <c r="F1049" s="37" t="str">
        <f>IFERROR(VLOOKUP($B1049,'MATRICE ARTICLE'!$A$2:$N$1395,9,FALSE),"")</f>
        <v/>
      </c>
      <c r="G1049" s="37" t="str">
        <f>IFERROR(VLOOKUP($B1049,'MATRICE ARTICLE'!$A$2:$N$1395,14,FALSE),"")</f>
        <v/>
      </c>
      <c r="H1049" s="48" t="str">
        <f t="shared" si="66"/>
        <v/>
      </c>
      <c r="I1049" s="48" t="str">
        <f t="shared" si="67"/>
        <v/>
      </c>
    </row>
    <row r="1050" spans="2:9">
      <c r="B1050" s="57" t="str">
        <f t="shared" si="64"/>
        <v/>
      </c>
      <c r="C1050" s="57"/>
      <c r="D1050" s="37" t="str">
        <f>IFERROR(VLOOKUP($B1050,'MATRICE ARTICLE'!$A$2:$N$1395,2,FALSE),"")</f>
        <v/>
      </c>
      <c r="E1050" s="37" t="str">
        <f t="shared" si="65"/>
        <v/>
      </c>
      <c r="F1050" s="37" t="str">
        <f>IFERROR(VLOOKUP($B1050,'MATRICE ARTICLE'!$A$2:$N$1395,9,FALSE),"")</f>
        <v/>
      </c>
      <c r="G1050" s="37" t="str">
        <f>IFERROR(VLOOKUP($B1050,'MATRICE ARTICLE'!$A$2:$N$1395,14,FALSE),"")</f>
        <v/>
      </c>
      <c r="H1050" s="48" t="str">
        <f t="shared" si="66"/>
        <v/>
      </c>
      <c r="I1050" s="48" t="str">
        <f t="shared" si="67"/>
        <v/>
      </c>
    </row>
    <row r="1051" spans="2:9">
      <c r="B1051" s="57" t="str">
        <f t="shared" si="64"/>
        <v/>
      </c>
      <c r="C1051" s="57"/>
      <c r="D1051" s="37" t="str">
        <f>IFERROR(VLOOKUP($B1051,'MATRICE ARTICLE'!$A$2:$N$1395,2,FALSE),"")</f>
        <v/>
      </c>
      <c r="E1051" s="37" t="str">
        <f t="shared" si="65"/>
        <v/>
      </c>
      <c r="F1051" s="37" t="str">
        <f>IFERROR(VLOOKUP($B1051,'MATRICE ARTICLE'!$A$2:$N$1395,9,FALSE),"")</f>
        <v/>
      </c>
      <c r="G1051" s="37" t="str">
        <f>IFERROR(VLOOKUP($B1051,'MATRICE ARTICLE'!$A$2:$N$1395,14,FALSE),"")</f>
        <v/>
      </c>
      <c r="H1051" s="48" t="str">
        <f t="shared" si="66"/>
        <v/>
      </c>
      <c r="I1051" s="48" t="str">
        <f t="shared" si="67"/>
        <v/>
      </c>
    </row>
    <row r="1052" spans="2:9">
      <c r="B1052" s="57" t="str">
        <f t="shared" si="64"/>
        <v/>
      </c>
      <c r="C1052" s="57"/>
      <c r="D1052" s="37" t="str">
        <f>IFERROR(VLOOKUP($B1052,'MATRICE ARTICLE'!$A$2:$N$1395,2,FALSE),"")</f>
        <v/>
      </c>
      <c r="E1052" s="37" t="str">
        <f t="shared" si="65"/>
        <v/>
      </c>
      <c r="F1052" s="37" t="str">
        <f>IFERROR(VLOOKUP($B1052,'MATRICE ARTICLE'!$A$2:$N$1395,9,FALSE),"")</f>
        <v/>
      </c>
      <c r="G1052" s="37" t="str">
        <f>IFERROR(VLOOKUP($B1052,'MATRICE ARTICLE'!$A$2:$N$1395,14,FALSE),"")</f>
        <v/>
      </c>
      <c r="H1052" s="48" t="str">
        <f t="shared" si="66"/>
        <v/>
      </c>
      <c r="I1052" s="48" t="str">
        <f t="shared" si="67"/>
        <v/>
      </c>
    </row>
    <row r="1053" spans="2:9">
      <c r="B1053" s="57" t="str">
        <f t="shared" si="64"/>
        <v/>
      </c>
      <c r="C1053" s="57"/>
      <c r="D1053" s="37" t="str">
        <f>IFERROR(VLOOKUP($B1053,'MATRICE ARTICLE'!$A$2:$N$1395,2,FALSE),"")</f>
        <v/>
      </c>
      <c r="E1053" s="37" t="str">
        <f t="shared" si="65"/>
        <v/>
      </c>
      <c r="F1053" s="37" t="str">
        <f>IFERROR(VLOOKUP($B1053,'MATRICE ARTICLE'!$A$2:$N$1395,9,FALSE),"")</f>
        <v/>
      </c>
      <c r="G1053" s="37" t="str">
        <f>IFERROR(VLOOKUP($B1053,'MATRICE ARTICLE'!$A$2:$N$1395,14,FALSE),"")</f>
        <v/>
      </c>
      <c r="H1053" s="48" t="str">
        <f t="shared" si="66"/>
        <v/>
      </c>
      <c r="I1053" s="48" t="str">
        <f t="shared" si="67"/>
        <v/>
      </c>
    </row>
    <row r="1054" spans="2:9">
      <c r="B1054" s="57" t="str">
        <f t="shared" si="64"/>
        <v/>
      </c>
      <c r="C1054" s="57"/>
      <c r="D1054" s="37" t="str">
        <f>IFERROR(VLOOKUP($B1054,'MATRICE ARTICLE'!$A$2:$N$1395,2,FALSE),"")</f>
        <v/>
      </c>
      <c r="E1054" s="37" t="str">
        <f t="shared" si="65"/>
        <v/>
      </c>
      <c r="F1054" s="37" t="str">
        <f>IFERROR(VLOOKUP($B1054,'MATRICE ARTICLE'!$A$2:$N$1395,9,FALSE),"")</f>
        <v/>
      </c>
      <c r="G1054" s="37" t="str">
        <f>IFERROR(VLOOKUP($B1054,'MATRICE ARTICLE'!$A$2:$N$1395,14,FALSE),"")</f>
        <v/>
      </c>
      <c r="H1054" s="48" t="str">
        <f t="shared" si="66"/>
        <v/>
      </c>
      <c r="I1054" s="48" t="str">
        <f t="shared" si="67"/>
        <v/>
      </c>
    </row>
    <row r="1055" spans="2:9">
      <c r="B1055" s="57" t="str">
        <f t="shared" si="64"/>
        <v/>
      </c>
      <c r="C1055" s="57"/>
      <c r="D1055" s="37" t="str">
        <f>IFERROR(VLOOKUP($B1055,'MATRICE ARTICLE'!$A$2:$N$1395,2,FALSE),"")</f>
        <v/>
      </c>
      <c r="E1055" s="37" t="str">
        <f t="shared" si="65"/>
        <v/>
      </c>
      <c r="F1055" s="37" t="str">
        <f>IFERROR(VLOOKUP($B1055,'MATRICE ARTICLE'!$A$2:$N$1395,9,FALSE),"")</f>
        <v/>
      </c>
      <c r="G1055" s="37" t="str">
        <f>IFERROR(VLOOKUP($B1055,'MATRICE ARTICLE'!$A$2:$N$1395,14,FALSE),"")</f>
        <v/>
      </c>
      <c r="H1055" s="48" t="str">
        <f t="shared" si="66"/>
        <v/>
      </c>
      <c r="I1055" s="48" t="str">
        <f t="shared" si="67"/>
        <v/>
      </c>
    </row>
    <row r="1056" spans="2:9">
      <c r="B1056" s="57" t="str">
        <f t="shared" si="64"/>
        <v/>
      </c>
      <c r="C1056" s="57"/>
      <c r="D1056" s="37" t="str">
        <f>IFERROR(VLOOKUP($B1056,'MATRICE ARTICLE'!$A$2:$N$1395,2,FALSE),"")</f>
        <v/>
      </c>
      <c r="E1056" s="37" t="str">
        <f t="shared" si="65"/>
        <v/>
      </c>
      <c r="F1056" s="37" t="str">
        <f>IFERROR(VLOOKUP($B1056,'MATRICE ARTICLE'!$A$2:$N$1395,9,FALSE),"")</f>
        <v/>
      </c>
      <c r="G1056" s="37" t="str">
        <f>IFERROR(VLOOKUP($B1056,'MATRICE ARTICLE'!$A$2:$N$1395,14,FALSE),"")</f>
        <v/>
      </c>
      <c r="H1056" s="48" t="str">
        <f t="shared" si="66"/>
        <v/>
      </c>
      <c r="I1056" s="48" t="str">
        <f t="shared" si="67"/>
        <v/>
      </c>
    </row>
    <row r="1057" spans="2:9">
      <c r="B1057" s="57" t="str">
        <f t="shared" si="64"/>
        <v/>
      </c>
      <c r="C1057" s="57"/>
      <c r="D1057" s="37" t="str">
        <f>IFERROR(VLOOKUP($B1057,'MATRICE ARTICLE'!$A$2:$N$1395,2,FALSE),"")</f>
        <v/>
      </c>
      <c r="E1057" s="37" t="str">
        <f t="shared" si="65"/>
        <v/>
      </c>
      <c r="F1057" s="37" t="str">
        <f>IFERROR(VLOOKUP($B1057,'MATRICE ARTICLE'!$A$2:$N$1395,9,FALSE),"")</f>
        <v/>
      </c>
      <c r="G1057" s="37" t="str">
        <f>IFERROR(VLOOKUP($B1057,'MATRICE ARTICLE'!$A$2:$N$1395,14,FALSE),"")</f>
        <v/>
      </c>
      <c r="H1057" s="48" t="str">
        <f t="shared" si="66"/>
        <v/>
      </c>
      <c r="I1057" s="48" t="str">
        <f t="shared" si="67"/>
        <v/>
      </c>
    </row>
    <row r="1058" spans="2:9">
      <c r="B1058" s="57" t="str">
        <f t="shared" si="64"/>
        <v/>
      </c>
      <c r="C1058" s="57"/>
      <c r="D1058" s="37" t="str">
        <f>IFERROR(VLOOKUP($B1058,'MATRICE ARTICLE'!$A$2:$N$1395,2,FALSE),"")</f>
        <v/>
      </c>
      <c r="E1058" s="37" t="str">
        <f t="shared" si="65"/>
        <v/>
      </c>
      <c r="F1058" s="37" t="str">
        <f>IFERROR(VLOOKUP($B1058,'MATRICE ARTICLE'!$A$2:$N$1395,9,FALSE),"")</f>
        <v/>
      </c>
      <c r="G1058" s="37" t="str">
        <f>IFERROR(VLOOKUP($B1058,'MATRICE ARTICLE'!$A$2:$N$1395,14,FALSE),"")</f>
        <v/>
      </c>
      <c r="H1058" s="48" t="str">
        <f t="shared" si="66"/>
        <v/>
      </c>
      <c r="I1058" s="48" t="str">
        <f t="shared" si="67"/>
        <v/>
      </c>
    </row>
    <row r="1059" spans="2:9">
      <c r="B1059" s="57" t="str">
        <f t="shared" si="64"/>
        <v/>
      </c>
      <c r="C1059" s="57"/>
      <c r="D1059" s="37" t="str">
        <f>IFERROR(VLOOKUP($B1059,'MATRICE ARTICLE'!$A$2:$N$1395,2,FALSE),"")</f>
        <v/>
      </c>
      <c r="E1059" s="37" t="str">
        <f t="shared" si="65"/>
        <v/>
      </c>
      <c r="F1059" s="37" t="str">
        <f>IFERROR(VLOOKUP($B1059,'MATRICE ARTICLE'!$A$2:$N$1395,9,FALSE),"")</f>
        <v/>
      </c>
      <c r="G1059" s="37" t="str">
        <f>IFERROR(VLOOKUP($B1059,'MATRICE ARTICLE'!$A$2:$N$1395,14,FALSE),"")</f>
        <v/>
      </c>
      <c r="H1059" s="48" t="str">
        <f t="shared" si="66"/>
        <v/>
      </c>
      <c r="I1059" s="48" t="str">
        <f t="shared" si="67"/>
        <v/>
      </c>
    </row>
    <row r="1060" spans="2:9">
      <c r="B1060" s="57" t="str">
        <f t="shared" si="64"/>
        <v/>
      </c>
      <c r="C1060" s="57"/>
      <c r="D1060" s="37" t="str">
        <f>IFERROR(VLOOKUP($B1060,'MATRICE ARTICLE'!$A$2:$N$1395,2,FALSE),"")</f>
        <v/>
      </c>
      <c r="E1060" s="37" t="str">
        <f t="shared" si="65"/>
        <v/>
      </c>
      <c r="F1060" s="37" t="str">
        <f>IFERROR(VLOOKUP($B1060,'MATRICE ARTICLE'!$A$2:$N$1395,9,FALSE),"")</f>
        <v/>
      </c>
      <c r="G1060" s="37" t="str">
        <f>IFERROR(VLOOKUP($B1060,'MATRICE ARTICLE'!$A$2:$N$1395,14,FALSE),"")</f>
        <v/>
      </c>
      <c r="H1060" s="48" t="str">
        <f t="shared" si="66"/>
        <v/>
      </c>
      <c r="I1060" s="48" t="str">
        <f t="shared" si="67"/>
        <v/>
      </c>
    </row>
    <row r="1061" spans="2:9">
      <c r="B1061" s="57" t="str">
        <f t="shared" si="64"/>
        <v/>
      </c>
      <c r="C1061" s="57"/>
      <c r="D1061" s="37" t="str">
        <f>IFERROR(VLOOKUP($B1061,'MATRICE ARTICLE'!$A$2:$N$1395,2,FALSE),"")</f>
        <v/>
      </c>
      <c r="E1061" s="37" t="str">
        <f t="shared" si="65"/>
        <v/>
      </c>
      <c r="F1061" s="37" t="str">
        <f>IFERROR(VLOOKUP($B1061,'MATRICE ARTICLE'!$A$2:$N$1395,9,FALSE),"")</f>
        <v/>
      </c>
      <c r="G1061" s="37" t="str">
        <f>IFERROR(VLOOKUP($B1061,'MATRICE ARTICLE'!$A$2:$N$1395,14,FALSE),"")</f>
        <v/>
      </c>
      <c r="H1061" s="48" t="str">
        <f t="shared" si="66"/>
        <v/>
      </c>
      <c r="I1061" s="48" t="str">
        <f t="shared" si="67"/>
        <v/>
      </c>
    </row>
    <row r="1062" spans="2:9">
      <c r="B1062" s="57" t="str">
        <f t="shared" si="64"/>
        <v/>
      </c>
      <c r="C1062" s="57"/>
      <c r="D1062" s="37" t="str">
        <f>IFERROR(VLOOKUP($B1062,'MATRICE ARTICLE'!$A$2:$N$1395,2,FALSE),"")</f>
        <v/>
      </c>
      <c r="E1062" s="37" t="str">
        <f t="shared" si="65"/>
        <v/>
      </c>
      <c r="F1062" s="37" t="str">
        <f>IFERROR(VLOOKUP($B1062,'MATRICE ARTICLE'!$A$2:$N$1395,9,FALSE),"")</f>
        <v/>
      </c>
      <c r="G1062" s="37" t="str">
        <f>IFERROR(VLOOKUP($B1062,'MATRICE ARTICLE'!$A$2:$N$1395,14,FALSE),"")</f>
        <v/>
      </c>
      <c r="H1062" s="48" t="str">
        <f t="shared" si="66"/>
        <v/>
      </c>
      <c r="I1062" s="48" t="str">
        <f t="shared" si="67"/>
        <v/>
      </c>
    </row>
    <row r="1063" spans="2:9">
      <c r="B1063" s="57" t="str">
        <f t="shared" si="64"/>
        <v/>
      </c>
      <c r="C1063" s="57"/>
      <c r="D1063" s="37" t="str">
        <f>IFERROR(VLOOKUP($B1063,'MATRICE ARTICLE'!$A$2:$N$1395,2,FALSE),"")</f>
        <v/>
      </c>
      <c r="E1063" s="37" t="str">
        <f t="shared" si="65"/>
        <v/>
      </c>
      <c r="F1063" s="37" t="str">
        <f>IFERROR(VLOOKUP($B1063,'MATRICE ARTICLE'!$A$2:$N$1395,9,FALSE),"")</f>
        <v/>
      </c>
      <c r="G1063" s="37" t="str">
        <f>IFERROR(VLOOKUP($B1063,'MATRICE ARTICLE'!$A$2:$N$1395,14,FALSE),"")</f>
        <v/>
      </c>
      <c r="H1063" s="48" t="str">
        <f t="shared" si="66"/>
        <v/>
      </c>
      <c r="I1063" s="48" t="str">
        <f t="shared" si="67"/>
        <v/>
      </c>
    </row>
    <row r="1064" spans="2:9">
      <c r="B1064" s="57" t="str">
        <f t="shared" si="64"/>
        <v/>
      </c>
      <c r="C1064" s="57"/>
      <c r="D1064" s="37" t="str">
        <f>IFERROR(VLOOKUP($B1064,'MATRICE ARTICLE'!$A$2:$N$1395,2,FALSE),"")</f>
        <v/>
      </c>
      <c r="E1064" s="37" t="str">
        <f t="shared" si="65"/>
        <v/>
      </c>
      <c r="F1064" s="37" t="str">
        <f>IFERROR(VLOOKUP($B1064,'MATRICE ARTICLE'!$A$2:$N$1395,9,FALSE),"")</f>
        <v/>
      </c>
      <c r="G1064" s="37" t="str">
        <f>IFERROR(VLOOKUP($B1064,'MATRICE ARTICLE'!$A$2:$N$1395,14,FALSE),"")</f>
        <v/>
      </c>
      <c r="H1064" s="48" t="str">
        <f t="shared" si="66"/>
        <v/>
      </c>
      <c r="I1064" s="48" t="str">
        <f t="shared" si="67"/>
        <v/>
      </c>
    </row>
    <row r="1065" spans="2:9">
      <c r="B1065" s="57" t="str">
        <f t="shared" si="64"/>
        <v/>
      </c>
      <c r="C1065" s="57"/>
      <c r="D1065" s="37" t="str">
        <f>IFERROR(VLOOKUP($B1065,'MATRICE ARTICLE'!$A$2:$N$1395,2,FALSE),"")</f>
        <v/>
      </c>
      <c r="E1065" s="37" t="str">
        <f t="shared" si="65"/>
        <v/>
      </c>
      <c r="F1065" s="37" t="str">
        <f>IFERROR(VLOOKUP($B1065,'MATRICE ARTICLE'!$A$2:$N$1395,9,FALSE),"")</f>
        <v/>
      </c>
      <c r="G1065" s="37" t="str">
        <f>IFERROR(VLOOKUP($B1065,'MATRICE ARTICLE'!$A$2:$N$1395,14,FALSE),"")</f>
        <v/>
      </c>
      <c r="H1065" s="48" t="str">
        <f t="shared" si="66"/>
        <v/>
      </c>
      <c r="I1065" s="48" t="str">
        <f t="shared" si="67"/>
        <v/>
      </c>
    </row>
    <row r="1066" spans="2:9">
      <c r="B1066" s="57" t="str">
        <f t="shared" si="64"/>
        <v/>
      </c>
      <c r="C1066" s="57"/>
      <c r="D1066" s="37" t="str">
        <f>IFERROR(VLOOKUP($B1066,'MATRICE ARTICLE'!$A$2:$N$1395,2,FALSE),"")</f>
        <v/>
      </c>
      <c r="E1066" s="37" t="str">
        <f t="shared" si="65"/>
        <v/>
      </c>
      <c r="F1066" s="37" t="str">
        <f>IFERROR(VLOOKUP($B1066,'MATRICE ARTICLE'!$A$2:$N$1395,9,FALSE),"")</f>
        <v/>
      </c>
      <c r="G1066" s="37" t="str">
        <f>IFERROR(VLOOKUP($B1066,'MATRICE ARTICLE'!$A$2:$N$1395,14,FALSE),"")</f>
        <v/>
      </c>
      <c r="H1066" s="48" t="str">
        <f t="shared" si="66"/>
        <v/>
      </c>
      <c r="I1066" s="48" t="str">
        <f t="shared" si="67"/>
        <v/>
      </c>
    </row>
    <row r="1067" spans="2:9">
      <c r="B1067" s="57" t="str">
        <f t="shared" si="64"/>
        <v/>
      </c>
      <c r="C1067" s="57"/>
      <c r="D1067" s="37" t="str">
        <f>IFERROR(VLOOKUP($B1067,'MATRICE ARTICLE'!$A$2:$N$1395,2,FALSE),"")</f>
        <v/>
      </c>
      <c r="E1067" s="37" t="str">
        <f t="shared" si="65"/>
        <v/>
      </c>
      <c r="F1067" s="37" t="str">
        <f>IFERROR(VLOOKUP($B1067,'MATRICE ARTICLE'!$A$2:$N$1395,9,FALSE),"")</f>
        <v/>
      </c>
      <c r="G1067" s="37" t="str">
        <f>IFERROR(VLOOKUP($B1067,'MATRICE ARTICLE'!$A$2:$N$1395,14,FALSE),"")</f>
        <v/>
      </c>
      <c r="H1067" s="48" t="str">
        <f t="shared" si="66"/>
        <v/>
      </c>
      <c r="I1067" s="48" t="str">
        <f t="shared" si="67"/>
        <v/>
      </c>
    </row>
    <row r="1068" spans="2:9">
      <c r="B1068" s="57" t="str">
        <f t="shared" si="64"/>
        <v/>
      </c>
      <c r="C1068" s="57"/>
      <c r="D1068" s="37" t="str">
        <f>IFERROR(VLOOKUP($B1068,'MATRICE ARTICLE'!$A$2:$N$1395,2,FALSE),"")</f>
        <v/>
      </c>
      <c r="E1068" s="37" t="str">
        <f t="shared" si="65"/>
        <v/>
      </c>
      <c r="F1068" s="37" t="str">
        <f>IFERROR(VLOOKUP($B1068,'MATRICE ARTICLE'!$A$2:$N$1395,9,FALSE),"")</f>
        <v/>
      </c>
      <c r="G1068" s="37" t="str">
        <f>IFERROR(VLOOKUP($B1068,'MATRICE ARTICLE'!$A$2:$N$1395,14,FALSE),"")</f>
        <v/>
      </c>
      <c r="H1068" s="48" t="str">
        <f t="shared" si="66"/>
        <v/>
      </c>
      <c r="I1068" s="48" t="str">
        <f t="shared" si="67"/>
        <v/>
      </c>
    </row>
    <row r="1069" spans="2:9">
      <c r="B1069" s="57" t="str">
        <f t="shared" si="64"/>
        <v/>
      </c>
      <c r="C1069" s="57"/>
      <c r="D1069" s="37" t="str">
        <f>IFERROR(VLOOKUP($B1069,'MATRICE ARTICLE'!$A$2:$N$1395,2,FALSE),"")</f>
        <v/>
      </c>
      <c r="E1069" s="37" t="str">
        <f t="shared" si="65"/>
        <v/>
      </c>
      <c r="F1069" s="37" t="str">
        <f>IFERROR(VLOOKUP($B1069,'MATRICE ARTICLE'!$A$2:$N$1395,9,FALSE),"")</f>
        <v/>
      </c>
      <c r="G1069" s="37" t="str">
        <f>IFERROR(VLOOKUP($B1069,'MATRICE ARTICLE'!$A$2:$N$1395,14,FALSE),"")</f>
        <v/>
      </c>
      <c r="H1069" s="48" t="str">
        <f t="shared" si="66"/>
        <v/>
      </c>
      <c r="I1069" s="48" t="str">
        <f t="shared" si="67"/>
        <v/>
      </c>
    </row>
    <row r="1070" spans="2:9">
      <c r="B1070" s="57" t="str">
        <f t="shared" si="64"/>
        <v/>
      </c>
      <c r="C1070" s="57"/>
      <c r="D1070" s="37" t="str">
        <f>IFERROR(VLOOKUP($B1070,'MATRICE ARTICLE'!$A$2:$N$1395,2,FALSE),"")</f>
        <v/>
      </c>
      <c r="E1070" s="37" t="str">
        <f t="shared" si="65"/>
        <v/>
      </c>
      <c r="F1070" s="37" t="str">
        <f>IFERROR(VLOOKUP($B1070,'MATRICE ARTICLE'!$A$2:$N$1395,9,FALSE),"")</f>
        <v/>
      </c>
      <c r="G1070" s="37" t="str">
        <f>IFERROR(VLOOKUP($B1070,'MATRICE ARTICLE'!$A$2:$N$1395,14,FALSE),"")</f>
        <v/>
      </c>
      <c r="H1070" s="48" t="str">
        <f t="shared" si="66"/>
        <v/>
      </c>
      <c r="I1070" s="48" t="str">
        <f t="shared" si="67"/>
        <v/>
      </c>
    </row>
    <row r="1071" spans="2:9">
      <c r="B1071" s="57" t="str">
        <f t="shared" si="64"/>
        <v/>
      </c>
      <c r="C1071" s="57"/>
      <c r="D1071" s="37" t="str">
        <f>IFERROR(VLOOKUP($B1071,'MATRICE ARTICLE'!$A$2:$N$1395,2,FALSE),"")</f>
        <v/>
      </c>
      <c r="E1071" s="37" t="str">
        <f t="shared" si="65"/>
        <v/>
      </c>
      <c r="F1071" s="37" t="str">
        <f>IFERROR(VLOOKUP($B1071,'MATRICE ARTICLE'!$A$2:$N$1395,9,FALSE),"")</f>
        <v/>
      </c>
      <c r="G1071" s="37" t="str">
        <f>IFERROR(VLOOKUP($B1071,'MATRICE ARTICLE'!$A$2:$N$1395,14,FALSE),"")</f>
        <v/>
      </c>
      <c r="H1071" s="48" t="str">
        <f t="shared" si="66"/>
        <v/>
      </c>
      <c r="I1071" s="48" t="str">
        <f t="shared" si="67"/>
        <v/>
      </c>
    </row>
    <row r="1072" spans="2:9">
      <c r="B1072" s="57" t="str">
        <f t="shared" si="64"/>
        <v/>
      </c>
      <c r="C1072" s="57"/>
      <c r="D1072" s="37" t="str">
        <f>IFERROR(VLOOKUP($B1072,'MATRICE ARTICLE'!$A$2:$N$1395,2,FALSE),"")</f>
        <v/>
      </c>
      <c r="E1072" s="37" t="str">
        <f t="shared" si="65"/>
        <v/>
      </c>
      <c r="F1072" s="37" t="str">
        <f>IFERROR(VLOOKUP($B1072,'MATRICE ARTICLE'!$A$2:$N$1395,9,FALSE),"")</f>
        <v/>
      </c>
      <c r="G1072" s="37" t="str">
        <f>IFERROR(VLOOKUP($B1072,'MATRICE ARTICLE'!$A$2:$N$1395,14,FALSE),"")</f>
        <v/>
      </c>
      <c r="H1072" s="48" t="str">
        <f t="shared" si="66"/>
        <v/>
      </c>
      <c r="I1072" s="48" t="str">
        <f t="shared" si="67"/>
        <v/>
      </c>
    </row>
    <row r="1073" spans="2:9">
      <c r="B1073" s="57" t="str">
        <f t="shared" si="64"/>
        <v/>
      </c>
      <c r="C1073" s="57"/>
      <c r="D1073" s="37" t="str">
        <f>IFERROR(VLOOKUP($B1073,'MATRICE ARTICLE'!$A$2:$N$1395,2,FALSE),"")</f>
        <v/>
      </c>
      <c r="E1073" s="37" t="str">
        <f t="shared" si="65"/>
        <v/>
      </c>
      <c r="F1073" s="37" t="str">
        <f>IFERROR(VLOOKUP($B1073,'MATRICE ARTICLE'!$A$2:$N$1395,9,FALSE),"")</f>
        <v/>
      </c>
      <c r="G1073" s="37" t="str">
        <f>IFERROR(VLOOKUP($B1073,'MATRICE ARTICLE'!$A$2:$N$1395,14,FALSE),"")</f>
        <v/>
      </c>
      <c r="H1073" s="48" t="str">
        <f t="shared" si="66"/>
        <v/>
      </c>
      <c r="I1073" s="48" t="str">
        <f t="shared" si="67"/>
        <v/>
      </c>
    </row>
    <row r="1074" spans="2:9">
      <c r="B1074" s="57" t="str">
        <f t="shared" si="64"/>
        <v/>
      </c>
      <c r="C1074" s="57"/>
      <c r="D1074" s="37" t="str">
        <f>IFERROR(VLOOKUP($B1074,'MATRICE ARTICLE'!$A$2:$N$1395,2,FALSE),"")</f>
        <v/>
      </c>
      <c r="E1074" s="37" t="str">
        <f t="shared" si="65"/>
        <v/>
      </c>
      <c r="F1074" s="37" t="str">
        <f>IFERROR(VLOOKUP($B1074,'MATRICE ARTICLE'!$A$2:$N$1395,9,FALSE),"")</f>
        <v/>
      </c>
      <c r="G1074" s="37" t="str">
        <f>IFERROR(VLOOKUP($B1074,'MATRICE ARTICLE'!$A$2:$N$1395,14,FALSE),"")</f>
        <v/>
      </c>
      <c r="H1074" s="48" t="str">
        <f t="shared" si="66"/>
        <v/>
      </c>
      <c r="I1074" s="48" t="str">
        <f t="shared" si="67"/>
        <v/>
      </c>
    </row>
    <row r="1075" spans="2:9">
      <c r="B1075" s="57" t="str">
        <f t="shared" si="64"/>
        <v/>
      </c>
      <c r="C1075" s="57"/>
      <c r="D1075" s="37" t="str">
        <f>IFERROR(VLOOKUP($B1075,'MATRICE ARTICLE'!$A$2:$N$1395,2,FALSE),"")</f>
        <v/>
      </c>
      <c r="E1075" s="37" t="str">
        <f t="shared" si="65"/>
        <v/>
      </c>
      <c r="F1075" s="37" t="str">
        <f>IFERROR(VLOOKUP($B1075,'MATRICE ARTICLE'!$A$2:$N$1395,9,FALSE),"")</f>
        <v/>
      </c>
      <c r="G1075" s="37" t="str">
        <f>IFERROR(VLOOKUP($B1075,'MATRICE ARTICLE'!$A$2:$N$1395,14,FALSE),"")</f>
        <v/>
      </c>
      <c r="H1075" s="48" t="str">
        <f t="shared" si="66"/>
        <v/>
      </c>
      <c r="I1075" s="48" t="str">
        <f t="shared" si="67"/>
        <v/>
      </c>
    </row>
    <row r="1076" spans="2:9">
      <c r="B1076" s="57" t="str">
        <f t="shared" si="64"/>
        <v/>
      </c>
      <c r="C1076" s="57"/>
      <c r="D1076" s="37" t="str">
        <f>IFERROR(VLOOKUP($B1076,'MATRICE ARTICLE'!$A$2:$N$1395,2,FALSE),"")</f>
        <v/>
      </c>
      <c r="E1076" s="37" t="str">
        <f t="shared" si="65"/>
        <v/>
      </c>
      <c r="F1076" s="37" t="str">
        <f>IFERROR(VLOOKUP($B1076,'MATRICE ARTICLE'!$A$2:$N$1395,9,FALSE),"")</f>
        <v/>
      </c>
      <c r="G1076" s="37" t="str">
        <f>IFERROR(VLOOKUP($B1076,'MATRICE ARTICLE'!$A$2:$N$1395,14,FALSE),"")</f>
        <v/>
      </c>
      <c r="H1076" s="48" t="str">
        <f t="shared" si="66"/>
        <v/>
      </c>
      <c r="I1076" s="48" t="str">
        <f t="shared" si="67"/>
        <v/>
      </c>
    </row>
    <row r="1077" spans="2:9">
      <c r="B1077" s="57" t="str">
        <f t="shared" si="64"/>
        <v/>
      </c>
      <c r="C1077" s="57"/>
      <c r="D1077" s="37" t="str">
        <f>IFERROR(VLOOKUP($B1077,'MATRICE ARTICLE'!$A$2:$N$1395,2,FALSE),"")</f>
        <v/>
      </c>
      <c r="E1077" s="37" t="str">
        <f t="shared" si="65"/>
        <v/>
      </c>
      <c r="F1077" s="37" t="str">
        <f>IFERROR(VLOOKUP($B1077,'MATRICE ARTICLE'!$A$2:$N$1395,9,FALSE),"")</f>
        <v/>
      </c>
      <c r="G1077" s="37" t="str">
        <f>IFERROR(VLOOKUP($B1077,'MATRICE ARTICLE'!$A$2:$N$1395,14,FALSE),"")</f>
        <v/>
      </c>
      <c r="H1077" s="48" t="str">
        <f t="shared" si="66"/>
        <v/>
      </c>
      <c r="I1077" s="48" t="str">
        <f t="shared" si="67"/>
        <v/>
      </c>
    </row>
    <row r="1078" spans="2:9">
      <c r="B1078" s="57" t="str">
        <f t="shared" si="64"/>
        <v/>
      </c>
      <c r="C1078" s="57"/>
      <c r="D1078" s="37" t="str">
        <f>IFERROR(VLOOKUP($B1078,'MATRICE ARTICLE'!$A$2:$N$1395,2,FALSE),"")</f>
        <v/>
      </c>
      <c r="E1078" s="37" t="str">
        <f t="shared" si="65"/>
        <v/>
      </c>
      <c r="F1078" s="37" t="str">
        <f>IFERROR(VLOOKUP($B1078,'MATRICE ARTICLE'!$A$2:$N$1395,9,FALSE),"")</f>
        <v/>
      </c>
      <c r="G1078" s="37" t="str">
        <f>IFERROR(VLOOKUP($B1078,'MATRICE ARTICLE'!$A$2:$N$1395,14,FALSE),"")</f>
        <v/>
      </c>
      <c r="H1078" s="48" t="str">
        <f t="shared" si="66"/>
        <v/>
      </c>
      <c r="I1078" s="48" t="str">
        <f t="shared" si="67"/>
        <v/>
      </c>
    </row>
    <row r="1079" spans="2:9">
      <c r="B1079" s="57" t="str">
        <f t="shared" si="64"/>
        <v/>
      </c>
      <c r="C1079" s="57"/>
      <c r="D1079" s="37" t="str">
        <f>IFERROR(VLOOKUP($B1079,'MATRICE ARTICLE'!$A$2:$N$1395,2,FALSE),"")</f>
        <v/>
      </c>
      <c r="E1079" s="37" t="str">
        <f t="shared" si="65"/>
        <v/>
      </c>
      <c r="F1079" s="37" t="str">
        <f>IFERROR(VLOOKUP($B1079,'MATRICE ARTICLE'!$A$2:$N$1395,9,FALSE),"")</f>
        <v/>
      </c>
      <c r="G1079" s="37" t="str">
        <f>IFERROR(VLOOKUP($B1079,'MATRICE ARTICLE'!$A$2:$N$1395,14,FALSE),"")</f>
        <v/>
      </c>
      <c r="H1079" s="48" t="str">
        <f t="shared" si="66"/>
        <v/>
      </c>
      <c r="I1079" s="48" t="str">
        <f t="shared" si="67"/>
        <v/>
      </c>
    </row>
    <row r="1080" spans="2:9">
      <c r="B1080" s="57" t="str">
        <f t="shared" si="64"/>
        <v/>
      </c>
      <c r="C1080" s="57"/>
      <c r="D1080" s="37" t="str">
        <f>IFERROR(VLOOKUP($B1080,'MATRICE ARTICLE'!$A$2:$N$1395,2,FALSE),"")</f>
        <v/>
      </c>
      <c r="E1080" s="37" t="str">
        <f t="shared" si="65"/>
        <v/>
      </c>
      <c r="F1080" s="37" t="str">
        <f>IFERROR(VLOOKUP($B1080,'MATRICE ARTICLE'!$A$2:$N$1395,9,FALSE),"")</f>
        <v/>
      </c>
      <c r="G1080" s="37" t="str">
        <f>IFERROR(VLOOKUP($B1080,'MATRICE ARTICLE'!$A$2:$N$1395,14,FALSE),"")</f>
        <v/>
      </c>
      <c r="H1080" s="48" t="str">
        <f t="shared" si="66"/>
        <v/>
      </c>
      <c r="I1080" s="48" t="str">
        <f t="shared" si="67"/>
        <v/>
      </c>
    </row>
    <row r="1081" spans="2:9">
      <c r="B1081" s="57" t="str">
        <f t="shared" si="64"/>
        <v/>
      </c>
      <c r="C1081" s="57"/>
      <c r="D1081" s="37" t="str">
        <f>IFERROR(VLOOKUP($B1081,'MATRICE ARTICLE'!$A$2:$N$1395,2,FALSE),"")</f>
        <v/>
      </c>
      <c r="E1081" s="37" t="str">
        <f t="shared" si="65"/>
        <v/>
      </c>
      <c r="F1081" s="37" t="str">
        <f>IFERROR(VLOOKUP($B1081,'MATRICE ARTICLE'!$A$2:$N$1395,9,FALSE),"")</f>
        <v/>
      </c>
      <c r="G1081" s="37" t="str">
        <f>IFERROR(VLOOKUP($B1081,'MATRICE ARTICLE'!$A$2:$N$1395,14,FALSE),"")</f>
        <v/>
      </c>
      <c r="H1081" s="48" t="str">
        <f t="shared" si="66"/>
        <v/>
      </c>
      <c r="I1081" s="48" t="str">
        <f t="shared" si="67"/>
        <v/>
      </c>
    </row>
    <row r="1082" spans="2:9">
      <c r="B1082" s="57" t="str">
        <f t="shared" si="64"/>
        <v/>
      </c>
      <c r="C1082" s="57"/>
      <c r="D1082" s="37" t="str">
        <f>IFERROR(VLOOKUP($B1082,'MATRICE ARTICLE'!$A$2:$N$1395,2,FALSE),"")</f>
        <v/>
      </c>
      <c r="E1082" s="37" t="str">
        <f t="shared" si="65"/>
        <v/>
      </c>
      <c r="F1082" s="37" t="str">
        <f>IFERROR(VLOOKUP($B1082,'MATRICE ARTICLE'!$A$2:$N$1395,9,FALSE),"")</f>
        <v/>
      </c>
      <c r="G1082" s="37" t="str">
        <f>IFERROR(VLOOKUP($B1082,'MATRICE ARTICLE'!$A$2:$N$1395,14,FALSE),"")</f>
        <v/>
      </c>
      <c r="H1082" s="48" t="str">
        <f t="shared" si="66"/>
        <v/>
      </c>
      <c r="I1082" s="48" t="str">
        <f t="shared" si="67"/>
        <v/>
      </c>
    </row>
    <row r="1083" spans="2:9">
      <c r="B1083" s="57" t="str">
        <f t="shared" si="64"/>
        <v/>
      </c>
      <c r="C1083" s="57"/>
      <c r="D1083" s="37" t="str">
        <f>IFERROR(VLOOKUP($B1083,'MATRICE ARTICLE'!$A$2:$N$1395,2,FALSE),"")</f>
        <v/>
      </c>
      <c r="E1083" s="37" t="str">
        <f t="shared" si="65"/>
        <v/>
      </c>
      <c r="F1083" s="37" t="str">
        <f>IFERROR(VLOOKUP($B1083,'MATRICE ARTICLE'!$A$2:$N$1395,9,FALSE),"")</f>
        <v/>
      </c>
      <c r="G1083" s="37" t="str">
        <f>IFERROR(VLOOKUP($B1083,'MATRICE ARTICLE'!$A$2:$N$1395,14,FALSE),"")</f>
        <v/>
      </c>
      <c r="H1083" s="48" t="str">
        <f t="shared" si="66"/>
        <v/>
      </c>
      <c r="I1083" s="48" t="str">
        <f t="shared" si="67"/>
        <v/>
      </c>
    </row>
    <row r="1084" spans="2:9">
      <c r="B1084" s="57" t="str">
        <f t="shared" si="64"/>
        <v/>
      </c>
      <c r="C1084" s="57"/>
      <c r="D1084" s="37" t="str">
        <f>IFERROR(VLOOKUP($B1084,'MATRICE ARTICLE'!$A$2:$N$1395,2,FALSE),"")</f>
        <v/>
      </c>
      <c r="E1084" s="37" t="str">
        <f t="shared" si="65"/>
        <v/>
      </c>
      <c r="F1084" s="37" t="str">
        <f>IFERROR(VLOOKUP($B1084,'MATRICE ARTICLE'!$A$2:$N$1395,9,FALSE),"")</f>
        <v/>
      </c>
      <c r="G1084" s="37" t="str">
        <f>IFERROR(VLOOKUP($B1084,'MATRICE ARTICLE'!$A$2:$N$1395,14,FALSE),"")</f>
        <v/>
      </c>
      <c r="H1084" s="48" t="str">
        <f t="shared" si="66"/>
        <v/>
      </c>
      <c r="I1084" s="48" t="str">
        <f t="shared" si="67"/>
        <v/>
      </c>
    </row>
    <row r="1085" spans="2:9">
      <c r="B1085" s="57" t="str">
        <f t="shared" si="64"/>
        <v/>
      </c>
      <c r="C1085" s="57"/>
      <c r="D1085" s="37" t="str">
        <f>IFERROR(VLOOKUP($B1085,'MATRICE ARTICLE'!$A$2:$N$1395,2,FALSE),"")</f>
        <v/>
      </c>
      <c r="E1085" s="37" t="str">
        <f t="shared" si="65"/>
        <v/>
      </c>
      <c r="F1085" s="37" t="str">
        <f>IFERROR(VLOOKUP($B1085,'MATRICE ARTICLE'!$A$2:$N$1395,9,FALSE),"")</f>
        <v/>
      </c>
      <c r="G1085" s="37" t="str">
        <f>IFERROR(VLOOKUP($B1085,'MATRICE ARTICLE'!$A$2:$N$1395,14,FALSE),"")</f>
        <v/>
      </c>
      <c r="H1085" s="48" t="str">
        <f t="shared" si="66"/>
        <v/>
      </c>
      <c r="I1085" s="48" t="str">
        <f t="shared" si="67"/>
        <v/>
      </c>
    </row>
    <row r="1086" spans="2:9">
      <c r="B1086" s="57" t="str">
        <f t="shared" si="64"/>
        <v/>
      </c>
      <c r="C1086" s="57"/>
      <c r="D1086" s="37" t="str">
        <f>IFERROR(VLOOKUP($B1086,'MATRICE ARTICLE'!$A$2:$N$1395,2,FALSE),"")</f>
        <v/>
      </c>
      <c r="E1086" s="37" t="str">
        <f t="shared" si="65"/>
        <v/>
      </c>
      <c r="F1086" s="37" t="str">
        <f>IFERROR(VLOOKUP($B1086,'MATRICE ARTICLE'!$A$2:$N$1395,9,FALSE),"")</f>
        <v/>
      </c>
      <c r="G1086" s="37" t="str">
        <f>IFERROR(VLOOKUP($B1086,'MATRICE ARTICLE'!$A$2:$N$1395,14,FALSE),"")</f>
        <v/>
      </c>
      <c r="H1086" s="48" t="str">
        <f t="shared" si="66"/>
        <v/>
      </c>
      <c r="I1086" s="48" t="str">
        <f t="shared" si="67"/>
        <v/>
      </c>
    </row>
    <row r="1087" spans="2:9">
      <c r="B1087" s="57" t="str">
        <f t="shared" si="64"/>
        <v/>
      </c>
      <c r="C1087" s="57"/>
      <c r="D1087" s="37" t="str">
        <f>IFERROR(VLOOKUP($B1087,'MATRICE ARTICLE'!$A$2:$N$1395,2,FALSE),"")</f>
        <v/>
      </c>
      <c r="E1087" s="37" t="str">
        <f t="shared" si="65"/>
        <v/>
      </c>
      <c r="F1087" s="37" t="str">
        <f>IFERROR(VLOOKUP($B1087,'MATRICE ARTICLE'!$A$2:$N$1395,9,FALSE),"")</f>
        <v/>
      </c>
      <c r="G1087" s="37" t="str">
        <f>IFERROR(VLOOKUP($B1087,'MATRICE ARTICLE'!$A$2:$N$1395,14,FALSE),"")</f>
        <v/>
      </c>
      <c r="H1087" s="48" t="str">
        <f t="shared" si="66"/>
        <v/>
      </c>
      <c r="I1087" s="48" t="str">
        <f t="shared" si="67"/>
        <v/>
      </c>
    </row>
    <row r="1088" spans="2:9">
      <c r="B1088" s="57" t="str">
        <f t="shared" si="64"/>
        <v/>
      </c>
      <c r="C1088" s="57"/>
      <c r="D1088" s="37" t="str">
        <f>IFERROR(VLOOKUP($B1088,'MATRICE ARTICLE'!$A$2:$N$1395,2,FALSE),"")</f>
        <v/>
      </c>
      <c r="E1088" s="37" t="str">
        <f t="shared" si="65"/>
        <v/>
      </c>
      <c r="F1088" s="37" t="str">
        <f>IFERROR(VLOOKUP($B1088,'MATRICE ARTICLE'!$A$2:$N$1395,9,FALSE),"")</f>
        <v/>
      </c>
      <c r="G1088" s="37" t="str">
        <f>IFERROR(VLOOKUP($B1088,'MATRICE ARTICLE'!$A$2:$N$1395,14,FALSE),"")</f>
        <v/>
      </c>
      <c r="H1088" s="48" t="str">
        <f t="shared" si="66"/>
        <v/>
      </c>
      <c r="I1088" s="48" t="str">
        <f t="shared" si="67"/>
        <v/>
      </c>
    </row>
    <row r="1089" spans="2:9">
      <c r="B1089" s="57" t="str">
        <f t="shared" si="64"/>
        <v/>
      </c>
      <c r="C1089" s="57"/>
      <c r="D1089" s="37" t="str">
        <f>IFERROR(VLOOKUP($B1089,'MATRICE ARTICLE'!$A$2:$N$1395,2,FALSE),"")</f>
        <v/>
      </c>
      <c r="E1089" s="37" t="str">
        <f t="shared" si="65"/>
        <v/>
      </c>
      <c r="F1089" s="37" t="str">
        <f>IFERROR(VLOOKUP($B1089,'MATRICE ARTICLE'!$A$2:$N$1395,9,FALSE),"")</f>
        <v/>
      </c>
      <c r="G1089" s="37" t="str">
        <f>IFERROR(VLOOKUP($B1089,'MATRICE ARTICLE'!$A$2:$N$1395,14,FALSE),"")</f>
        <v/>
      </c>
      <c r="H1089" s="48" t="str">
        <f t="shared" si="66"/>
        <v/>
      </c>
      <c r="I1089" s="48" t="str">
        <f t="shared" si="67"/>
        <v/>
      </c>
    </row>
    <row r="1090" spans="2:9">
      <c r="B1090" s="57" t="str">
        <f t="shared" si="64"/>
        <v/>
      </c>
      <c r="C1090" s="57"/>
      <c r="D1090" s="37" t="str">
        <f>IFERROR(VLOOKUP($B1090,'MATRICE ARTICLE'!$A$2:$N$1395,2,FALSE),"")</f>
        <v/>
      </c>
      <c r="E1090" s="37" t="str">
        <f t="shared" si="65"/>
        <v/>
      </c>
      <c r="F1090" s="37" t="str">
        <f>IFERROR(VLOOKUP($B1090,'MATRICE ARTICLE'!$A$2:$N$1395,9,FALSE),"")</f>
        <v/>
      </c>
      <c r="G1090" s="37" t="str">
        <f>IFERROR(VLOOKUP($B1090,'MATRICE ARTICLE'!$A$2:$N$1395,14,FALSE),"")</f>
        <v/>
      </c>
      <c r="H1090" s="48" t="str">
        <f t="shared" si="66"/>
        <v/>
      </c>
      <c r="I1090" s="48" t="str">
        <f t="shared" si="67"/>
        <v/>
      </c>
    </row>
    <row r="1091" spans="2:9">
      <c r="B1091" s="57" t="str">
        <f t="shared" ref="B1091:B1099" si="68">IF(A1091=0,"",A1091)</f>
        <v/>
      </c>
      <c r="C1091" s="57"/>
      <c r="D1091" s="37" t="str">
        <f>IFERROR(VLOOKUP($B1091,'MATRICE ARTICLE'!$A$2:$N$1395,2,FALSE),"")</f>
        <v/>
      </c>
      <c r="E1091" s="37" t="str">
        <f t="shared" ref="E1091:E1099" si="69">IF(SUM(F1091:I1091)=0,"",SUM(F1091:I1091))</f>
        <v/>
      </c>
      <c r="F1091" s="37" t="str">
        <f>IFERROR(VLOOKUP($B1091,'MATRICE ARTICLE'!$A$2:$N$1395,9,FALSE),"")</f>
        <v/>
      </c>
      <c r="G1091" s="37" t="str">
        <f>IFERROR(VLOOKUP($B1091,'MATRICE ARTICLE'!$A$2:$N$1395,14,FALSE),"")</f>
        <v/>
      </c>
      <c r="H1091" s="48" t="str">
        <f t="shared" ref="H1091:H1099" si="70">IF(SUM(F1091:G1091)*$H$1=0,"",SUM(F1091:G1091)*$H$1)</f>
        <v/>
      </c>
      <c r="I1091" s="48" t="str">
        <f t="shared" ref="I1091:I1099" si="71">IF(SUM(F1091:H1091)*$I$1=0,"",SUM(F1091:H1091)*$I$1)</f>
        <v/>
      </c>
    </row>
    <row r="1092" spans="2:9">
      <c r="B1092" s="57" t="str">
        <f t="shared" si="68"/>
        <v/>
      </c>
      <c r="C1092" s="57"/>
      <c r="D1092" s="37" t="str">
        <f>IFERROR(VLOOKUP($B1092,'MATRICE ARTICLE'!$A$2:$N$1395,2,FALSE),"")</f>
        <v/>
      </c>
      <c r="E1092" s="37" t="str">
        <f t="shared" si="69"/>
        <v/>
      </c>
      <c r="F1092" s="37" t="str">
        <f>IFERROR(VLOOKUP($B1092,'MATRICE ARTICLE'!$A$2:$N$1395,9,FALSE),"")</f>
        <v/>
      </c>
      <c r="G1092" s="37" t="str">
        <f>IFERROR(VLOOKUP($B1092,'MATRICE ARTICLE'!$A$2:$N$1395,14,FALSE),"")</f>
        <v/>
      </c>
      <c r="H1092" s="48" t="str">
        <f t="shared" si="70"/>
        <v/>
      </c>
      <c r="I1092" s="48" t="str">
        <f t="shared" si="71"/>
        <v/>
      </c>
    </row>
    <row r="1093" spans="2:9">
      <c r="B1093" s="57" t="str">
        <f t="shared" si="68"/>
        <v/>
      </c>
      <c r="C1093" s="57"/>
      <c r="D1093" s="37" t="str">
        <f>IFERROR(VLOOKUP($B1093,'MATRICE ARTICLE'!$A$2:$N$1395,2,FALSE),"")</f>
        <v/>
      </c>
      <c r="E1093" s="37" t="str">
        <f t="shared" si="69"/>
        <v/>
      </c>
      <c r="F1093" s="37" t="str">
        <f>IFERROR(VLOOKUP($B1093,'MATRICE ARTICLE'!$A$2:$N$1395,9,FALSE),"")</f>
        <v/>
      </c>
      <c r="G1093" s="37" t="str">
        <f>IFERROR(VLOOKUP($B1093,'MATRICE ARTICLE'!$A$2:$N$1395,14,FALSE),"")</f>
        <v/>
      </c>
      <c r="H1093" s="48" t="str">
        <f t="shared" si="70"/>
        <v/>
      </c>
      <c r="I1093" s="48" t="str">
        <f t="shared" si="71"/>
        <v/>
      </c>
    </row>
    <row r="1094" spans="2:9">
      <c r="B1094" s="57" t="str">
        <f t="shared" si="68"/>
        <v/>
      </c>
      <c r="C1094" s="57"/>
      <c r="D1094" s="37" t="str">
        <f>IFERROR(VLOOKUP($B1094,'MATRICE ARTICLE'!$A$2:$N$1395,2,FALSE),"")</f>
        <v/>
      </c>
      <c r="E1094" s="37" t="str">
        <f t="shared" si="69"/>
        <v/>
      </c>
      <c r="F1094" s="37" t="str">
        <f>IFERROR(VLOOKUP($B1094,'MATRICE ARTICLE'!$A$2:$N$1395,9,FALSE),"")</f>
        <v/>
      </c>
      <c r="G1094" s="37" t="str">
        <f>IFERROR(VLOOKUP($B1094,'MATRICE ARTICLE'!$A$2:$N$1395,14,FALSE),"")</f>
        <v/>
      </c>
      <c r="H1094" s="48" t="str">
        <f t="shared" si="70"/>
        <v/>
      </c>
      <c r="I1094" s="48" t="str">
        <f t="shared" si="71"/>
        <v/>
      </c>
    </row>
    <row r="1095" spans="2:9">
      <c r="B1095" s="57" t="str">
        <f t="shared" si="68"/>
        <v/>
      </c>
      <c r="C1095" s="57"/>
      <c r="D1095" s="37" t="str">
        <f>IFERROR(VLOOKUP($B1095,'MATRICE ARTICLE'!$A$2:$N$1395,2,FALSE),"")</f>
        <v/>
      </c>
      <c r="E1095" s="37" t="str">
        <f t="shared" si="69"/>
        <v/>
      </c>
      <c r="F1095" s="37" t="str">
        <f>IFERROR(VLOOKUP($B1095,'MATRICE ARTICLE'!$A$2:$N$1395,9,FALSE),"")</f>
        <v/>
      </c>
      <c r="G1095" s="37" t="str">
        <f>IFERROR(VLOOKUP($B1095,'MATRICE ARTICLE'!$A$2:$N$1395,14,FALSE),"")</f>
        <v/>
      </c>
      <c r="H1095" s="48" t="str">
        <f t="shared" si="70"/>
        <v/>
      </c>
      <c r="I1095" s="48" t="str">
        <f t="shared" si="71"/>
        <v/>
      </c>
    </row>
    <row r="1096" spans="2:9">
      <c r="B1096" s="57" t="str">
        <f t="shared" si="68"/>
        <v/>
      </c>
      <c r="C1096" s="57"/>
      <c r="D1096" s="37" t="str">
        <f>IFERROR(VLOOKUP($B1096,'MATRICE ARTICLE'!$A$2:$N$1395,2,FALSE),"")</f>
        <v/>
      </c>
      <c r="E1096" s="37" t="str">
        <f t="shared" si="69"/>
        <v/>
      </c>
      <c r="F1096" s="37" t="str">
        <f>IFERROR(VLOOKUP($B1096,'MATRICE ARTICLE'!$A$2:$N$1395,9,FALSE),"")</f>
        <v/>
      </c>
      <c r="G1096" s="37" t="str">
        <f>IFERROR(VLOOKUP($B1096,'MATRICE ARTICLE'!$A$2:$N$1395,14,FALSE),"")</f>
        <v/>
      </c>
      <c r="H1096" s="48" t="str">
        <f t="shared" si="70"/>
        <v/>
      </c>
      <c r="I1096" s="48" t="str">
        <f t="shared" si="71"/>
        <v/>
      </c>
    </row>
    <row r="1097" spans="2:9">
      <c r="B1097" s="57" t="str">
        <f t="shared" si="68"/>
        <v/>
      </c>
      <c r="C1097" s="57"/>
      <c r="D1097" s="37" t="str">
        <f>IFERROR(VLOOKUP($B1097,'MATRICE ARTICLE'!$A$2:$N$1395,2,FALSE),"")</f>
        <v/>
      </c>
      <c r="E1097" s="37" t="str">
        <f t="shared" si="69"/>
        <v/>
      </c>
      <c r="F1097" s="37" t="str">
        <f>IFERROR(VLOOKUP($B1097,'MATRICE ARTICLE'!$A$2:$N$1395,9,FALSE),"")</f>
        <v/>
      </c>
      <c r="G1097" s="37" t="str">
        <f>IFERROR(VLOOKUP($B1097,'MATRICE ARTICLE'!$A$2:$N$1395,14,FALSE),"")</f>
        <v/>
      </c>
      <c r="H1097" s="48" t="str">
        <f t="shared" si="70"/>
        <v/>
      </c>
      <c r="I1097" s="48" t="str">
        <f t="shared" si="71"/>
        <v/>
      </c>
    </row>
    <row r="1098" spans="2:9">
      <c r="B1098" s="57" t="str">
        <f t="shared" si="68"/>
        <v/>
      </c>
      <c r="C1098" s="57"/>
      <c r="D1098" s="37" t="str">
        <f>IFERROR(VLOOKUP($B1098,'MATRICE ARTICLE'!$A$2:$N$1395,2,FALSE),"")</f>
        <v/>
      </c>
      <c r="E1098" s="37" t="str">
        <f t="shared" si="69"/>
        <v/>
      </c>
      <c r="F1098" s="37" t="str">
        <f>IFERROR(VLOOKUP($B1098,'MATRICE ARTICLE'!$A$2:$N$1395,9,FALSE),"")</f>
        <v/>
      </c>
      <c r="G1098" s="37" t="str">
        <f>IFERROR(VLOOKUP($B1098,'MATRICE ARTICLE'!$A$2:$N$1395,14,FALSE),"")</f>
        <v/>
      </c>
      <c r="H1098" s="48" t="str">
        <f t="shared" si="70"/>
        <v/>
      </c>
      <c r="I1098" s="48" t="str">
        <f t="shared" si="71"/>
        <v/>
      </c>
    </row>
    <row r="1099" spans="2:9">
      <c r="B1099" s="57" t="str">
        <f t="shared" si="68"/>
        <v/>
      </c>
      <c r="C1099" s="57"/>
      <c r="D1099" s="37" t="str">
        <f>IFERROR(VLOOKUP($B1099,'MATRICE ARTICLE'!$A$2:$N$1395,2,FALSE),"")</f>
        <v/>
      </c>
      <c r="E1099" s="37" t="str">
        <f t="shared" si="69"/>
        <v/>
      </c>
      <c r="F1099" s="37" t="str">
        <f>IFERROR(VLOOKUP($B1099,'MATRICE ARTICLE'!$A$2:$N$1395,9,FALSE),"")</f>
        <v/>
      </c>
      <c r="G1099" s="37" t="str">
        <f>IFERROR(VLOOKUP($B1099,'MATRICE ARTICLE'!$A$2:$N$1395,14,FALSE),"")</f>
        <v/>
      </c>
      <c r="H1099" s="48" t="str">
        <f t="shared" si="70"/>
        <v/>
      </c>
      <c r="I1099" s="48" t="str">
        <f t="shared" si="71"/>
        <v/>
      </c>
    </row>
  </sheetData>
  <sheetProtection formatColumns="0"/>
  <protectedRanges>
    <protectedRange sqref="H1:I1" name="PARAMETRE ARTICLES"/>
  </protectedRanges>
  <customSheetViews>
    <customSheetView guid="{4C05D42E-3E5C-4FA0-B17F-90B6C7E70693}" hiddenColumns="1" topLeftCell="B1">
      <selection activeCell="D54" sqref="D54"/>
      <pageMargins left="0.7" right="0.7" top="0.75" bottom="0.75" header="0.3" footer="0.3"/>
    </customSheetView>
  </customSheetViews>
  <phoneticPr fontId="12" type="noConversion"/>
  <pageMargins left="0.7" right="0.7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59D2DD-924D-4191-93C7-985AF7DA7133}">
  <sheetPr>
    <tabColor theme="5"/>
  </sheetPr>
  <dimension ref="A1:Q1385"/>
  <sheetViews>
    <sheetView showGridLines="0" zoomScale="85" zoomScaleNormal="85" workbookViewId="0">
      <pane xSplit="1" ySplit="2" topLeftCell="B671" activePane="bottomRight" state="frozen"/>
      <selection pane="topRight" activeCell="B1" sqref="B1"/>
      <selection pane="bottomLeft" activeCell="A3" sqref="A3"/>
      <selection pane="bottomRight" activeCell="A683" sqref="A683:A692"/>
    </sheetView>
  </sheetViews>
  <sheetFormatPr defaultColWidth="11.5546875" defaultRowHeight="14.4"/>
  <cols>
    <col min="1" max="1" width="31.88671875" style="50" bestFit="1" customWidth="1"/>
    <col min="2" max="2" width="4.33203125" style="50" customWidth="1"/>
    <col min="3" max="3" width="24" customWidth="1"/>
    <col min="4" max="4" width="9.109375" customWidth="1"/>
    <col min="5" max="5" width="7.109375" style="61" customWidth="1"/>
    <col min="6" max="6" width="9.109375" customWidth="1"/>
    <col min="7" max="7" width="10.44140625" customWidth="1"/>
    <col min="8" max="8" width="14.109375" customWidth="1"/>
    <col min="9" max="9" width="10.6640625" customWidth="1"/>
    <col min="10" max="10" width="19.5546875" customWidth="1"/>
    <col min="11" max="11" width="9.109375" customWidth="1"/>
    <col min="12" max="12" width="10.33203125" customWidth="1"/>
    <col min="13" max="13" width="13.5546875" customWidth="1"/>
    <col min="14" max="14" width="9.109375" customWidth="1"/>
  </cols>
  <sheetData>
    <row r="1" spans="1:17" ht="15" customHeight="1">
      <c r="A1" s="410" t="s">
        <v>115</v>
      </c>
      <c r="B1" s="408" t="s">
        <v>73</v>
      </c>
      <c r="C1" s="412" t="s">
        <v>113</v>
      </c>
      <c r="D1" s="413"/>
      <c r="E1" s="413"/>
      <c r="F1" s="413"/>
      <c r="G1" s="413"/>
      <c r="H1" s="413"/>
      <c r="I1" s="415"/>
      <c r="J1" s="412" t="s">
        <v>120</v>
      </c>
      <c r="K1" s="413"/>
      <c r="L1" s="413"/>
      <c r="M1" s="413"/>
      <c r="N1" s="414"/>
    </row>
    <row r="2" spans="1:17" ht="16.2" thickBot="1">
      <c r="A2" s="411"/>
      <c r="B2" s="409"/>
      <c r="C2" s="43" t="s">
        <v>173</v>
      </c>
      <c r="D2" s="43" t="s">
        <v>172</v>
      </c>
      <c r="E2" s="44" t="s">
        <v>174</v>
      </c>
      <c r="F2" s="43" t="s">
        <v>73</v>
      </c>
      <c r="G2" s="43" t="s">
        <v>117</v>
      </c>
      <c r="H2" s="62" t="s">
        <v>118</v>
      </c>
      <c r="I2" s="63">
        <v>1</v>
      </c>
      <c r="J2" s="44" t="s">
        <v>119</v>
      </c>
      <c r="K2" s="44" t="s">
        <v>116</v>
      </c>
      <c r="L2" s="43" t="s">
        <v>117</v>
      </c>
      <c r="M2" s="45" t="s">
        <v>118</v>
      </c>
      <c r="N2" s="58">
        <v>0.55000000000000004</v>
      </c>
      <c r="O2" t="s">
        <v>560</v>
      </c>
      <c r="P2" t="s">
        <v>116</v>
      </c>
      <c r="Q2" t="s">
        <v>561</v>
      </c>
    </row>
    <row r="3" spans="1:17">
      <c r="A3" s="387" t="s">
        <v>39</v>
      </c>
      <c r="B3" s="390" t="s">
        <v>21</v>
      </c>
      <c r="C3" s="64" t="s">
        <v>97</v>
      </c>
      <c r="D3" s="280">
        <f>ROUND(5*0.05*0.045*1.21,4)</f>
        <v>1.3599999999999999E-2</v>
      </c>
      <c r="E3" s="145">
        <v>0.1</v>
      </c>
      <c r="F3" s="65" t="str">
        <f>IFERROR(VLOOKUP(C3,MATERIAUX!$C$3:$G$1002,3,FALSE),"")</f>
        <v>m3</v>
      </c>
      <c r="G3" s="66">
        <f>IFERROR(VLOOKUP(C3,MATERIAUX!$C$3:$G$1002,5,FALSE),"")</f>
        <v>524.74226804123714</v>
      </c>
      <c r="H3" s="66">
        <f>IFERROR(ROUND(G3*(1+E3)*D3,2),"")</f>
        <v>7.85</v>
      </c>
      <c r="I3" s="393">
        <f>SUM(H3:H12)</f>
        <v>8.7775759999999998</v>
      </c>
      <c r="J3" s="67" t="s">
        <v>52</v>
      </c>
      <c r="K3" s="67">
        <v>1</v>
      </c>
      <c r="L3" s="67">
        <f>IFERROR(VLOOKUP(J3,'MAIN D OEUVRE'!$A$4:$B$99,2,FALSE)*$N$2,"")</f>
        <v>2.75</v>
      </c>
      <c r="M3" s="68">
        <f t="shared" ref="M3:M10" si="0">IFERROR(ROUND(L3*K3,2),"")</f>
        <v>2.75</v>
      </c>
      <c r="N3" s="396">
        <f>SUM(M3:M12)</f>
        <v>3.27</v>
      </c>
      <c r="O3" s="350">
        <v>0</v>
      </c>
      <c r="P3">
        <f>(D3+D3*E3)*O3</f>
        <v>0</v>
      </c>
      <c r="Q3">
        <f t="shared" ref="Q3:Q9" si="1">IF(P3=0,0,P3*G3)</f>
        <v>0</v>
      </c>
    </row>
    <row r="4" spans="1:17">
      <c r="A4" s="388"/>
      <c r="B4" s="391"/>
      <c r="C4" s="69"/>
      <c r="D4" s="281"/>
      <c r="E4" s="146"/>
      <c r="F4" s="70" t="str">
        <f>IFERROR(VLOOKUP(C4,MATERIAUX!$C$3:$G$1002,3,FALSE),"")</f>
        <v/>
      </c>
      <c r="G4" s="71" t="str">
        <f>IFERROR(VLOOKUP(C4,MATERIAUX!$C$3:$G$1002,5,FALSE),"")</f>
        <v/>
      </c>
      <c r="H4" s="71" t="str">
        <f t="shared" ref="H4:H12" si="2">IFERROR(ROUND(G4*(1+E4)*D4,2),"")</f>
        <v/>
      </c>
      <c r="I4" s="394"/>
      <c r="J4" s="72" t="s">
        <v>438</v>
      </c>
      <c r="K4" s="72">
        <f>(D3+D4)*2</f>
        <v>2.7199999999999998E-2</v>
      </c>
      <c r="L4" s="72">
        <f>IFERROR(VLOOKUP(J4,'MAIN D OEUVRE'!$A$4:$B$99,2,FALSE)*$N$2,"")</f>
        <v>19.25</v>
      </c>
      <c r="M4" s="73">
        <f t="shared" si="0"/>
        <v>0.52</v>
      </c>
      <c r="N4" s="397"/>
      <c r="O4">
        <f>O3</f>
        <v>0</v>
      </c>
      <c r="P4">
        <f t="shared" ref="P4:P22" si="3">(D4+D4*E4)*O4</f>
        <v>0</v>
      </c>
      <c r="Q4">
        <f t="shared" si="1"/>
        <v>0</v>
      </c>
    </row>
    <row r="5" spans="1:17">
      <c r="A5" s="388"/>
      <c r="B5" s="391"/>
      <c r="C5" s="69" t="s">
        <v>84</v>
      </c>
      <c r="D5" s="70">
        <v>21</v>
      </c>
      <c r="E5" s="146">
        <v>0</v>
      </c>
      <c r="F5" s="70" t="str">
        <f>IFERROR(VLOOKUP(C5,MATERIAUX!$C$3:$G$1002,3,FALSE),"")</f>
        <v>u</v>
      </c>
      <c r="G5" s="71">
        <f>IFERROR(VLOOKUP(C5,MATERIAUX!$C$3:$G$1002,5,FALSE),"")</f>
        <v>3.9175257731958769E-2</v>
      </c>
      <c r="H5" s="71">
        <f t="shared" si="2"/>
        <v>0.82</v>
      </c>
      <c r="I5" s="394"/>
      <c r="J5" s="72"/>
      <c r="K5" s="72"/>
      <c r="L5" s="72" t="str">
        <f>IFERROR(VLOOKUP(J5,'MAIN D OEUVRE'!$A$4:$B$99,2,FALSE)*$N$2,"")</f>
        <v/>
      </c>
      <c r="M5" s="73" t="str">
        <f t="shared" si="0"/>
        <v/>
      </c>
      <c r="N5" s="397"/>
      <c r="O5">
        <f t="shared" ref="O5:O12" si="4">O4</f>
        <v>0</v>
      </c>
      <c r="P5">
        <f t="shared" si="3"/>
        <v>0</v>
      </c>
      <c r="Q5">
        <f t="shared" si="1"/>
        <v>0</v>
      </c>
    </row>
    <row r="6" spans="1:17">
      <c r="A6" s="388"/>
      <c r="B6" s="391"/>
      <c r="C6" s="287" t="s">
        <v>263</v>
      </c>
      <c r="D6" s="288">
        <v>1.06</v>
      </c>
      <c r="E6" s="146">
        <v>0.02</v>
      </c>
      <c r="F6" s="70" t="str">
        <f>IFERROR(VLOOKUP(C6,MATERIAUX!$C$3:$G$1002,3,FALSE),"")</f>
        <v>m2</v>
      </c>
      <c r="G6" s="71">
        <f>IFERROR(VLOOKUP(C6,MATERIAUX!$C$3:$G$1002,5,FALSE),"")</f>
        <v>7.315463917525773</v>
      </c>
      <c r="H6" s="71">
        <f>IFERROR(ROUND(G6*(1+E6)*D6,2)*(D3+D4),"")</f>
        <v>0.10757599999999999</v>
      </c>
      <c r="I6" s="394"/>
      <c r="J6" s="72"/>
      <c r="K6" s="72"/>
      <c r="L6" s="72" t="str">
        <f>IFERROR(VLOOKUP(J6,'MAIN D OEUVRE'!$A$4:$B$99,2,FALSE)*$N$2,"")</f>
        <v/>
      </c>
      <c r="M6" s="73" t="str">
        <f t="shared" si="0"/>
        <v/>
      </c>
      <c r="N6" s="397"/>
      <c r="O6" s="351">
        <f t="shared" si="4"/>
        <v>0</v>
      </c>
      <c r="P6" s="351">
        <f>O6*D6*(D3+D4)*1.02</f>
        <v>0</v>
      </c>
      <c r="Q6" s="351">
        <f t="shared" si="1"/>
        <v>0</v>
      </c>
    </row>
    <row r="7" spans="1:17">
      <c r="A7" s="388"/>
      <c r="B7" s="391"/>
      <c r="C7" s="69"/>
      <c r="D7" s="70"/>
      <c r="E7" s="146"/>
      <c r="F7" s="70" t="str">
        <f>IFERROR(VLOOKUP(C7,MATERIAUX!$C$3:$G$1002,3,FALSE),"")</f>
        <v/>
      </c>
      <c r="G7" s="71" t="str">
        <f>IFERROR(VLOOKUP(C7,MATERIAUX!$C$3:$G$1002,5,FALSE),"")</f>
        <v/>
      </c>
      <c r="H7" s="71" t="str">
        <f t="shared" si="2"/>
        <v/>
      </c>
      <c r="I7" s="394"/>
      <c r="J7" s="72"/>
      <c r="K7" s="72"/>
      <c r="L7" s="72" t="str">
        <f>IFERROR(VLOOKUP(J7,'MAIN D OEUVRE'!$A$4:$B$99,2,FALSE)*$N$2,"")</f>
        <v/>
      </c>
      <c r="M7" s="73" t="str">
        <f t="shared" si="0"/>
        <v/>
      </c>
      <c r="N7" s="397"/>
      <c r="O7">
        <f t="shared" si="4"/>
        <v>0</v>
      </c>
      <c r="P7">
        <f t="shared" si="3"/>
        <v>0</v>
      </c>
      <c r="Q7">
        <f t="shared" si="1"/>
        <v>0</v>
      </c>
    </row>
    <row r="8" spans="1:17">
      <c r="A8" s="388"/>
      <c r="B8" s="391"/>
      <c r="C8" s="69"/>
      <c r="D8" s="70"/>
      <c r="E8" s="146"/>
      <c r="F8" s="70" t="str">
        <f>IFERROR(VLOOKUP(C8,MATERIAUX!$C$3:$G$1002,3,FALSE),"")</f>
        <v/>
      </c>
      <c r="G8" s="71" t="str">
        <f>IFERROR(VLOOKUP(C8,MATERIAUX!$C$3:$G$1002,5,FALSE),"")</f>
        <v/>
      </c>
      <c r="H8" s="71" t="str">
        <f t="shared" si="2"/>
        <v/>
      </c>
      <c r="I8" s="394"/>
      <c r="J8" s="72"/>
      <c r="K8" s="72"/>
      <c r="L8" s="72" t="str">
        <f>IFERROR(VLOOKUP(J8,'MAIN D OEUVRE'!$A$4:$B$99,2,FALSE)*$N$2,"")</f>
        <v/>
      </c>
      <c r="M8" s="73" t="str">
        <f t="shared" si="0"/>
        <v/>
      </c>
      <c r="N8" s="397"/>
      <c r="O8">
        <f t="shared" si="4"/>
        <v>0</v>
      </c>
      <c r="P8">
        <f t="shared" si="3"/>
        <v>0</v>
      </c>
      <c r="Q8">
        <f t="shared" si="1"/>
        <v>0</v>
      </c>
    </row>
    <row r="9" spans="1:17">
      <c r="A9" s="388"/>
      <c r="B9" s="391"/>
      <c r="C9" s="69"/>
      <c r="D9" s="70"/>
      <c r="E9" s="146"/>
      <c r="F9" s="70" t="str">
        <f>IFERROR(VLOOKUP(C9,MATERIAUX!$C$3:$G$1002,3,FALSE),"")</f>
        <v/>
      </c>
      <c r="G9" s="71" t="str">
        <f>IFERROR(VLOOKUP(C9,MATERIAUX!$C$3:$G$1002,5,FALSE),"")</f>
        <v/>
      </c>
      <c r="H9" s="71" t="str">
        <f t="shared" si="2"/>
        <v/>
      </c>
      <c r="I9" s="394"/>
      <c r="J9" s="72"/>
      <c r="K9" s="72"/>
      <c r="L9" s="72" t="str">
        <f>IFERROR(VLOOKUP(J9,'MAIN D OEUVRE'!$A$4:$B$99,2,FALSE)*$N$2,"")</f>
        <v/>
      </c>
      <c r="M9" s="73" t="str">
        <f t="shared" si="0"/>
        <v/>
      </c>
      <c r="N9" s="397"/>
      <c r="O9">
        <f t="shared" si="4"/>
        <v>0</v>
      </c>
      <c r="P9">
        <f t="shared" si="3"/>
        <v>0</v>
      </c>
      <c r="Q9">
        <f t="shared" si="1"/>
        <v>0</v>
      </c>
    </row>
    <row r="10" spans="1:17">
      <c r="A10" s="388"/>
      <c r="B10" s="391"/>
      <c r="C10" s="69"/>
      <c r="D10" s="70"/>
      <c r="E10" s="146"/>
      <c r="F10" s="70" t="str">
        <f>IFERROR(VLOOKUP(C10,MATERIAUX!$C$3:$G$1002,3,FALSE),"")</f>
        <v/>
      </c>
      <c r="G10" s="71" t="str">
        <f>IFERROR(VLOOKUP(C10,MATERIAUX!$C$3:$G$1002,5,FALSE),"")</f>
        <v/>
      </c>
      <c r="H10" s="71" t="str">
        <f t="shared" si="2"/>
        <v/>
      </c>
      <c r="I10" s="394"/>
      <c r="J10" s="72"/>
      <c r="K10" s="72"/>
      <c r="L10" s="72" t="str">
        <f>IFERROR(VLOOKUP(J10,'MAIN D OEUVRE'!$A$4:$B$99,2,FALSE)*$N$2,"")</f>
        <v/>
      </c>
      <c r="M10" s="73" t="str">
        <f t="shared" si="0"/>
        <v/>
      </c>
      <c r="N10" s="397"/>
      <c r="O10">
        <f t="shared" si="4"/>
        <v>0</v>
      </c>
      <c r="P10">
        <f t="shared" si="3"/>
        <v>0</v>
      </c>
      <c r="Q10">
        <f t="shared" ref="Q10:Q22" si="5">IF(P10=0,0,P10*G10)</f>
        <v>0</v>
      </c>
    </row>
    <row r="11" spans="1:17">
      <c r="A11" s="388"/>
      <c r="B11" s="391"/>
      <c r="C11" s="69"/>
      <c r="D11" s="70"/>
      <c r="E11" s="146"/>
      <c r="F11" s="70" t="str">
        <f>IFERROR(VLOOKUP(C11,MATERIAUX!$C$3:$G$1002,3,FALSE),"")</f>
        <v/>
      </c>
      <c r="G11" s="71" t="str">
        <f>IFERROR(VLOOKUP(C11,MATERIAUX!$C$3:$G$1002,5,FALSE),"")</f>
        <v/>
      </c>
      <c r="H11" s="71" t="str">
        <f t="shared" si="2"/>
        <v/>
      </c>
      <c r="I11" s="394"/>
      <c r="J11" s="72"/>
      <c r="K11" s="72"/>
      <c r="L11" s="72"/>
      <c r="M11" s="73"/>
      <c r="N11" s="397"/>
      <c r="O11">
        <f t="shared" si="4"/>
        <v>0</v>
      </c>
      <c r="P11">
        <f t="shared" si="3"/>
        <v>0</v>
      </c>
      <c r="Q11">
        <f t="shared" si="5"/>
        <v>0</v>
      </c>
    </row>
    <row r="12" spans="1:17" ht="15" thickBot="1">
      <c r="A12" s="389"/>
      <c r="B12" s="392"/>
      <c r="C12" s="74"/>
      <c r="D12" s="70"/>
      <c r="E12" s="147"/>
      <c r="F12" s="70" t="str">
        <f>IFERROR(VLOOKUP(C12,MATERIAUX!$C$3:$G$1002,3,FALSE),"")</f>
        <v/>
      </c>
      <c r="G12" s="71" t="str">
        <f>IFERROR(VLOOKUP(C12,MATERIAUX!$C$3:$G$1002,5,FALSE),"")</f>
        <v/>
      </c>
      <c r="H12" s="76" t="str">
        <f t="shared" si="2"/>
        <v/>
      </c>
      <c r="I12" s="395"/>
      <c r="J12" s="77"/>
      <c r="K12" s="77"/>
      <c r="L12" s="77"/>
      <c r="M12" s="78"/>
      <c r="N12" s="398"/>
      <c r="O12">
        <f t="shared" si="4"/>
        <v>0</v>
      </c>
      <c r="P12">
        <f t="shared" si="3"/>
        <v>0</v>
      </c>
      <c r="Q12">
        <f t="shared" si="5"/>
        <v>0</v>
      </c>
    </row>
    <row r="13" spans="1:17">
      <c r="A13" s="402" t="s">
        <v>40</v>
      </c>
      <c r="B13" s="390" t="s">
        <v>21</v>
      </c>
      <c r="C13" s="115" t="s">
        <v>90</v>
      </c>
      <c r="D13" s="280">
        <f>ROUND(5*0.1*0.045*1.25,4)</f>
        <v>2.81E-2</v>
      </c>
      <c r="E13" s="148">
        <v>0.1</v>
      </c>
      <c r="F13" s="65" t="str">
        <f>IFERROR(VLOOKUP(C13,MATERIAUX!$C$3:$G$1002,3,FALSE),"")</f>
        <v>m3</v>
      </c>
      <c r="G13" s="66">
        <f>IFERROR(VLOOKUP(C13,MATERIAUX!$C$3:$G$1002,5,FALSE),"")</f>
        <v>575.25773195876297</v>
      </c>
      <c r="H13" s="66">
        <f>IFERROR(ROUND(G13*(1+E13)*D13,2),"")</f>
        <v>17.78</v>
      </c>
      <c r="I13" s="393">
        <f>SUM(H13:H22)</f>
        <v>18.822271000000001</v>
      </c>
      <c r="J13" s="67" t="s">
        <v>52</v>
      </c>
      <c r="K13" s="67">
        <v>1</v>
      </c>
      <c r="L13" s="67">
        <f>IFERROR(VLOOKUP(J13,'MAIN D OEUVRE'!$A$4:$B$99,2,FALSE)*$N$2,"")</f>
        <v>2.75</v>
      </c>
      <c r="M13" s="68">
        <f t="shared" ref="M13:M20" si="6">IFERROR(ROUND(L13*K13,2),"")</f>
        <v>2.75</v>
      </c>
      <c r="N13" s="396">
        <f>SUM(M13:M22)</f>
        <v>3.83</v>
      </c>
      <c r="O13" s="350">
        <v>554</v>
      </c>
      <c r="P13">
        <f t="shared" si="3"/>
        <v>17.124140000000001</v>
      </c>
      <c r="Q13">
        <f t="shared" si="5"/>
        <v>9850.7939381443321</v>
      </c>
    </row>
    <row r="14" spans="1:17">
      <c r="A14" s="403"/>
      <c r="B14" s="391"/>
      <c r="C14" s="69"/>
      <c r="D14" s="281"/>
      <c r="E14" s="146"/>
      <c r="F14" s="70"/>
      <c r="G14" s="71"/>
      <c r="H14" s="71"/>
      <c r="I14" s="394"/>
      <c r="J14" s="72" t="s">
        <v>438</v>
      </c>
      <c r="K14" s="72">
        <f>(D13+D14)*2</f>
        <v>5.62E-2</v>
      </c>
      <c r="L14" s="72">
        <f>IFERROR(VLOOKUP(J14,'MAIN D OEUVRE'!$A$4:$B$99,2,FALSE)*$N$2,"")</f>
        <v>19.25</v>
      </c>
      <c r="M14" s="73">
        <f t="shared" si="6"/>
        <v>1.08</v>
      </c>
      <c r="N14" s="397"/>
      <c r="O14">
        <f>O13</f>
        <v>554</v>
      </c>
      <c r="P14">
        <f t="shared" si="3"/>
        <v>0</v>
      </c>
      <c r="Q14">
        <f t="shared" si="5"/>
        <v>0</v>
      </c>
    </row>
    <row r="15" spans="1:17">
      <c r="A15" s="403"/>
      <c r="B15" s="391"/>
      <c r="C15" s="69" t="s">
        <v>84</v>
      </c>
      <c r="D15" s="70">
        <v>21</v>
      </c>
      <c r="E15" s="146">
        <v>0</v>
      </c>
      <c r="F15" s="70" t="str">
        <f>IFERROR(VLOOKUP(C15,MATERIAUX!$C$3:$G$1002,3,FALSE),"")</f>
        <v>u</v>
      </c>
      <c r="G15" s="71">
        <f>IFERROR(VLOOKUP(C15,MATERIAUX!$C$3:$G$1002,5,FALSE),"")</f>
        <v>3.9175257731958769E-2</v>
      </c>
      <c r="H15" s="71">
        <f t="shared" ref="H15:H33" si="7">IFERROR(ROUND(G15*(1+E15)*D15,2),"")</f>
        <v>0.82</v>
      </c>
      <c r="I15" s="394"/>
      <c r="J15" s="72"/>
      <c r="K15" s="72"/>
      <c r="L15" s="72" t="str">
        <f>IFERROR(VLOOKUP(J15,'MAIN D OEUVRE'!$A$4:$B$99,2,FALSE)*$N$2,"")</f>
        <v/>
      </c>
      <c r="M15" s="73" t="str">
        <f t="shared" si="6"/>
        <v/>
      </c>
      <c r="N15" s="397"/>
      <c r="O15">
        <f t="shared" ref="O15:O22" si="8">O14</f>
        <v>554</v>
      </c>
      <c r="P15">
        <f t="shared" si="3"/>
        <v>11634</v>
      </c>
      <c r="Q15">
        <f t="shared" si="5"/>
        <v>455.76494845360833</v>
      </c>
    </row>
    <row r="16" spans="1:17">
      <c r="A16" s="403"/>
      <c r="B16" s="391"/>
      <c r="C16" s="287" t="s">
        <v>263</v>
      </c>
      <c r="D16" s="288">
        <v>1.06</v>
      </c>
      <c r="E16" s="146">
        <v>0.02</v>
      </c>
      <c r="F16" s="70" t="str">
        <f>IFERROR(VLOOKUP(C16,MATERIAUX!$C$3:$G$1002,3,FALSE),"")</f>
        <v>m2</v>
      </c>
      <c r="G16" s="71">
        <f>IFERROR(VLOOKUP(C16,MATERIAUX!$C$3:$G$1002,5,FALSE),"")</f>
        <v>7.315463917525773</v>
      </c>
      <c r="H16" s="71">
        <f>IFERROR(ROUND(G16*(1+E16)*D16,2)*(D13+D14),"")</f>
        <v>0.222271</v>
      </c>
      <c r="I16" s="394"/>
      <c r="J16" s="72"/>
      <c r="K16" s="72"/>
      <c r="L16" s="72" t="str">
        <f>IFERROR(VLOOKUP(J16,'MAIN D OEUVRE'!$A$4:$B$99,2,FALSE)*$N$2,"")</f>
        <v/>
      </c>
      <c r="M16" s="73" t="str">
        <f t="shared" si="6"/>
        <v/>
      </c>
      <c r="N16" s="397"/>
      <c r="O16" s="351">
        <f t="shared" si="8"/>
        <v>554</v>
      </c>
      <c r="P16" s="351">
        <f>O16*D16*(D13+D14)*1.02</f>
        <v>16.83147288</v>
      </c>
      <c r="Q16" s="351">
        <f t="shared" si="5"/>
        <v>123.1300325324536</v>
      </c>
    </row>
    <row r="17" spans="1:17">
      <c r="A17" s="403"/>
      <c r="B17" s="391"/>
      <c r="C17" s="69"/>
      <c r="D17" s="70"/>
      <c r="E17" s="146"/>
      <c r="F17" s="70" t="str">
        <f>IFERROR(VLOOKUP(C17,MATERIAUX!$C$3:$G$1002,3,FALSE),"")</f>
        <v/>
      </c>
      <c r="G17" s="71" t="str">
        <f>IFERROR(VLOOKUP(C17,MATERIAUX!$C$3:$G$1002,5,FALSE),"")</f>
        <v/>
      </c>
      <c r="H17" s="71" t="str">
        <f t="shared" si="7"/>
        <v/>
      </c>
      <c r="I17" s="394"/>
      <c r="J17" s="72"/>
      <c r="K17" s="72"/>
      <c r="L17" s="72" t="str">
        <f>IFERROR(VLOOKUP(J17,'MAIN D OEUVRE'!$A$4:$B$99,2,FALSE)*$N$2,"")</f>
        <v/>
      </c>
      <c r="M17" s="73" t="str">
        <f t="shared" si="6"/>
        <v/>
      </c>
      <c r="N17" s="397"/>
      <c r="O17">
        <f t="shared" si="8"/>
        <v>554</v>
      </c>
      <c r="P17">
        <f t="shared" si="3"/>
        <v>0</v>
      </c>
      <c r="Q17">
        <f t="shared" si="5"/>
        <v>0</v>
      </c>
    </row>
    <row r="18" spans="1:17">
      <c r="A18" s="403"/>
      <c r="B18" s="391"/>
      <c r="C18" s="69"/>
      <c r="D18" s="70"/>
      <c r="E18" s="146"/>
      <c r="F18" s="70" t="str">
        <f>IFERROR(VLOOKUP(C18,MATERIAUX!$C$3:$G$1002,3,FALSE),"")</f>
        <v/>
      </c>
      <c r="G18" s="71" t="str">
        <f>IFERROR(VLOOKUP(C18,MATERIAUX!$C$3:$G$1002,5,FALSE),"")</f>
        <v/>
      </c>
      <c r="H18" s="71" t="str">
        <f t="shared" si="7"/>
        <v/>
      </c>
      <c r="I18" s="394"/>
      <c r="J18" s="72"/>
      <c r="K18" s="72"/>
      <c r="L18" s="72" t="str">
        <f>IFERROR(VLOOKUP(J18,'MAIN D OEUVRE'!$A$4:$B$99,2,FALSE)*$N$2,"")</f>
        <v/>
      </c>
      <c r="M18" s="73" t="str">
        <f t="shared" si="6"/>
        <v/>
      </c>
      <c r="N18" s="397"/>
      <c r="O18">
        <f t="shared" si="8"/>
        <v>554</v>
      </c>
      <c r="P18">
        <f t="shared" si="3"/>
        <v>0</v>
      </c>
      <c r="Q18">
        <f t="shared" si="5"/>
        <v>0</v>
      </c>
    </row>
    <row r="19" spans="1:17">
      <c r="A19" s="403"/>
      <c r="B19" s="391"/>
      <c r="C19" s="69"/>
      <c r="D19" s="70"/>
      <c r="E19" s="146"/>
      <c r="F19" s="70" t="str">
        <f>IFERROR(VLOOKUP(C19,MATERIAUX!$C$3:$G$1002,3,FALSE),"")</f>
        <v/>
      </c>
      <c r="G19" s="71" t="str">
        <f>IFERROR(VLOOKUP(C19,MATERIAUX!$C$3:$G$1002,5,FALSE),"")</f>
        <v/>
      </c>
      <c r="H19" s="71" t="str">
        <f t="shared" si="7"/>
        <v/>
      </c>
      <c r="I19" s="394"/>
      <c r="J19" s="72"/>
      <c r="K19" s="72"/>
      <c r="L19" s="72" t="str">
        <f>IFERROR(VLOOKUP(J19,'MAIN D OEUVRE'!$A$4:$B$99,2,FALSE)*$N$2,"")</f>
        <v/>
      </c>
      <c r="M19" s="73" t="str">
        <f t="shared" si="6"/>
        <v/>
      </c>
      <c r="N19" s="397"/>
      <c r="O19">
        <f t="shared" si="8"/>
        <v>554</v>
      </c>
      <c r="P19">
        <f t="shared" si="3"/>
        <v>0</v>
      </c>
      <c r="Q19">
        <f t="shared" si="5"/>
        <v>0</v>
      </c>
    </row>
    <row r="20" spans="1:17">
      <c r="A20" s="403"/>
      <c r="B20" s="391"/>
      <c r="C20" s="69"/>
      <c r="D20" s="70"/>
      <c r="E20" s="146"/>
      <c r="F20" s="70" t="str">
        <f>IFERROR(VLOOKUP(C20,MATERIAUX!$C$3:$G$1002,3,FALSE),"")</f>
        <v/>
      </c>
      <c r="G20" s="71" t="str">
        <f>IFERROR(VLOOKUP(C20,MATERIAUX!$C$3:$G$1002,5,FALSE),"")</f>
        <v/>
      </c>
      <c r="H20" s="71" t="str">
        <f t="shared" si="7"/>
        <v/>
      </c>
      <c r="I20" s="394"/>
      <c r="J20" s="72"/>
      <c r="K20" s="72"/>
      <c r="L20" s="72" t="str">
        <f>IFERROR(VLOOKUP(J20,'MAIN D OEUVRE'!$A$4:$B$99,2,FALSE)*$N$2,"")</f>
        <v/>
      </c>
      <c r="M20" s="73" t="str">
        <f t="shared" si="6"/>
        <v/>
      </c>
      <c r="N20" s="397"/>
      <c r="O20">
        <f t="shared" si="8"/>
        <v>554</v>
      </c>
      <c r="P20">
        <f t="shared" si="3"/>
        <v>0</v>
      </c>
      <c r="Q20">
        <f t="shared" si="5"/>
        <v>0</v>
      </c>
    </row>
    <row r="21" spans="1:17">
      <c r="A21" s="403"/>
      <c r="B21" s="391"/>
      <c r="C21" s="69"/>
      <c r="D21" s="70"/>
      <c r="E21" s="146"/>
      <c r="F21" s="70" t="str">
        <f>IFERROR(VLOOKUP(C21,MATERIAUX!$C$3:$G$1002,3,FALSE),"")</f>
        <v/>
      </c>
      <c r="G21" s="71" t="str">
        <f>IFERROR(VLOOKUP(C21,MATERIAUX!$C$3:$G$1002,5,FALSE),"")</f>
        <v/>
      </c>
      <c r="H21" s="71" t="str">
        <f t="shared" si="7"/>
        <v/>
      </c>
      <c r="I21" s="394"/>
      <c r="J21" s="72"/>
      <c r="K21" s="72"/>
      <c r="L21" s="72"/>
      <c r="M21" s="73"/>
      <c r="N21" s="397"/>
      <c r="O21">
        <f t="shared" si="8"/>
        <v>554</v>
      </c>
      <c r="P21">
        <f t="shared" si="3"/>
        <v>0</v>
      </c>
      <c r="Q21">
        <f t="shared" si="5"/>
        <v>0</v>
      </c>
    </row>
    <row r="22" spans="1:17" ht="15" thickBot="1">
      <c r="A22" s="404"/>
      <c r="B22" s="392"/>
      <c r="C22" s="74"/>
      <c r="D22" s="75"/>
      <c r="E22" s="147"/>
      <c r="F22" s="70" t="str">
        <f>IFERROR(VLOOKUP(C22,MATERIAUX!$C$3:$G$1002,3,FALSE),"")</f>
        <v/>
      </c>
      <c r="G22" s="71" t="str">
        <f>IFERROR(VLOOKUP(C22,MATERIAUX!$C$3:$G$1002,5,FALSE),"")</f>
        <v/>
      </c>
      <c r="H22" s="76" t="str">
        <f t="shared" si="7"/>
        <v/>
      </c>
      <c r="I22" s="395"/>
      <c r="J22" s="77"/>
      <c r="K22" s="77"/>
      <c r="L22" s="77"/>
      <c r="M22" s="78"/>
      <c r="N22" s="398"/>
      <c r="O22">
        <f t="shared" si="8"/>
        <v>554</v>
      </c>
      <c r="P22">
        <f t="shared" si="3"/>
        <v>0</v>
      </c>
      <c r="Q22">
        <f t="shared" si="5"/>
        <v>0</v>
      </c>
    </row>
    <row r="23" spans="1:17">
      <c r="A23" s="402" t="s">
        <v>523</v>
      </c>
      <c r="B23" s="390" t="s">
        <v>21</v>
      </c>
      <c r="C23" s="64" t="s">
        <v>93</v>
      </c>
      <c r="D23" s="280">
        <f>ROUND(5*0.15*0.045*1.1,4)+3.64/552</f>
        <v>4.3694202898550728E-2</v>
      </c>
      <c r="E23" s="145">
        <v>0.1</v>
      </c>
      <c r="F23" s="65" t="str">
        <f>IFERROR(VLOOKUP(C23,MATERIAUX!$C$3:$G$1002,3,FALSE),"")</f>
        <v>m3</v>
      </c>
      <c r="G23" s="66">
        <f>IFERROR(VLOOKUP(C23,MATERIAUX!$C$3:$G$1002,5,FALSE),"")</f>
        <v>575.25773195876297</v>
      </c>
      <c r="H23" s="66">
        <f t="shared" si="7"/>
        <v>27.65</v>
      </c>
      <c r="I23" s="393">
        <f>SUM(H23:H32)</f>
        <v>29.445621144927536</v>
      </c>
      <c r="J23" s="67" t="s">
        <v>52</v>
      </c>
      <c r="K23" s="67">
        <v>1</v>
      </c>
      <c r="L23" s="67">
        <f>IFERROR(VLOOKUP(J23,'MAIN D OEUVRE'!$A$4:$B$99,2,FALSE)*$N$2,"")</f>
        <v>2.75</v>
      </c>
      <c r="M23" s="68">
        <f t="shared" ref="M23:M400" si="9">IFERROR(ROUND(L23*K23,2),"")</f>
        <v>2.75</v>
      </c>
      <c r="N23" s="396">
        <f>SUM(M23:M32)</f>
        <v>4.43</v>
      </c>
      <c r="O23" s="350">
        <v>548</v>
      </c>
      <c r="P23">
        <f t="shared" ref="P23:P25" si="10">(D23+D23*E23)*O23</f>
        <v>26.338865507246382</v>
      </c>
      <c r="Q23">
        <f t="shared" ref="Q23:Q52" si="11">IF(P23=0,0,P23*G23)</f>
        <v>15151.636034065446</v>
      </c>
    </row>
    <row r="24" spans="1:17">
      <c r="A24" s="403"/>
      <c r="B24" s="391"/>
      <c r="C24" s="69"/>
      <c r="D24" s="281"/>
      <c r="E24" s="146"/>
      <c r="F24" s="70" t="str">
        <f>IFERROR(VLOOKUP(C24,MATERIAUX!$C$3:$G$1002,3,FALSE),"")</f>
        <v/>
      </c>
      <c r="G24" s="71" t="str">
        <f>IFERROR(VLOOKUP(C24,MATERIAUX!$C$3:$G$1002,5,FALSE),"")</f>
        <v/>
      </c>
      <c r="H24" s="71" t="str">
        <f t="shared" si="7"/>
        <v/>
      </c>
      <c r="I24" s="394"/>
      <c r="J24" s="72" t="s">
        <v>438</v>
      </c>
      <c r="K24" s="72">
        <f>(D23+D24)*2</f>
        <v>8.7388405797101457E-2</v>
      </c>
      <c r="L24" s="72">
        <f>IFERROR(VLOOKUP(J24,'MAIN D OEUVRE'!$A$4:$B$99,2,FALSE)*$N$2,"")</f>
        <v>19.25</v>
      </c>
      <c r="M24" s="73">
        <f t="shared" si="9"/>
        <v>1.68</v>
      </c>
      <c r="N24" s="397"/>
      <c r="O24">
        <f>O23</f>
        <v>548</v>
      </c>
      <c r="P24">
        <f t="shared" si="10"/>
        <v>0</v>
      </c>
      <c r="Q24">
        <f t="shared" si="11"/>
        <v>0</v>
      </c>
    </row>
    <row r="25" spans="1:17">
      <c r="A25" s="403"/>
      <c r="B25" s="391"/>
      <c r="C25" s="69" t="s">
        <v>84</v>
      </c>
      <c r="D25" s="70">
        <v>37</v>
      </c>
      <c r="E25" s="146">
        <v>0</v>
      </c>
      <c r="F25" s="70" t="str">
        <f>IFERROR(VLOOKUP(C25,MATERIAUX!$C$3:$G$1002,3,FALSE),"")</f>
        <v>u</v>
      </c>
      <c r="G25" s="71">
        <f>IFERROR(VLOOKUP(C25,MATERIAUX!$C$3:$G$1002,5,FALSE),"")</f>
        <v>3.9175257731958769E-2</v>
      </c>
      <c r="H25" s="71">
        <f t="shared" si="7"/>
        <v>1.45</v>
      </c>
      <c r="I25" s="394"/>
      <c r="J25" s="72"/>
      <c r="K25" s="72"/>
      <c r="L25" s="72" t="str">
        <f>IFERROR(VLOOKUP(J25,'MAIN D OEUVRE'!$A$4:$B$99,2,FALSE)*$N$2,"")</f>
        <v/>
      </c>
      <c r="M25" s="73" t="str">
        <f t="shared" si="9"/>
        <v/>
      </c>
      <c r="N25" s="397"/>
      <c r="O25">
        <f t="shared" ref="O25:O32" si="12">O24</f>
        <v>548</v>
      </c>
      <c r="P25">
        <f t="shared" si="10"/>
        <v>20276</v>
      </c>
      <c r="Q25">
        <f t="shared" si="11"/>
        <v>794.31752577319605</v>
      </c>
    </row>
    <row r="26" spans="1:17">
      <c r="A26" s="403"/>
      <c r="B26" s="391"/>
      <c r="C26" s="287" t="s">
        <v>263</v>
      </c>
      <c r="D26" s="288">
        <v>1.06</v>
      </c>
      <c r="E26" s="146">
        <v>0.02</v>
      </c>
      <c r="F26" s="70" t="str">
        <f>IFERROR(VLOOKUP(C26,MATERIAUX!$C$3:$G$1002,3,FALSE),"")</f>
        <v>m2</v>
      </c>
      <c r="G26" s="71">
        <f>IFERROR(VLOOKUP(C26,MATERIAUX!$C$3:$G$1002,5,FALSE),"")</f>
        <v>7.315463917525773</v>
      </c>
      <c r="H26" s="71">
        <f>IFERROR(ROUND(G26*(1+E26)*D26,2)*(D23+D24),"")</f>
        <v>0.34562114492753626</v>
      </c>
      <c r="I26" s="394"/>
      <c r="J26" s="72"/>
      <c r="K26" s="72"/>
      <c r="L26" s="72" t="str">
        <f>IFERROR(VLOOKUP(J26,'MAIN D OEUVRE'!$A$4:$B$99,2,FALSE)*$N$2,"")</f>
        <v/>
      </c>
      <c r="M26" s="73" t="str">
        <f t="shared" si="9"/>
        <v/>
      </c>
      <c r="N26" s="397"/>
      <c r="O26" s="351">
        <f t="shared" si="12"/>
        <v>548</v>
      </c>
      <c r="P26" s="351">
        <f>O26*D26*(D23+D24)*1.02</f>
        <v>25.888710351304351</v>
      </c>
      <c r="Q26" s="351">
        <f t="shared" si="11"/>
        <v>189.38792644624294</v>
      </c>
    </row>
    <row r="27" spans="1:17">
      <c r="A27" s="403"/>
      <c r="B27" s="391"/>
      <c r="C27" s="69"/>
      <c r="D27" s="70"/>
      <c r="E27" s="146"/>
      <c r="F27" s="70" t="str">
        <f>IFERROR(VLOOKUP(C27,MATERIAUX!$C$3:$G$1002,3,FALSE),"")</f>
        <v/>
      </c>
      <c r="G27" s="71" t="str">
        <f>IFERROR(VLOOKUP(C27,MATERIAUX!$C$3:$G$1002,5,FALSE),"")</f>
        <v/>
      </c>
      <c r="H27" s="71" t="str">
        <f t="shared" si="7"/>
        <v/>
      </c>
      <c r="I27" s="394"/>
      <c r="J27" s="72"/>
      <c r="K27" s="72"/>
      <c r="L27" s="72" t="str">
        <f>IFERROR(VLOOKUP(J27,'MAIN D OEUVRE'!$A$4:$B$99,2,FALSE)*$N$2,"")</f>
        <v/>
      </c>
      <c r="M27" s="73" t="str">
        <f t="shared" si="9"/>
        <v/>
      </c>
      <c r="N27" s="397"/>
      <c r="O27">
        <f t="shared" si="12"/>
        <v>548</v>
      </c>
      <c r="P27">
        <f t="shared" ref="P27:P34" si="13">(D27+D27*E27)*O27</f>
        <v>0</v>
      </c>
      <c r="Q27">
        <f t="shared" si="11"/>
        <v>0</v>
      </c>
    </row>
    <row r="28" spans="1:17">
      <c r="A28" s="403"/>
      <c r="B28" s="391"/>
      <c r="C28" s="69"/>
      <c r="D28" s="70"/>
      <c r="E28" s="146"/>
      <c r="F28" s="70" t="str">
        <f>IFERROR(VLOOKUP(C28,MATERIAUX!$C$3:$G$1002,3,FALSE),"")</f>
        <v/>
      </c>
      <c r="G28" s="71" t="str">
        <f>IFERROR(VLOOKUP(C28,MATERIAUX!$C$3:$G$1002,5,FALSE),"")</f>
        <v/>
      </c>
      <c r="H28" s="71" t="str">
        <f t="shared" si="7"/>
        <v/>
      </c>
      <c r="I28" s="394"/>
      <c r="J28" s="72"/>
      <c r="K28" s="72"/>
      <c r="L28" s="72" t="str">
        <f>IFERROR(VLOOKUP(J28,'MAIN D OEUVRE'!$A$4:$B$99,2,FALSE)*$N$2,"")</f>
        <v/>
      </c>
      <c r="M28" s="73" t="str">
        <f t="shared" si="9"/>
        <v/>
      </c>
      <c r="N28" s="397"/>
      <c r="O28">
        <f t="shared" si="12"/>
        <v>548</v>
      </c>
      <c r="P28">
        <f t="shared" si="13"/>
        <v>0</v>
      </c>
      <c r="Q28">
        <f t="shared" si="11"/>
        <v>0</v>
      </c>
    </row>
    <row r="29" spans="1:17">
      <c r="A29" s="403"/>
      <c r="B29" s="391"/>
      <c r="C29" s="69"/>
      <c r="D29" s="70"/>
      <c r="E29" s="146"/>
      <c r="F29" s="70" t="str">
        <f>IFERROR(VLOOKUP(C29,MATERIAUX!$C$3:$G$1002,3,FALSE),"")</f>
        <v/>
      </c>
      <c r="G29" s="71" t="str">
        <f>IFERROR(VLOOKUP(C29,MATERIAUX!$C$3:$G$1002,5,FALSE),"")</f>
        <v/>
      </c>
      <c r="H29" s="71" t="str">
        <f t="shared" si="7"/>
        <v/>
      </c>
      <c r="I29" s="394"/>
      <c r="J29" s="72"/>
      <c r="K29" s="72"/>
      <c r="L29" s="72" t="str">
        <f>IFERROR(VLOOKUP(J29,'MAIN D OEUVRE'!$A$4:$B$99,2,FALSE)*$N$2,"")</f>
        <v/>
      </c>
      <c r="M29" s="73" t="str">
        <f t="shared" si="9"/>
        <v/>
      </c>
      <c r="N29" s="397"/>
      <c r="O29">
        <f t="shared" si="12"/>
        <v>548</v>
      </c>
      <c r="P29">
        <f t="shared" si="13"/>
        <v>0</v>
      </c>
      <c r="Q29">
        <f t="shared" si="11"/>
        <v>0</v>
      </c>
    </row>
    <row r="30" spans="1:17">
      <c r="A30" s="403"/>
      <c r="B30" s="391"/>
      <c r="C30" s="69"/>
      <c r="D30" s="70"/>
      <c r="E30" s="146"/>
      <c r="F30" s="70" t="str">
        <f>IFERROR(VLOOKUP(C30,MATERIAUX!$C$3:$G$1002,3,FALSE),"")</f>
        <v/>
      </c>
      <c r="G30" s="71" t="str">
        <f>IFERROR(VLOOKUP(C30,MATERIAUX!$C$3:$G$1002,5,FALSE),"")</f>
        <v/>
      </c>
      <c r="H30" s="71" t="str">
        <f t="shared" si="7"/>
        <v/>
      </c>
      <c r="I30" s="394"/>
      <c r="J30" s="72"/>
      <c r="K30" s="72"/>
      <c r="L30" s="72" t="str">
        <f>IFERROR(VLOOKUP(J30,'MAIN D OEUVRE'!$A$4:$B$99,2,FALSE)*$N$2,"")</f>
        <v/>
      </c>
      <c r="M30" s="73" t="str">
        <f t="shared" si="9"/>
        <v/>
      </c>
      <c r="N30" s="397"/>
      <c r="O30">
        <f t="shared" si="12"/>
        <v>548</v>
      </c>
      <c r="P30">
        <f t="shared" si="13"/>
        <v>0</v>
      </c>
      <c r="Q30">
        <f t="shared" si="11"/>
        <v>0</v>
      </c>
    </row>
    <row r="31" spans="1:17">
      <c r="A31" s="403"/>
      <c r="B31" s="391"/>
      <c r="C31" s="69"/>
      <c r="D31" s="70"/>
      <c r="E31" s="146"/>
      <c r="F31" s="70" t="str">
        <f>IFERROR(VLOOKUP(C31,MATERIAUX!$C$3:$G$1002,3,FALSE),"")</f>
        <v/>
      </c>
      <c r="G31" s="71" t="str">
        <f>IFERROR(VLOOKUP(C31,MATERIAUX!$C$3:$G$1002,5,FALSE),"")</f>
        <v/>
      </c>
      <c r="H31" s="71" t="str">
        <f t="shared" si="7"/>
        <v/>
      </c>
      <c r="I31" s="394"/>
      <c r="J31" s="72"/>
      <c r="K31" s="72"/>
      <c r="L31" s="72"/>
      <c r="M31" s="73"/>
      <c r="N31" s="397"/>
      <c r="O31">
        <f t="shared" si="12"/>
        <v>548</v>
      </c>
      <c r="P31">
        <f t="shared" si="13"/>
        <v>0</v>
      </c>
      <c r="Q31">
        <f t="shared" si="11"/>
        <v>0</v>
      </c>
    </row>
    <row r="32" spans="1:17" ht="15" thickBot="1">
      <c r="A32" s="404"/>
      <c r="B32" s="392"/>
      <c r="C32" s="74"/>
      <c r="D32" s="75"/>
      <c r="E32" s="147"/>
      <c r="F32" s="70" t="str">
        <f>IFERROR(VLOOKUP(C32,MATERIAUX!$C$3:$G$1002,3,FALSE),"")</f>
        <v/>
      </c>
      <c r="G32" s="71" t="str">
        <f>IFERROR(VLOOKUP(C32,MATERIAUX!$C$3:$G$1002,5,FALSE),"")</f>
        <v/>
      </c>
      <c r="H32" s="76" t="str">
        <f t="shared" si="7"/>
        <v/>
      </c>
      <c r="I32" s="395"/>
      <c r="J32" s="77"/>
      <c r="K32" s="77"/>
      <c r="L32" s="77"/>
      <c r="M32" s="78"/>
      <c r="N32" s="398"/>
      <c r="O32">
        <f t="shared" si="12"/>
        <v>548</v>
      </c>
      <c r="P32">
        <f t="shared" si="13"/>
        <v>0</v>
      </c>
      <c r="Q32">
        <f t="shared" si="11"/>
        <v>0</v>
      </c>
    </row>
    <row r="33" spans="1:17">
      <c r="A33" s="387" t="s">
        <v>199</v>
      </c>
      <c r="B33" s="390" t="s">
        <v>21</v>
      </c>
      <c r="C33" s="69" t="s">
        <v>95</v>
      </c>
      <c r="D33" s="65">
        <f>ROUND(5*0.24*0.045,4)</f>
        <v>5.3999999999999999E-2</v>
      </c>
      <c r="E33" s="146">
        <v>0.1</v>
      </c>
      <c r="F33" s="65" t="str">
        <f>IFERROR(VLOOKUP(C33,MATERIAUX!$C$3:$G$1002,3,FALSE),"")</f>
        <v>m3</v>
      </c>
      <c r="G33" s="66">
        <f>IFERROR(VLOOKUP(C33,MATERIAUX!$C$3:$G$1002,5,FALSE),"")</f>
        <v>483.50515463917532</v>
      </c>
      <c r="H33" s="66">
        <f t="shared" si="7"/>
        <v>28.72</v>
      </c>
      <c r="I33" s="393">
        <f>SUM(H33:H42)</f>
        <v>29.967140000000001</v>
      </c>
      <c r="J33" s="67" t="s">
        <v>193</v>
      </c>
      <c r="K33" s="67">
        <f>ROUNDUP(2-0.25/0.625,2)</f>
        <v>1.6</v>
      </c>
      <c r="L33" s="67">
        <f>IFERROR(VLOOKUP(J33,'MAIN D OEUVRE'!$A$4:$B$99,2,FALSE)*$N$2,"")</f>
        <v>4.4000000000000004</v>
      </c>
      <c r="M33" s="68">
        <f t="shared" ref="M33:M40" si="14">IFERROR(ROUND(L33*K33,2),"")</f>
        <v>7.04</v>
      </c>
      <c r="N33" s="396">
        <f>SUM(M33:M42)</f>
        <v>9.120000000000001</v>
      </c>
      <c r="O33" s="350">
        <v>0</v>
      </c>
      <c r="P33">
        <f t="shared" si="13"/>
        <v>0</v>
      </c>
      <c r="Q33">
        <f t="shared" si="11"/>
        <v>0</v>
      </c>
    </row>
    <row r="34" spans="1:17">
      <c r="A34" s="388"/>
      <c r="B34" s="391"/>
      <c r="C34" s="69" t="s">
        <v>84</v>
      </c>
      <c r="D34" s="70">
        <v>21</v>
      </c>
      <c r="E34" s="146">
        <v>0</v>
      </c>
      <c r="F34" s="70" t="str">
        <f>IFERROR(VLOOKUP(C34,MATERIAUX!$C$3:$G$1002,3,FALSE),"")</f>
        <v>u</v>
      </c>
      <c r="G34" s="71">
        <f>IFERROR(VLOOKUP(C34,MATERIAUX!$C$3:$G$1002,5,FALSE),"")</f>
        <v>3.9175257731958769E-2</v>
      </c>
      <c r="H34" s="71">
        <f t="shared" ref="H34:H97" si="15">IFERROR(ROUND(G34*(1+E34)*D34,2),"")</f>
        <v>0.82</v>
      </c>
      <c r="I34" s="394"/>
      <c r="J34" s="72" t="s">
        <v>438</v>
      </c>
      <c r="K34" s="72">
        <f>D33*2</f>
        <v>0.108</v>
      </c>
      <c r="L34" s="72">
        <f>IFERROR(VLOOKUP(J34,'MAIN D OEUVRE'!$A$4:$B$99,2,FALSE)*$N$2,"")</f>
        <v>19.25</v>
      </c>
      <c r="M34" s="73">
        <f t="shared" si="14"/>
        <v>2.08</v>
      </c>
      <c r="N34" s="397"/>
      <c r="O34">
        <f>O33</f>
        <v>0</v>
      </c>
      <c r="P34">
        <f t="shared" si="13"/>
        <v>0</v>
      </c>
      <c r="Q34">
        <f t="shared" si="11"/>
        <v>0</v>
      </c>
    </row>
    <row r="35" spans="1:17">
      <c r="A35" s="388"/>
      <c r="B35" s="391"/>
      <c r="C35" s="287" t="s">
        <v>263</v>
      </c>
      <c r="D35" s="288">
        <v>1.06</v>
      </c>
      <c r="E35" s="146">
        <v>0.02</v>
      </c>
      <c r="F35" s="70" t="str">
        <f>IFERROR(VLOOKUP(C35,MATERIAUX!$C$3:$G$1002,3,FALSE),"")</f>
        <v>m2</v>
      </c>
      <c r="G35" s="71">
        <f>IFERROR(VLOOKUP(C35,MATERIAUX!$C$3:$G$1002,5,FALSE),"")</f>
        <v>7.315463917525773</v>
      </c>
      <c r="H35" s="71">
        <f>IFERROR(ROUND(G35*(1+E35)*D35,2)*D33,"")</f>
        <v>0.42714000000000002</v>
      </c>
      <c r="I35" s="394"/>
      <c r="J35" s="72"/>
      <c r="K35" s="72"/>
      <c r="L35" s="72" t="str">
        <f>IFERROR(VLOOKUP(J35,'MAIN D OEUVRE'!$A$4:$B$99,2,FALSE)*$N$2,"")</f>
        <v/>
      </c>
      <c r="M35" s="73" t="str">
        <f t="shared" si="14"/>
        <v/>
      </c>
      <c r="N35" s="397"/>
      <c r="O35" s="351">
        <f t="shared" ref="O35" si="16">O34</f>
        <v>0</v>
      </c>
      <c r="P35" s="351">
        <f>O35*D35*(D32+D33)*1.02</f>
        <v>0</v>
      </c>
      <c r="Q35" s="351">
        <f t="shared" si="11"/>
        <v>0</v>
      </c>
    </row>
    <row r="36" spans="1:17">
      <c r="A36" s="388"/>
      <c r="B36" s="391"/>
      <c r="C36" s="69"/>
      <c r="D36" s="70"/>
      <c r="E36" s="146"/>
      <c r="F36" s="70" t="str">
        <f>IFERROR(VLOOKUP(C36,MATERIAUX!$C$3:$G$1002,3,FALSE),"")</f>
        <v/>
      </c>
      <c r="G36" s="71" t="str">
        <f>IFERROR(VLOOKUP(C36,MATERIAUX!$C$3:$G$1002,5,FALSE),"")</f>
        <v/>
      </c>
      <c r="H36" s="71" t="str">
        <f t="shared" si="15"/>
        <v/>
      </c>
      <c r="I36" s="394"/>
      <c r="J36" s="72"/>
      <c r="K36" s="72"/>
      <c r="L36" s="72" t="str">
        <f>IFERROR(VLOOKUP(J36,'MAIN D OEUVRE'!$A$4:$B$99,2,FALSE)*$N$2,"")</f>
        <v/>
      </c>
      <c r="M36" s="73" t="str">
        <f t="shared" si="14"/>
        <v/>
      </c>
      <c r="N36" s="397"/>
      <c r="O36">
        <f t="shared" ref="O36:O42" si="17">O35</f>
        <v>0</v>
      </c>
      <c r="P36">
        <f t="shared" ref="P36" si="18">(D36+D36*E36)*O36</f>
        <v>0</v>
      </c>
      <c r="Q36">
        <f t="shared" ref="Q36" si="19">IF(P36=0,0,P36*G36)</f>
        <v>0</v>
      </c>
    </row>
    <row r="37" spans="1:17">
      <c r="A37" s="388"/>
      <c r="B37" s="391"/>
      <c r="C37" s="69"/>
      <c r="D37" s="70"/>
      <c r="E37" s="146"/>
      <c r="F37" s="70" t="str">
        <f>IFERROR(VLOOKUP(C37,MATERIAUX!$C$3:$G$1002,3,FALSE),"")</f>
        <v/>
      </c>
      <c r="G37" s="71" t="str">
        <f>IFERROR(VLOOKUP(C37,MATERIAUX!$C$3:$G$1002,5,FALSE),"")</f>
        <v/>
      </c>
      <c r="H37" s="71" t="str">
        <f t="shared" si="15"/>
        <v/>
      </c>
      <c r="I37" s="394"/>
      <c r="J37" s="72"/>
      <c r="K37" s="72"/>
      <c r="L37" s="72" t="str">
        <f>IFERROR(VLOOKUP(J37,'MAIN D OEUVRE'!$A$4:$B$99,2,FALSE)*$N$2,"")</f>
        <v/>
      </c>
      <c r="M37" s="73" t="str">
        <f t="shared" si="14"/>
        <v/>
      </c>
      <c r="N37" s="397"/>
      <c r="O37">
        <f t="shared" si="17"/>
        <v>0</v>
      </c>
      <c r="P37">
        <f t="shared" ref="P37:P44" si="20">(D37+D37*E37)*O37</f>
        <v>0</v>
      </c>
      <c r="Q37">
        <f t="shared" si="11"/>
        <v>0</v>
      </c>
    </row>
    <row r="38" spans="1:17">
      <c r="A38" s="388"/>
      <c r="B38" s="391"/>
      <c r="C38" s="69"/>
      <c r="D38" s="70"/>
      <c r="E38" s="146"/>
      <c r="F38" s="70" t="str">
        <f>IFERROR(VLOOKUP(C38,MATERIAUX!$C$3:$G$1002,3,FALSE),"")</f>
        <v/>
      </c>
      <c r="G38" s="71" t="str">
        <f>IFERROR(VLOOKUP(C38,MATERIAUX!$C$3:$G$1002,5,FALSE),"")</f>
        <v/>
      </c>
      <c r="H38" s="71" t="str">
        <f t="shared" si="15"/>
        <v/>
      </c>
      <c r="I38" s="394"/>
      <c r="J38" s="72"/>
      <c r="K38" s="72"/>
      <c r="L38" s="72" t="str">
        <f>IFERROR(VLOOKUP(J38,'MAIN D OEUVRE'!$A$4:$B$99,2,FALSE)*$N$2,"")</f>
        <v/>
      </c>
      <c r="M38" s="73" t="str">
        <f t="shared" si="14"/>
        <v/>
      </c>
      <c r="N38" s="397"/>
      <c r="O38">
        <f t="shared" si="17"/>
        <v>0</v>
      </c>
      <c r="P38">
        <f t="shared" si="20"/>
        <v>0</v>
      </c>
      <c r="Q38">
        <f t="shared" si="11"/>
        <v>0</v>
      </c>
    </row>
    <row r="39" spans="1:17">
      <c r="A39" s="388"/>
      <c r="B39" s="391"/>
      <c r="C39" s="69"/>
      <c r="D39" s="70"/>
      <c r="E39" s="146"/>
      <c r="F39" s="70" t="str">
        <f>IFERROR(VLOOKUP(C39,MATERIAUX!$C$3:$G$1002,3,FALSE),"")</f>
        <v/>
      </c>
      <c r="G39" s="71" t="str">
        <f>IFERROR(VLOOKUP(C39,MATERIAUX!$C$3:$G$1002,5,FALSE),"")</f>
        <v/>
      </c>
      <c r="H39" s="71" t="str">
        <f t="shared" si="15"/>
        <v/>
      </c>
      <c r="I39" s="394"/>
      <c r="J39" s="72"/>
      <c r="K39" s="72"/>
      <c r="L39" s="72" t="str">
        <f>IFERROR(VLOOKUP(J39,'MAIN D OEUVRE'!$A$4:$B$99,2,FALSE)*$N$2,"")</f>
        <v/>
      </c>
      <c r="M39" s="73" t="str">
        <f t="shared" si="14"/>
        <v/>
      </c>
      <c r="N39" s="397"/>
      <c r="O39">
        <f t="shared" si="17"/>
        <v>0</v>
      </c>
      <c r="P39">
        <f t="shared" si="20"/>
        <v>0</v>
      </c>
      <c r="Q39">
        <f t="shared" si="11"/>
        <v>0</v>
      </c>
    </row>
    <row r="40" spans="1:17">
      <c r="A40" s="388"/>
      <c r="B40" s="391"/>
      <c r="C40" s="69"/>
      <c r="D40" s="70"/>
      <c r="E40" s="146"/>
      <c r="F40" s="70" t="str">
        <f>IFERROR(VLOOKUP(C40,MATERIAUX!$C$3:$G$1002,3,FALSE),"")</f>
        <v/>
      </c>
      <c r="G40" s="71" t="str">
        <f>IFERROR(VLOOKUP(C40,MATERIAUX!$C$3:$G$1002,5,FALSE),"")</f>
        <v/>
      </c>
      <c r="H40" s="71" t="str">
        <f t="shared" si="15"/>
        <v/>
      </c>
      <c r="I40" s="394"/>
      <c r="J40" s="72"/>
      <c r="K40" s="72"/>
      <c r="L40" s="72" t="str">
        <f>IFERROR(VLOOKUP(J40,'MAIN D OEUVRE'!$A$4:$B$99,2,FALSE)*$N$2,"")</f>
        <v/>
      </c>
      <c r="M40" s="73" t="str">
        <f t="shared" si="14"/>
        <v/>
      </c>
      <c r="N40" s="397"/>
      <c r="O40">
        <f t="shared" si="17"/>
        <v>0</v>
      </c>
      <c r="P40">
        <f t="shared" si="20"/>
        <v>0</v>
      </c>
      <c r="Q40">
        <f t="shared" si="11"/>
        <v>0</v>
      </c>
    </row>
    <row r="41" spans="1:17">
      <c r="A41" s="388"/>
      <c r="B41" s="391"/>
      <c r="C41" s="69"/>
      <c r="D41" s="70"/>
      <c r="E41" s="146"/>
      <c r="F41" s="70" t="str">
        <f>IFERROR(VLOOKUP(C41,MATERIAUX!$C$3:$G$1002,3,FALSE),"")</f>
        <v/>
      </c>
      <c r="G41" s="71" t="str">
        <f>IFERROR(VLOOKUP(C41,MATERIAUX!$C$3:$G$1002,5,FALSE),"")</f>
        <v/>
      </c>
      <c r="H41" s="71" t="str">
        <f t="shared" si="15"/>
        <v/>
      </c>
      <c r="I41" s="394"/>
      <c r="J41" s="72"/>
      <c r="K41" s="72"/>
      <c r="L41" s="72"/>
      <c r="M41" s="73"/>
      <c r="N41" s="397"/>
      <c r="O41">
        <f t="shared" si="17"/>
        <v>0</v>
      </c>
      <c r="P41">
        <f t="shared" si="20"/>
        <v>0</v>
      </c>
      <c r="Q41">
        <f t="shared" si="11"/>
        <v>0</v>
      </c>
    </row>
    <row r="42" spans="1:17" ht="15" thickBot="1">
      <c r="A42" s="389"/>
      <c r="B42" s="392"/>
      <c r="C42" s="74"/>
      <c r="D42" s="75"/>
      <c r="E42" s="147"/>
      <c r="F42" s="70" t="str">
        <f>IFERROR(VLOOKUP(C42,MATERIAUX!$C$3:$G$1002,3,FALSE),"")</f>
        <v/>
      </c>
      <c r="G42" s="71" t="str">
        <f>IFERROR(VLOOKUP(C42,MATERIAUX!$C$3:$G$1002,5,FALSE),"")</f>
        <v/>
      </c>
      <c r="H42" s="76" t="str">
        <f t="shared" si="15"/>
        <v/>
      </c>
      <c r="I42" s="395"/>
      <c r="J42" s="77"/>
      <c r="K42" s="77"/>
      <c r="L42" s="77"/>
      <c r="M42" s="78"/>
      <c r="N42" s="398"/>
      <c r="O42">
        <f t="shared" si="17"/>
        <v>0</v>
      </c>
      <c r="P42">
        <f t="shared" si="20"/>
        <v>0</v>
      </c>
      <c r="Q42">
        <f t="shared" si="11"/>
        <v>0</v>
      </c>
    </row>
    <row r="43" spans="1:17">
      <c r="A43" s="387" t="s">
        <v>200</v>
      </c>
      <c r="B43" s="390" t="s">
        <v>21</v>
      </c>
      <c r="C43" s="69" t="s">
        <v>95</v>
      </c>
      <c r="D43" s="65">
        <f>ROUND(4.5*0.24*0.045,4)</f>
        <v>4.8599999999999997E-2</v>
      </c>
      <c r="E43" s="145">
        <v>0.1</v>
      </c>
      <c r="F43" s="65" t="str">
        <f>IFERROR(VLOOKUP(C43,MATERIAUX!$C$3:$G$1002,3,FALSE),"")</f>
        <v>m3</v>
      </c>
      <c r="G43" s="66">
        <f>IFERROR(VLOOKUP(C43,MATERIAUX!$C$3:$G$1002,5,FALSE),"")</f>
        <v>483.50515463917532</v>
      </c>
      <c r="H43" s="66">
        <f t="shared" si="15"/>
        <v>25.85</v>
      </c>
      <c r="I43" s="393">
        <f>SUM(H43:H52)</f>
        <v>27.054426000000003</v>
      </c>
      <c r="J43" s="67" t="s">
        <v>193</v>
      </c>
      <c r="K43" s="67">
        <f>ROUNDUP(2-0.313/0.625,2)</f>
        <v>1.5</v>
      </c>
      <c r="L43" s="67">
        <f>IFERROR(VLOOKUP(J43,'MAIN D OEUVRE'!$A$4:$B$99,2,FALSE)*$N$2,"")</f>
        <v>4.4000000000000004</v>
      </c>
      <c r="M43" s="68">
        <f t="shared" ref="M43:M50" si="21">IFERROR(ROUND(L43*K43,2),"")</f>
        <v>6.6</v>
      </c>
      <c r="N43" s="396">
        <f>SUM(M43:M52)</f>
        <v>8.4699999999999989</v>
      </c>
      <c r="O43" s="350">
        <v>0</v>
      </c>
      <c r="P43">
        <f t="shared" si="20"/>
        <v>0</v>
      </c>
      <c r="Q43">
        <f t="shared" si="11"/>
        <v>0</v>
      </c>
    </row>
    <row r="44" spans="1:17">
      <c r="A44" s="388"/>
      <c r="B44" s="391"/>
      <c r="C44" s="69" t="s">
        <v>84</v>
      </c>
      <c r="D44" s="70">
        <v>21</v>
      </c>
      <c r="E44" s="146">
        <v>0</v>
      </c>
      <c r="F44" s="70" t="str">
        <f>IFERROR(VLOOKUP(C44,MATERIAUX!$C$3:$G$1002,3,FALSE),"")</f>
        <v>u</v>
      </c>
      <c r="G44" s="71">
        <f>IFERROR(VLOOKUP(C44,MATERIAUX!$C$3:$G$1002,5,FALSE),"")</f>
        <v>3.9175257731958769E-2</v>
      </c>
      <c r="H44" s="71">
        <f t="shared" si="15"/>
        <v>0.82</v>
      </c>
      <c r="I44" s="394"/>
      <c r="J44" s="72" t="s">
        <v>438</v>
      </c>
      <c r="K44" s="72">
        <f>D43*2</f>
        <v>9.7199999999999995E-2</v>
      </c>
      <c r="L44" s="72">
        <f>IFERROR(VLOOKUP(J44,'MAIN D OEUVRE'!$A$4:$B$99,2,FALSE)*$N$2,"")</f>
        <v>19.25</v>
      </c>
      <c r="M44" s="73">
        <f t="shared" si="21"/>
        <v>1.87</v>
      </c>
      <c r="N44" s="397"/>
      <c r="O44">
        <f>O43</f>
        <v>0</v>
      </c>
      <c r="P44">
        <f t="shared" si="20"/>
        <v>0</v>
      </c>
      <c r="Q44">
        <f t="shared" si="11"/>
        <v>0</v>
      </c>
    </row>
    <row r="45" spans="1:17">
      <c r="A45" s="388"/>
      <c r="B45" s="391"/>
      <c r="C45" s="287" t="s">
        <v>263</v>
      </c>
      <c r="D45" s="288">
        <v>1.06</v>
      </c>
      <c r="E45" s="146">
        <v>0.02</v>
      </c>
      <c r="F45" s="70" t="str">
        <f>IFERROR(VLOOKUP(C45,MATERIAUX!$C$3:$G$1002,3,FALSE),"")</f>
        <v>m2</v>
      </c>
      <c r="G45" s="71">
        <f>IFERROR(VLOOKUP(C45,MATERIAUX!$C$3:$G$1002,5,FALSE),"")</f>
        <v>7.315463917525773</v>
      </c>
      <c r="H45" s="71">
        <f>IFERROR(ROUND(G45*(1+E45)*D45,2)*D43,"")</f>
        <v>0.38442599999999999</v>
      </c>
      <c r="I45" s="394"/>
      <c r="J45" s="72"/>
      <c r="K45" s="72"/>
      <c r="L45" s="72" t="str">
        <f>IFERROR(VLOOKUP(J45,'MAIN D OEUVRE'!$A$4:$B$99,2,FALSE)*$N$2,"")</f>
        <v/>
      </c>
      <c r="M45" s="73" t="str">
        <f t="shared" si="21"/>
        <v/>
      </c>
      <c r="N45" s="397"/>
      <c r="O45" s="351">
        <f t="shared" ref="O45" si="22">O44</f>
        <v>0</v>
      </c>
      <c r="P45" s="351">
        <f>O45*D45*(D42+D43)*1.02</f>
        <v>0</v>
      </c>
      <c r="Q45" s="351">
        <f t="shared" si="11"/>
        <v>0</v>
      </c>
    </row>
    <row r="46" spans="1:17">
      <c r="A46" s="388"/>
      <c r="B46" s="391"/>
      <c r="C46" s="69"/>
      <c r="D46" s="70"/>
      <c r="E46" s="146"/>
      <c r="F46" s="70" t="str">
        <f>IFERROR(VLOOKUP(C46,MATERIAUX!$C$3:$G$1002,3,FALSE),"")</f>
        <v/>
      </c>
      <c r="G46" s="71" t="str">
        <f>IFERROR(VLOOKUP(C46,MATERIAUX!$C$3:$G$1002,5,FALSE),"")</f>
        <v/>
      </c>
      <c r="H46" s="71" t="str">
        <f t="shared" si="15"/>
        <v/>
      </c>
      <c r="I46" s="394"/>
      <c r="J46" s="72"/>
      <c r="K46" s="72"/>
      <c r="L46" s="72" t="str">
        <f>IFERROR(VLOOKUP(J46,'MAIN D OEUVRE'!$A$4:$B$99,2,FALSE)*$N$2,"")</f>
        <v/>
      </c>
      <c r="M46" s="73" t="str">
        <f t="shared" si="21"/>
        <v/>
      </c>
      <c r="N46" s="397"/>
      <c r="O46">
        <f t="shared" ref="O46:O52" si="23">O45</f>
        <v>0</v>
      </c>
      <c r="P46">
        <f t="shared" ref="P46" si="24">(D46+D46*E46)*O46</f>
        <v>0</v>
      </c>
      <c r="Q46">
        <f t="shared" ref="Q46" si="25">IF(P46=0,0,P46*G46)</f>
        <v>0</v>
      </c>
    </row>
    <row r="47" spans="1:17">
      <c r="A47" s="388"/>
      <c r="B47" s="391"/>
      <c r="C47" s="69"/>
      <c r="D47" s="70"/>
      <c r="E47" s="146"/>
      <c r="F47" s="70" t="str">
        <f>IFERROR(VLOOKUP(C47,MATERIAUX!$C$3:$G$1002,3,FALSE),"")</f>
        <v/>
      </c>
      <c r="G47" s="71" t="str">
        <f>IFERROR(VLOOKUP(C47,MATERIAUX!$C$3:$G$1002,5,FALSE),"")</f>
        <v/>
      </c>
      <c r="H47" s="71" t="str">
        <f t="shared" si="15"/>
        <v/>
      </c>
      <c r="I47" s="394"/>
      <c r="J47" s="72"/>
      <c r="K47" s="72"/>
      <c r="L47" s="72" t="str">
        <f>IFERROR(VLOOKUP(J47,'MAIN D OEUVRE'!$A$4:$B$99,2,FALSE)*$N$2,"")</f>
        <v/>
      </c>
      <c r="M47" s="73" t="str">
        <f t="shared" si="21"/>
        <v/>
      </c>
      <c r="N47" s="397"/>
      <c r="O47">
        <f t="shared" si="23"/>
        <v>0</v>
      </c>
      <c r="P47">
        <f t="shared" ref="P47:P54" si="26">(D47+D47*E47)*O47</f>
        <v>0</v>
      </c>
      <c r="Q47">
        <f t="shared" si="11"/>
        <v>0</v>
      </c>
    </row>
    <row r="48" spans="1:17">
      <c r="A48" s="388"/>
      <c r="B48" s="391"/>
      <c r="C48" s="69"/>
      <c r="D48" s="70"/>
      <c r="E48" s="146"/>
      <c r="F48" s="70" t="str">
        <f>IFERROR(VLOOKUP(C48,MATERIAUX!$C$3:$G$1002,3,FALSE),"")</f>
        <v/>
      </c>
      <c r="G48" s="71" t="str">
        <f>IFERROR(VLOOKUP(C48,MATERIAUX!$C$3:$G$1002,5,FALSE),"")</f>
        <v/>
      </c>
      <c r="H48" s="71" t="str">
        <f t="shared" si="15"/>
        <v/>
      </c>
      <c r="I48" s="394"/>
      <c r="J48" s="72"/>
      <c r="K48" s="72"/>
      <c r="L48" s="72" t="str">
        <f>IFERROR(VLOOKUP(J48,'MAIN D OEUVRE'!$A$4:$B$99,2,FALSE)*$N$2,"")</f>
        <v/>
      </c>
      <c r="M48" s="73" t="str">
        <f t="shared" si="21"/>
        <v/>
      </c>
      <c r="N48" s="397"/>
      <c r="O48">
        <f t="shared" si="23"/>
        <v>0</v>
      </c>
      <c r="P48">
        <f t="shared" si="26"/>
        <v>0</v>
      </c>
      <c r="Q48">
        <f t="shared" si="11"/>
        <v>0</v>
      </c>
    </row>
    <row r="49" spans="1:17">
      <c r="A49" s="388"/>
      <c r="B49" s="391"/>
      <c r="C49" s="69"/>
      <c r="D49" s="70"/>
      <c r="E49" s="146"/>
      <c r="F49" s="70" t="str">
        <f>IFERROR(VLOOKUP(C49,MATERIAUX!$C$3:$G$1002,3,FALSE),"")</f>
        <v/>
      </c>
      <c r="G49" s="71" t="str">
        <f>IFERROR(VLOOKUP(C49,MATERIAUX!$C$3:$G$1002,5,FALSE),"")</f>
        <v/>
      </c>
      <c r="H49" s="71" t="str">
        <f t="shared" si="15"/>
        <v/>
      </c>
      <c r="I49" s="394"/>
      <c r="J49" s="72"/>
      <c r="K49" s="72"/>
      <c r="L49" s="72" t="str">
        <f>IFERROR(VLOOKUP(J49,'MAIN D OEUVRE'!$A$4:$B$99,2,FALSE)*$N$2,"")</f>
        <v/>
      </c>
      <c r="M49" s="73" t="str">
        <f t="shared" si="21"/>
        <v/>
      </c>
      <c r="N49" s="397"/>
      <c r="O49">
        <f t="shared" si="23"/>
        <v>0</v>
      </c>
      <c r="P49">
        <f t="shared" si="26"/>
        <v>0</v>
      </c>
      <c r="Q49">
        <f t="shared" si="11"/>
        <v>0</v>
      </c>
    </row>
    <row r="50" spans="1:17">
      <c r="A50" s="388"/>
      <c r="B50" s="391"/>
      <c r="C50" s="69"/>
      <c r="D50" s="70"/>
      <c r="E50" s="146"/>
      <c r="F50" s="70" t="str">
        <f>IFERROR(VLOOKUP(C50,MATERIAUX!$C$3:$G$1002,3,FALSE),"")</f>
        <v/>
      </c>
      <c r="G50" s="71" t="str">
        <f>IFERROR(VLOOKUP(C50,MATERIAUX!$C$3:$G$1002,5,FALSE),"")</f>
        <v/>
      </c>
      <c r="H50" s="71" t="str">
        <f t="shared" si="15"/>
        <v/>
      </c>
      <c r="I50" s="394"/>
      <c r="J50" s="72"/>
      <c r="K50" s="72"/>
      <c r="L50" s="72" t="str">
        <f>IFERROR(VLOOKUP(J50,'MAIN D OEUVRE'!$A$4:$B$99,2,FALSE)*$N$2,"")</f>
        <v/>
      </c>
      <c r="M50" s="73" t="str">
        <f t="shared" si="21"/>
        <v/>
      </c>
      <c r="N50" s="397"/>
      <c r="O50">
        <f t="shared" si="23"/>
        <v>0</v>
      </c>
      <c r="P50">
        <f t="shared" si="26"/>
        <v>0</v>
      </c>
      <c r="Q50">
        <f t="shared" si="11"/>
        <v>0</v>
      </c>
    </row>
    <row r="51" spans="1:17">
      <c r="A51" s="388"/>
      <c r="B51" s="391"/>
      <c r="C51" s="69"/>
      <c r="D51" s="70"/>
      <c r="E51" s="146"/>
      <c r="F51" s="70" t="str">
        <f>IFERROR(VLOOKUP(C51,MATERIAUX!$C$3:$G$1002,3,FALSE),"")</f>
        <v/>
      </c>
      <c r="G51" s="71" t="str">
        <f>IFERROR(VLOOKUP(C51,MATERIAUX!$C$3:$G$1002,5,FALSE),"")</f>
        <v/>
      </c>
      <c r="H51" s="71" t="str">
        <f t="shared" si="15"/>
        <v/>
      </c>
      <c r="I51" s="394"/>
      <c r="J51" s="72"/>
      <c r="K51" s="72"/>
      <c r="L51" s="72"/>
      <c r="M51" s="73"/>
      <c r="N51" s="397"/>
      <c r="O51">
        <f t="shared" si="23"/>
        <v>0</v>
      </c>
      <c r="P51">
        <f t="shared" si="26"/>
        <v>0</v>
      </c>
      <c r="Q51">
        <f t="shared" si="11"/>
        <v>0</v>
      </c>
    </row>
    <row r="52" spans="1:17" ht="15" thickBot="1">
      <c r="A52" s="389"/>
      <c r="B52" s="392"/>
      <c r="C52" s="74"/>
      <c r="D52" s="75"/>
      <c r="E52" s="147"/>
      <c r="F52" s="70" t="str">
        <f>IFERROR(VLOOKUP(C52,MATERIAUX!$C$3:$G$1002,3,FALSE),"")</f>
        <v/>
      </c>
      <c r="G52" s="71" t="str">
        <f>IFERROR(VLOOKUP(C52,MATERIAUX!$C$3:$G$1002,5,FALSE),"")</f>
        <v/>
      </c>
      <c r="H52" s="76" t="str">
        <f t="shared" si="15"/>
        <v/>
      </c>
      <c r="I52" s="395"/>
      <c r="J52" s="77"/>
      <c r="K52" s="77"/>
      <c r="L52" s="77"/>
      <c r="M52" s="78"/>
      <c r="N52" s="398"/>
      <c r="O52">
        <f t="shared" si="23"/>
        <v>0</v>
      </c>
      <c r="P52">
        <f t="shared" si="26"/>
        <v>0</v>
      </c>
      <c r="Q52">
        <f t="shared" si="11"/>
        <v>0</v>
      </c>
    </row>
    <row r="53" spans="1:17">
      <c r="A53" s="387" t="s">
        <v>201</v>
      </c>
      <c r="B53" s="390" t="s">
        <v>21</v>
      </c>
      <c r="C53" s="69" t="s">
        <v>95</v>
      </c>
      <c r="D53" s="65">
        <f>ROUND(3.5*0.24*0.045,4)</f>
        <v>3.78E-2</v>
      </c>
      <c r="E53" s="145">
        <v>0.1</v>
      </c>
      <c r="F53" s="65" t="str">
        <f>IFERROR(VLOOKUP(C53,MATERIAUX!$C$3:$G$1002,3,FALSE),"")</f>
        <v>m3</v>
      </c>
      <c r="G53" s="66">
        <f>IFERROR(VLOOKUP(C53,MATERIAUX!$C$3:$G$1002,5,FALSE),"")</f>
        <v>483.50515463917532</v>
      </c>
      <c r="H53" s="66">
        <f t="shared" si="15"/>
        <v>20.100000000000001</v>
      </c>
      <c r="I53" s="393">
        <f t="shared" ref="I53" si="27">SUM(H53:H62)</f>
        <v>21.218998000000003</v>
      </c>
      <c r="J53" s="67" t="s">
        <v>193</v>
      </c>
      <c r="K53" s="67">
        <f>ROUNDUP(2-0.416/0.625,2)</f>
        <v>1.34</v>
      </c>
      <c r="L53" s="67">
        <f>IFERROR(VLOOKUP(J53,'MAIN D OEUVRE'!$A$4:$B$99,2,FALSE)*$N$2,"")</f>
        <v>4.4000000000000004</v>
      </c>
      <c r="M53" s="68">
        <f t="shared" ref="M53:M60" si="28">IFERROR(ROUND(L53*K53,2),"")</f>
        <v>5.9</v>
      </c>
      <c r="N53" s="396">
        <f t="shared" ref="N53" si="29">SUM(M53:M62)</f>
        <v>7.36</v>
      </c>
      <c r="O53" s="350">
        <v>0</v>
      </c>
      <c r="P53">
        <f t="shared" si="26"/>
        <v>0</v>
      </c>
      <c r="Q53">
        <f t="shared" ref="Q53:Q116" si="30">IF(P53=0,0,P53*G53)</f>
        <v>0</v>
      </c>
    </row>
    <row r="54" spans="1:17">
      <c r="A54" s="388"/>
      <c r="B54" s="391"/>
      <c r="C54" s="69" t="s">
        <v>84</v>
      </c>
      <c r="D54" s="70">
        <v>21</v>
      </c>
      <c r="E54" s="146">
        <v>0</v>
      </c>
      <c r="F54" s="70" t="str">
        <f>IFERROR(VLOOKUP(C54,MATERIAUX!$C$3:$G$1002,3,FALSE),"")</f>
        <v>u</v>
      </c>
      <c r="G54" s="71">
        <f>IFERROR(VLOOKUP(C54,MATERIAUX!$C$3:$G$1002,5,FALSE),"")</f>
        <v>3.9175257731958769E-2</v>
      </c>
      <c r="H54" s="71">
        <f t="shared" si="15"/>
        <v>0.82</v>
      </c>
      <c r="I54" s="394"/>
      <c r="J54" s="72" t="s">
        <v>438</v>
      </c>
      <c r="K54" s="72">
        <f>D53*2</f>
        <v>7.5600000000000001E-2</v>
      </c>
      <c r="L54" s="72">
        <f>IFERROR(VLOOKUP(J54,'MAIN D OEUVRE'!$A$4:$B$99,2,FALSE)*$N$2,"")</f>
        <v>19.25</v>
      </c>
      <c r="M54" s="73">
        <f t="shared" si="28"/>
        <v>1.46</v>
      </c>
      <c r="N54" s="397"/>
      <c r="O54">
        <f>O53</f>
        <v>0</v>
      </c>
      <c r="P54">
        <f t="shared" si="26"/>
        <v>0</v>
      </c>
      <c r="Q54">
        <f t="shared" si="30"/>
        <v>0</v>
      </c>
    </row>
    <row r="55" spans="1:17">
      <c r="A55" s="388"/>
      <c r="B55" s="391"/>
      <c r="C55" s="287" t="s">
        <v>263</v>
      </c>
      <c r="D55" s="288">
        <v>1.06</v>
      </c>
      <c r="E55" s="146">
        <v>0.02</v>
      </c>
      <c r="F55" s="70" t="str">
        <f>IFERROR(VLOOKUP(C55,MATERIAUX!$C$3:$G$1002,3,FALSE),"")</f>
        <v>m2</v>
      </c>
      <c r="G55" s="71">
        <f>IFERROR(VLOOKUP(C55,MATERIAUX!$C$3:$G$1002,5,FALSE),"")</f>
        <v>7.315463917525773</v>
      </c>
      <c r="H55" s="71">
        <f>IFERROR(ROUND(G55*(1+E55)*D55,2)*D53,"")</f>
        <v>0.29899799999999999</v>
      </c>
      <c r="I55" s="394"/>
      <c r="J55" s="72"/>
      <c r="K55" s="72"/>
      <c r="L55" s="72" t="str">
        <f>IFERROR(VLOOKUP(J55,'MAIN D OEUVRE'!$A$4:$B$99,2,FALSE)*$N$2,"")</f>
        <v/>
      </c>
      <c r="M55" s="73" t="str">
        <f t="shared" si="28"/>
        <v/>
      </c>
      <c r="N55" s="397"/>
      <c r="O55" s="351">
        <f t="shared" ref="O55" si="31">O54</f>
        <v>0</v>
      </c>
      <c r="P55" s="351">
        <f>O55*D55*(D52+D53)*1.02</f>
        <v>0</v>
      </c>
      <c r="Q55" s="351">
        <f t="shared" si="30"/>
        <v>0</v>
      </c>
    </row>
    <row r="56" spans="1:17">
      <c r="A56" s="388"/>
      <c r="B56" s="391"/>
      <c r="C56" s="69"/>
      <c r="D56" s="70"/>
      <c r="E56" s="146"/>
      <c r="F56" s="70" t="str">
        <f>IFERROR(VLOOKUP(C56,MATERIAUX!$C$3:$G$1002,3,FALSE),"")</f>
        <v/>
      </c>
      <c r="G56" s="71" t="str">
        <f>IFERROR(VLOOKUP(C56,MATERIAUX!$C$3:$G$1002,5,FALSE),"")</f>
        <v/>
      </c>
      <c r="H56" s="71" t="str">
        <f t="shared" si="15"/>
        <v/>
      </c>
      <c r="I56" s="394"/>
      <c r="J56" s="72"/>
      <c r="K56" s="72"/>
      <c r="L56" s="72" t="str">
        <f>IFERROR(VLOOKUP(J56,'MAIN D OEUVRE'!$A$4:$B$99,2,FALSE)*$N$2,"")</f>
        <v/>
      </c>
      <c r="M56" s="73" t="str">
        <f t="shared" si="28"/>
        <v/>
      </c>
      <c r="N56" s="397"/>
      <c r="O56">
        <f t="shared" ref="O56:O62" si="32">O55</f>
        <v>0</v>
      </c>
      <c r="P56">
        <f t="shared" ref="P56" si="33">(D56+D56*E56)*O56</f>
        <v>0</v>
      </c>
      <c r="Q56">
        <f t="shared" ref="Q56" si="34">IF(P56=0,0,P56*G56)</f>
        <v>0</v>
      </c>
    </row>
    <row r="57" spans="1:17">
      <c r="A57" s="388"/>
      <c r="B57" s="391"/>
      <c r="C57" s="69"/>
      <c r="D57" s="70"/>
      <c r="E57" s="146"/>
      <c r="F57" s="70" t="str">
        <f>IFERROR(VLOOKUP(C57,MATERIAUX!$C$3:$G$1002,3,FALSE),"")</f>
        <v/>
      </c>
      <c r="G57" s="71" t="str">
        <f>IFERROR(VLOOKUP(C57,MATERIAUX!$C$3:$G$1002,5,FALSE),"")</f>
        <v/>
      </c>
      <c r="H57" s="71" t="str">
        <f t="shared" si="15"/>
        <v/>
      </c>
      <c r="I57" s="394"/>
      <c r="J57" s="72"/>
      <c r="K57" s="72"/>
      <c r="L57" s="72" t="str">
        <f>IFERROR(VLOOKUP(J57,'MAIN D OEUVRE'!$A$4:$B$99,2,FALSE)*$N$2,"")</f>
        <v/>
      </c>
      <c r="M57" s="73" t="str">
        <f t="shared" si="28"/>
        <v/>
      </c>
      <c r="N57" s="397"/>
      <c r="O57">
        <f t="shared" si="32"/>
        <v>0</v>
      </c>
      <c r="P57">
        <f t="shared" ref="P57:P64" si="35">(D57+D57*E57)*O57</f>
        <v>0</v>
      </c>
      <c r="Q57">
        <f t="shared" si="30"/>
        <v>0</v>
      </c>
    </row>
    <row r="58" spans="1:17">
      <c r="A58" s="388"/>
      <c r="B58" s="391"/>
      <c r="C58" s="69"/>
      <c r="D58" s="70"/>
      <c r="E58" s="146"/>
      <c r="F58" s="70" t="str">
        <f>IFERROR(VLOOKUP(C58,MATERIAUX!$C$3:$G$1002,3,FALSE),"")</f>
        <v/>
      </c>
      <c r="G58" s="71" t="str">
        <f>IFERROR(VLOOKUP(C58,MATERIAUX!$C$3:$G$1002,5,FALSE),"")</f>
        <v/>
      </c>
      <c r="H58" s="71" t="str">
        <f t="shared" si="15"/>
        <v/>
      </c>
      <c r="I58" s="394"/>
      <c r="J58" s="72"/>
      <c r="K58" s="72"/>
      <c r="L58" s="72" t="str">
        <f>IFERROR(VLOOKUP(J58,'MAIN D OEUVRE'!$A$4:$B$99,2,FALSE)*$N$2,"")</f>
        <v/>
      </c>
      <c r="M58" s="73" t="str">
        <f t="shared" si="28"/>
        <v/>
      </c>
      <c r="N58" s="397"/>
      <c r="O58">
        <f t="shared" si="32"/>
        <v>0</v>
      </c>
      <c r="P58">
        <f t="shared" si="35"/>
        <v>0</v>
      </c>
      <c r="Q58">
        <f t="shared" si="30"/>
        <v>0</v>
      </c>
    </row>
    <row r="59" spans="1:17">
      <c r="A59" s="388"/>
      <c r="B59" s="391"/>
      <c r="C59" s="69"/>
      <c r="D59" s="70"/>
      <c r="E59" s="146"/>
      <c r="F59" s="70" t="str">
        <f>IFERROR(VLOOKUP(C59,MATERIAUX!$C$3:$G$1002,3,FALSE),"")</f>
        <v/>
      </c>
      <c r="G59" s="71" t="str">
        <f>IFERROR(VLOOKUP(C59,MATERIAUX!$C$3:$G$1002,5,FALSE),"")</f>
        <v/>
      </c>
      <c r="H59" s="71" t="str">
        <f t="shared" si="15"/>
        <v/>
      </c>
      <c r="I59" s="394"/>
      <c r="J59" s="72"/>
      <c r="K59" s="72"/>
      <c r="L59" s="72" t="str">
        <f>IFERROR(VLOOKUP(J59,'MAIN D OEUVRE'!$A$4:$B$99,2,FALSE)*$N$2,"")</f>
        <v/>
      </c>
      <c r="M59" s="73" t="str">
        <f t="shared" si="28"/>
        <v/>
      </c>
      <c r="N59" s="397"/>
      <c r="O59">
        <f t="shared" si="32"/>
        <v>0</v>
      </c>
      <c r="P59">
        <f t="shared" si="35"/>
        <v>0</v>
      </c>
      <c r="Q59">
        <f t="shared" si="30"/>
        <v>0</v>
      </c>
    </row>
    <row r="60" spans="1:17">
      <c r="A60" s="388"/>
      <c r="B60" s="391"/>
      <c r="C60" s="69"/>
      <c r="D60" s="70"/>
      <c r="E60" s="146"/>
      <c r="F60" s="70" t="str">
        <f>IFERROR(VLOOKUP(C60,MATERIAUX!$C$3:$G$1002,3,FALSE),"")</f>
        <v/>
      </c>
      <c r="G60" s="71" t="str">
        <f>IFERROR(VLOOKUP(C60,MATERIAUX!$C$3:$G$1002,5,FALSE),"")</f>
        <v/>
      </c>
      <c r="H60" s="71" t="str">
        <f t="shared" si="15"/>
        <v/>
      </c>
      <c r="I60" s="394"/>
      <c r="J60" s="72"/>
      <c r="K60" s="72"/>
      <c r="L60" s="72" t="str">
        <f>IFERROR(VLOOKUP(J60,'MAIN D OEUVRE'!$A$4:$B$99,2,FALSE)*$N$2,"")</f>
        <v/>
      </c>
      <c r="M60" s="73" t="str">
        <f t="shared" si="28"/>
        <v/>
      </c>
      <c r="N60" s="397"/>
      <c r="O60">
        <f t="shared" si="32"/>
        <v>0</v>
      </c>
      <c r="P60">
        <f t="shared" si="35"/>
        <v>0</v>
      </c>
      <c r="Q60">
        <f t="shared" si="30"/>
        <v>0</v>
      </c>
    </row>
    <row r="61" spans="1:17">
      <c r="A61" s="388"/>
      <c r="B61" s="391"/>
      <c r="C61" s="69"/>
      <c r="D61" s="70"/>
      <c r="E61" s="146"/>
      <c r="F61" s="70" t="str">
        <f>IFERROR(VLOOKUP(C61,MATERIAUX!$C$3:$G$1002,3,FALSE),"")</f>
        <v/>
      </c>
      <c r="G61" s="71" t="str">
        <f>IFERROR(VLOOKUP(C61,MATERIAUX!$C$3:$G$1002,5,FALSE),"")</f>
        <v/>
      </c>
      <c r="H61" s="71" t="str">
        <f t="shared" si="15"/>
        <v/>
      </c>
      <c r="I61" s="394"/>
      <c r="J61" s="72"/>
      <c r="K61" s="72"/>
      <c r="L61" s="72"/>
      <c r="M61" s="73"/>
      <c r="N61" s="397"/>
      <c r="O61">
        <f t="shared" si="32"/>
        <v>0</v>
      </c>
      <c r="P61">
        <f t="shared" si="35"/>
        <v>0</v>
      </c>
      <c r="Q61">
        <f t="shared" si="30"/>
        <v>0</v>
      </c>
    </row>
    <row r="62" spans="1:17" ht="15" thickBot="1">
      <c r="A62" s="389"/>
      <c r="B62" s="392"/>
      <c r="C62" s="74"/>
      <c r="D62" s="75"/>
      <c r="E62" s="147"/>
      <c r="F62" s="70" t="str">
        <f>IFERROR(VLOOKUP(C62,MATERIAUX!$C$3:$G$1002,3,FALSE),"")</f>
        <v/>
      </c>
      <c r="G62" s="71" t="str">
        <f>IFERROR(VLOOKUP(C62,MATERIAUX!$C$3:$G$1002,5,FALSE),"")</f>
        <v/>
      </c>
      <c r="H62" s="76" t="str">
        <f t="shared" si="15"/>
        <v/>
      </c>
      <c r="I62" s="395"/>
      <c r="J62" s="77"/>
      <c r="K62" s="77"/>
      <c r="L62" s="77"/>
      <c r="M62" s="78"/>
      <c r="N62" s="398"/>
      <c r="O62">
        <f t="shared" si="32"/>
        <v>0</v>
      </c>
      <c r="P62">
        <f t="shared" si="35"/>
        <v>0</v>
      </c>
      <c r="Q62">
        <f t="shared" si="30"/>
        <v>0</v>
      </c>
    </row>
    <row r="63" spans="1:17">
      <c r="A63" s="387" t="s">
        <v>202</v>
      </c>
      <c r="B63" s="390" t="s">
        <v>21</v>
      </c>
      <c r="C63" s="64" t="s">
        <v>95</v>
      </c>
      <c r="D63" s="65">
        <f>ROUND(3*0.24*0.045,4)</f>
        <v>3.2399999999999998E-2</v>
      </c>
      <c r="E63" s="145">
        <v>0.1</v>
      </c>
      <c r="F63" s="65" t="str">
        <f>IFERROR(VLOOKUP(C63,MATERIAUX!$C$3:$G$1002,3,FALSE),"")</f>
        <v>m3</v>
      </c>
      <c r="G63" s="66">
        <f>IFERROR(VLOOKUP(C63,MATERIAUX!$C$3:$G$1002,5,FALSE),"")</f>
        <v>483.50515463917532</v>
      </c>
      <c r="H63" s="66">
        <f t="shared" si="15"/>
        <v>17.23</v>
      </c>
      <c r="I63" s="393">
        <f>SUM(H63:H72)</f>
        <v>18.306284000000002</v>
      </c>
      <c r="J63" s="67" t="s">
        <v>193</v>
      </c>
      <c r="K63" s="67">
        <f>ROUNDUP(2-0.625/0.625,2)</f>
        <v>1</v>
      </c>
      <c r="L63" s="67">
        <f>IFERROR(VLOOKUP(J63,'MAIN D OEUVRE'!$A$4:$B$99,2,FALSE)*$N$2,"")</f>
        <v>4.4000000000000004</v>
      </c>
      <c r="M63" s="68">
        <f t="shared" ref="M63:M70" si="36">IFERROR(ROUND(L63*K63,2),"")</f>
        <v>4.4000000000000004</v>
      </c>
      <c r="N63" s="396">
        <f>SUM(M63:M72)</f>
        <v>5.65</v>
      </c>
      <c r="O63" s="350">
        <v>0</v>
      </c>
      <c r="P63">
        <f t="shared" si="35"/>
        <v>0</v>
      </c>
      <c r="Q63">
        <f t="shared" si="30"/>
        <v>0</v>
      </c>
    </row>
    <row r="64" spans="1:17">
      <c r="A64" s="388"/>
      <c r="B64" s="391"/>
      <c r="C64" s="69" t="s">
        <v>84</v>
      </c>
      <c r="D64" s="70">
        <v>21</v>
      </c>
      <c r="E64" s="146">
        <v>0</v>
      </c>
      <c r="F64" s="70" t="str">
        <f>IFERROR(VLOOKUP(C64,MATERIAUX!$C$3:$G$1002,3,FALSE),"")</f>
        <v>u</v>
      </c>
      <c r="G64" s="71">
        <f>IFERROR(VLOOKUP(C64,MATERIAUX!$C$3:$G$1002,5,FALSE),"")</f>
        <v>3.9175257731958769E-2</v>
      </c>
      <c r="H64" s="71">
        <f t="shared" si="15"/>
        <v>0.82</v>
      </c>
      <c r="I64" s="394"/>
      <c r="J64" s="72" t="s">
        <v>438</v>
      </c>
      <c r="K64" s="72">
        <f>D63*2</f>
        <v>6.4799999999999996E-2</v>
      </c>
      <c r="L64" s="72">
        <f>IFERROR(VLOOKUP(J64,'MAIN D OEUVRE'!$A$4:$B$99,2,FALSE)*$N$2,"")</f>
        <v>19.25</v>
      </c>
      <c r="M64" s="73">
        <f t="shared" si="36"/>
        <v>1.25</v>
      </c>
      <c r="N64" s="397"/>
      <c r="O64">
        <f>O63</f>
        <v>0</v>
      </c>
      <c r="P64">
        <f t="shared" si="35"/>
        <v>0</v>
      </c>
      <c r="Q64">
        <f t="shared" si="30"/>
        <v>0</v>
      </c>
    </row>
    <row r="65" spans="1:17">
      <c r="A65" s="388"/>
      <c r="B65" s="391"/>
      <c r="C65" s="287" t="s">
        <v>263</v>
      </c>
      <c r="D65" s="288">
        <v>1.06</v>
      </c>
      <c r="E65" s="146">
        <v>0.02</v>
      </c>
      <c r="F65" s="70" t="str">
        <f>IFERROR(VLOOKUP(C65,MATERIAUX!$C$3:$G$1002,3,FALSE),"")</f>
        <v>m2</v>
      </c>
      <c r="G65" s="71">
        <f>IFERROR(VLOOKUP(C65,MATERIAUX!$C$3:$G$1002,5,FALSE),"")</f>
        <v>7.315463917525773</v>
      </c>
      <c r="H65" s="71">
        <f>IFERROR(ROUND(G65*(1+E65)*D65,2)*D63,"")</f>
        <v>0.25628400000000001</v>
      </c>
      <c r="I65" s="394"/>
      <c r="J65" s="72"/>
      <c r="K65" s="72"/>
      <c r="L65" s="72" t="str">
        <f>IFERROR(VLOOKUP(J65,'MAIN D OEUVRE'!$A$4:$B$99,2,FALSE)*$N$2,"")</f>
        <v/>
      </c>
      <c r="M65" s="73" t="str">
        <f t="shared" si="36"/>
        <v/>
      </c>
      <c r="N65" s="397"/>
      <c r="O65" s="351">
        <f t="shared" ref="O65" si="37">O64</f>
        <v>0</v>
      </c>
      <c r="P65" s="351">
        <f>O65*D65*(D62+D63)*1.02</f>
        <v>0</v>
      </c>
      <c r="Q65" s="351">
        <f t="shared" si="30"/>
        <v>0</v>
      </c>
    </row>
    <row r="66" spans="1:17">
      <c r="A66" s="388"/>
      <c r="B66" s="391"/>
      <c r="C66" s="69"/>
      <c r="D66" s="70"/>
      <c r="E66" s="146"/>
      <c r="F66" s="70" t="str">
        <f>IFERROR(VLOOKUP(C66,MATERIAUX!$C$3:$G$1002,3,FALSE),"")</f>
        <v/>
      </c>
      <c r="G66" s="71" t="str">
        <f>IFERROR(VLOOKUP(C66,MATERIAUX!$C$3:$G$1002,5,FALSE),"")</f>
        <v/>
      </c>
      <c r="H66" s="71" t="str">
        <f t="shared" si="15"/>
        <v/>
      </c>
      <c r="I66" s="394"/>
      <c r="J66" s="72"/>
      <c r="K66" s="72"/>
      <c r="L66" s="72" t="str">
        <f>IFERROR(VLOOKUP(J66,'MAIN D OEUVRE'!$A$4:$B$99,2,FALSE)*$N$2,"")</f>
        <v/>
      </c>
      <c r="M66" s="73" t="str">
        <f t="shared" si="36"/>
        <v/>
      </c>
      <c r="N66" s="397"/>
      <c r="O66">
        <f t="shared" ref="O66:O72" si="38">O65</f>
        <v>0</v>
      </c>
      <c r="P66">
        <f t="shared" ref="P66" si="39">(D66+D66*E66)*O66</f>
        <v>0</v>
      </c>
      <c r="Q66">
        <f t="shared" ref="Q66" si="40">IF(P66=0,0,P66*G66)</f>
        <v>0</v>
      </c>
    </row>
    <row r="67" spans="1:17">
      <c r="A67" s="388"/>
      <c r="B67" s="391"/>
      <c r="C67" s="69"/>
      <c r="D67" s="70"/>
      <c r="E67" s="146"/>
      <c r="F67" s="70" t="str">
        <f>IFERROR(VLOOKUP(C67,MATERIAUX!$C$3:$G$1002,3,FALSE),"")</f>
        <v/>
      </c>
      <c r="G67" s="71" t="str">
        <f>IFERROR(VLOOKUP(C67,MATERIAUX!$C$3:$G$1002,5,FALSE),"")</f>
        <v/>
      </c>
      <c r="H67" s="71" t="str">
        <f t="shared" si="15"/>
        <v/>
      </c>
      <c r="I67" s="394"/>
      <c r="J67" s="72"/>
      <c r="K67" s="72"/>
      <c r="L67" s="72" t="str">
        <f>IFERROR(VLOOKUP(J67,'MAIN D OEUVRE'!$A$4:$B$99,2,FALSE)*$N$2,"")</f>
        <v/>
      </c>
      <c r="M67" s="73" t="str">
        <f t="shared" si="36"/>
        <v/>
      </c>
      <c r="N67" s="397"/>
      <c r="O67">
        <f t="shared" si="38"/>
        <v>0</v>
      </c>
      <c r="P67">
        <f t="shared" ref="P67:P74" si="41">(D67+D67*E67)*O67</f>
        <v>0</v>
      </c>
      <c r="Q67">
        <f t="shared" si="30"/>
        <v>0</v>
      </c>
    </row>
    <row r="68" spans="1:17">
      <c r="A68" s="388"/>
      <c r="B68" s="391"/>
      <c r="C68" s="69"/>
      <c r="D68" s="70"/>
      <c r="E68" s="146"/>
      <c r="F68" s="70" t="str">
        <f>IFERROR(VLOOKUP(C68,MATERIAUX!$C$3:$G$1002,3,FALSE),"")</f>
        <v/>
      </c>
      <c r="G68" s="71" t="str">
        <f>IFERROR(VLOOKUP(C68,MATERIAUX!$C$3:$G$1002,5,FALSE),"")</f>
        <v/>
      </c>
      <c r="H68" s="71" t="str">
        <f t="shared" si="15"/>
        <v/>
      </c>
      <c r="I68" s="394"/>
      <c r="J68" s="72"/>
      <c r="K68" s="72"/>
      <c r="L68" s="72" t="str">
        <f>IFERROR(VLOOKUP(J68,'MAIN D OEUVRE'!$A$4:$B$99,2,FALSE)*$N$2,"")</f>
        <v/>
      </c>
      <c r="M68" s="73" t="str">
        <f t="shared" si="36"/>
        <v/>
      </c>
      <c r="N68" s="397"/>
      <c r="O68">
        <f t="shared" si="38"/>
        <v>0</v>
      </c>
      <c r="P68">
        <f t="shared" si="41"/>
        <v>0</v>
      </c>
      <c r="Q68">
        <f t="shared" si="30"/>
        <v>0</v>
      </c>
    </row>
    <row r="69" spans="1:17">
      <c r="A69" s="388"/>
      <c r="B69" s="391"/>
      <c r="C69" s="69"/>
      <c r="D69" s="70"/>
      <c r="E69" s="146"/>
      <c r="F69" s="70" t="str">
        <f>IFERROR(VLOOKUP(C69,MATERIAUX!$C$3:$G$1002,3,FALSE),"")</f>
        <v/>
      </c>
      <c r="G69" s="71" t="str">
        <f>IFERROR(VLOOKUP(C69,MATERIAUX!$C$3:$G$1002,5,FALSE),"")</f>
        <v/>
      </c>
      <c r="H69" s="71" t="str">
        <f t="shared" si="15"/>
        <v/>
      </c>
      <c r="I69" s="394"/>
      <c r="J69" s="72"/>
      <c r="K69" s="72"/>
      <c r="L69" s="72" t="str">
        <f>IFERROR(VLOOKUP(J69,'MAIN D OEUVRE'!$A$4:$B$99,2,FALSE)*$N$2,"")</f>
        <v/>
      </c>
      <c r="M69" s="73" t="str">
        <f t="shared" si="36"/>
        <v/>
      </c>
      <c r="N69" s="397"/>
      <c r="O69">
        <f t="shared" si="38"/>
        <v>0</v>
      </c>
      <c r="P69">
        <f t="shared" si="41"/>
        <v>0</v>
      </c>
      <c r="Q69">
        <f t="shared" si="30"/>
        <v>0</v>
      </c>
    </row>
    <row r="70" spans="1:17">
      <c r="A70" s="388"/>
      <c r="B70" s="391"/>
      <c r="C70" s="69"/>
      <c r="D70" s="70"/>
      <c r="E70" s="146"/>
      <c r="F70" s="70" t="str">
        <f>IFERROR(VLOOKUP(C70,MATERIAUX!$C$3:$G$1002,3,FALSE),"")</f>
        <v/>
      </c>
      <c r="G70" s="71" t="str">
        <f>IFERROR(VLOOKUP(C70,MATERIAUX!$C$3:$G$1002,5,FALSE),"")</f>
        <v/>
      </c>
      <c r="H70" s="71" t="str">
        <f t="shared" si="15"/>
        <v/>
      </c>
      <c r="I70" s="394"/>
      <c r="J70" s="72"/>
      <c r="K70" s="72"/>
      <c r="L70" s="72" t="str">
        <f>IFERROR(VLOOKUP(J70,'MAIN D OEUVRE'!$A$4:$B$99,2,FALSE)*$N$2,"")</f>
        <v/>
      </c>
      <c r="M70" s="73" t="str">
        <f t="shared" si="36"/>
        <v/>
      </c>
      <c r="N70" s="397"/>
      <c r="O70">
        <f t="shared" si="38"/>
        <v>0</v>
      </c>
      <c r="P70">
        <f t="shared" si="41"/>
        <v>0</v>
      </c>
      <c r="Q70">
        <f t="shared" si="30"/>
        <v>0</v>
      </c>
    </row>
    <row r="71" spans="1:17">
      <c r="A71" s="388"/>
      <c r="B71" s="391"/>
      <c r="C71" s="69"/>
      <c r="D71" s="70"/>
      <c r="E71" s="146"/>
      <c r="F71" s="70" t="str">
        <f>IFERROR(VLOOKUP(C71,MATERIAUX!$C$3:$G$1002,3,FALSE),"")</f>
        <v/>
      </c>
      <c r="G71" s="71" t="str">
        <f>IFERROR(VLOOKUP(C71,MATERIAUX!$C$3:$G$1002,5,FALSE),"")</f>
        <v/>
      </c>
      <c r="H71" s="71" t="str">
        <f t="shared" si="15"/>
        <v/>
      </c>
      <c r="I71" s="394"/>
      <c r="J71" s="72"/>
      <c r="K71" s="72"/>
      <c r="L71" s="72"/>
      <c r="M71" s="73"/>
      <c r="N71" s="397"/>
      <c r="O71">
        <f t="shared" si="38"/>
        <v>0</v>
      </c>
      <c r="P71">
        <f t="shared" si="41"/>
        <v>0</v>
      </c>
      <c r="Q71">
        <f t="shared" si="30"/>
        <v>0</v>
      </c>
    </row>
    <row r="72" spans="1:17" ht="15" thickBot="1">
      <c r="A72" s="389"/>
      <c r="B72" s="392"/>
      <c r="C72" s="74"/>
      <c r="D72" s="75"/>
      <c r="E72" s="147"/>
      <c r="F72" s="70" t="str">
        <f>IFERROR(VLOOKUP(C72,MATERIAUX!$C$3:$G$1002,3,FALSE),"")</f>
        <v/>
      </c>
      <c r="G72" s="71" t="str">
        <f>IFERROR(VLOOKUP(C72,MATERIAUX!$C$3:$G$1002,5,FALSE),"")</f>
        <v/>
      </c>
      <c r="H72" s="76" t="str">
        <f t="shared" si="15"/>
        <v/>
      </c>
      <c r="I72" s="395"/>
      <c r="J72" s="77"/>
      <c r="K72" s="77"/>
      <c r="L72" s="77"/>
      <c r="M72" s="78"/>
      <c r="N72" s="398"/>
      <c r="O72">
        <f t="shared" si="38"/>
        <v>0</v>
      </c>
      <c r="P72">
        <f t="shared" si="41"/>
        <v>0</v>
      </c>
      <c r="Q72">
        <f t="shared" si="30"/>
        <v>0</v>
      </c>
    </row>
    <row r="73" spans="1:17">
      <c r="A73" s="387" t="s">
        <v>203</v>
      </c>
      <c r="B73" s="390" t="s">
        <v>21</v>
      </c>
      <c r="C73" s="69" t="s">
        <v>96</v>
      </c>
      <c r="D73" s="65">
        <f>ROUND(5*0.26*0.045,4)</f>
        <v>5.8500000000000003E-2</v>
      </c>
      <c r="E73" s="145">
        <v>0.1</v>
      </c>
      <c r="F73" s="65" t="str">
        <f>IFERROR(VLOOKUP(C73,MATERIAUX!$C$3:$G$1002,3,FALSE),"")</f>
        <v>m3</v>
      </c>
      <c r="G73" s="66">
        <f>IFERROR(VLOOKUP(C73,MATERIAUX!$C$3:$G$1002,5,FALSE),"")</f>
        <v>483.50515463917532</v>
      </c>
      <c r="H73" s="66">
        <f t="shared" si="15"/>
        <v>31.11</v>
      </c>
      <c r="I73" s="393">
        <f t="shared" ref="I73" si="42">SUM(H73:H82)</f>
        <v>32.392735000000002</v>
      </c>
      <c r="J73" s="67" t="s">
        <v>193</v>
      </c>
      <c r="K73" s="67">
        <f>ROUNDUP(2-0.25/0.625,2)</f>
        <v>1.6</v>
      </c>
      <c r="L73" s="67">
        <f>IFERROR(VLOOKUP(J73,'MAIN D OEUVRE'!$A$4:$B$99,2,FALSE)*$N$2,"")</f>
        <v>4.4000000000000004</v>
      </c>
      <c r="M73" s="68">
        <f t="shared" ref="M73:M80" si="43">IFERROR(ROUND(L73*K73,2),"")</f>
        <v>7.04</v>
      </c>
      <c r="N73" s="396">
        <f t="shared" ref="N73" si="44">SUM(M73:M82)</f>
        <v>9.2899999999999991</v>
      </c>
      <c r="O73" s="350">
        <v>0</v>
      </c>
      <c r="P73">
        <f t="shared" si="41"/>
        <v>0</v>
      </c>
      <c r="Q73">
        <f t="shared" si="30"/>
        <v>0</v>
      </c>
    </row>
    <row r="74" spans="1:17">
      <c r="A74" s="388"/>
      <c r="B74" s="391"/>
      <c r="C74" s="69" t="s">
        <v>84</v>
      </c>
      <c r="D74" s="70">
        <v>21</v>
      </c>
      <c r="E74" s="146">
        <v>0</v>
      </c>
      <c r="F74" s="70" t="str">
        <f>IFERROR(VLOOKUP(C74,MATERIAUX!$C$3:$G$1002,3,FALSE),"")</f>
        <v>u</v>
      </c>
      <c r="G74" s="71">
        <f>IFERROR(VLOOKUP(C74,MATERIAUX!$C$3:$G$1002,5,FALSE),"")</f>
        <v>3.9175257731958769E-2</v>
      </c>
      <c r="H74" s="71">
        <f t="shared" si="15"/>
        <v>0.82</v>
      </c>
      <c r="I74" s="394"/>
      <c r="J74" s="72" t="s">
        <v>438</v>
      </c>
      <c r="K74" s="72">
        <f>D73*2</f>
        <v>0.11700000000000001</v>
      </c>
      <c r="L74" s="72">
        <f>IFERROR(VLOOKUP(J74,'MAIN D OEUVRE'!$A$4:$B$99,2,FALSE)*$N$2,"")</f>
        <v>19.25</v>
      </c>
      <c r="M74" s="73">
        <f t="shared" si="43"/>
        <v>2.25</v>
      </c>
      <c r="N74" s="397"/>
      <c r="O74">
        <f>O73</f>
        <v>0</v>
      </c>
      <c r="P74">
        <f t="shared" si="41"/>
        <v>0</v>
      </c>
      <c r="Q74">
        <f t="shared" si="30"/>
        <v>0</v>
      </c>
    </row>
    <row r="75" spans="1:17">
      <c r="A75" s="388"/>
      <c r="B75" s="391"/>
      <c r="C75" s="287" t="s">
        <v>263</v>
      </c>
      <c r="D75" s="288">
        <v>1.06</v>
      </c>
      <c r="E75" s="146">
        <v>0.02</v>
      </c>
      <c r="F75" s="70" t="str">
        <f>IFERROR(VLOOKUP(C75,MATERIAUX!$C$3:$G$1002,3,FALSE),"")</f>
        <v>m2</v>
      </c>
      <c r="G75" s="71">
        <f>IFERROR(VLOOKUP(C75,MATERIAUX!$C$3:$G$1002,5,FALSE),"")</f>
        <v>7.315463917525773</v>
      </c>
      <c r="H75" s="71">
        <f>IFERROR(ROUND(G75*(1+E75)*D75,2)*D73,"")</f>
        <v>0.46273500000000001</v>
      </c>
      <c r="I75" s="394"/>
      <c r="J75" s="72"/>
      <c r="K75" s="72"/>
      <c r="L75" s="72" t="str">
        <f>IFERROR(VLOOKUP(J75,'MAIN D OEUVRE'!$A$4:$B$99,2,FALSE)*$N$2,"")</f>
        <v/>
      </c>
      <c r="M75" s="73" t="str">
        <f t="shared" si="43"/>
        <v/>
      </c>
      <c r="N75" s="397"/>
      <c r="O75" s="351">
        <f t="shared" ref="O75" si="45">O74</f>
        <v>0</v>
      </c>
      <c r="P75" s="351">
        <f>O75*D75*(D72+D73)*1.02</f>
        <v>0</v>
      </c>
      <c r="Q75" s="351">
        <f t="shared" si="30"/>
        <v>0</v>
      </c>
    </row>
    <row r="76" spans="1:17">
      <c r="A76" s="388"/>
      <c r="B76" s="391"/>
      <c r="C76" s="69"/>
      <c r="D76" s="70"/>
      <c r="E76" s="146"/>
      <c r="F76" s="70" t="str">
        <f>IFERROR(VLOOKUP(C76,MATERIAUX!$C$3:$G$1002,3,FALSE),"")</f>
        <v/>
      </c>
      <c r="G76" s="71" t="str">
        <f>IFERROR(VLOOKUP(C76,MATERIAUX!$C$3:$G$1002,5,FALSE),"")</f>
        <v/>
      </c>
      <c r="H76" s="71" t="str">
        <f t="shared" si="15"/>
        <v/>
      </c>
      <c r="I76" s="394"/>
      <c r="J76" s="72"/>
      <c r="K76" s="72"/>
      <c r="L76" s="72" t="str">
        <f>IFERROR(VLOOKUP(J76,'MAIN D OEUVRE'!$A$4:$B$99,2,FALSE)*$N$2,"")</f>
        <v/>
      </c>
      <c r="M76" s="73" t="str">
        <f t="shared" si="43"/>
        <v/>
      </c>
      <c r="N76" s="397"/>
      <c r="O76">
        <f t="shared" ref="O76:O82" si="46">O75</f>
        <v>0</v>
      </c>
      <c r="P76">
        <f t="shared" ref="P76" si="47">(D76+D76*E76)*O76</f>
        <v>0</v>
      </c>
      <c r="Q76">
        <f t="shared" ref="Q76" si="48">IF(P76=0,0,P76*G76)</f>
        <v>0</v>
      </c>
    </row>
    <row r="77" spans="1:17">
      <c r="A77" s="388"/>
      <c r="B77" s="391"/>
      <c r="C77" s="69"/>
      <c r="D77" s="70"/>
      <c r="E77" s="146"/>
      <c r="F77" s="70" t="str">
        <f>IFERROR(VLOOKUP(C77,MATERIAUX!$C$3:$G$1002,3,FALSE),"")</f>
        <v/>
      </c>
      <c r="G77" s="71" t="str">
        <f>IFERROR(VLOOKUP(C77,MATERIAUX!$C$3:$G$1002,5,FALSE),"")</f>
        <v/>
      </c>
      <c r="H77" s="71" t="str">
        <f t="shared" si="15"/>
        <v/>
      </c>
      <c r="I77" s="394"/>
      <c r="J77" s="72"/>
      <c r="K77" s="72"/>
      <c r="L77" s="72" t="str">
        <f>IFERROR(VLOOKUP(J77,'MAIN D OEUVRE'!$A$4:$B$99,2,FALSE)*$N$2,"")</f>
        <v/>
      </c>
      <c r="M77" s="73" t="str">
        <f t="shared" si="43"/>
        <v/>
      </c>
      <c r="N77" s="397"/>
      <c r="O77">
        <f t="shared" si="46"/>
        <v>0</v>
      </c>
      <c r="P77">
        <f t="shared" ref="P77:P84" si="49">(D77+D77*E77)*O77</f>
        <v>0</v>
      </c>
      <c r="Q77">
        <f t="shared" si="30"/>
        <v>0</v>
      </c>
    </row>
    <row r="78" spans="1:17">
      <c r="A78" s="388"/>
      <c r="B78" s="391"/>
      <c r="C78" s="69"/>
      <c r="D78" s="70"/>
      <c r="E78" s="146"/>
      <c r="F78" s="70" t="str">
        <f>IFERROR(VLOOKUP(C78,MATERIAUX!$C$3:$G$1002,3,FALSE),"")</f>
        <v/>
      </c>
      <c r="G78" s="71" t="str">
        <f>IFERROR(VLOOKUP(C78,MATERIAUX!$C$3:$G$1002,5,FALSE),"")</f>
        <v/>
      </c>
      <c r="H78" s="71" t="str">
        <f t="shared" si="15"/>
        <v/>
      </c>
      <c r="I78" s="394"/>
      <c r="J78" s="72"/>
      <c r="K78" s="72"/>
      <c r="L78" s="72" t="str">
        <f>IFERROR(VLOOKUP(J78,'MAIN D OEUVRE'!$A$4:$B$99,2,FALSE)*$N$2,"")</f>
        <v/>
      </c>
      <c r="M78" s="73" t="str">
        <f t="shared" si="43"/>
        <v/>
      </c>
      <c r="N78" s="397"/>
      <c r="O78">
        <f t="shared" si="46"/>
        <v>0</v>
      </c>
      <c r="P78">
        <f t="shared" si="49"/>
        <v>0</v>
      </c>
      <c r="Q78">
        <f t="shared" si="30"/>
        <v>0</v>
      </c>
    </row>
    <row r="79" spans="1:17">
      <c r="A79" s="388"/>
      <c r="B79" s="391"/>
      <c r="C79" s="69"/>
      <c r="D79" s="70"/>
      <c r="E79" s="146"/>
      <c r="F79" s="70" t="str">
        <f>IFERROR(VLOOKUP(C79,MATERIAUX!$C$3:$G$1002,3,FALSE),"")</f>
        <v/>
      </c>
      <c r="G79" s="71" t="str">
        <f>IFERROR(VLOOKUP(C79,MATERIAUX!$C$3:$G$1002,5,FALSE),"")</f>
        <v/>
      </c>
      <c r="H79" s="71" t="str">
        <f t="shared" si="15"/>
        <v/>
      </c>
      <c r="I79" s="394"/>
      <c r="J79" s="72"/>
      <c r="K79" s="72"/>
      <c r="L79" s="72" t="str">
        <f>IFERROR(VLOOKUP(J79,'MAIN D OEUVRE'!$A$4:$B$99,2,FALSE)*$N$2,"")</f>
        <v/>
      </c>
      <c r="M79" s="73" t="str">
        <f t="shared" si="43"/>
        <v/>
      </c>
      <c r="N79" s="397"/>
      <c r="O79">
        <f t="shared" si="46"/>
        <v>0</v>
      </c>
      <c r="P79">
        <f t="shared" si="49"/>
        <v>0</v>
      </c>
      <c r="Q79">
        <f t="shared" si="30"/>
        <v>0</v>
      </c>
    </row>
    <row r="80" spans="1:17">
      <c r="A80" s="388"/>
      <c r="B80" s="391"/>
      <c r="C80" s="69"/>
      <c r="D80" s="70"/>
      <c r="E80" s="146"/>
      <c r="F80" s="70" t="str">
        <f>IFERROR(VLOOKUP(C80,MATERIAUX!$C$3:$G$1002,3,FALSE),"")</f>
        <v/>
      </c>
      <c r="G80" s="71" t="str">
        <f>IFERROR(VLOOKUP(C80,MATERIAUX!$C$3:$G$1002,5,FALSE),"")</f>
        <v/>
      </c>
      <c r="H80" s="71" t="str">
        <f t="shared" si="15"/>
        <v/>
      </c>
      <c r="I80" s="394"/>
      <c r="J80" s="72"/>
      <c r="K80" s="72"/>
      <c r="L80" s="72" t="str">
        <f>IFERROR(VLOOKUP(J80,'MAIN D OEUVRE'!$A$4:$B$99,2,FALSE)*$N$2,"")</f>
        <v/>
      </c>
      <c r="M80" s="73" t="str">
        <f t="shared" si="43"/>
        <v/>
      </c>
      <c r="N80" s="397"/>
      <c r="O80">
        <f t="shared" si="46"/>
        <v>0</v>
      </c>
      <c r="P80">
        <f t="shared" si="49"/>
        <v>0</v>
      </c>
      <c r="Q80">
        <f t="shared" si="30"/>
        <v>0</v>
      </c>
    </row>
    <row r="81" spans="1:17">
      <c r="A81" s="388"/>
      <c r="B81" s="391"/>
      <c r="C81" s="69"/>
      <c r="D81" s="70"/>
      <c r="E81" s="146"/>
      <c r="F81" s="70" t="str">
        <f>IFERROR(VLOOKUP(C81,MATERIAUX!$C$3:$G$1002,3,FALSE),"")</f>
        <v/>
      </c>
      <c r="G81" s="71" t="str">
        <f>IFERROR(VLOOKUP(C81,MATERIAUX!$C$3:$G$1002,5,FALSE),"")</f>
        <v/>
      </c>
      <c r="H81" s="71" t="str">
        <f t="shared" si="15"/>
        <v/>
      </c>
      <c r="I81" s="394"/>
      <c r="J81" s="72"/>
      <c r="K81" s="72"/>
      <c r="L81" s="72"/>
      <c r="M81" s="73"/>
      <c r="N81" s="397"/>
      <c r="O81">
        <f t="shared" si="46"/>
        <v>0</v>
      </c>
      <c r="P81">
        <f t="shared" si="49"/>
        <v>0</v>
      </c>
      <c r="Q81">
        <f t="shared" si="30"/>
        <v>0</v>
      </c>
    </row>
    <row r="82" spans="1:17" ht="15" thickBot="1">
      <c r="A82" s="389"/>
      <c r="B82" s="392"/>
      <c r="C82" s="74"/>
      <c r="D82" s="75"/>
      <c r="E82" s="147"/>
      <c r="F82" s="70" t="str">
        <f>IFERROR(VLOOKUP(C82,MATERIAUX!$C$3:$G$1002,3,FALSE),"")</f>
        <v/>
      </c>
      <c r="G82" s="71" t="str">
        <f>IFERROR(VLOOKUP(C82,MATERIAUX!$C$3:$G$1002,5,FALSE),"")</f>
        <v/>
      </c>
      <c r="H82" s="76" t="str">
        <f t="shared" si="15"/>
        <v/>
      </c>
      <c r="I82" s="395"/>
      <c r="J82" s="77"/>
      <c r="K82" s="77"/>
      <c r="L82" s="77"/>
      <c r="M82" s="78"/>
      <c r="N82" s="398"/>
      <c r="O82">
        <f t="shared" si="46"/>
        <v>0</v>
      </c>
      <c r="P82">
        <f t="shared" si="49"/>
        <v>0</v>
      </c>
      <c r="Q82">
        <f t="shared" si="30"/>
        <v>0</v>
      </c>
    </row>
    <row r="83" spans="1:17">
      <c r="A83" s="387" t="s">
        <v>204</v>
      </c>
      <c r="B83" s="390" t="s">
        <v>21</v>
      </c>
      <c r="C83" s="69" t="s">
        <v>96</v>
      </c>
      <c r="D83" s="280">
        <f>ROUND(5.8*0.26*0.045,4)</f>
        <v>6.7900000000000002E-2</v>
      </c>
      <c r="E83" s="145">
        <v>0.1</v>
      </c>
      <c r="F83" s="65" t="str">
        <f>IFERROR(VLOOKUP(C83,MATERIAUX!$C$3:$G$1002,3,FALSE),"")</f>
        <v>m3</v>
      </c>
      <c r="G83" s="66">
        <f>IFERROR(VLOOKUP(C83,MATERIAUX!$C$3:$G$1002,5,FALSE),"")</f>
        <v>483.50515463917532</v>
      </c>
      <c r="H83" s="66">
        <f t="shared" si="15"/>
        <v>36.11</v>
      </c>
      <c r="I83" s="393">
        <f t="shared" ref="I83" si="50">SUM(H83:H92)</f>
        <v>37.467089000000001</v>
      </c>
      <c r="J83" s="67" t="s">
        <v>193</v>
      </c>
      <c r="K83" s="67">
        <f>ROUNDUP(2-0.313/0.625,2)</f>
        <v>1.5</v>
      </c>
      <c r="L83" s="67">
        <f>IFERROR(VLOOKUP(J83,'MAIN D OEUVRE'!$A$4:$B$99,2,FALSE)*$N$2,"")</f>
        <v>4.4000000000000004</v>
      </c>
      <c r="M83" s="68">
        <f t="shared" ref="M83:M90" si="51">IFERROR(ROUND(L83*K83,2),"")</f>
        <v>6.6</v>
      </c>
      <c r="N83" s="396">
        <f t="shared" ref="N83" si="52">SUM(M83:M92)</f>
        <v>9.2099999999999991</v>
      </c>
      <c r="O83" s="350">
        <v>0</v>
      </c>
      <c r="P83">
        <f t="shared" si="49"/>
        <v>0</v>
      </c>
      <c r="Q83">
        <f t="shared" si="30"/>
        <v>0</v>
      </c>
    </row>
    <row r="84" spans="1:17">
      <c r="A84" s="388"/>
      <c r="B84" s="391"/>
      <c r="C84" s="69" t="s">
        <v>84</v>
      </c>
      <c r="D84" s="70">
        <v>21</v>
      </c>
      <c r="E84" s="146">
        <v>0</v>
      </c>
      <c r="F84" s="70" t="str">
        <f>IFERROR(VLOOKUP(C84,MATERIAUX!$C$3:$G$1002,3,FALSE),"")</f>
        <v>u</v>
      </c>
      <c r="G84" s="71">
        <f>IFERROR(VLOOKUP(C84,MATERIAUX!$C$3:$G$1002,5,FALSE),"")</f>
        <v>3.9175257731958769E-2</v>
      </c>
      <c r="H84" s="71">
        <f t="shared" si="15"/>
        <v>0.82</v>
      </c>
      <c r="I84" s="394"/>
      <c r="J84" s="72" t="s">
        <v>438</v>
      </c>
      <c r="K84" s="72">
        <f>D83*2</f>
        <v>0.1358</v>
      </c>
      <c r="L84" s="72">
        <f>IFERROR(VLOOKUP(J84,'MAIN D OEUVRE'!$A$4:$B$99,2,FALSE)*$N$2,"")</f>
        <v>19.25</v>
      </c>
      <c r="M84" s="73">
        <f t="shared" si="51"/>
        <v>2.61</v>
      </c>
      <c r="N84" s="397"/>
      <c r="O84">
        <f>O83</f>
        <v>0</v>
      </c>
      <c r="P84">
        <f t="shared" si="49"/>
        <v>0</v>
      </c>
      <c r="Q84">
        <f t="shared" si="30"/>
        <v>0</v>
      </c>
    </row>
    <row r="85" spans="1:17">
      <c r="A85" s="388"/>
      <c r="B85" s="391"/>
      <c r="C85" s="287" t="s">
        <v>263</v>
      </c>
      <c r="D85" s="288">
        <v>1.06</v>
      </c>
      <c r="E85" s="146">
        <v>0.02</v>
      </c>
      <c r="F85" s="70" t="str">
        <f>IFERROR(VLOOKUP(C85,MATERIAUX!$C$3:$G$1002,3,FALSE),"")</f>
        <v>m2</v>
      </c>
      <c r="G85" s="71">
        <f>IFERROR(VLOOKUP(C85,MATERIAUX!$C$3:$G$1002,5,FALSE),"")</f>
        <v>7.315463917525773</v>
      </c>
      <c r="H85" s="71">
        <f>IFERROR(ROUND(G85*(1+E85)*D85,2)*D83,"")</f>
        <v>0.53708900000000004</v>
      </c>
      <c r="I85" s="394"/>
      <c r="J85" s="72"/>
      <c r="K85" s="72"/>
      <c r="L85" s="72" t="str">
        <f>IFERROR(VLOOKUP(J85,'MAIN D OEUVRE'!$A$4:$B$99,2,FALSE)*$N$2,"")</f>
        <v/>
      </c>
      <c r="M85" s="73" t="str">
        <f t="shared" si="51"/>
        <v/>
      </c>
      <c r="N85" s="397"/>
      <c r="O85" s="351">
        <f t="shared" ref="O85" si="53">O84</f>
        <v>0</v>
      </c>
      <c r="P85" s="351">
        <f>O85*D85*(D82+D83)*1.02</f>
        <v>0</v>
      </c>
      <c r="Q85" s="351">
        <f t="shared" si="30"/>
        <v>0</v>
      </c>
    </row>
    <row r="86" spans="1:17">
      <c r="A86" s="388"/>
      <c r="B86" s="391"/>
      <c r="C86" s="69"/>
      <c r="D86" s="70"/>
      <c r="E86" s="146"/>
      <c r="F86" s="70" t="str">
        <f>IFERROR(VLOOKUP(C86,MATERIAUX!$C$3:$G$1002,3,FALSE),"")</f>
        <v/>
      </c>
      <c r="G86" s="71" t="str">
        <f>IFERROR(VLOOKUP(C86,MATERIAUX!$C$3:$G$1002,5,FALSE),"")</f>
        <v/>
      </c>
      <c r="H86" s="71" t="str">
        <f t="shared" si="15"/>
        <v/>
      </c>
      <c r="I86" s="394"/>
      <c r="J86" s="72"/>
      <c r="K86" s="72"/>
      <c r="L86" s="72" t="str">
        <f>IFERROR(VLOOKUP(J86,'MAIN D OEUVRE'!$A$4:$B$99,2,FALSE)*$N$2,"")</f>
        <v/>
      </c>
      <c r="M86" s="73" t="str">
        <f t="shared" si="51"/>
        <v/>
      </c>
      <c r="N86" s="397"/>
      <c r="O86">
        <f t="shared" ref="O86:O92" si="54">O85</f>
        <v>0</v>
      </c>
      <c r="P86">
        <f>(D86+D86*E86)*O86</f>
        <v>0</v>
      </c>
      <c r="Q86">
        <f t="shared" ref="Q86" si="55">IF(P86=0,0,P86*G86)</f>
        <v>0</v>
      </c>
    </row>
    <row r="87" spans="1:17">
      <c r="A87" s="388"/>
      <c r="B87" s="391"/>
      <c r="C87" s="69"/>
      <c r="D87" s="70"/>
      <c r="E87" s="146"/>
      <c r="F87" s="70" t="str">
        <f>IFERROR(VLOOKUP(C87,MATERIAUX!$C$3:$G$1002,3,FALSE),"")</f>
        <v/>
      </c>
      <c r="G87" s="71" t="str">
        <f>IFERROR(VLOOKUP(C87,MATERIAUX!$C$3:$G$1002,5,FALSE),"")</f>
        <v/>
      </c>
      <c r="H87" s="71" t="str">
        <f t="shared" si="15"/>
        <v/>
      </c>
      <c r="I87" s="394"/>
      <c r="J87" s="72"/>
      <c r="K87" s="72"/>
      <c r="L87" s="72" t="str">
        <f>IFERROR(VLOOKUP(J87,'MAIN D OEUVRE'!$A$4:$B$99,2,FALSE)*$N$2,"")</f>
        <v/>
      </c>
      <c r="M87" s="73" t="str">
        <f t="shared" si="51"/>
        <v/>
      </c>
      <c r="N87" s="397"/>
      <c r="O87">
        <f t="shared" si="54"/>
        <v>0</v>
      </c>
      <c r="P87">
        <f>(D87+D87*E87)*O87</f>
        <v>0</v>
      </c>
      <c r="Q87">
        <f t="shared" si="30"/>
        <v>0</v>
      </c>
    </row>
    <row r="88" spans="1:17">
      <c r="A88" s="388"/>
      <c r="B88" s="391"/>
      <c r="C88" s="69"/>
      <c r="D88" s="70"/>
      <c r="E88" s="146"/>
      <c r="F88" s="70" t="str">
        <f>IFERROR(VLOOKUP(C88,MATERIAUX!$C$3:$G$1002,3,FALSE),"")</f>
        <v/>
      </c>
      <c r="G88" s="71" t="str">
        <f>IFERROR(VLOOKUP(C88,MATERIAUX!$C$3:$G$1002,5,FALSE),"")</f>
        <v/>
      </c>
      <c r="H88" s="71" t="str">
        <f t="shared" si="15"/>
        <v/>
      </c>
      <c r="I88" s="394"/>
      <c r="J88" s="72"/>
      <c r="K88" s="72"/>
      <c r="L88" s="72" t="str">
        <f>IFERROR(VLOOKUP(J88,'MAIN D OEUVRE'!$A$4:$B$99,2,FALSE)*$N$2,"")</f>
        <v/>
      </c>
      <c r="M88" s="73" t="str">
        <f t="shared" si="51"/>
        <v/>
      </c>
      <c r="N88" s="397"/>
      <c r="O88">
        <f>O87</f>
        <v>0</v>
      </c>
      <c r="P88">
        <f t="shared" ref="P88:P94" si="56">(D88+D88*E88)*O88</f>
        <v>0</v>
      </c>
      <c r="Q88">
        <f t="shared" si="30"/>
        <v>0</v>
      </c>
    </row>
    <row r="89" spans="1:17">
      <c r="A89" s="388"/>
      <c r="B89" s="391"/>
      <c r="C89" s="69"/>
      <c r="D89" s="70"/>
      <c r="E89" s="146"/>
      <c r="F89" s="70" t="str">
        <f>IFERROR(VLOOKUP(C89,MATERIAUX!$C$3:$G$1002,3,FALSE),"")</f>
        <v/>
      </c>
      <c r="G89" s="71" t="str">
        <f>IFERROR(VLOOKUP(C89,MATERIAUX!$C$3:$G$1002,5,FALSE),"")</f>
        <v/>
      </c>
      <c r="H89" s="71" t="str">
        <f t="shared" si="15"/>
        <v/>
      </c>
      <c r="I89" s="394"/>
      <c r="J89" s="72"/>
      <c r="K89" s="72"/>
      <c r="L89" s="72" t="str">
        <f>IFERROR(VLOOKUP(J89,'MAIN D OEUVRE'!$A$4:$B$99,2,FALSE)*$N$2,"")</f>
        <v/>
      </c>
      <c r="M89" s="73" t="str">
        <f t="shared" si="51"/>
        <v/>
      </c>
      <c r="N89" s="397"/>
      <c r="O89">
        <f t="shared" si="54"/>
        <v>0</v>
      </c>
      <c r="P89">
        <f t="shared" si="56"/>
        <v>0</v>
      </c>
      <c r="Q89">
        <f t="shared" si="30"/>
        <v>0</v>
      </c>
    </row>
    <row r="90" spans="1:17">
      <c r="A90" s="388"/>
      <c r="B90" s="391"/>
      <c r="C90" s="69"/>
      <c r="D90" s="70"/>
      <c r="E90" s="146"/>
      <c r="F90" s="70" t="str">
        <f>IFERROR(VLOOKUP(C90,MATERIAUX!$C$3:$G$1002,3,FALSE),"")</f>
        <v/>
      </c>
      <c r="G90" s="71" t="str">
        <f>IFERROR(VLOOKUP(C90,MATERIAUX!$C$3:$G$1002,5,FALSE),"")</f>
        <v/>
      </c>
      <c r="H90" s="71" t="str">
        <f t="shared" si="15"/>
        <v/>
      </c>
      <c r="I90" s="394"/>
      <c r="J90" s="72"/>
      <c r="K90" s="72"/>
      <c r="L90" s="72" t="str">
        <f>IFERROR(VLOOKUP(J90,'MAIN D OEUVRE'!$A$4:$B$99,2,FALSE)*$N$2,"")</f>
        <v/>
      </c>
      <c r="M90" s="73" t="str">
        <f t="shared" si="51"/>
        <v/>
      </c>
      <c r="N90" s="397"/>
      <c r="O90">
        <f t="shared" si="54"/>
        <v>0</v>
      </c>
      <c r="P90">
        <f t="shared" si="56"/>
        <v>0</v>
      </c>
      <c r="Q90">
        <f t="shared" si="30"/>
        <v>0</v>
      </c>
    </row>
    <row r="91" spans="1:17">
      <c r="A91" s="388"/>
      <c r="B91" s="391"/>
      <c r="C91" s="69"/>
      <c r="D91" s="70"/>
      <c r="E91" s="146"/>
      <c r="F91" s="70" t="str">
        <f>IFERROR(VLOOKUP(C91,MATERIAUX!$C$3:$G$1002,3,FALSE),"")</f>
        <v/>
      </c>
      <c r="G91" s="71" t="str">
        <f>IFERROR(VLOOKUP(C91,MATERIAUX!$C$3:$G$1002,5,FALSE),"")</f>
        <v/>
      </c>
      <c r="H91" s="71" t="str">
        <f t="shared" si="15"/>
        <v/>
      </c>
      <c r="I91" s="394"/>
      <c r="J91" s="72"/>
      <c r="K91" s="72"/>
      <c r="L91" s="72"/>
      <c r="M91" s="73"/>
      <c r="N91" s="397"/>
      <c r="O91">
        <f t="shared" si="54"/>
        <v>0</v>
      </c>
      <c r="P91">
        <f t="shared" si="56"/>
        <v>0</v>
      </c>
      <c r="Q91">
        <f t="shared" si="30"/>
        <v>0</v>
      </c>
    </row>
    <row r="92" spans="1:17" ht="15" thickBot="1">
      <c r="A92" s="389"/>
      <c r="B92" s="392"/>
      <c r="C92" s="74"/>
      <c r="D92" s="75"/>
      <c r="E92" s="147"/>
      <c r="F92" s="70" t="str">
        <f>IFERROR(VLOOKUP(C92,MATERIAUX!$C$3:$G$1002,3,FALSE),"")</f>
        <v/>
      </c>
      <c r="G92" s="71" t="str">
        <f>IFERROR(VLOOKUP(C92,MATERIAUX!$C$3:$G$1002,5,FALSE),"")</f>
        <v/>
      </c>
      <c r="H92" s="76" t="str">
        <f t="shared" si="15"/>
        <v/>
      </c>
      <c r="I92" s="395"/>
      <c r="J92" s="77"/>
      <c r="K92" s="77"/>
      <c r="L92" s="77"/>
      <c r="M92" s="78"/>
      <c r="N92" s="398"/>
      <c r="O92">
        <f t="shared" si="54"/>
        <v>0</v>
      </c>
      <c r="P92">
        <f t="shared" si="56"/>
        <v>0</v>
      </c>
      <c r="Q92">
        <f t="shared" si="30"/>
        <v>0</v>
      </c>
    </row>
    <row r="93" spans="1:17">
      <c r="A93" s="387" t="s">
        <v>205</v>
      </c>
      <c r="B93" s="390" t="s">
        <v>21</v>
      </c>
      <c r="C93" s="69" t="s">
        <v>96</v>
      </c>
      <c r="D93" s="280">
        <f>ROUND(4.9*0.26*0.045,4)</f>
        <v>5.7299999999999997E-2</v>
      </c>
      <c r="E93" s="145">
        <v>0.1</v>
      </c>
      <c r="F93" s="65" t="str">
        <f>IFERROR(VLOOKUP(C93,MATERIAUX!$C$3:$G$1002,3,FALSE),"")</f>
        <v>m3</v>
      </c>
      <c r="G93" s="66">
        <f>IFERROR(VLOOKUP(C93,MATERIAUX!$C$3:$G$1002,5,FALSE),"")</f>
        <v>483.50515463917532</v>
      </c>
      <c r="H93" s="66">
        <f>IFERROR(ROUND(G93*(1+E93)*D93,2),"")</f>
        <v>30.48</v>
      </c>
      <c r="I93" s="393">
        <f t="shared" ref="I93" si="57">SUM(H93:H102)</f>
        <v>31.753243000000001</v>
      </c>
      <c r="J93" s="67" t="s">
        <v>193</v>
      </c>
      <c r="K93" s="67">
        <f>ROUNDUP(2-0.416/0.625,2)</f>
        <v>1.34</v>
      </c>
      <c r="L93" s="67">
        <f>IFERROR(VLOOKUP(J93,'MAIN D OEUVRE'!$A$4:$B$99,2,FALSE)*$N$2,"")</f>
        <v>4.4000000000000004</v>
      </c>
      <c r="M93" s="68">
        <f t="shared" ref="M93:M100" si="58">IFERROR(ROUND(L93*K93,2),"")</f>
        <v>5.9</v>
      </c>
      <c r="N93" s="396">
        <f t="shared" ref="N93" si="59">SUM(M93:M102)</f>
        <v>8.11</v>
      </c>
      <c r="O93" s="350">
        <v>0</v>
      </c>
      <c r="P93">
        <f t="shared" si="56"/>
        <v>0</v>
      </c>
      <c r="Q93">
        <f t="shared" si="30"/>
        <v>0</v>
      </c>
    </row>
    <row r="94" spans="1:17">
      <c r="A94" s="388"/>
      <c r="B94" s="391"/>
      <c r="C94" s="69" t="s">
        <v>84</v>
      </c>
      <c r="D94" s="70">
        <v>21</v>
      </c>
      <c r="E94" s="146">
        <v>0</v>
      </c>
      <c r="F94" s="70" t="str">
        <f>IFERROR(VLOOKUP(C94,MATERIAUX!$C$3:$G$1002,3,FALSE),"")</f>
        <v>u</v>
      </c>
      <c r="G94" s="71">
        <f>IFERROR(VLOOKUP(C94,MATERIAUX!$C$3:$G$1002,5,FALSE),"")</f>
        <v>3.9175257731958769E-2</v>
      </c>
      <c r="H94" s="71">
        <f>IFERROR(ROUND(G94*(1+E94)*D94,2),"")</f>
        <v>0.82</v>
      </c>
      <c r="I94" s="394"/>
      <c r="J94" s="72" t="s">
        <v>438</v>
      </c>
      <c r="K94" s="72">
        <f>D93*2</f>
        <v>0.11459999999999999</v>
      </c>
      <c r="L94" s="72">
        <f>IFERROR(VLOOKUP(J94,'MAIN D OEUVRE'!$A$4:$B$99,2,FALSE)*$N$2,"")</f>
        <v>19.25</v>
      </c>
      <c r="M94" s="73">
        <f t="shared" si="58"/>
        <v>2.21</v>
      </c>
      <c r="N94" s="397"/>
      <c r="O94">
        <f>O93</f>
        <v>0</v>
      </c>
      <c r="P94">
        <f t="shared" si="56"/>
        <v>0</v>
      </c>
      <c r="Q94">
        <f t="shared" si="30"/>
        <v>0</v>
      </c>
    </row>
    <row r="95" spans="1:17">
      <c r="A95" s="388"/>
      <c r="B95" s="391"/>
      <c r="C95" s="287" t="s">
        <v>263</v>
      </c>
      <c r="D95" s="288">
        <v>1.06</v>
      </c>
      <c r="E95" s="146">
        <v>0.02</v>
      </c>
      <c r="F95" s="70" t="str">
        <f>IFERROR(VLOOKUP(C95,MATERIAUX!$C$3:$G$1002,3,FALSE),"")</f>
        <v>m2</v>
      </c>
      <c r="G95" s="71">
        <f>IFERROR(VLOOKUP(C95,MATERIAUX!$C$3:$G$1002,5,FALSE),"")</f>
        <v>7.315463917525773</v>
      </c>
      <c r="H95" s="71">
        <f>IFERROR(ROUND(G95*(1+E95)*D95,2)*D93,"")</f>
        <v>0.45324300000000001</v>
      </c>
      <c r="I95" s="394"/>
      <c r="J95" s="72"/>
      <c r="K95" s="72"/>
      <c r="L95" s="72" t="str">
        <f>IFERROR(VLOOKUP(J95,'MAIN D OEUVRE'!$A$4:$B$99,2,FALSE)*$N$2,"")</f>
        <v/>
      </c>
      <c r="M95" s="73" t="str">
        <f t="shared" si="58"/>
        <v/>
      </c>
      <c r="N95" s="397"/>
      <c r="O95" s="351">
        <f t="shared" ref="O95" si="60">O94</f>
        <v>0</v>
      </c>
      <c r="P95" s="351">
        <f>O95*D95*(D92+D93)*1.02</f>
        <v>0</v>
      </c>
      <c r="Q95" s="351">
        <f t="shared" si="30"/>
        <v>0</v>
      </c>
    </row>
    <row r="96" spans="1:17">
      <c r="A96" s="388"/>
      <c r="B96" s="391"/>
      <c r="C96" s="69"/>
      <c r="D96" s="70"/>
      <c r="E96" s="146"/>
      <c r="F96" s="70" t="str">
        <f>IFERROR(VLOOKUP(C96,MATERIAUX!$C$3:$G$1002,3,FALSE),"")</f>
        <v/>
      </c>
      <c r="G96" s="71" t="str">
        <f>IFERROR(VLOOKUP(C96,MATERIAUX!$C$3:$G$1002,5,FALSE),"")</f>
        <v/>
      </c>
      <c r="H96" s="71" t="str">
        <f t="shared" si="15"/>
        <v/>
      </c>
      <c r="I96" s="394"/>
      <c r="J96" s="72"/>
      <c r="K96" s="72"/>
      <c r="L96" s="72" t="str">
        <f>IFERROR(VLOOKUP(J96,'MAIN D OEUVRE'!$A$4:$B$99,2,FALSE)*$N$2,"")</f>
        <v/>
      </c>
      <c r="M96" s="73" t="str">
        <f t="shared" si="58"/>
        <v/>
      </c>
      <c r="N96" s="397"/>
      <c r="O96">
        <f t="shared" ref="O96:O102" si="61">O95</f>
        <v>0</v>
      </c>
      <c r="P96">
        <f t="shared" ref="P96" si="62">(D96+D96*E96)*O96</f>
        <v>0</v>
      </c>
      <c r="Q96">
        <f t="shared" ref="Q96" si="63">IF(P96=0,0,P96*G96)</f>
        <v>0</v>
      </c>
    </row>
    <row r="97" spans="1:17">
      <c r="A97" s="388"/>
      <c r="B97" s="391"/>
      <c r="C97" s="69"/>
      <c r="D97" s="70"/>
      <c r="E97" s="146"/>
      <c r="F97" s="70" t="str">
        <f>IFERROR(VLOOKUP(C97,MATERIAUX!$C$3:$G$1002,3,FALSE),"")</f>
        <v/>
      </c>
      <c r="G97" s="71" t="str">
        <f>IFERROR(VLOOKUP(C97,MATERIAUX!$C$3:$G$1002,5,FALSE),"")</f>
        <v/>
      </c>
      <c r="H97" s="71" t="str">
        <f t="shared" si="15"/>
        <v/>
      </c>
      <c r="I97" s="394"/>
      <c r="J97" s="72"/>
      <c r="K97" s="72"/>
      <c r="L97" s="72" t="str">
        <f>IFERROR(VLOOKUP(J97,'MAIN D OEUVRE'!$A$4:$B$99,2,FALSE)*$N$2,"")</f>
        <v/>
      </c>
      <c r="M97" s="73" t="str">
        <f t="shared" si="58"/>
        <v/>
      </c>
      <c r="N97" s="397"/>
      <c r="O97">
        <f t="shared" si="61"/>
        <v>0</v>
      </c>
      <c r="P97">
        <f t="shared" ref="P97:P104" si="64">(D97+D97*E97)*O97</f>
        <v>0</v>
      </c>
      <c r="Q97">
        <f t="shared" si="30"/>
        <v>0</v>
      </c>
    </row>
    <row r="98" spans="1:17">
      <c r="A98" s="388"/>
      <c r="B98" s="391"/>
      <c r="C98" s="69"/>
      <c r="D98" s="70"/>
      <c r="E98" s="146"/>
      <c r="F98" s="70" t="str">
        <f>IFERROR(VLOOKUP(C98,MATERIAUX!$C$3:$G$1002,3,FALSE),"")</f>
        <v/>
      </c>
      <c r="G98" s="71" t="str">
        <f>IFERROR(VLOOKUP(C98,MATERIAUX!$C$3:$G$1002,5,FALSE),"")</f>
        <v/>
      </c>
      <c r="H98" s="71" t="str">
        <f t="shared" ref="H98:H161" si="65">IFERROR(ROUND(G98*(1+E98)*D98,2),"")</f>
        <v/>
      </c>
      <c r="I98" s="394"/>
      <c r="J98" s="72"/>
      <c r="K98" s="72"/>
      <c r="L98" s="72" t="str">
        <f>IFERROR(VLOOKUP(J98,'MAIN D OEUVRE'!$A$4:$B$99,2,FALSE)*$N$2,"")</f>
        <v/>
      </c>
      <c r="M98" s="73" t="str">
        <f t="shared" si="58"/>
        <v/>
      </c>
      <c r="N98" s="397"/>
      <c r="O98">
        <f t="shared" si="61"/>
        <v>0</v>
      </c>
      <c r="P98">
        <f t="shared" si="64"/>
        <v>0</v>
      </c>
      <c r="Q98">
        <f t="shared" si="30"/>
        <v>0</v>
      </c>
    </row>
    <row r="99" spans="1:17">
      <c r="A99" s="388"/>
      <c r="B99" s="391"/>
      <c r="C99" s="69"/>
      <c r="D99" s="70"/>
      <c r="E99" s="146"/>
      <c r="F99" s="70" t="str">
        <f>IFERROR(VLOOKUP(C99,MATERIAUX!$C$3:$G$1002,3,FALSE),"")</f>
        <v/>
      </c>
      <c r="G99" s="71" t="str">
        <f>IFERROR(VLOOKUP(C99,MATERIAUX!$C$3:$G$1002,5,FALSE),"")</f>
        <v/>
      </c>
      <c r="H99" s="71" t="str">
        <f t="shared" si="65"/>
        <v/>
      </c>
      <c r="I99" s="394"/>
      <c r="J99" s="72"/>
      <c r="K99" s="72"/>
      <c r="L99" s="72" t="str">
        <f>IFERROR(VLOOKUP(J99,'MAIN D OEUVRE'!$A$4:$B$99,2,FALSE)*$N$2,"")</f>
        <v/>
      </c>
      <c r="M99" s="73" t="str">
        <f t="shared" si="58"/>
        <v/>
      </c>
      <c r="N99" s="397"/>
      <c r="O99">
        <f t="shared" si="61"/>
        <v>0</v>
      </c>
      <c r="P99">
        <f t="shared" si="64"/>
        <v>0</v>
      </c>
      <c r="Q99">
        <f t="shared" si="30"/>
        <v>0</v>
      </c>
    </row>
    <row r="100" spans="1:17">
      <c r="A100" s="388"/>
      <c r="B100" s="391"/>
      <c r="C100" s="69"/>
      <c r="D100" s="70"/>
      <c r="E100" s="146"/>
      <c r="F100" s="70" t="str">
        <f>IFERROR(VLOOKUP(C100,MATERIAUX!$C$3:$G$1002,3,FALSE),"")</f>
        <v/>
      </c>
      <c r="G100" s="71" t="str">
        <f>IFERROR(VLOOKUP(C100,MATERIAUX!$C$3:$G$1002,5,FALSE),"")</f>
        <v/>
      </c>
      <c r="H100" s="71" t="str">
        <f t="shared" si="65"/>
        <v/>
      </c>
      <c r="I100" s="394"/>
      <c r="J100" s="72"/>
      <c r="K100" s="72"/>
      <c r="L100" s="72" t="str">
        <f>IFERROR(VLOOKUP(J100,'MAIN D OEUVRE'!$A$4:$B$99,2,FALSE)*$N$2,"")</f>
        <v/>
      </c>
      <c r="M100" s="73" t="str">
        <f t="shared" si="58"/>
        <v/>
      </c>
      <c r="N100" s="397"/>
      <c r="O100">
        <f t="shared" si="61"/>
        <v>0</v>
      </c>
      <c r="P100">
        <f t="shared" si="64"/>
        <v>0</v>
      </c>
      <c r="Q100">
        <f t="shared" si="30"/>
        <v>0</v>
      </c>
    </row>
    <row r="101" spans="1:17">
      <c r="A101" s="388"/>
      <c r="B101" s="391"/>
      <c r="C101" s="69"/>
      <c r="D101" s="70"/>
      <c r="E101" s="146"/>
      <c r="F101" s="70" t="str">
        <f>IFERROR(VLOOKUP(C101,MATERIAUX!$C$3:$G$1002,3,FALSE),"")</f>
        <v/>
      </c>
      <c r="G101" s="71" t="str">
        <f>IFERROR(VLOOKUP(C101,MATERIAUX!$C$3:$G$1002,5,FALSE),"")</f>
        <v/>
      </c>
      <c r="H101" s="71" t="str">
        <f t="shared" si="65"/>
        <v/>
      </c>
      <c r="I101" s="394"/>
      <c r="J101" s="72"/>
      <c r="K101" s="72"/>
      <c r="L101" s="72"/>
      <c r="M101" s="73"/>
      <c r="N101" s="397"/>
      <c r="O101">
        <f t="shared" si="61"/>
        <v>0</v>
      </c>
      <c r="P101">
        <f t="shared" si="64"/>
        <v>0</v>
      </c>
      <c r="Q101">
        <f t="shared" si="30"/>
        <v>0</v>
      </c>
    </row>
    <row r="102" spans="1:17" ht="15" thickBot="1">
      <c r="A102" s="389"/>
      <c r="B102" s="392"/>
      <c r="C102" s="74"/>
      <c r="D102" s="75"/>
      <c r="E102" s="147"/>
      <c r="F102" s="70" t="str">
        <f>IFERROR(VLOOKUP(C102,MATERIAUX!$C$3:$G$1002,3,FALSE),"")</f>
        <v/>
      </c>
      <c r="G102" s="71" t="str">
        <f>IFERROR(VLOOKUP(C102,MATERIAUX!$C$3:$G$1002,5,FALSE),"")</f>
        <v/>
      </c>
      <c r="H102" s="76" t="str">
        <f t="shared" si="65"/>
        <v/>
      </c>
      <c r="I102" s="395"/>
      <c r="J102" s="77"/>
      <c r="K102" s="77"/>
      <c r="L102" s="77"/>
      <c r="M102" s="78"/>
      <c r="N102" s="398"/>
      <c r="O102">
        <f t="shared" si="61"/>
        <v>0</v>
      </c>
      <c r="P102">
        <f t="shared" si="64"/>
        <v>0</v>
      </c>
      <c r="Q102">
        <f t="shared" si="30"/>
        <v>0</v>
      </c>
    </row>
    <row r="103" spans="1:17">
      <c r="A103" s="387" t="s">
        <v>206</v>
      </c>
      <c r="B103" s="390" t="s">
        <v>21</v>
      </c>
      <c r="C103" s="64" t="s">
        <v>96</v>
      </c>
      <c r="D103" s="280">
        <f>ROUND(4.05*0.26*0.045,4)+0.0015</f>
        <v>4.8899999999999999E-2</v>
      </c>
      <c r="E103" s="145">
        <v>0.1</v>
      </c>
      <c r="F103" s="65" t="str">
        <f>IFERROR(VLOOKUP(C103,MATERIAUX!$C$3:$G$1002,3,FALSE),"")</f>
        <v>m3</v>
      </c>
      <c r="G103" s="66">
        <f>IFERROR(VLOOKUP(C103,MATERIAUX!$C$3:$G$1002,5,FALSE),"")</f>
        <v>483.50515463917532</v>
      </c>
      <c r="H103" s="66">
        <f t="shared" si="65"/>
        <v>26.01</v>
      </c>
      <c r="I103" s="393">
        <f>SUM(H103:H112)</f>
        <v>27.216799000000002</v>
      </c>
      <c r="J103" s="67" t="s">
        <v>193</v>
      </c>
      <c r="K103" s="67">
        <f>ROUNDUP(2-0.625/0.625,2)</f>
        <v>1</v>
      </c>
      <c r="L103" s="67">
        <f>IFERROR(VLOOKUP(J103,'MAIN D OEUVRE'!$A$4:$B$99,2,FALSE)*$N$2,"")</f>
        <v>4.4000000000000004</v>
      </c>
      <c r="M103" s="68">
        <f t="shared" si="9"/>
        <v>4.4000000000000004</v>
      </c>
      <c r="N103" s="396">
        <f>SUM(M103:M112)</f>
        <v>6.28</v>
      </c>
      <c r="O103" s="350">
        <v>0</v>
      </c>
      <c r="P103">
        <f t="shared" si="64"/>
        <v>0</v>
      </c>
      <c r="Q103">
        <f t="shared" si="30"/>
        <v>0</v>
      </c>
    </row>
    <row r="104" spans="1:17">
      <c r="A104" s="388"/>
      <c r="B104" s="391"/>
      <c r="C104" s="69" t="s">
        <v>84</v>
      </c>
      <c r="D104" s="70">
        <v>21</v>
      </c>
      <c r="E104" s="146">
        <v>0</v>
      </c>
      <c r="F104" s="70" t="str">
        <f>IFERROR(VLOOKUP(C104,MATERIAUX!$C$3:$G$1002,3,FALSE),"")</f>
        <v>u</v>
      </c>
      <c r="G104" s="71">
        <f>IFERROR(VLOOKUP(C104,MATERIAUX!$C$3:$G$1002,5,FALSE),"")</f>
        <v>3.9175257731958769E-2</v>
      </c>
      <c r="H104" s="71">
        <f t="shared" si="65"/>
        <v>0.82</v>
      </c>
      <c r="I104" s="394"/>
      <c r="J104" s="72" t="s">
        <v>438</v>
      </c>
      <c r="K104" s="72">
        <f>D103*2</f>
        <v>9.7799999999999998E-2</v>
      </c>
      <c r="L104" s="72">
        <f>IFERROR(VLOOKUP(J104,'MAIN D OEUVRE'!$A$4:$B$99,2,FALSE)*$N$2,"")</f>
        <v>19.25</v>
      </c>
      <c r="M104" s="73">
        <f t="shared" si="9"/>
        <v>1.88</v>
      </c>
      <c r="N104" s="397"/>
      <c r="O104">
        <f>O103</f>
        <v>0</v>
      </c>
      <c r="P104">
        <f t="shared" si="64"/>
        <v>0</v>
      </c>
      <c r="Q104">
        <f t="shared" si="30"/>
        <v>0</v>
      </c>
    </row>
    <row r="105" spans="1:17">
      <c r="A105" s="388"/>
      <c r="B105" s="391"/>
      <c r="C105" s="287" t="s">
        <v>263</v>
      </c>
      <c r="D105" s="288">
        <v>1.06</v>
      </c>
      <c r="E105" s="146">
        <v>0.02</v>
      </c>
      <c r="F105" s="70" t="str">
        <f>IFERROR(VLOOKUP(C105,MATERIAUX!$C$3:$G$1002,3,FALSE),"")</f>
        <v>m2</v>
      </c>
      <c r="G105" s="71">
        <f>IFERROR(VLOOKUP(C105,MATERIAUX!$C$3:$G$1002,5,FALSE),"")</f>
        <v>7.315463917525773</v>
      </c>
      <c r="H105" s="71">
        <f>IFERROR(ROUND(G105*(1+E105)*D105,2)*D103,"")</f>
        <v>0.386799</v>
      </c>
      <c r="I105" s="394"/>
      <c r="J105" s="72"/>
      <c r="K105" s="72"/>
      <c r="L105" s="72" t="str">
        <f>IFERROR(VLOOKUP(J105,'MAIN D OEUVRE'!$A$4:$B$99,2,FALSE)*$N$2,"")</f>
        <v/>
      </c>
      <c r="M105" s="73" t="str">
        <f t="shared" si="9"/>
        <v/>
      </c>
      <c r="N105" s="397"/>
      <c r="O105" s="351">
        <f t="shared" ref="O105" si="66">O104</f>
        <v>0</v>
      </c>
      <c r="P105" s="351">
        <f>O105*D105*(D102+D103)*1.02</f>
        <v>0</v>
      </c>
      <c r="Q105" s="351">
        <f t="shared" si="30"/>
        <v>0</v>
      </c>
    </row>
    <row r="106" spans="1:17">
      <c r="A106" s="388"/>
      <c r="B106" s="391"/>
      <c r="C106" s="69"/>
      <c r="D106" s="70"/>
      <c r="E106" s="146"/>
      <c r="F106" s="70" t="str">
        <f>IFERROR(VLOOKUP(C106,MATERIAUX!$C$3:$G$1002,3,FALSE),"")</f>
        <v/>
      </c>
      <c r="G106" s="71" t="str">
        <f>IFERROR(VLOOKUP(C106,MATERIAUX!$C$3:$G$1002,5,FALSE),"")</f>
        <v/>
      </c>
      <c r="H106" s="71" t="str">
        <f t="shared" si="65"/>
        <v/>
      </c>
      <c r="I106" s="394"/>
      <c r="J106" s="72"/>
      <c r="K106" s="72"/>
      <c r="L106" s="72" t="str">
        <f>IFERROR(VLOOKUP(J106,'MAIN D OEUVRE'!$A$4:$B$99,2,FALSE)*$N$2,"")</f>
        <v/>
      </c>
      <c r="M106" s="73" t="str">
        <f t="shared" si="9"/>
        <v/>
      </c>
      <c r="N106" s="397"/>
      <c r="O106">
        <f t="shared" ref="O106:O112" si="67">O105</f>
        <v>0</v>
      </c>
      <c r="P106">
        <f t="shared" ref="P106" si="68">(D106+D106*E106)*O106</f>
        <v>0</v>
      </c>
      <c r="Q106">
        <f t="shared" ref="Q106" si="69">IF(P106=0,0,P106*G106)</f>
        <v>0</v>
      </c>
    </row>
    <row r="107" spans="1:17">
      <c r="A107" s="388"/>
      <c r="B107" s="391"/>
      <c r="C107" s="69"/>
      <c r="D107" s="70"/>
      <c r="E107" s="146"/>
      <c r="F107" s="70" t="str">
        <f>IFERROR(VLOOKUP(C107,MATERIAUX!$C$3:$G$1002,3,FALSE),"")</f>
        <v/>
      </c>
      <c r="G107" s="71" t="str">
        <f>IFERROR(VLOOKUP(C107,MATERIAUX!$C$3:$G$1002,5,FALSE),"")</f>
        <v/>
      </c>
      <c r="H107" s="71" t="str">
        <f t="shared" si="65"/>
        <v/>
      </c>
      <c r="I107" s="394"/>
      <c r="J107" s="72"/>
      <c r="K107" s="72"/>
      <c r="L107" s="72" t="str">
        <f>IFERROR(VLOOKUP(J107,'MAIN D OEUVRE'!$A$4:$B$99,2,FALSE)*$N$2,"")</f>
        <v/>
      </c>
      <c r="M107" s="73" t="str">
        <f t="shared" si="9"/>
        <v/>
      </c>
      <c r="N107" s="397"/>
      <c r="O107">
        <f t="shared" si="67"/>
        <v>0</v>
      </c>
      <c r="P107">
        <f t="shared" ref="P107:P114" si="70">(D107+D107*E107)*O107</f>
        <v>0</v>
      </c>
      <c r="Q107">
        <f t="shared" si="30"/>
        <v>0</v>
      </c>
    </row>
    <row r="108" spans="1:17">
      <c r="A108" s="388"/>
      <c r="B108" s="391"/>
      <c r="C108" s="69"/>
      <c r="D108" s="70"/>
      <c r="E108" s="146"/>
      <c r="F108" s="70" t="str">
        <f>IFERROR(VLOOKUP(C108,MATERIAUX!$C$3:$G$1002,3,FALSE),"")</f>
        <v/>
      </c>
      <c r="G108" s="71" t="str">
        <f>IFERROR(VLOOKUP(C108,MATERIAUX!$C$3:$G$1002,5,FALSE),"")</f>
        <v/>
      </c>
      <c r="H108" s="71" t="str">
        <f t="shared" si="65"/>
        <v/>
      </c>
      <c r="I108" s="394"/>
      <c r="J108" s="72"/>
      <c r="K108" s="72"/>
      <c r="L108" s="72" t="str">
        <f>IFERROR(VLOOKUP(J108,'MAIN D OEUVRE'!$A$4:$B$99,2,FALSE)*$N$2,"")</f>
        <v/>
      </c>
      <c r="M108" s="73" t="str">
        <f t="shared" si="9"/>
        <v/>
      </c>
      <c r="N108" s="397"/>
      <c r="O108">
        <f t="shared" si="67"/>
        <v>0</v>
      </c>
      <c r="P108">
        <f t="shared" si="70"/>
        <v>0</v>
      </c>
      <c r="Q108">
        <f t="shared" si="30"/>
        <v>0</v>
      </c>
    </row>
    <row r="109" spans="1:17">
      <c r="A109" s="388"/>
      <c r="B109" s="391"/>
      <c r="C109" s="69"/>
      <c r="D109" s="70"/>
      <c r="E109" s="146"/>
      <c r="F109" s="70" t="str">
        <f>IFERROR(VLOOKUP(C109,MATERIAUX!$C$3:$G$1002,3,FALSE),"")</f>
        <v/>
      </c>
      <c r="G109" s="71" t="str">
        <f>IFERROR(VLOOKUP(C109,MATERIAUX!$C$3:$G$1002,5,FALSE),"")</f>
        <v/>
      </c>
      <c r="H109" s="71" t="str">
        <f t="shared" si="65"/>
        <v/>
      </c>
      <c r="I109" s="394"/>
      <c r="J109" s="72"/>
      <c r="K109" s="72"/>
      <c r="L109" s="72" t="str">
        <f>IFERROR(VLOOKUP(J109,'MAIN D OEUVRE'!$A$4:$B$99,2,FALSE)*$N$2,"")</f>
        <v/>
      </c>
      <c r="M109" s="73" t="str">
        <f t="shared" si="9"/>
        <v/>
      </c>
      <c r="N109" s="397"/>
      <c r="O109">
        <f t="shared" si="67"/>
        <v>0</v>
      </c>
      <c r="P109">
        <f t="shared" si="70"/>
        <v>0</v>
      </c>
      <c r="Q109">
        <f t="shared" si="30"/>
        <v>0</v>
      </c>
    </row>
    <row r="110" spans="1:17">
      <c r="A110" s="388"/>
      <c r="B110" s="391"/>
      <c r="C110" s="69"/>
      <c r="D110" s="70"/>
      <c r="E110" s="146"/>
      <c r="F110" s="70" t="str">
        <f>IFERROR(VLOOKUP(C110,MATERIAUX!$C$3:$G$1002,3,FALSE),"")</f>
        <v/>
      </c>
      <c r="G110" s="71" t="str">
        <f>IFERROR(VLOOKUP(C110,MATERIAUX!$C$3:$G$1002,5,FALSE),"")</f>
        <v/>
      </c>
      <c r="H110" s="71" t="str">
        <f t="shared" si="65"/>
        <v/>
      </c>
      <c r="I110" s="394"/>
      <c r="J110" s="72"/>
      <c r="K110" s="72"/>
      <c r="L110" s="72" t="str">
        <f>IFERROR(VLOOKUP(J110,'MAIN D OEUVRE'!$A$4:$B$99,2,FALSE)*$N$2,"")</f>
        <v/>
      </c>
      <c r="M110" s="73" t="str">
        <f t="shared" si="9"/>
        <v/>
      </c>
      <c r="N110" s="397"/>
      <c r="O110">
        <f t="shared" si="67"/>
        <v>0</v>
      </c>
      <c r="P110">
        <f t="shared" si="70"/>
        <v>0</v>
      </c>
      <c r="Q110">
        <f t="shared" si="30"/>
        <v>0</v>
      </c>
    </row>
    <row r="111" spans="1:17">
      <c r="A111" s="388"/>
      <c r="B111" s="391"/>
      <c r="C111" s="69"/>
      <c r="D111" s="70"/>
      <c r="E111" s="146"/>
      <c r="F111" s="70" t="str">
        <f>IFERROR(VLOOKUP(C111,MATERIAUX!$C$3:$G$1002,3,FALSE),"")</f>
        <v/>
      </c>
      <c r="G111" s="71" t="str">
        <f>IFERROR(VLOOKUP(C111,MATERIAUX!$C$3:$G$1002,5,FALSE),"")</f>
        <v/>
      </c>
      <c r="H111" s="71" t="str">
        <f t="shared" si="65"/>
        <v/>
      </c>
      <c r="I111" s="394"/>
      <c r="J111" s="72"/>
      <c r="K111" s="72"/>
      <c r="L111" s="72"/>
      <c r="M111" s="73"/>
      <c r="N111" s="397"/>
      <c r="O111">
        <f t="shared" si="67"/>
        <v>0</v>
      </c>
      <c r="P111">
        <f t="shared" si="70"/>
        <v>0</v>
      </c>
      <c r="Q111">
        <f t="shared" si="30"/>
        <v>0</v>
      </c>
    </row>
    <row r="112" spans="1:17" ht="15" thickBot="1">
      <c r="A112" s="389"/>
      <c r="B112" s="392"/>
      <c r="C112" s="74"/>
      <c r="D112" s="75"/>
      <c r="E112" s="147"/>
      <c r="F112" s="70" t="str">
        <f>IFERROR(VLOOKUP(C112,MATERIAUX!$C$3:$G$1002,3,FALSE),"")</f>
        <v/>
      </c>
      <c r="G112" s="71" t="str">
        <f>IFERROR(VLOOKUP(C112,MATERIAUX!$C$3:$G$1002,5,FALSE),"")</f>
        <v/>
      </c>
      <c r="H112" s="76" t="str">
        <f t="shared" si="65"/>
        <v/>
      </c>
      <c r="I112" s="395"/>
      <c r="J112" s="77"/>
      <c r="K112" s="77"/>
      <c r="L112" s="77"/>
      <c r="M112" s="78"/>
      <c r="N112" s="398"/>
      <c r="O112">
        <f t="shared" si="67"/>
        <v>0</v>
      </c>
      <c r="P112">
        <f t="shared" si="70"/>
        <v>0</v>
      </c>
      <c r="Q112">
        <f t="shared" si="30"/>
        <v>0</v>
      </c>
    </row>
    <row r="113" spans="1:17">
      <c r="A113" s="387" t="s">
        <v>207</v>
      </c>
      <c r="B113" s="390" t="s">
        <v>21</v>
      </c>
      <c r="C113" s="69" t="s">
        <v>95</v>
      </c>
      <c r="D113" s="65">
        <f>ROUND(5*0.24*0.045,4)</f>
        <v>5.3999999999999999E-2</v>
      </c>
      <c r="E113" s="146">
        <v>0.1</v>
      </c>
      <c r="F113" s="65" t="str">
        <f>IFERROR(VLOOKUP(C113,MATERIAUX!$C$3:$G$1002,3,FALSE),"")</f>
        <v>m3</v>
      </c>
      <c r="G113" s="66">
        <f>IFERROR(VLOOKUP(C113,MATERIAUX!$C$3:$G$1002,5,FALSE),"")</f>
        <v>483.50515463917532</v>
      </c>
      <c r="H113" s="66">
        <f t="shared" si="65"/>
        <v>28.72</v>
      </c>
      <c r="I113" s="393">
        <f>SUM(H113:H122)</f>
        <v>29.967140000000001</v>
      </c>
      <c r="J113" s="67" t="s">
        <v>194</v>
      </c>
      <c r="K113" s="67">
        <f>ROUNDUP(2-0.25/0.625,2)</f>
        <v>1.6</v>
      </c>
      <c r="L113" s="67">
        <f>IFERROR(VLOOKUP(J113,'MAIN D OEUVRE'!$A$4:$B$99,2,FALSE)*$N$2,"")</f>
        <v>5.5</v>
      </c>
      <c r="M113" s="68">
        <f t="shared" ref="M113:M120" si="71">IFERROR(ROUND(L113*K113,2),"")</f>
        <v>8.8000000000000007</v>
      </c>
      <c r="N113" s="396">
        <f>SUM(M113:M122)</f>
        <v>10.88</v>
      </c>
      <c r="O113" s="350">
        <v>0</v>
      </c>
      <c r="P113">
        <f t="shared" si="70"/>
        <v>0</v>
      </c>
      <c r="Q113">
        <f t="shared" si="30"/>
        <v>0</v>
      </c>
    </row>
    <row r="114" spans="1:17">
      <c r="A114" s="388"/>
      <c r="B114" s="391"/>
      <c r="C114" s="69" t="s">
        <v>84</v>
      </c>
      <c r="D114" s="70">
        <v>21</v>
      </c>
      <c r="E114" s="146">
        <v>0</v>
      </c>
      <c r="F114" s="70" t="str">
        <f>IFERROR(VLOOKUP(C114,MATERIAUX!$C$3:$G$1002,3,FALSE),"")</f>
        <v>u</v>
      </c>
      <c r="G114" s="71">
        <f>IFERROR(VLOOKUP(C114,MATERIAUX!$C$3:$G$1002,5,FALSE),"")</f>
        <v>3.9175257731958769E-2</v>
      </c>
      <c r="H114" s="71">
        <f t="shared" si="65"/>
        <v>0.82</v>
      </c>
      <c r="I114" s="394"/>
      <c r="J114" s="72" t="s">
        <v>438</v>
      </c>
      <c r="K114" s="72">
        <f>D113*2</f>
        <v>0.108</v>
      </c>
      <c r="L114" s="72">
        <f>IFERROR(VLOOKUP(J114,'MAIN D OEUVRE'!$A$4:$B$99,2,FALSE)*$N$2,"")</f>
        <v>19.25</v>
      </c>
      <c r="M114" s="73">
        <f t="shared" si="71"/>
        <v>2.08</v>
      </c>
      <c r="N114" s="397"/>
      <c r="O114">
        <f>O113</f>
        <v>0</v>
      </c>
      <c r="P114">
        <f t="shared" si="70"/>
        <v>0</v>
      </c>
      <c r="Q114">
        <f t="shared" si="30"/>
        <v>0</v>
      </c>
    </row>
    <row r="115" spans="1:17">
      <c r="A115" s="388"/>
      <c r="B115" s="391"/>
      <c r="C115" s="287" t="s">
        <v>263</v>
      </c>
      <c r="D115" s="288">
        <v>1.06</v>
      </c>
      <c r="E115" s="146">
        <v>0.02</v>
      </c>
      <c r="F115" s="70" t="str">
        <f>IFERROR(VLOOKUP(C115,MATERIAUX!$C$3:$G$1002,3,FALSE),"")</f>
        <v>m2</v>
      </c>
      <c r="G115" s="71">
        <f>IFERROR(VLOOKUP(C115,MATERIAUX!$C$3:$G$1002,5,FALSE),"")</f>
        <v>7.315463917525773</v>
      </c>
      <c r="H115" s="71">
        <f>IFERROR(ROUND(G115*(1+E115)*D115,2)*D113,"")</f>
        <v>0.42714000000000002</v>
      </c>
      <c r="I115" s="394"/>
      <c r="J115" s="72"/>
      <c r="K115" s="72"/>
      <c r="L115" s="72" t="str">
        <f>IFERROR(VLOOKUP(J115,'MAIN D OEUVRE'!$A$4:$B$99,2,FALSE)*$N$2,"")</f>
        <v/>
      </c>
      <c r="M115" s="73" t="str">
        <f t="shared" si="71"/>
        <v/>
      </c>
      <c r="N115" s="397"/>
      <c r="O115" s="351">
        <f t="shared" ref="O115" si="72">O114</f>
        <v>0</v>
      </c>
      <c r="P115" s="351">
        <f>O115*D115*(D112+D113)*1.02</f>
        <v>0</v>
      </c>
      <c r="Q115" s="351">
        <f t="shared" si="30"/>
        <v>0</v>
      </c>
    </row>
    <row r="116" spans="1:17">
      <c r="A116" s="388"/>
      <c r="B116" s="391"/>
      <c r="C116" s="69"/>
      <c r="D116" s="70"/>
      <c r="E116" s="146"/>
      <c r="F116" s="70" t="str">
        <f>IFERROR(VLOOKUP(C116,MATERIAUX!$C$3:$G$1002,3,FALSE),"")</f>
        <v/>
      </c>
      <c r="G116" s="71" t="str">
        <f>IFERROR(VLOOKUP(C116,MATERIAUX!$C$3:$G$1002,5,FALSE),"")</f>
        <v/>
      </c>
      <c r="H116" s="71" t="str">
        <f t="shared" si="65"/>
        <v/>
      </c>
      <c r="I116" s="394"/>
      <c r="J116" s="72"/>
      <c r="K116" s="72"/>
      <c r="L116" s="72" t="str">
        <f>IFERROR(VLOOKUP(J116,'MAIN D OEUVRE'!$A$4:$B$99,2,FALSE)*$N$2,"")</f>
        <v/>
      </c>
      <c r="M116" s="73" t="str">
        <f t="shared" si="71"/>
        <v/>
      </c>
      <c r="N116" s="397"/>
      <c r="O116">
        <f t="shared" ref="O116:O122" si="73">O115</f>
        <v>0</v>
      </c>
      <c r="P116">
        <f t="shared" ref="P116" si="74">(D116+D116*E116)*O116</f>
        <v>0</v>
      </c>
      <c r="Q116">
        <f t="shared" si="30"/>
        <v>0</v>
      </c>
    </row>
    <row r="117" spans="1:17">
      <c r="A117" s="388"/>
      <c r="B117" s="391"/>
      <c r="C117" s="69"/>
      <c r="D117" s="70"/>
      <c r="E117" s="146"/>
      <c r="F117" s="70" t="str">
        <f>IFERROR(VLOOKUP(C117,MATERIAUX!$C$3:$G$1002,3,FALSE),"")</f>
        <v/>
      </c>
      <c r="G117" s="71" t="str">
        <f>IFERROR(VLOOKUP(C117,MATERIAUX!$C$3:$G$1002,5,FALSE),"")</f>
        <v/>
      </c>
      <c r="H117" s="71" t="str">
        <f t="shared" si="65"/>
        <v/>
      </c>
      <c r="I117" s="394"/>
      <c r="J117" s="72"/>
      <c r="K117" s="72"/>
      <c r="L117" s="72" t="str">
        <f>IFERROR(VLOOKUP(J117,'MAIN D OEUVRE'!$A$4:$B$99,2,FALSE)*$N$2,"")</f>
        <v/>
      </c>
      <c r="M117" s="73" t="str">
        <f t="shared" si="71"/>
        <v/>
      </c>
      <c r="N117" s="397"/>
      <c r="O117">
        <f t="shared" si="73"/>
        <v>0</v>
      </c>
      <c r="P117">
        <f t="shared" ref="P117:P124" si="75">(D117+D117*E117)*O117</f>
        <v>0</v>
      </c>
      <c r="Q117">
        <f t="shared" ref="Q117:Q165" si="76">IF(P117=0,0,P117*G117)</f>
        <v>0</v>
      </c>
    </row>
    <row r="118" spans="1:17">
      <c r="A118" s="388"/>
      <c r="B118" s="391"/>
      <c r="C118" s="69"/>
      <c r="D118" s="70"/>
      <c r="E118" s="146"/>
      <c r="F118" s="70" t="str">
        <f>IFERROR(VLOOKUP(C118,MATERIAUX!$C$3:$G$1002,3,FALSE),"")</f>
        <v/>
      </c>
      <c r="G118" s="71" t="str">
        <f>IFERROR(VLOOKUP(C118,MATERIAUX!$C$3:$G$1002,5,FALSE),"")</f>
        <v/>
      </c>
      <c r="H118" s="71" t="str">
        <f t="shared" si="65"/>
        <v/>
      </c>
      <c r="I118" s="394"/>
      <c r="J118" s="72"/>
      <c r="K118" s="72"/>
      <c r="L118" s="72" t="str">
        <f>IFERROR(VLOOKUP(J118,'MAIN D OEUVRE'!$A$4:$B$99,2,FALSE)*$N$2,"")</f>
        <v/>
      </c>
      <c r="M118" s="73" t="str">
        <f t="shared" si="71"/>
        <v/>
      </c>
      <c r="N118" s="397"/>
      <c r="O118">
        <f t="shared" si="73"/>
        <v>0</v>
      </c>
      <c r="P118">
        <f t="shared" si="75"/>
        <v>0</v>
      </c>
      <c r="Q118">
        <f t="shared" si="76"/>
        <v>0</v>
      </c>
    </row>
    <row r="119" spans="1:17">
      <c r="A119" s="388"/>
      <c r="B119" s="391"/>
      <c r="C119" s="69"/>
      <c r="D119" s="70"/>
      <c r="E119" s="146"/>
      <c r="F119" s="70" t="str">
        <f>IFERROR(VLOOKUP(C119,MATERIAUX!$C$3:$G$1002,3,FALSE),"")</f>
        <v/>
      </c>
      <c r="G119" s="71" t="str">
        <f>IFERROR(VLOOKUP(C119,MATERIAUX!$C$3:$G$1002,5,FALSE),"")</f>
        <v/>
      </c>
      <c r="H119" s="71" t="str">
        <f t="shared" si="65"/>
        <v/>
      </c>
      <c r="I119" s="394"/>
      <c r="J119" s="72"/>
      <c r="K119" s="72"/>
      <c r="L119" s="72" t="str">
        <f>IFERROR(VLOOKUP(J119,'MAIN D OEUVRE'!$A$4:$B$99,2,FALSE)*$N$2,"")</f>
        <v/>
      </c>
      <c r="M119" s="73" t="str">
        <f t="shared" si="71"/>
        <v/>
      </c>
      <c r="N119" s="397"/>
      <c r="O119">
        <f t="shared" si="73"/>
        <v>0</v>
      </c>
      <c r="P119">
        <f t="shared" si="75"/>
        <v>0</v>
      </c>
      <c r="Q119">
        <f t="shared" si="76"/>
        <v>0</v>
      </c>
    </row>
    <row r="120" spans="1:17">
      <c r="A120" s="388"/>
      <c r="B120" s="391"/>
      <c r="C120" s="69"/>
      <c r="D120" s="70"/>
      <c r="E120" s="146"/>
      <c r="F120" s="70" t="str">
        <f>IFERROR(VLOOKUP(C120,MATERIAUX!$C$3:$G$1002,3,FALSE),"")</f>
        <v/>
      </c>
      <c r="G120" s="71" t="str">
        <f>IFERROR(VLOOKUP(C120,MATERIAUX!$C$3:$G$1002,5,FALSE),"")</f>
        <v/>
      </c>
      <c r="H120" s="71" t="str">
        <f t="shared" si="65"/>
        <v/>
      </c>
      <c r="I120" s="394"/>
      <c r="J120" s="72"/>
      <c r="K120" s="72"/>
      <c r="L120" s="72" t="str">
        <f>IFERROR(VLOOKUP(J120,'MAIN D OEUVRE'!$A$4:$B$99,2,FALSE)*$N$2,"")</f>
        <v/>
      </c>
      <c r="M120" s="73" t="str">
        <f t="shared" si="71"/>
        <v/>
      </c>
      <c r="N120" s="397"/>
      <c r="O120">
        <f t="shared" si="73"/>
        <v>0</v>
      </c>
      <c r="P120">
        <f t="shared" si="75"/>
        <v>0</v>
      </c>
      <c r="Q120">
        <f t="shared" si="76"/>
        <v>0</v>
      </c>
    </row>
    <row r="121" spans="1:17">
      <c r="A121" s="388"/>
      <c r="B121" s="391"/>
      <c r="C121" s="69"/>
      <c r="D121" s="70"/>
      <c r="E121" s="146"/>
      <c r="F121" s="70" t="str">
        <f>IFERROR(VLOOKUP(C121,MATERIAUX!$C$3:$G$1002,3,FALSE),"")</f>
        <v/>
      </c>
      <c r="G121" s="71" t="str">
        <f>IFERROR(VLOOKUP(C121,MATERIAUX!$C$3:$G$1002,5,FALSE),"")</f>
        <v/>
      </c>
      <c r="H121" s="71" t="str">
        <f t="shared" si="65"/>
        <v/>
      </c>
      <c r="I121" s="394"/>
      <c r="J121" s="72"/>
      <c r="K121" s="72"/>
      <c r="L121" s="72"/>
      <c r="M121" s="73"/>
      <c r="N121" s="397"/>
      <c r="O121">
        <f t="shared" si="73"/>
        <v>0</v>
      </c>
      <c r="P121">
        <f t="shared" si="75"/>
        <v>0</v>
      </c>
      <c r="Q121">
        <f t="shared" si="76"/>
        <v>0</v>
      </c>
    </row>
    <row r="122" spans="1:17" ht="15" thickBot="1">
      <c r="A122" s="389"/>
      <c r="B122" s="392"/>
      <c r="C122" s="74"/>
      <c r="D122" s="75"/>
      <c r="E122" s="147"/>
      <c r="F122" s="70" t="str">
        <f>IFERROR(VLOOKUP(C122,MATERIAUX!$C$3:$G$1002,3,FALSE),"")</f>
        <v/>
      </c>
      <c r="G122" s="71" t="str">
        <f>IFERROR(VLOOKUP(C122,MATERIAUX!$C$3:$G$1002,5,FALSE),"")</f>
        <v/>
      </c>
      <c r="H122" s="76" t="str">
        <f t="shared" si="65"/>
        <v/>
      </c>
      <c r="I122" s="395"/>
      <c r="J122" s="77"/>
      <c r="K122" s="77"/>
      <c r="L122" s="77"/>
      <c r="M122" s="78"/>
      <c r="N122" s="398"/>
      <c r="O122">
        <f t="shared" si="73"/>
        <v>0</v>
      </c>
      <c r="P122">
        <f t="shared" si="75"/>
        <v>0</v>
      </c>
      <c r="Q122">
        <f t="shared" si="76"/>
        <v>0</v>
      </c>
    </row>
    <row r="123" spans="1:17">
      <c r="A123" s="387" t="s">
        <v>208</v>
      </c>
      <c r="B123" s="390" t="s">
        <v>21</v>
      </c>
      <c r="C123" s="69" t="s">
        <v>95</v>
      </c>
      <c r="D123" s="65">
        <f>ROUND(4.5*0.24*0.045,4)</f>
        <v>4.8599999999999997E-2</v>
      </c>
      <c r="E123" s="145">
        <v>0.1</v>
      </c>
      <c r="F123" s="65" t="str">
        <f>IFERROR(VLOOKUP(C123,MATERIAUX!$C$3:$G$1002,3,FALSE),"")</f>
        <v>m3</v>
      </c>
      <c r="G123" s="66">
        <f>IFERROR(VLOOKUP(C123,MATERIAUX!$C$3:$G$1002,5,FALSE),"")</f>
        <v>483.50515463917532</v>
      </c>
      <c r="H123" s="66">
        <f t="shared" si="65"/>
        <v>25.85</v>
      </c>
      <c r="I123" s="393">
        <f>SUM(H123:H132)</f>
        <v>27.054426000000003</v>
      </c>
      <c r="J123" s="67" t="s">
        <v>194</v>
      </c>
      <c r="K123" s="67">
        <f>ROUNDUP(2-0.313/0.625,2)</f>
        <v>1.5</v>
      </c>
      <c r="L123" s="67">
        <f>IFERROR(VLOOKUP(J123,'MAIN D OEUVRE'!$A$4:$B$99,2,FALSE)*$N$2,"")</f>
        <v>5.5</v>
      </c>
      <c r="M123" s="68">
        <f t="shared" ref="M123:M130" si="77">IFERROR(ROUND(L123*K123,2),"")</f>
        <v>8.25</v>
      </c>
      <c r="N123" s="396">
        <f>SUM(M123:M132)</f>
        <v>10.120000000000001</v>
      </c>
      <c r="O123" s="350">
        <v>0</v>
      </c>
      <c r="P123">
        <f t="shared" si="75"/>
        <v>0</v>
      </c>
      <c r="Q123">
        <f t="shared" si="76"/>
        <v>0</v>
      </c>
    </row>
    <row r="124" spans="1:17">
      <c r="A124" s="388"/>
      <c r="B124" s="391"/>
      <c r="C124" s="69" t="s">
        <v>84</v>
      </c>
      <c r="D124" s="70">
        <v>21</v>
      </c>
      <c r="E124" s="146">
        <v>0</v>
      </c>
      <c r="F124" s="70" t="str">
        <f>IFERROR(VLOOKUP(C124,MATERIAUX!$C$3:$G$1002,3,FALSE),"")</f>
        <v>u</v>
      </c>
      <c r="G124" s="71">
        <f>IFERROR(VLOOKUP(C124,MATERIAUX!$C$3:$G$1002,5,FALSE),"")</f>
        <v>3.9175257731958769E-2</v>
      </c>
      <c r="H124" s="71">
        <f t="shared" si="65"/>
        <v>0.82</v>
      </c>
      <c r="I124" s="394"/>
      <c r="J124" s="72" t="s">
        <v>438</v>
      </c>
      <c r="K124" s="72">
        <f>D123*2</f>
        <v>9.7199999999999995E-2</v>
      </c>
      <c r="L124" s="72">
        <f>IFERROR(VLOOKUP(J124,'MAIN D OEUVRE'!$A$4:$B$99,2,FALSE)*$N$2,"")</f>
        <v>19.25</v>
      </c>
      <c r="M124" s="73">
        <f t="shared" si="77"/>
        <v>1.87</v>
      </c>
      <c r="N124" s="397"/>
      <c r="O124">
        <f>O123</f>
        <v>0</v>
      </c>
      <c r="P124">
        <f t="shared" si="75"/>
        <v>0</v>
      </c>
      <c r="Q124">
        <f t="shared" si="76"/>
        <v>0</v>
      </c>
    </row>
    <row r="125" spans="1:17">
      <c r="A125" s="388"/>
      <c r="B125" s="391"/>
      <c r="C125" s="287" t="s">
        <v>263</v>
      </c>
      <c r="D125" s="288">
        <v>1.06</v>
      </c>
      <c r="E125" s="146">
        <v>0.02</v>
      </c>
      <c r="F125" s="70" t="str">
        <f>IFERROR(VLOOKUP(C125,MATERIAUX!$C$3:$G$1002,3,FALSE),"")</f>
        <v>m2</v>
      </c>
      <c r="G125" s="71">
        <f>IFERROR(VLOOKUP(C125,MATERIAUX!$C$3:$G$1002,5,FALSE),"")</f>
        <v>7.315463917525773</v>
      </c>
      <c r="H125" s="71">
        <f>IFERROR(ROUND(G125*(1+E125)*D125,2)*D123,"")</f>
        <v>0.38442599999999999</v>
      </c>
      <c r="I125" s="394"/>
      <c r="J125" s="72"/>
      <c r="K125" s="72"/>
      <c r="L125" s="72" t="str">
        <f>IFERROR(VLOOKUP(J125,'MAIN D OEUVRE'!$A$4:$B$99,2,FALSE)*$N$2,"")</f>
        <v/>
      </c>
      <c r="M125" s="73" t="str">
        <f t="shared" si="77"/>
        <v/>
      </c>
      <c r="N125" s="397"/>
      <c r="O125" s="351">
        <f t="shared" ref="O125" si="78">O124</f>
        <v>0</v>
      </c>
      <c r="P125" s="351">
        <f>O125*D125*(D122+D123)*1.02</f>
        <v>0</v>
      </c>
      <c r="Q125" s="351">
        <f t="shared" si="76"/>
        <v>0</v>
      </c>
    </row>
    <row r="126" spans="1:17">
      <c r="A126" s="388"/>
      <c r="B126" s="391"/>
      <c r="C126" s="69"/>
      <c r="D126" s="70"/>
      <c r="E126" s="146"/>
      <c r="F126" s="70" t="str">
        <f>IFERROR(VLOOKUP(C126,MATERIAUX!$C$3:$G$1002,3,FALSE),"")</f>
        <v/>
      </c>
      <c r="G126" s="71" t="str">
        <f>IFERROR(VLOOKUP(C126,MATERIAUX!$C$3:$G$1002,5,FALSE),"")</f>
        <v/>
      </c>
      <c r="H126" s="71" t="str">
        <f t="shared" si="65"/>
        <v/>
      </c>
      <c r="I126" s="394"/>
      <c r="J126" s="72"/>
      <c r="K126" s="72"/>
      <c r="L126" s="72" t="str">
        <f>IFERROR(VLOOKUP(J126,'MAIN D OEUVRE'!$A$4:$B$99,2,FALSE)*$N$2,"")</f>
        <v/>
      </c>
      <c r="M126" s="73" t="str">
        <f t="shared" si="77"/>
        <v/>
      </c>
      <c r="N126" s="397"/>
      <c r="O126">
        <f t="shared" ref="O126:O132" si="79">O125</f>
        <v>0</v>
      </c>
      <c r="P126">
        <f t="shared" ref="P126" si="80">(D126+D126*E126)*O126</f>
        <v>0</v>
      </c>
      <c r="Q126">
        <f t="shared" ref="Q126" si="81">IF(P126=0,0,P126*G126)</f>
        <v>0</v>
      </c>
    </row>
    <row r="127" spans="1:17">
      <c r="A127" s="388"/>
      <c r="B127" s="391"/>
      <c r="C127" s="69"/>
      <c r="D127" s="70"/>
      <c r="E127" s="146"/>
      <c r="F127" s="70" t="str">
        <f>IFERROR(VLOOKUP(C127,MATERIAUX!$C$3:$G$1002,3,FALSE),"")</f>
        <v/>
      </c>
      <c r="G127" s="71" t="str">
        <f>IFERROR(VLOOKUP(C127,MATERIAUX!$C$3:$G$1002,5,FALSE),"")</f>
        <v/>
      </c>
      <c r="H127" s="71" t="str">
        <f t="shared" si="65"/>
        <v/>
      </c>
      <c r="I127" s="394"/>
      <c r="J127" s="72"/>
      <c r="K127" s="72"/>
      <c r="L127" s="72" t="str">
        <f>IFERROR(VLOOKUP(J127,'MAIN D OEUVRE'!$A$4:$B$99,2,FALSE)*$N$2,"")</f>
        <v/>
      </c>
      <c r="M127" s="73" t="str">
        <f t="shared" si="77"/>
        <v/>
      </c>
      <c r="N127" s="397"/>
      <c r="O127">
        <f t="shared" si="79"/>
        <v>0</v>
      </c>
      <c r="P127">
        <f t="shared" ref="P127:P134" si="82">(D127+D127*E127)*O127</f>
        <v>0</v>
      </c>
      <c r="Q127">
        <f t="shared" si="76"/>
        <v>0</v>
      </c>
    </row>
    <row r="128" spans="1:17">
      <c r="A128" s="388"/>
      <c r="B128" s="391"/>
      <c r="C128" s="69"/>
      <c r="D128" s="70"/>
      <c r="E128" s="146"/>
      <c r="F128" s="70" t="str">
        <f>IFERROR(VLOOKUP(C128,MATERIAUX!$C$3:$G$1002,3,FALSE),"")</f>
        <v/>
      </c>
      <c r="G128" s="71" t="str">
        <f>IFERROR(VLOOKUP(C128,MATERIAUX!$C$3:$G$1002,5,FALSE),"")</f>
        <v/>
      </c>
      <c r="H128" s="71" t="str">
        <f t="shared" si="65"/>
        <v/>
      </c>
      <c r="I128" s="394"/>
      <c r="J128" s="72"/>
      <c r="K128" s="72"/>
      <c r="L128" s="72" t="str">
        <f>IFERROR(VLOOKUP(J128,'MAIN D OEUVRE'!$A$4:$B$99,2,FALSE)*$N$2,"")</f>
        <v/>
      </c>
      <c r="M128" s="73" t="str">
        <f t="shared" si="77"/>
        <v/>
      </c>
      <c r="N128" s="397"/>
      <c r="O128">
        <f t="shared" si="79"/>
        <v>0</v>
      </c>
      <c r="P128">
        <f t="shared" si="82"/>
        <v>0</v>
      </c>
      <c r="Q128">
        <f t="shared" si="76"/>
        <v>0</v>
      </c>
    </row>
    <row r="129" spans="1:17">
      <c r="A129" s="388"/>
      <c r="B129" s="391"/>
      <c r="C129" s="69"/>
      <c r="D129" s="70"/>
      <c r="E129" s="146"/>
      <c r="F129" s="70" t="str">
        <f>IFERROR(VLOOKUP(C129,MATERIAUX!$C$3:$G$1002,3,FALSE),"")</f>
        <v/>
      </c>
      <c r="G129" s="71" t="str">
        <f>IFERROR(VLOOKUP(C129,MATERIAUX!$C$3:$G$1002,5,FALSE),"")</f>
        <v/>
      </c>
      <c r="H129" s="71" t="str">
        <f t="shared" si="65"/>
        <v/>
      </c>
      <c r="I129" s="394"/>
      <c r="J129" s="72"/>
      <c r="K129" s="72"/>
      <c r="L129" s="72" t="str">
        <f>IFERROR(VLOOKUP(J129,'MAIN D OEUVRE'!$A$4:$B$99,2,FALSE)*$N$2,"")</f>
        <v/>
      </c>
      <c r="M129" s="73" t="str">
        <f t="shared" si="77"/>
        <v/>
      </c>
      <c r="N129" s="397"/>
      <c r="O129">
        <f t="shared" si="79"/>
        <v>0</v>
      </c>
      <c r="P129">
        <f t="shared" si="82"/>
        <v>0</v>
      </c>
      <c r="Q129">
        <f t="shared" si="76"/>
        <v>0</v>
      </c>
    </row>
    <row r="130" spans="1:17">
      <c r="A130" s="388"/>
      <c r="B130" s="391"/>
      <c r="C130" s="69"/>
      <c r="D130" s="70"/>
      <c r="E130" s="146"/>
      <c r="F130" s="70" t="str">
        <f>IFERROR(VLOOKUP(C130,MATERIAUX!$C$3:$G$1002,3,FALSE),"")</f>
        <v/>
      </c>
      <c r="G130" s="71" t="str">
        <f>IFERROR(VLOOKUP(C130,MATERIAUX!$C$3:$G$1002,5,FALSE),"")</f>
        <v/>
      </c>
      <c r="H130" s="71" t="str">
        <f t="shared" si="65"/>
        <v/>
      </c>
      <c r="I130" s="394"/>
      <c r="J130" s="72"/>
      <c r="K130" s="72"/>
      <c r="L130" s="72" t="str">
        <f>IFERROR(VLOOKUP(J130,'MAIN D OEUVRE'!$A$4:$B$99,2,FALSE)*$N$2,"")</f>
        <v/>
      </c>
      <c r="M130" s="73" t="str">
        <f t="shared" si="77"/>
        <v/>
      </c>
      <c r="N130" s="397"/>
      <c r="O130">
        <f t="shared" si="79"/>
        <v>0</v>
      </c>
      <c r="P130">
        <f t="shared" si="82"/>
        <v>0</v>
      </c>
      <c r="Q130">
        <f t="shared" si="76"/>
        <v>0</v>
      </c>
    </row>
    <row r="131" spans="1:17">
      <c r="A131" s="388"/>
      <c r="B131" s="391"/>
      <c r="C131" s="69"/>
      <c r="D131" s="70"/>
      <c r="E131" s="146"/>
      <c r="F131" s="70" t="str">
        <f>IFERROR(VLOOKUP(C131,MATERIAUX!$C$3:$G$1002,3,FALSE),"")</f>
        <v/>
      </c>
      <c r="G131" s="71" t="str">
        <f>IFERROR(VLOOKUP(C131,MATERIAUX!$C$3:$G$1002,5,FALSE),"")</f>
        <v/>
      </c>
      <c r="H131" s="71" t="str">
        <f t="shared" si="65"/>
        <v/>
      </c>
      <c r="I131" s="394"/>
      <c r="J131" s="72"/>
      <c r="K131" s="72"/>
      <c r="L131" s="72"/>
      <c r="M131" s="73"/>
      <c r="N131" s="397"/>
      <c r="O131">
        <f t="shared" si="79"/>
        <v>0</v>
      </c>
      <c r="P131">
        <f t="shared" si="82"/>
        <v>0</v>
      </c>
      <c r="Q131">
        <f t="shared" si="76"/>
        <v>0</v>
      </c>
    </row>
    <row r="132" spans="1:17" ht="15" thickBot="1">
      <c r="A132" s="389"/>
      <c r="B132" s="392"/>
      <c r="C132" s="74"/>
      <c r="D132" s="75"/>
      <c r="E132" s="147"/>
      <c r="F132" s="70" t="str">
        <f>IFERROR(VLOOKUP(C132,MATERIAUX!$C$3:$G$1002,3,FALSE),"")</f>
        <v/>
      </c>
      <c r="G132" s="71" t="str">
        <f>IFERROR(VLOOKUP(C132,MATERIAUX!$C$3:$G$1002,5,FALSE),"")</f>
        <v/>
      </c>
      <c r="H132" s="76" t="str">
        <f t="shared" si="65"/>
        <v/>
      </c>
      <c r="I132" s="395"/>
      <c r="J132" s="77"/>
      <c r="K132" s="77"/>
      <c r="L132" s="77"/>
      <c r="M132" s="78"/>
      <c r="N132" s="398"/>
      <c r="O132">
        <f t="shared" si="79"/>
        <v>0</v>
      </c>
      <c r="P132">
        <f t="shared" si="82"/>
        <v>0</v>
      </c>
      <c r="Q132">
        <f t="shared" si="76"/>
        <v>0</v>
      </c>
    </row>
    <row r="133" spans="1:17">
      <c r="A133" s="387" t="s">
        <v>209</v>
      </c>
      <c r="B133" s="390" t="s">
        <v>21</v>
      </c>
      <c r="C133" s="69" t="s">
        <v>95</v>
      </c>
      <c r="D133" s="65">
        <f>ROUND(3.5*0.24*0.045,4)</f>
        <v>3.78E-2</v>
      </c>
      <c r="E133" s="145">
        <v>0.1</v>
      </c>
      <c r="F133" s="65" t="str">
        <f>IFERROR(VLOOKUP(C133,MATERIAUX!$C$3:$G$1002,3,FALSE),"")</f>
        <v>m3</v>
      </c>
      <c r="G133" s="66">
        <f>IFERROR(VLOOKUP(C133,MATERIAUX!$C$3:$G$1002,5,FALSE),"")</f>
        <v>483.50515463917532</v>
      </c>
      <c r="H133" s="66">
        <f t="shared" si="65"/>
        <v>20.100000000000001</v>
      </c>
      <c r="I133" s="393">
        <f t="shared" ref="I133" si="83">SUM(H133:H142)</f>
        <v>21.218998000000003</v>
      </c>
      <c r="J133" s="67" t="s">
        <v>194</v>
      </c>
      <c r="K133" s="67">
        <f>ROUNDUP(2-0.416/0.625,2)</f>
        <v>1.34</v>
      </c>
      <c r="L133" s="67">
        <f>IFERROR(VLOOKUP(J133,'MAIN D OEUVRE'!$A$4:$B$99,2,FALSE)*$N$2,"")</f>
        <v>5.5</v>
      </c>
      <c r="M133" s="68">
        <f t="shared" ref="M133:M140" si="84">IFERROR(ROUND(L133*K133,2),"")</f>
        <v>7.37</v>
      </c>
      <c r="N133" s="396">
        <f t="shared" ref="N133" si="85">SUM(M133:M142)</f>
        <v>8.83</v>
      </c>
      <c r="O133" s="350">
        <v>0</v>
      </c>
      <c r="P133">
        <f t="shared" si="82"/>
        <v>0</v>
      </c>
      <c r="Q133">
        <f t="shared" si="76"/>
        <v>0</v>
      </c>
    </row>
    <row r="134" spans="1:17">
      <c r="A134" s="388"/>
      <c r="B134" s="391"/>
      <c r="C134" s="69" t="s">
        <v>84</v>
      </c>
      <c r="D134" s="70">
        <v>21</v>
      </c>
      <c r="E134" s="146">
        <v>0</v>
      </c>
      <c r="F134" s="70" t="str">
        <f>IFERROR(VLOOKUP(C134,MATERIAUX!$C$3:$G$1002,3,FALSE),"")</f>
        <v>u</v>
      </c>
      <c r="G134" s="71">
        <f>IFERROR(VLOOKUP(C134,MATERIAUX!$C$3:$G$1002,5,FALSE),"")</f>
        <v>3.9175257731958769E-2</v>
      </c>
      <c r="H134" s="71">
        <f t="shared" si="65"/>
        <v>0.82</v>
      </c>
      <c r="I134" s="394"/>
      <c r="J134" s="72" t="s">
        <v>438</v>
      </c>
      <c r="K134" s="72">
        <f>D133*2</f>
        <v>7.5600000000000001E-2</v>
      </c>
      <c r="L134" s="72">
        <f>IFERROR(VLOOKUP(J134,'MAIN D OEUVRE'!$A$4:$B$99,2,FALSE)*$N$2,"")</f>
        <v>19.25</v>
      </c>
      <c r="M134" s="73">
        <f t="shared" si="84"/>
        <v>1.46</v>
      </c>
      <c r="N134" s="397"/>
      <c r="O134">
        <f>O133</f>
        <v>0</v>
      </c>
      <c r="P134">
        <f t="shared" si="82"/>
        <v>0</v>
      </c>
      <c r="Q134">
        <f t="shared" si="76"/>
        <v>0</v>
      </c>
    </row>
    <row r="135" spans="1:17">
      <c r="A135" s="388"/>
      <c r="B135" s="391"/>
      <c r="C135" s="287" t="s">
        <v>263</v>
      </c>
      <c r="D135" s="288">
        <v>1.06</v>
      </c>
      <c r="E135" s="146">
        <v>0.02</v>
      </c>
      <c r="F135" s="70" t="str">
        <f>IFERROR(VLOOKUP(C135,MATERIAUX!$C$3:$G$1002,3,FALSE),"")</f>
        <v>m2</v>
      </c>
      <c r="G135" s="71">
        <f>IFERROR(VLOOKUP(C135,MATERIAUX!$C$3:$G$1002,5,FALSE),"")</f>
        <v>7.315463917525773</v>
      </c>
      <c r="H135" s="71">
        <f>IFERROR(ROUND(G135*(1+E135)*D135,2)*D133,"")</f>
        <v>0.29899799999999999</v>
      </c>
      <c r="I135" s="394"/>
      <c r="J135" s="72"/>
      <c r="K135" s="72"/>
      <c r="L135" s="72" t="str">
        <f>IFERROR(VLOOKUP(J135,'MAIN D OEUVRE'!$A$4:$B$99,2,FALSE)*$N$2,"")</f>
        <v/>
      </c>
      <c r="M135" s="73" t="str">
        <f t="shared" si="84"/>
        <v/>
      </c>
      <c r="N135" s="397"/>
      <c r="O135" s="351">
        <f t="shared" ref="O135:O136" si="86">O134</f>
        <v>0</v>
      </c>
      <c r="P135" s="351">
        <f>O135*D135*(D132+D133)*1.02</f>
        <v>0</v>
      </c>
      <c r="Q135" s="351">
        <f t="shared" si="76"/>
        <v>0</v>
      </c>
    </row>
    <row r="136" spans="1:17">
      <c r="A136" s="388"/>
      <c r="B136" s="391"/>
      <c r="C136" s="69"/>
      <c r="D136" s="70"/>
      <c r="E136" s="146"/>
      <c r="F136" s="70" t="str">
        <f>IFERROR(VLOOKUP(C136,MATERIAUX!$C$3:$G$1002,3,FALSE),"")</f>
        <v/>
      </c>
      <c r="G136" s="71" t="str">
        <f>IFERROR(VLOOKUP(C136,MATERIAUX!$C$3:$G$1002,5,FALSE),"")</f>
        <v/>
      </c>
      <c r="H136" s="71" t="str">
        <f t="shared" si="65"/>
        <v/>
      </c>
      <c r="I136" s="394"/>
      <c r="J136" s="72"/>
      <c r="K136" s="72"/>
      <c r="L136" s="72" t="str">
        <f>IFERROR(VLOOKUP(J136,'MAIN D OEUVRE'!$A$4:$B$99,2,FALSE)*$N$2,"")</f>
        <v/>
      </c>
      <c r="M136" s="73" t="str">
        <f t="shared" si="84"/>
        <v/>
      </c>
      <c r="N136" s="397"/>
      <c r="O136">
        <f t="shared" si="86"/>
        <v>0</v>
      </c>
      <c r="P136">
        <f t="shared" ref="P136" si="87">(D136+D136*E136)*O136</f>
        <v>0</v>
      </c>
      <c r="Q136">
        <f t="shared" ref="Q136" si="88">IF(P136=0,0,P136*G136)</f>
        <v>0</v>
      </c>
    </row>
    <row r="137" spans="1:17">
      <c r="A137" s="388"/>
      <c r="B137" s="391"/>
      <c r="C137" s="69"/>
      <c r="D137" s="70"/>
      <c r="E137" s="146"/>
      <c r="F137" s="70" t="str">
        <f>IFERROR(VLOOKUP(C137,MATERIAUX!$C$3:$G$1002,3,FALSE),"")</f>
        <v/>
      </c>
      <c r="G137" s="71" t="str">
        <f>IFERROR(VLOOKUP(C137,MATERIAUX!$C$3:$G$1002,5,FALSE),"")</f>
        <v/>
      </c>
      <c r="H137" s="71" t="str">
        <f t="shared" si="65"/>
        <v/>
      </c>
      <c r="I137" s="394"/>
      <c r="J137" s="72"/>
      <c r="K137" s="72"/>
      <c r="L137" s="72" t="str">
        <f>IFERROR(VLOOKUP(J137,'MAIN D OEUVRE'!$A$4:$B$99,2,FALSE)*$N$2,"")</f>
        <v/>
      </c>
      <c r="M137" s="73" t="str">
        <f t="shared" si="84"/>
        <v/>
      </c>
      <c r="N137" s="397"/>
      <c r="O137">
        <f t="shared" ref="O137:O142" si="89">O136</f>
        <v>0</v>
      </c>
      <c r="P137">
        <f t="shared" ref="P137:P144" si="90">(D137+D137*E137)*O137</f>
        <v>0</v>
      </c>
      <c r="Q137">
        <f t="shared" si="76"/>
        <v>0</v>
      </c>
    </row>
    <row r="138" spans="1:17">
      <c r="A138" s="388"/>
      <c r="B138" s="391"/>
      <c r="C138" s="69"/>
      <c r="D138" s="70"/>
      <c r="E138" s="146"/>
      <c r="F138" s="70" t="str">
        <f>IFERROR(VLOOKUP(C138,MATERIAUX!$C$3:$G$1002,3,FALSE),"")</f>
        <v/>
      </c>
      <c r="G138" s="71" t="str">
        <f>IFERROR(VLOOKUP(C138,MATERIAUX!$C$3:$G$1002,5,FALSE),"")</f>
        <v/>
      </c>
      <c r="H138" s="71" t="str">
        <f t="shared" si="65"/>
        <v/>
      </c>
      <c r="I138" s="394"/>
      <c r="J138" s="72"/>
      <c r="K138" s="72"/>
      <c r="L138" s="72" t="str">
        <f>IFERROR(VLOOKUP(J138,'MAIN D OEUVRE'!$A$4:$B$99,2,FALSE)*$N$2,"")</f>
        <v/>
      </c>
      <c r="M138" s="73" t="str">
        <f t="shared" si="84"/>
        <v/>
      </c>
      <c r="N138" s="397"/>
      <c r="O138">
        <f t="shared" si="89"/>
        <v>0</v>
      </c>
      <c r="P138">
        <f t="shared" si="90"/>
        <v>0</v>
      </c>
      <c r="Q138">
        <f t="shared" si="76"/>
        <v>0</v>
      </c>
    </row>
    <row r="139" spans="1:17">
      <c r="A139" s="388"/>
      <c r="B139" s="391"/>
      <c r="C139" s="69"/>
      <c r="D139" s="70"/>
      <c r="E139" s="146"/>
      <c r="F139" s="70" t="str">
        <f>IFERROR(VLOOKUP(C139,MATERIAUX!$C$3:$G$1002,3,FALSE),"")</f>
        <v/>
      </c>
      <c r="G139" s="71" t="str">
        <f>IFERROR(VLOOKUP(C139,MATERIAUX!$C$3:$G$1002,5,FALSE),"")</f>
        <v/>
      </c>
      <c r="H139" s="71" t="str">
        <f t="shared" si="65"/>
        <v/>
      </c>
      <c r="I139" s="394"/>
      <c r="J139" s="72"/>
      <c r="K139" s="72"/>
      <c r="L139" s="72" t="str">
        <f>IFERROR(VLOOKUP(J139,'MAIN D OEUVRE'!$A$4:$B$99,2,FALSE)*$N$2,"")</f>
        <v/>
      </c>
      <c r="M139" s="73" t="str">
        <f t="shared" si="84"/>
        <v/>
      </c>
      <c r="N139" s="397"/>
      <c r="O139">
        <f t="shared" si="89"/>
        <v>0</v>
      </c>
      <c r="P139">
        <f t="shared" si="90"/>
        <v>0</v>
      </c>
      <c r="Q139">
        <f t="shared" si="76"/>
        <v>0</v>
      </c>
    </row>
    <row r="140" spans="1:17">
      <c r="A140" s="388"/>
      <c r="B140" s="391"/>
      <c r="C140" s="69"/>
      <c r="D140" s="70"/>
      <c r="E140" s="146"/>
      <c r="F140" s="70" t="str">
        <f>IFERROR(VLOOKUP(C140,MATERIAUX!$C$3:$G$1002,3,FALSE),"")</f>
        <v/>
      </c>
      <c r="G140" s="71" t="str">
        <f>IFERROR(VLOOKUP(C140,MATERIAUX!$C$3:$G$1002,5,FALSE),"")</f>
        <v/>
      </c>
      <c r="H140" s="71" t="str">
        <f t="shared" si="65"/>
        <v/>
      </c>
      <c r="I140" s="394"/>
      <c r="J140" s="72"/>
      <c r="K140" s="72"/>
      <c r="L140" s="72" t="str">
        <f>IFERROR(VLOOKUP(J140,'MAIN D OEUVRE'!$A$4:$B$99,2,FALSE)*$N$2,"")</f>
        <v/>
      </c>
      <c r="M140" s="73" t="str">
        <f t="shared" si="84"/>
        <v/>
      </c>
      <c r="N140" s="397"/>
      <c r="O140">
        <f t="shared" si="89"/>
        <v>0</v>
      </c>
      <c r="P140">
        <f t="shared" si="90"/>
        <v>0</v>
      </c>
      <c r="Q140">
        <f t="shared" si="76"/>
        <v>0</v>
      </c>
    </row>
    <row r="141" spans="1:17">
      <c r="A141" s="388"/>
      <c r="B141" s="391"/>
      <c r="C141" s="69"/>
      <c r="D141" s="70"/>
      <c r="E141" s="146"/>
      <c r="F141" s="70" t="str">
        <f>IFERROR(VLOOKUP(C141,MATERIAUX!$C$3:$G$1002,3,FALSE),"")</f>
        <v/>
      </c>
      <c r="G141" s="71" t="str">
        <f>IFERROR(VLOOKUP(C141,MATERIAUX!$C$3:$G$1002,5,FALSE),"")</f>
        <v/>
      </c>
      <c r="H141" s="71" t="str">
        <f t="shared" si="65"/>
        <v/>
      </c>
      <c r="I141" s="394"/>
      <c r="J141" s="72"/>
      <c r="K141" s="72"/>
      <c r="L141" s="72"/>
      <c r="M141" s="73"/>
      <c r="N141" s="397"/>
      <c r="O141">
        <f t="shared" si="89"/>
        <v>0</v>
      </c>
      <c r="P141">
        <f t="shared" si="90"/>
        <v>0</v>
      </c>
      <c r="Q141">
        <f t="shared" si="76"/>
        <v>0</v>
      </c>
    </row>
    <row r="142" spans="1:17" ht="15" thickBot="1">
      <c r="A142" s="389"/>
      <c r="B142" s="392"/>
      <c r="C142" s="74"/>
      <c r="D142" s="75"/>
      <c r="E142" s="147"/>
      <c r="F142" s="70" t="str">
        <f>IFERROR(VLOOKUP(C142,MATERIAUX!$C$3:$G$1002,3,FALSE),"")</f>
        <v/>
      </c>
      <c r="G142" s="71" t="str">
        <f>IFERROR(VLOOKUP(C142,MATERIAUX!$C$3:$G$1002,5,FALSE),"")</f>
        <v/>
      </c>
      <c r="H142" s="76" t="str">
        <f t="shared" si="65"/>
        <v/>
      </c>
      <c r="I142" s="395"/>
      <c r="J142" s="77"/>
      <c r="K142" s="77"/>
      <c r="L142" s="77"/>
      <c r="M142" s="78"/>
      <c r="N142" s="398"/>
      <c r="O142">
        <f t="shared" si="89"/>
        <v>0</v>
      </c>
      <c r="P142">
        <f t="shared" si="90"/>
        <v>0</v>
      </c>
      <c r="Q142">
        <f t="shared" si="76"/>
        <v>0</v>
      </c>
    </row>
    <row r="143" spans="1:17">
      <c r="A143" s="387" t="s">
        <v>210</v>
      </c>
      <c r="B143" s="390" t="s">
        <v>21</v>
      </c>
      <c r="C143" s="64" t="s">
        <v>95</v>
      </c>
      <c r="D143" s="65">
        <f>ROUND(3*0.24*0.045,4)</f>
        <v>3.2399999999999998E-2</v>
      </c>
      <c r="E143" s="145">
        <v>0.1</v>
      </c>
      <c r="F143" s="65" t="str">
        <f>IFERROR(VLOOKUP(C143,MATERIAUX!$C$3:$G$1002,3,FALSE),"")</f>
        <v>m3</v>
      </c>
      <c r="G143" s="66">
        <f>IFERROR(VLOOKUP(C143,MATERIAUX!$C$3:$G$1002,5,FALSE),"")</f>
        <v>483.50515463917532</v>
      </c>
      <c r="H143" s="66">
        <f t="shared" si="65"/>
        <v>17.23</v>
      </c>
      <c r="I143" s="393">
        <f>SUM(H143:H152)</f>
        <v>18.306284000000002</v>
      </c>
      <c r="J143" s="67" t="s">
        <v>194</v>
      </c>
      <c r="K143" s="67">
        <f>ROUNDUP(2-0.625/0.625,2)</f>
        <v>1</v>
      </c>
      <c r="L143" s="67">
        <f>IFERROR(VLOOKUP(J143,'MAIN D OEUVRE'!$A$4:$B$99,2,FALSE)*$N$2,"")</f>
        <v>5.5</v>
      </c>
      <c r="M143" s="68">
        <f t="shared" ref="M143:M150" si="91">IFERROR(ROUND(L143*K143,2),"")</f>
        <v>5.5</v>
      </c>
      <c r="N143" s="396">
        <f>SUM(M143:M152)</f>
        <v>6.75</v>
      </c>
      <c r="O143" s="350">
        <v>0</v>
      </c>
      <c r="P143">
        <f t="shared" si="90"/>
        <v>0</v>
      </c>
      <c r="Q143">
        <f t="shared" si="76"/>
        <v>0</v>
      </c>
    </row>
    <row r="144" spans="1:17">
      <c r="A144" s="388"/>
      <c r="B144" s="391"/>
      <c r="C144" s="69" t="s">
        <v>84</v>
      </c>
      <c r="D144" s="70">
        <v>21</v>
      </c>
      <c r="E144" s="146">
        <v>0</v>
      </c>
      <c r="F144" s="70" t="str">
        <f>IFERROR(VLOOKUP(C144,MATERIAUX!$C$3:$G$1002,3,FALSE),"")</f>
        <v>u</v>
      </c>
      <c r="G144" s="71">
        <f>IFERROR(VLOOKUP(C144,MATERIAUX!$C$3:$G$1002,5,FALSE),"")</f>
        <v>3.9175257731958769E-2</v>
      </c>
      <c r="H144" s="71">
        <f t="shared" si="65"/>
        <v>0.82</v>
      </c>
      <c r="I144" s="394"/>
      <c r="J144" s="72" t="s">
        <v>438</v>
      </c>
      <c r="K144" s="72">
        <f>D143*2</f>
        <v>6.4799999999999996E-2</v>
      </c>
      <c r="L144" s="72">
        <f>IFERROR(VLOOKUP(J144,'MAIN D OEUVRE'!$A$4:$B$99,2,FALSE)*$N$2,"")</f>
        <v>19.25</v>
      </c>
      <c r="M144" s="73">
        <f t="shared" si="91"/>
        <v>1.25</v>
      </c>
      <c r="N144" s="397"/>
      <c r="O144">
        <f>O143</f>
        <v>0</v>
      </c>
      <c r="P144">
        <f t="shared" si="90"/>
        <v>0</v>
      </c>
      <c r="Q144">
        <f t="shared" si="76"/>
        <v>0</v>
      </c>
    </row>
    <row r="145" spans="1:17">
      <c r="A145" s="388"/>
      <c r="B145" s="391"/>
      <c r="C145" s="287" t="s">
        <v>263</v>
      </c>
      <c r="D145" s="288">
        <v>1.06</v>
      </c>
      <c r="E145" s="146">
        <v>0.02</v>
      </c>
      <c r="F145" s="70" t="str">
        <f>IFERROR(VLOOKUP(C145,MATERIAUX!$C$3:$G$1002,3,FALSE),"")</f>
        <v>m2</v>
      </c>
      <c r="G145" s="71">
        <f>IFERROR(VLOOKUP(C145,MATERIAUX!$C$3:$G$1002,5,FALSE),"")</f>
        <v>7.315463917525773</v>
      </c>
      <c r="H145" s="71">
        <f>IFERROR(ROUND(G145*(1+E145)*D145,2)*D143,"")</f>
        <v>0.25628400000000001</v>
      </c>
      <c r="I145" s="394"/>
      <c r="J145" s="72"/>
      <c r="K145" s="72"/>
      <c r="L145" s="72" t="str">
        <f>IFERROR(VLOOKUP(J145,'MAIN D OEUVRE'!$A$4:$B$99,2,FALSE)*$N$2,"")</f>
        <v/>
      </c>
      <c r="M145" s="73" t="str">
        <f t="shared" si="91"/>
        <v/>
      </c>
      <c r="N145" s="397"/>
      <c r="O145" s="351">
        <f t="shared" ref="O145:O146" si="92">O144</f>
        <v>0</v>
      </c>
      <c r="P145" s="351">
        <f>O145*D145*(D142+D143)*1.02</f>
        <v>0</v>
      </c>
      <c r="Q145" s="351">
        <f t="shared" si="76"/>
        <v>0</v>
      </c>
    </row>
    <row r="146" spans="1:17">
      <c r="A146" s="388"/>
      <c r="B146" s="391"/>
      <c r="C146" s="69"/>
      <c r="D146" s="70"/>
      <c r="E146" s="146"/>
      <c r="F146" s="70" t="str">
        <f>IFERROR(VLOOKUP(C146,MATERIAUX!$C$3:$G$1002,3,FALSE),"")</f>
        <v/>
      </c>
      <c r="G146" s="71" t="str">
        <f>IFERROR(VLOOKUP(C146,MATERIAUX!$C$3:$G$1002,5,FALSE),"")</f>
        <v/>
      </c>
      <c r="H146" s="71" t="str">
        <f t="shared" si="65"/>
        <v/>
      </c>
      <c r="I146" s="394"/>
      <c r="J146" s="72"/>
      <c r="K146" s="72"/>
      <c r="L146" s="72" t="str">
        <f>IFERROR(VLOOKUP(J146,'MAIN D OEUVRE'!$A$4:$B$99,2,FALSE)*$N$2,"")</f>
        <v/>
      </c>
      <c r="M146" s="73" t="str">
        <f t="shared" si="91"/>
        <v/>
      </c>
      <c r="N146" s="397"/>
      <c r="O146">
        <f t="shared" si="92"/>
        <v>0</v>
      </c>
      <c r="P146">
        <f t="shared" ref="P146" si="93">(D146+D146*E146)*O146</f>
        <v>0</v>
      </c>
      <c r="Q146">
        <f t="shared" ref="Q146" si="94">IF(P146=0,0,P146*G146)</f>
        <v>0</v>
      </c>
    </row>
    <row r="147" spans="1:17">
      <c r="A147" s="388"/>
      <c r="B147" s="391"/>
      <c r="C147" s="69"/>
      <c r="D147" s="70"/>
      <c r="E147" s="146"/>
      <c r="F147" s="70" t="str">
        <f>IFERROR(VLOOKUP(C147,MATERIAUX!$C$3:$G$1002,3,FALSE),"")</f>
        <v/>
      </c>
      <c r="G147" s="71" t="str">
        <f>IFERROR(VLOOKUP(C147,MATERIAUX!$C$3:$G$1002,5,FALSE),"")</f>
        <v/>
      </c>
      <c r="H147" s="71" t="str">
        <f t="shared" si="65"/>
        <v/>
      </c>
      <c r="I147" s="394"/>
      <c r="J147" s="72"/>
      <c r="K147" s="72"/>
      <c r="L147" s="72" t="str">
        <f>IFERROR(VLOOKUP(J147,'MAIN D OEUVRE'!$A$4:$B$99,2,FALSE)*$N$2,"")</f>
        <v/>
      </c>
      <c r="M147" s="73" t="str">
        <f t="shared" si="91"/>
        <v/>
      </c>
      <c r="N147" s="397"/>
      <c r="O147">
        <f t="shared" ref="O147:O152" si="95">O146</f>
        <v>0</v>
      </c>
      <c r="P147">
        <f t="shared" ref="P147:P154" si="96">(D147+D147*E147)*O147</f>
        <v>0</v>
      </c>
      <c r="Q147">
        <f t="shared" si="76"/>
        <v>0</v>
      </c>
    </row>
    <row r="148" spans="1:17">
      <c r="A148" s="388"/>
      <c r="B148" s="391"/>
      <c r="C148" s="69"/>
      <c r="D148" s="70"/>
      <c r="E148" s="146"/>
      <c r="F148" s="70" t="str">
        <f>IFERROR(VLOOKUP(C148,MATERIAUX!$C$3:$G$1002,3,FALSE),"")</f>
        <v/>
      </c>
      <c r="G148" s="71" t="str">
        <f>IFERROR(VLOOKUP(C148,MATERIAUX!$C$3:$G$1002,5,FALSE),"")</f>
        <v/>
      </c>
      <c r="H148" s="71" t="str">
        <f t="shared" si="65"/>
        <v/>
      </c>
      <c r="I148" s="394"/>
      <c r="J148" s="72"/>
      <c r="K148" s="72"/>
      <c r="L148" s="72" t="str">
        <f>IFERROR(VLOOKUP(J148,'MAIN D OEUVRE'!$A$4:$B$99,2,FALSE)*$N$2,"")</f>
        <v/>
      </c>
      <c r="M148" s="73" t="str">
        <f t="shared" si="91"/>
        <v/>
      </c>
      <c r="N148" s="397"/>
      <c r="O148">
        <f t="shared" si="95"/>
        <v>0</v>
      </c>
      <c r="P148">
        <f t="shared" si="96"/>
        <v>0</v>
      </c>
      <c r="Q148">
        <f t="shared" si="76"/>
        <v>0</v>
      </c>
    </row>
    <row r="149" spans="1:17">
      <c r="A149" s="388"/>
      <c r="B149" s="391"/>
      <c r="C149" s="69"/>
      <c r="D149" s="70"/>
      <c r="E149" s="146"/>
      <c r="F149" s="70" t="str">
        <f>IFERROR(VLOOKUP(C149,MATERIAUX!$C$3:$G$1002,3,FALSE),"")</f>
        <v/>
      </c>
      <c r="G149" s="71" t="str">
        <f>IFERROR(VLOOKUP(C149,MATERIAUX!$C$3:$G$1002,5,FALSE),"")</f>
        <v/>
      </c>
      <c r="H149" s="71" t="str">
        <f t="shared" si="65"/>
        <v/>
      </c>
      <c r="I149" s="394"/>
      <c r="J149" s="72"/>
      <c r="K149" s="72"/>
      <c r="L149" s="72" t="str">
        <f>IFERROR(VLOOKUP(J149,'MAIN D OEUVRE'!$A$4:$B$99,2,FALSE)*$N$2,"")</f>
        <v/>
      </c>
      <c r="M149" s="73" t="str">
        <f t="shared" si="91"/>
        <v/>
      </c>
      <c r="N149" s="397"/>
      <c r="O149">
        <f t="shared" si="95"/>
        <v>0</v>
      </c>
      <c r="P149">
        <f t="shared" si="96"/>
        <v>0</v>
      </c>
      <c r="Q149">
        <f t="shared" si="76"/>
        <v>0</v>
      </c>
    </row>
    <row r="150" spans="1:17">
      <c r="A150" s="388"/>
      <c r="B150" s="391"/>
      <c r="C150" s="69"/>
      <c r="D150" s="70"/>
      <c r="E150" s="146"/>
      <c r="F150" s="70" t="str">
        <f>IFERROR(VLOOKUP(C150,MATERIAUX!$C$3:$G$1002,3,FALSE),"")</f>
        <v/>
      </c>
      <c r="G150" s="71" t="str">
        <f>IFERROR(VLOOKUP(C150,MATERIAUX!$C$3:$G$1002,5,FALSE),"")</f>
        <v/>
      </c>
      <c r="H150" s="71" t="str">
        <f t="shared" si="65"/>
        <v/>
      </c>
      <c r="I150" s="394"/>
      <c r="J150" s="72"/>
      <c r="K150" s="72"/>
      <c r="L150" s="72" t="str">
        <f>IFERROR(VLOOKUP(J150,'MAIN D OEUVRE'!$A$4:$B$99,2,FALSE)*$N$2,"")</f>
        <v/>
      </c>
      <c r="M150" s="73" t="str">
        <f t="shared" si="91"/>
        <v/>
      </c>
      <c r="N150" s="397"/>
      <c r="O150">
        <f t="shared" si="95"/>
        <v>0</v>
      </c>
      <c r="P150">
        <f t="shared" si="96"/>
        <v>0</v>
      </c>
      <c r="Q150">
        <f t="shared" si="76"/>
        <v>0</v>
      </c>
    </row>
    <row r="151" spans="1:17">
      <c r="A151" s="388"/>
      <c r="B151" s="391"/>
      <c r="C151" s="69"/>
      <c r="D151" s="70"/>
      <c r="E151" s="146"/>
      <c r="F151" s="70" t="str">
        <f>IFERROR(VLOOKUP(C151,MATERIAUX!$C$3:$G$1002,3,FALSE),"")</f>
        <v/>
      </c>
      <c r="G151" s="71" t="str">
        <f>IFERROR(VLOOKUP(C151,MATERIAUX!$C$3:$G$1002,5,FALSE),"")</f>
        <v/>
      </c>
      <c r="H151" s="71" t="str">
        <f t="shared" si="65"/>
        <v/>
      </c>
      <c r="I151" s="394"/>
      <c r="J151" s="72"/>
      <c r="K151" s="72"/>
      <c r="L151" s="72"/>
      <c r="M151" s="73"/>
      <c r="N151" s="397"/>
      <c r="O151">
        <f t="shared" si="95"/>
        <v>0</v>
      </c>
      <c r="P151">
        <f t="shared" si="96"/>
        <v>0</v>
      </c>
      <c r="Q151">
        <f t="shared" si="76"/>
        <v>0</v>
      </c>
    </row>
    <row r="152" spans="1:17" ht="15" thickBot="1">
      <c r="A152" s="389"/>
      <c r="B152" s="392"/>
      <c r="C152" s="74"/>
      <c r="D152" s="75"/>
      <c r="E152" s="147"/>
      <c r="F152" s="70" t="str">
        <f>IFERROR(VLOOKUP(C152,MATERIAUX!$C$3:$G$1002,3,FALSE),"")</f>
        <v/>
      </c>
      <c r="G152" s="71" t="str">
        <f>IFERROR(VLOOKUP(C152,MATERIAUX!$C$3:$G$1002,5,FALSE),"")</f>
        <v/>
      </c>
      <c r="H152" s="76" t="str">
        <f t="shared" si="65"/>
        <v/>
      </c>
      <c r="I152" s="395"/>
      <c r="J152" s="77"/>
      <c r="K152" s="77"/>
      <c r="L152" s="77"/>
      <c r="M152" s="78"/>
      <c r="N152" s="398"/>
      <c r="O152">
        <f t="shared" si="95"/>
        <v>0</v>
      </c>
      <c r="P152">
        <f t="shared" si="96"/>
        <v>0</v>
      </c>
      <c r="Q152">
        <f t="shared" si="76"/>
        <v>0</v>
      </c>
    </row>
    <row r="153" spans="1:17">
      <c r="A153" s="387" t="s">
        <v>211</v>
      </c>
      <c r="B153" s="390" t="s">
        <v>21</v>
      </c>
      <c r="C153" s="69" t="s">
        <v>96</v>
      </c>
      <c r="D153" s="65">
        <f>ROUND(5*0.26*0.045,4)</f>
        <v>5.8500000000000003E-2</v>
      </c>
      <c r="E153" s="145">
        <v>0.1</v>
      </c>
      <c r="F153" s="65" t="str">
        <f>IFERROR(VLOOKUP(C153,MATERIAUX!$C$3:$G$1002,3,FALSE),"")</f>
        <v>m3</v>
      </c>
      <c r="G153" s="66">
        <f>IFERROR(VLOOKUP(C153,MATERIAUX!$C$3:$G$1002,5,FALSE),"")</f>
        <v>483.50515463917532</v>
      </c>
      <c r="H153" s="66">
        <f t="shared" si="65"/>
        <v>31.11</v>
      </c>
      <c r="I153" s="393">
        <f t="shared" ref="I153" si="97">SUM(H153:H162)</f>
        <v>32.392735000000002</v>
      </c>
      <c r="J153" s="67" t="s">
        <v>194</v>
      </c>
      <c r="K153" s="67">
        <f>ROUNDUP(2-0.25/0.625,2)</f>
        <v>1.6</v>
      </c>
      <c r="L153" s="67">
        <f>IFERROR(VLOOKUP(J153,'MAIN D OEUVRE'!$A$4:$B$99,2,FALSE)*$N$2,"")</f>
        <v>5.5</v>
      </c>
      <c r="M153" s="68">
        <f t="shared" ref="M153:M160" si="98">IFERROR(ROUND(L153*K153,2),"")</f>
        <v>8.8000000000000007</v>
      </c>
      <c r="N153" s="396">
        <f t="shared" ref="N153" si="99">SUM(M153:M162)</f>
        <v>11.05</v>
      </c>
      <c r="O153" s="350">
        <v>0</v>
      </c>
      <c r="P153">
        <f t="shared" si="96"/>
        <v>0</v>
      </c>
      <c r="Q153">
        <f t="shared" si="76"/>
        <v>0</v>
      </c>
    </row>
    <row r="154" spans="1:17">
      <c r="A154" s="388"/>
      <c r="B154" s="391"/>
      <c r="C154" s="69" t="s">
        <v>84</v>
      </c>
      <c r="D154" s="70">
        <v>21</v>
      </c>
      <c r="E154" s="146">
        <v>0</v>
      </c>
      <c r="F154" s="70" t="str">
        <f>IFERROR(VLOOKUP(C154,MATERIAUX!$C$3:$G$1002,3,FALSE),"")</f>
        <v>u</v>
      </c>
      <c r="G154" s="71">
        <f>IFERROR(VLOOKUP(C154,MATERIAUX!$C$3:$G$1002,5,FALSE),"")</f>
        <v>3.9175257731958769E-2</v>
      </c>
      <c r="H154" s="71">
        <f t="shared" si="65"/>
        <v>0.82</v>
      </c>
      <c r="I154" s="394"/>
      <c r="J154" s="72" t="s">
        <v>438</v>
      </c>
      <c r="K154" s="72">
        <f>D153*2</f>
        <v>0.11700000000000001</v>
      </c>
      <c r="L154" s="72">
        <f>IFERROR(VLOOKUP(J154,'MAIN D OEUVRE'!$A$4:$B$99,2,FALSE)*$N$2,"")</f>
        <v>19.25</v>
      </c>
      <c r="M154" s="73">
        <f t="shared" si="98"/>
        <v>2.25</v>
      </c>
      <c r="N154" s="397"/>
      <c r="O154">
        <f>O153</f>
        <v>0</v>
      </c>
      <c r="P154">
        <f t="shared" si="96"/>
        <v>0</v>
      </c>
      <c r="Q154">
        <f t="shared" si="76"/>
        <v>0</v>
      </c>
    </row>
    <row r="155" spans="1:17">
      <c r="A155" s="388"/>
      <c r="B155" s="391"/>
      <c r="C155" s="287" t="s">
        <v>263</v>
      </c>
      <c r="D155" s="288">
        <v>1.06</v>
      </c>
      <c r="E155" s="146">
        <v>0.02</v>
      </c>
      <c r="F155" s="70" t="str">
        <f>IFERROR(VLOOKUP(C155,MATERIAUX!$C$3:$G$1002,3,FALSE),"")</f>
        <v>m2</v>
      </c>
      <c r="G155" s="71">
        <f>IFERROR(VLOOKUP(C155,MATERIAUX!$C$3:$G$1002,5,FALSE),"")</f>
        <v>7.315463917525773</v>
      </c>
      <c r="H155" s="71">
        <f>IFERROR(ROUND(G155*(1+E155)*D155,2)*D153,"")</f>
        <v>0.46273500000000001</v>
      </c>
      <c r="I155" s="394"/>
      <c r="J155" s="72"/>
      <c r="K155" s="72"/>
      <c r="L155" s="72" t="str">
        <f>IFERROR(VLOOKUP(J155,'MAIN D OEUVRE'!$A$4:$B$99,2,FALSE)*$N$2,"")</f>
        <v/>
      </c>
      <c r="M155" s="73" t="str">
        <f t="shared" si="98"/>
        <v/>
      </c>
      <c r="N155" s="397"/>
      <c r="O155" s="351">
        <f t="shared" ref="O155:O156" si="100">O154</f>
        <v>0</v>
      </c>
      <c r="P155" s="351">
        <f>O155*D155*(D152+D153)*1.02</f>
        <v>0</v>
      </c>
      <c r="Q155" s="351">
        <f t="shared" si="76"/>
        <v>0</v>
      </c>
    </row>
    <row r="156" spans="1:17">
      <c r="A156" s="388"/>
      <c r="B156" s="391"/>
      <c r="C156" s="69"/>
      <c r="D156" s="70"/>
      <c r="E156" s="146"/>
      <c r="F156" s="70" t="str">
        <f>IFERROR(VLOOKUP(C156,MATERIAUX!$C$3:$G$1002,3,FALSE),"")</f>
        <v/>
      </c>
      <c r="G156" s="71" t="str">
        <f>IFERROR(VLOOKUP(C156,MATERIAUX!$C$3:$G$1002,5,FALSE),"")</f>
        <v/>
      </c>
      <c r="H156" s="71" t="str">
        <f t="shared" si="65"/>
        <v/>
      </c>
      <c r="I156" s="394"/>
      <c r="J156" s="72"/>
      <c r="K156" s="72"/>
      <c r="L156" s="72" t="str">
        <f>IFERROR(VLOOKUP(J156,'MAIN D OEUVRE'!$A$4:$B$99,2,FALSE)*$N$2,"")</f>
        <v/>
      </c>
      <c r="M156" s="73" t="str">
        <f t="shared" si="98"/>
        <v/>
      </c>
      <c r="N156" s="397"/>
      <c r="O156">
        <f t="shared" si="100"/>
        <v>0</v>
      </c>
      <c r="P156">
        <f t="shared" ref="P156" si="101">(D156+D156*E156)*O156</f>
        <v>0</v>
      </c>
      <c r="Q156">
        <f t="shared" ref="Q156" si="102">IF(P156=0,0,P156*G156)</f>
        <v>0</v>
      </c>
    </row>
    <row r="157" spans="1:17">
      <c r="A157" s="388"/>
      <c r="B157" s="391"/>
      <c r="C157" s="69"/>
      <c r="D157" s="70"/>
      <c r="E157" s="146"/>
      <c r="F157" s="70" t="str">
        <f>IFERROR(VLOOKUP(C157,MATERIAUX!$C$3:$G$1002,3,FALSE),"")</f>
        <v/>
      </c>
      <c r="G157" s="71" t="str">
        <f>IFERROR(VLOOKUP(C157,MATERIAUX!$C$3:$G$1002,5,FALSE),"")</f>
        <v/>
      </c>
      <c r="H157" s="71" t="str">
        <f t="shared" si="65"/>
        <v/>
      </c>
      <c r="I157" s="394"/>
      <c r="J157" s="72"/>
      <c r="K157" s="72"/>
      <c r="L157" s="72" t="str">
        <f>IFERROR(VLOOKUP(J157,'MAIN D OEUVRE'!$A$4:$B$99,2,FALSE)*$N$2,"")</f>
        <v/>
      </c>
      <c r="M157" s="73" t="str">
        <f t="shared" si="98"/>
        <v/>
      </c>
      <c r="N157" s="397"/>
      <c r="O157">
        <f t="shared" ref="O157:O162" si="103">O156</f>
        <v>0</v>
      </c>
      <c r="P157">
        <f t="shared" ref="P157:P164" si="104">(D157+D157*E157)*O157</f>
        <v>0</v>
      </c>
      <c r="Q157">
        <f t="shared" si="76"/>
        <v>0</v>
      </c>
    </row>
    <row r="158" spans="1:17">
      <c r="A158" s="388"/>
      <c r="B158" s="391"/>
      <c r="C158" s="69"/>
      <c r="D158" s="70"/>
      <c r="E158" s="146"/>
      <c r="F158" s="70" t="str">
        <f>IFERROR(VLOOKUP(C158,MATERIAUX!$C$3:$G$1002,3,FALSE),"")</f>
        <v/>
      </c>
      <c r="G158" s="71" t="str">
        <f>IFERROR(VLOOKUP(C158,MATERIAUX!$C$3:$G$1002,5,FALSE),"")</f>
        <v/>
      </c>
      <c r="H158" s="71" t="str">
        <f t="shared" si="65"/>
        <v/>
      </c>
      <c r="I158" s="394"/>
      <c r="J158" s="72"/>
      <c r="K158" s="72"/>
      <c r="L158" s="72" t="str">
        <f>IFERROR(VLOOKUP(J158,'MAIN D OEUVRE'!$A$4:$B$99,2,FALSE)*$N$2,"")</f>
        <v/>
      </c>
      <c r="M158" s="73" t="str">
        <f t="shared" si="98"/>
        <v/>
      </c>
      <c r="N158" s="397"/>
      <c r="O158">
        <f t="shared" si="103"/>
        <v>0</v>
      </c>
      <c r="P158">
        <f t="shared" si="104"/>
        <v>0</v>
      </c>
      <c r="Q158">
        <f t="shared" si="76"/>
        <v>0</v>
      </c>
    </row>
    <row r="159" spans="1:17">
      <c r="A159" s="388"/>
      <c r="B159" s="391"/>
      <c r="C159" s="69"/>
      <c r="D159" s="70"/>
      <c r="E159" s="146"/>
      <c r="F159" s="70" t="str">
        <f>IFERROR(VLOOKUP(C159,MATERIAUX!$C$3:$G$1002,3,FALSE),"")</f>
        <v/>
      </c>
      <c r="G159" s="71" t="str">
        <f>IFERROR(VLOOKUP(C159,MATERIAUX!$C$3:$G$1002,5,FALSE),"")</f>
        <v/>
      </c>
      <c r="H159" s="71" t="str">
        <f t="shared" si="65"/>
        <v/>
      </c>
      <c r="I159" s="394"/>
      <c r="J159" s="72"/>
      <c r="K159" s="72"/>
      <c r="L159" s="72" t="str">
        <f>IFERROR(VLOOKUP(J159,'MAIN D OEUVRE'!$A$4:$B$99,2,FALSE)*$N$2,"")</f>
        <v/>
      </c>
      <c r="M159" s="73" t="str">
        <f t="shared" si="98"/>
        <v/>
      </c>
      <c r="N159" s="397"/>
      <c r="O159">
        <f t="shared" si="103"/>
        <v>0</v>
      </c>
      <c r="P159">
        <f t="shared" si="104"/>
        <v>0</v>
      </c>
      <c r="Q159">
        <f t="shared" si="76"/>
        <v>0</v>
      </c>
    </row>
    <row r="160" spans="1:17">
      <c r="A160" s="388"/>
      <c r="B160" s="391"/>
      <c r="C160" s="69"/>
      <c r="D160" s="70"/>
      <c r="E160" s="146"/>
      <c r="F160" s="70" t="str">
        <f>IFERROR(VLOOKUP(C160,MATERIAUX!$C$3:$G$1002,3,FALSE),"")</f>
        <v/>
      </c>
      <c r="G160" s="71" t="str">
        <f>IFERROR(VLOOKUP(C160,MATERIAUX!$C$3:$G$1002,5,FALSE),"")</f>
        <v/>
      </c>
      <c r="H160" s="71" t="str">
        <f t="shared" si="65"/>
        <v/>
      </c>
      <c r="I160" s="394"/>
      <c r="J160" s="72"/>
      <c r="K160" s="72"/>
      <c r="L160" s="72" t="str">
        <f>IFERROR(VLOOKUP(J160,'MAIN D OEUVRE'!$A$4:$B$99,2,FALSE)*$N$2,"")</f>
        <v/>
      </c>
      <c r="M160" s="73" t="str">
        <f t="shared" si="98"/>
        <v/>
      </c>
      <c r="N160" s="397"/>
      <c r="O160">
        <f t="shared" si="103"/>
        <v>0</v>
      </c>
      <c r="P160">
        <f t="shared" si="104"/>
        <v>0</v>
      </c>
      <c r="Q160">
        <f t="shared" si="76"/>
        <v>0</v>
      </c>
    </row>
    <row r="161" spans="1:17">
      <c r="A161" s="388"/>
      <c r="B161" s="391"/>
      <c r="C161" s="69"/>
      <c r="D161" s="70"/>
      <c r="E161" s="146"/>
      <c r="F161" s="70" t="str">
        <f>IFERROR(VLOOKUP(C161,MATERIAUX!$C$3:$G$1002,3,FALSE),"")</f>
        <v/>
      </c>
      <c r="G161" s="71" t="str">
        <f>IFERROR(VLOOKUP(C161,MATERIAUX!$C$3:$G$1002,5,FALSE),"")</f>
        <v/>
      </c>
      <c r="H161" s="71" t="str">
        <f t="shared" si="65"/>
        <v/>
      </c>
      <c r="I161" s="394"/>
      <c r="J161" s="72"/>
      <c r="K161" s="72"/>
      <c r="L161" s="72"/>
      <c r="M161" s="73"/>
      <c r="N161" s="397"/>
      <c r="O161">
        <f t="shared" si="103"/>
        <v>0</v>
      </c>
      <c r="P161">
        <f t="shared" si="104"/>
        <v>0</v>
      </c>
      <c r="Q161">
        <f t="shared" si="76"/>
        <v>0</v>
      </c>
    </row>
    <row r="162" spans="1:17" ht="15" thickBot="1">
      <c r="A162" s="389"/>
      <c r="B162" s="392"/>
      <c r="C162" s="74"/>
      <c r="D162" s="75"/>
      <c r="E162" s="147"/>
      <c r="F162" s="70" t="str">
        <f>IFERROR(VLOOKUP(C162,MATERIAUX!$C$3:$G$1002,3,FALSE),"")</f>
        <v/>
      </c>
      <c r="G162" s="71" t="str">
        <f>IFERROR(VLOOKUP(C162,MATERIAUX!$C$3:$G$1002,5,FALSE),"")</f>
        <v/>
      </c>
      <c r="H162" s="76" t="str">
        <f t="shared" ref="H162:H235" si="105">IFERROR(ROUND(G162*(1+E162)*D162,2),"")</f>
        <v/>
      </c>
      <c r="I162" s="395"/>
      <c r="J162" s="77"/>
      <c r="K162" s="77"/>
      <c r="L162" s="77"/>
      <c r="M162" s="78"/>
      <c r="N162" s="398"/>
      <c r="O162">
        <f t="shared" si="103"/>
        <v>0</v>
      </c>
      <c r="P162">
        <f t="shared" si="104"/>
        <v>0</v>
      </c>
      <c r="Q162">
        <f t="shared" si="76"/>
        <v>0</v>
      </c>
    </row>
    <row r="163" spans="1:17">
      <c r="A163" s="387" t="s">
        <v>212</v>
      </c>
      <c r="B163" s="390" t="s">
        <v>21</v>
      </c>
      <c r="C163" s="69" t="s">
        <v>96</v>
      </c>
      <c r="D163" s="280">
        <f>ROUND(5.8*0.26*0.045,4)</f>
        <v>6.7900000000000002E-2</v>
      </c>
      <c r="E163" s="145">
        <v>0.1</v>
      </c>
      <c r="F163" s="65" t="str">
        <f>IFERROR(VLOOKUP(C163,MATERIAUX!$C$3:$G$1002,3,FALSE),"")</f>
        <v>m3</v>
      </c>
      <c r="G163" s="66">
        <f>IFERROR(VLOOKUP(C163,MATERIAUX!$C$3:$G$1002,5,FALSE),"")</f>
        <v>483.50515463917532</v>
      </c>
      <c r="H163" s="66">
        <f t="shared" si="105"/>
        <v>36.11</v>
      </c>
      <c r="I163" s="393">
        <f t="shared" ref="I163" si="106">SUM(H163:H172)</f>
        <v>37.467089000000001</v>
      </c>
      <c r="J163" s="67" t="s">
        <v>194</v>
      </c>
      <c r="K163" s="67">
        <f>ROUNDUP(2-0.313/0.625,2)</f>
        <v>1.5</v>
      </c>
      <c r="L163" s="67">
        <f>IFERROR(VLOOKUP(J163,'MAIN D OEUVRE'!$A$4:$B$99,2,FALSE)*$N$2,"")</f>
        <v>5.5</v>
      </c>
      <c r="M163" s="68">
        <f t="shared" ref="M163:M170" si="107">IFERROR(ROUND(L163*K163,2),"")</f>
        <v>8.25</v>
      </c>
      <c r="N163" s="396">
        <f t="shared" ref="N163" si="108">SUM(M163:M172)</f>
        <v>10.86</v>
      </c>
      <c r="O163" s="350">
        <v>0</v>
      </c>
      <c r="P163">
        <f t="shared" si="104"/>
        <v>0</v>
      </c>
      <c r="Q163">
        <f t="shared" si="76"/>
        <v>0</v>
      </c>
    </row>
    <row r="164" spans="1:17">
      <c r="A164" s="388"/>
      <c r="B164" s="391"/>
      <c r="C164" s="69" t="s">
        <v>84</v>
      </c>
      <c r="D164" s="70">
        <v>21</v>
      </c>
      <c r="E164" s="146">
        <v>0</v>
      </c>
      <c r="F164" s="70" t="str">
        <f>IFERROR(VLOOKUP(C164,MATERIAUX!$C$3:$G$1002,3,FALSE),"")</f>
        <v>u</v>
      </c>
      <c r="G164" s="71">
        <f>IFERROR(VLOOKUP(C164,MATERIAUX!$C$3:$G$1002,5,FALSE),"")</f>
        <v>3.9175257731958769E-2</v>
      </c>
      <c r="H164" s="71">
        <f t="shared" si="105"/>
        <v>0.82</v>
      </c>
      <c r="I164" s="394"/>
      <c r="J164" s="72" t="s">
        <v>438</v>
      </c>
      <c r="K164" s="72">
        <f>D163*2</f>
        <v>0.1358</v>
      </c>
      <c r="L164" s="72">
        <f>IFERROR(VLOOKUP(J164,'MAIN D OEUVRE'!$A$4:$B$99,2,FALSE)*$N$2,"")</f>
        <v>19.25</v>
      </c>
      <c r="M164" s="73">
        <f t="shared" si="107"/>
        <v>2.61</v>
      </c>
      <c r="N164" s="397"/>
      <c r="O164">
        <f>O163</f>
        <v>0</v>
      </c>
      <c r="P164">
        <f t="shared" si="104"/>
        <v>0</v>
      </c>
      <c r="Q164">
        <f t="shared" si="76"/>
        <v>0</v>
      </c>
    </row>
    <row r="165" spans="1:17">
      <c r="A165" s="388"/>
      <c r="B165" s="391"/>
      <c r="C165" s="287" t="s">
        <v>263</v>
      </c>
      <c r="D165" s="288">
        <v>1.06</v>
      </c>
      <c r="E165" s="146">
        <v>0.02</v>
      </c>
      <c r="F165" s="70" t="str">
        <f>IFERROR(VLOOKUP(C165,MATERIAUX!$C$3:$G$1002,3,FALSE),"")</f>
        <v>m2</v>
      </c>
      <c r="G165" s="71">
        <f>IFERROR(VLOOKUP(C165,MATERIAUX!$C$3:$G$1002,5,FALSE),"")</f>
        <v>7.315463917525773</v>
      </c>
      <c r="H165" s="71">
        <f>IFERROR(ROUND(G165*(1+E165)*D165,2)*D163,"")</f>
        <v>0.53708900000000004</v>
      </c>
      <c r="I165" s="394"/>
      <c r="J165" s="72"/>
      <c r="K165" s="72"/>
      <c r="L165" s="72" t="str">
        <f>IFERROR(VLOOKUP(J165,'MAIN D OEUVRE'!$A$4:$B$99,2,FALSE)*$N$2,"")</f>
        <v/>
      </c>
      <c r="M165" s="73" t="str">
        <f t="shared" si="107"/>
        <v/>
      </c>
      <c r="N165" s="397"/>
      <c r="O165" s="351">
        <f t="shared" ref="O165" si="109">O164</f>
        <v>0</v>
      </c>
      <c r="P165" s="351">
        <f>O165*D165*(D162+D163)*1.02</f>
        <v>0</v>
      </c>
      <c r="Q165" s="351">
        <f t="shared" si="76"/>
        <v>0</v>
      </c>
    </row>
    <row r="166" spans="1:17">
      <c r="A166" s="388"/>
      <c r="B166" s="391"/>
      <c r="C166" s="69"/>
      <c r="D166" s="70"/>
      <c r="E166" s="146"/>
      <c r="F166" s="70" t="str">
        <f>IFERROR(VLOOKUP(C166,MATERIAUX!$C$3:$G$1002,3,FALSE),"")</f>
        <v/>
      </c>
      <c r="G166" s="71" t="str">
        <f>IFERROR(VLOOKUP(C166,MATERIAUX!$C$3:$G$1002,5,FALSE),"")</f>
        <v/>
      </c>
      <c r="H166" s="71" t="str">
        <f t="shared" si="105"/>
        <v/>
      </c>
      <c r="I166" s="394"/>
      <c r="J166" s="72"/>
      <c r="K166" s="72"/>
      <c r="L166" s="72" t="str">
        <f>IFERROR(VLOOKUP(J166,'MAIN D OEUVRE'!$A$4:$B$99,2,FALSE)*$N$2,"")</f>
        <v/>
      </c>
      <c r="M166" s="73" t="str">
        <f t="shared" si="107"/>
        <v/>
      </c>
      <c r="N166" s="397"/>
      <c r="O166">
        <f t="shared" ref="O166:O172" si="110">O165</f>
        <v>0</v>
      </c>
      <c r="P166">
        <f t="shared" ref="P166:P174" si="111">(D166+D166*E166)*O166</f>
        <v>0</v>
      </c>
      <c r="Q166">
        <f t="shared" ref="Q166:Q175" si="112">IF(P166=0,0,P166*G166)</f>
        <v>0</v>
      </c>
    </row>
    <row r="167" spans="1:17">
      <c r="A167" s="388"/>
      <c r="B167" s="391"/>
      <c r="C167" s="69"/>
      <c r="D167" s="70"/>
      <c r="E167" s="146"/>
      <c r="F167" s="70" t="str">
        <f>IFERROR(VLOOKUP(C167,MATERIAUX!$C$3:$G$1002,3,FALSE),"")</f>
        <v/>
      </c>
      <c r="G167" s="71" t="str">
        <f>IFERROR(VLOOKUP(C167,MATERIAUX!$C$3:$G$1002,5,FALSE),"")</f>
        <v/>
      </c>
      <c r="H167" s="71" t="str">
        <f t="shared" si="105"/>
        <v/>
      </c>
      <c r="I167" s="394"/>
      <c r="J167" s="72"/>
      <c r="K167" s="72"/>
      <c r="L167" s="72" t="str">
        <f>IFERROR(VLOOKUP(J167,'MAIN D OEUVRE'!$A$4:$B$99,2,FALSE)*$N$2,"")</f>
        <v/>
      </c>
      <c r="M167" s="73" t="str">
        <f t="shared" si="107"/>
        <v/>
      </c>
      <c r="N167" s="397"/>
      <c r="O167">
        <f t="shared" si="110"/>
        <v>0</v>
      </c>
      <c r="P167">
        <f t="shared" si="111"/>
        <v>0</v>
      </c>
      <c r="Q167">
        <f t="shared" si="112"/>
        <v>0</v>
      </c>
    </row>
    <row r="168" spans="1:17">
      <c r="A168" s="388"/>
      <c r="B168" s="391"/>
      <c r="C168" s="69"/>
      <c r="D168" s="70"/>
      <c r="E168" s="146"/>
      <c r="F168" s="70" t="str">
        <f>IFERROR(VLOOKUP(C168,MATERIAUX!$C$3:$G$1002,3,FALSE),"")</f>
        <v/>
      </c>
      <c r="G168" s="71" t="str">
        <f>IFERROR(VLOOKUP(C168,MATERIAUX!$C$3:$G$1002,5,FALSE),"")</f>
        <v/>
      </c>
      <c r="H168" s="71" t="str">
        <f t="shared" si="105"/>
        <v/>
      </c>
      <c r="I168" s="394"/>
      <c r="J168" s="72"/>
      <c r="K168" s="72"/>
      <c r="L168" s="72" t="str">
        <f>IFERROR(VLOOKUP(J168,'MAIN D OEUVRE'!$A$4:$B$99,2,FALSE)*$N$2,"")</f>
        <v/>
      </c>
      <c r="M168" s="73" t="str">
        <f t="shared" si="107"/>
        <v/>
      </c>
      <c r="N168" s="397"/>
      <c r="O168">
        <f t="shared" si="110"/>
        <v>0</v>
      </c>
      <c r="P168">
        <f t="shared" si="111"/>
        <v>0</v>
      </c>
      <c r="Q168">
        <f t="shared" si="112"/>
        <v>0</v>
      </c>
    </row>
    <row r="169" spans="1:17">
      <c r="A169" s="388"/>
      <c r="B169" s="391"/>
      <c r="C169" s="69"/>
      <c r="D169" s="70"/>
      <c r="E169" s="146"/>
      <c r="F169" s="70" t="str">
        <f>IFERROR(VLOOKUP(C169,MATERIAUX!$C$3:$G$1002,3,FALSE),"")</f>
        <v/>
      </c>
      <c r="G169" s="71" t="str">
        <f>IFERROR(VLOOKUP(C169,MATERIAUX!$C$3:$G$1002,5,FALSE),"")</f>
        <v/>
      </c>
      <c r="H169" s="71" t="str">
        <f t="shared" si="105"/>
        <v/>
      </c>
      <c r="I169" s="394"/>
      <c r="J169" s="72"/>
      <c r="K169" s="72"/>
      <c r="L169" s="72" t="str">
        <f>IFERROR(VLOOKUP(J169,'MAIN D OEUVRE'!$A$4:$B$99,2,FALSE)*$N$2,"")</f>
        <v/>
      </c>
      <c r="M169" s="73" t="str">
        <f t="shared" si="107"/>
        <v/>
      </c>
      <c r="N169" s="397"/>
      <c r="O169">
        <f t="shared" si="110"/>
        <v>0</v>
      </c>
      <c r="P169">
        <f t="shared" si="111"/>
        <v>0</v>
      </c>
      <c r="Q169">
        <f t="shared" si="112"/>
        <v>0</v>
      </c>
    </row>
    <row r="170" spans="1:17">
      <c r="A170" s="388"/>
      <c r="B170" s="391"/>
      <c r="C170" s="69"/>
      <c r="D170" s="70"/>
      <c r="E170" s="146"/>
      <c r="F170" s="70" t="str">
        <f>IFERROR(VLOOKUP(C170,MATERIAUX!$C$3:$G$1002,3,FALSE),"")</f>
        <v/>
      </c>
      <c r="G170" s="71" t="str">
        <f>IFERROR(VLOOKUP(C170,MATERIAUX!$C$3:$G$1002,5,FALSE),"")</f>
        <v/>
      </c>
      <c r="H170" s="71" t="str">
        <f t="shared" si="105"/>
        <v/>
      </c>
      <c r="I170" s="394"/>
      <c r="J170" s="72"/>
      <c r="K170" s="72"/>
      <c r="L170" s="72" t="str">
        <f>IFERROR(VLOOKUP(J170,'MAIN D OEUVRE'!$A$4:$B$99,2,FALSE)*$N$2,"")</f>
        <v/>
      </c>
      <c r="M170" s="73" t="str">
        <f t="shared" si="107"/>
        <v/>
      </c>
      <c r="N170" s="397"/>
      <c r="O170">
        <f t="shared" si="110"/>
        <v>0</v>
      </c>
      <c r="P170">
        <f t="shared" si="111"/>
        <v>0</v>
      </c>
      <c r="Q170">
        <f t="shared" si="112"/>
        <v>0</v>
      </c>
    </row>
    <row r="171" spans="1:17">
      <c r="A171" s="388"/>
      <c r="B171" s="391"/>
      <c r="C171" s="69"/>
      <c r="D171" s="70"/>
      <c r="E171" s="146"/>
      <c r="F171" s="70" t="str">
        <f>IFERROR(VLOOKUP(C171,MATERIAUX!$C$3:$G$1002,3,FALSE),"")</f>
        <v/>
      </c>
      <c r="G171" s="71" t="str">
        <f>IFERROR(VLOOKUP(C171,MATERIAUX!$C$3:$G$1002,5,FALSE),"")</f>
        <v/>
      </c>
      <c r="H171" s="71" t="str">
        <f t="shared" si="105"/>
        <v/>
      </c>
      <c r="I171" s="394"/>
      <c r="J171" s="72"/>
      <c r="K171" s="72"/>
      <c r="L171" s="72"/>
      <c r="M171" s="73"/>
      <c r="N171" s="397"/>
      <c r="O171">
        <f t="shared" si="110"/>
        <v>0</v>
      </c>
      <c r="P171">
        <f t="shared" si="111"/>
        <v>0</v>
      </c>
      <c r="Q171">
        <f t="shared" si="112"/>
        <v>0</v>
      </c>
    </row>
    <row r="172" spans="1:17" ht="15" thickBot="1">
      <c r="A172" s="389"/>
      <c r="B172" s="392"/>
      <c r="C172" s="74"/>
      <c r="D172" s="75"/>
      <c r="E172" s="147"/>
      <c r="F172" s="70" t="str">
        <f>IFERROR(VLOOKUP(C172,MATERIAUX!$C$3:$G$1002,3,FALSE),"")</f>
        <v/>
      </c>
      <c r="G172" s="71" t="str">
        <f>IFERROR(VLOOKUP(C172,MATERIAUX!$C$3:$G$1002,5,FALSE),"")</f>
        <v/>
      </c>
      <c r="H172" s="76" t="str">
        <f t="shared" si="105"/>
        <v/>
      </c>
      <c r="I172" s="395"/>
      <c r="J172" s="77"/>
      <c r="K172" s="77"/>
      <c r="L172" s="77"/>
      <c r="M172" s="78"/>
      <c r="N172" s="398"/>
      <c r="O172">
        <f t="shared" si="110"/>
        <v>0</v>
      </c>
      <c r="P172">
        <f t="shared" si="111"/>
        <v>0</v>
      </c>
      <c r="Q172">
        <f t="shared" si="112"/>
        <v>0</v>
      </c>
    </row>
    <row r="173" spans="1:17">
      <c r="A173" s="387" t="s">
        <v>213</v>
      </c>
      <c r="B173" s="390" t="s">
        <v>21</v>
      </c>
      <c r="C173" s="69" t="s">
        <v>96</v>
      </c>
      <c r="D173" s="280">
        <f>ROUND(4.9*0.26*0.045,4)+0.0015</f>
        <v>5.8799999999999998E-2</v>
      </c>
      <c r="E173" s="145">
        <v>0.1</v>
      </c>
      <c r="F173" s="65" t="str">
        <f>IFERROR(VLOOKUP(C173,MATERIAUX!$C$3:$G$1002,3,FALSE),"")</f>
        <v>m3</v>
      </c>
      <c r="G173" s="66">
        <f>IFERROR(VLOOKUP(C173,MATERIAUX!$C$3:$G$1002,5,FALSE),"")</f>
        <v>483.50515463917532</v>
      </c>
      <c r="H173" s="66">
        <f t="shared" si="105"/>
        <v>31.27</v>
      </c>
      <c r="I173" s="393">
        <f t="shared" ref="I173" si="113">SUM(H173:H182)</f>
        <v>32.555107999999997</v>
      </c>
      <c r="J173" s="67" t="s">
        <v>194</v>
      </c>
      <c r="K173" s="67">
        <f>ROUNDUP(2-0.416/0.625,2)</f>
        <v>1.34</v>
      </c>
      <c r="L173" s="67">
        <f>IFERROR(VLOOKUP(J173,'MAIN D OEUVRE'!$A$4:$B$99,2,FALSE)*$N$2,"")</f>
        <v>5.5</v>
      </c>
      <c r="M173" s="68">
        <f t="shared" ref="M173:M180" si="114">IFERROR(ROUND(L173*K173,2),"")</f>
        <v>7.37</v>
      </c>
      <c r="N173" s="396">
        <f t="shared" ref="N173" si="115">SUM(M173:M182)</f>
        <v>9.629999999999999</v>
      </c>
      <c r="O173" s="350">
        <v>0</v>
      </c>
      <c r="P173">
        <f t="shared" si="111"/>
        <v>0</v>
      </c>
      <c r="Q173">
        <f t="shared" si="112"/>
        <v>0</v>
      </c>
    </row>
    <row r="174" spans="1:17">
      <c r="A174" s="388"/>
      <c r="B174" s="391"/>
      <c r="C174" s="69" t="s">
        <v>84</v>
      </c>
      <c r="D174" s="70">
        <v>21</v>
      </c>
      <c r="E174" s="146">
        <v>0</v>
      </c>
      <c r="F174" s="70" t="str">
        <f>IFERROR(VLOOKUP(C174,MATERIAUX!$C$3:$G$1002,3,FALSE),"")</f>
        <v>u</v>
      </c>
      <c r="G174" s="71">
        <f>IFERROR(VLOOKUP(C174,MATERIAUX!$C$3:$G$1002,5,FALSE),"")</f>
        <v>3.9175257731958769E-2</v>
      </c>
      <c r="H174" s="71">
        <f t="shared" si="105"/>
        <v>0.82</v>
      </c>
      <c r="I174" s="394"/>
      <c r="J174" s="72" t="s">
        <v>438</v>
      </c>
      <c r="K174" s="72">
        <f>D173*2</f>
        <v>0.1176</v>
      </c>
      <c r="L174" s="72">
        <f>IFERROR(VLOOKUP(J174,'MAIN D OEUVRE'!$A$4:$B$99,2,FALSE)*$N$2,"")</f>
        <v>19.25</v>
      </c>
      <c r="M174" s="73">
        <f t="shared" si="114"/>
        <v>2.2599999999999998</v>
      </c>
      <c r="N174" s="397"/>
      <c r="O174">
        <f>O173</f>
        <v>0</v>
      </c>
      <c r="P174">
        <f t="shared" si="111"/>
        <v>0</v>
      </c>
      <c r="Q174">
        <f t="shared" si="112"/>
        <v>0</v>
      </c>
    </row>
    <row r="175" spans="1:17">
      <c r="A175" s="388"/>
      <c r="B175" s="391"/>
      <c r="C175" s="287" t="s">
        <v>263</v>
      </c>
      <c r="D175" s="288">
        <v>1.06</v>
      </c>
      <c r="E175" s="146">
        <v>0.02</v>
      </c>
      <c r="F175" s="70" t="str">
        <f>IFERROR(VLOOKUP(C175,MATERIAUX!$C$3:$G$1002,3,FALSE),"")</f>
        <v>m2</v>
      </c>
      <c r="G175" s="71">
        <f>IFERROR(VLOOKUP(C175,MATERIAUX!$C$3:$G$1002,5,FALSE),"")</f>
        <v>7.315463917525773</v>
      </c>
      <c r="H175" s="71">
        <f>IFERROR(ROUND(G175*(1+E175)*D175,2)*D173,"")</f>
        <v>0.46510799999999997</v>
      </c>
      <c r="I175" s="394"/>
      <c r="J175" s="72"/>
      <c r="K175" s="72"/>
      <c r="L175" s="72" t="str">
        <f>IFERROR(VLOOKUP(J175,'MAIN D OEUVRE'!$A$4:$B$99,2,FALSE)*$N$2,"")</f>
        <v/>
      </c>
      <c r="M175" s="73" t="str">
        <f t="shared" si="114"/>
        <v/>
      </c>
      <c r="N175" s="397"/>
      <c r="O175" s="351">
        <f t="shared" ref="O175" si="116">O174</f>
        <v>0</v>
      </c>
      <c r="P175" s="351">
        <f>O175*D175*(D172+D173)*1.02</f>
        <v>0</v>
      </c>
      <c r="Q175" s="351">
        <f t="shared" si="112"/>
        <v>0</v>
      </c>
    </row>
    <row r="176" spans="1:17">
      <c r="A176" s="388"/>
      <c r="B176" s="391"/>
      <c r="C176" s="69"/>
      <c r="D176" s="70"/>
      <c r="E176" s="146"/>
      <c r="F176" s="70" t="str">
        <f>IFERROR(VLOOKUP(C176,MATERIAUX!$C$3:$G$1002,3,FALSE),"")</f>
        <v/>
      </c>
      <c r="G176" s="71" t="str">
        <f>IFERROR(VLOOKUP(C176,MATERIAUX!$C$3:$G$1002,5,FALSE),"")</f>
        <v/>
      </c>
      <c r="H176" s="71" t="str">
        <f t="shared" si="105"/>
        <v/>
      </c>
      <c r="I176" s="394"/>
      <c r="J176" s="72"/>
      <c r="K176" s="72"/>
      <c r="L176" s="72" t="str">
        <f>IFERROR(VLOOKUP(J176,'MAIN D OEUVRE'!$A$4:$B$99,2,FALSE)*$N$2,"")</f>
        <v/>
      </c>
      <c r="M176" s="73" t="str">
        <f t="shared" si="114"/>
        <v/>
      </c>
      <c r="N176" s="397"/>
      <c r="O176">
        <f t="shared" ref="O176:O182" si="117">O175</f>
        <v>0</v>
      </c>
      <c r="P176">
        <f t="shared" ref="P176:P238" si="118">(D176+D176*E176)*O176</f>
        <v>0</v>
      </c>
      <c r="Q176">
        <f t="shared" ref="Q176:Q238" si="119">IF(P176=0,0,P176*G176)</f>
        <v>0</v>
      </c>
    </row>
    <row r="177" spans="1:17">
      <c r="A177" s="388"/>
      <c r="B177" s="391"/>
      <c r="C177" s="69"/>
      <c r="D177" s="70"/>
      <c r="E177" s="146"/>
      <c r="F177" s="70" t="str">
        <f>IFERROR(VLOOKUP(C177,MATERIAUX!$C$3:$G$1002,3,FALSE),"")</f>
        <v/>
      </c>
      <c r="G177" s="71" t="str">
        <f>IFERROR(VLOOKUP(C177,MATERIAUX!$C$3:$G$1002,5,FALSE),"")</f>
        <v/>
      </c>
      <c r="H177" s="71" t="str">
        <f t="shared" si="105"/>
        <v/>
      </c>
      <c r="I177" s="394"/>
      <c r="J177" s="72"/>
      <c r="K177" s="72"/>
      <c r="L177" s="72" t="str">
        <f>IFERROR(VLOOKUP(J177,'MAIN D OEUVRE'!$A$4:$B$99,2,FALSE)*$N$2,"")</f>
        <v/>
      </c>
      <c r="M177" s="73" t="str">
        <f t="shared" si="114"/>
        <v/>
      </c>
      <c r="N177" s="397"/>
      <c r="O177">
        <f t="shared" si="117"/>
        <v>0</v>
      </c>
      <c r="P177">
        <f t="shared" si="118"/>
        <v>0</v>
      </c>
      <c r="Q177">
        <f t="shared" si="119"/>
        <v>0</v>
      </c>
    </row>
    <row r="178" spans="1:17">
      <c r="A178" s="388"/>
      <c r="B178" s="391"/>
      <c r="C178" s="69"/>
      <c r="D178" s="70"/>
      <c r="E178" s="146"/>
      <c r="F178" s="70" t="str">
        <f>IFERROR(VLOOKUP(C178,MATERIAUX!$C$3:$G$1002,3,FALSE),"")</f>
        <v/>
      </c>
      <c r="G178" s="71" t="str">
        <f>IFERROR(VLOOKUP(C178,MATERIAUX!$C$3:$G$1002,5,FALSE),"")</f>
        <v/>
      </c>
      <c r="H178" s="71" t="str">
        <f t="shared" si="105"/>
        <v/>
      </c>
      <c r="I178" s="394"/>
      <c r="J178" s="72"/>
      <c r="K178" s="72"/>
      <c r="L178" s="72" t="str">
        <f>IFERROR(VLOOKUP(J178,'MAIN D OEUVRE'!$A$4:$B$99,2,FALSE)*$N$2,"")</f>
        <v/>
      </c>
      <c r="M178" s="73" t="str">
        <f t="shared" si="114"/>
        <v/>
      </c>
      <c r="N178" s="397"/>
      <c r="O178">
        <f t="shared" si="117"/>
        <v>0</v>
      </c>
      <c r="P178">
        <f t="shared" si="118"/>
        <v>0</v>
      </c>
      <c r="Q178">
        <f t="shared" si="119"/>
        <v>0</v>
      </c>
    </row>
    <row r="179" spans="1:17">
      <c r="A179" s="388"/>
      <c r="B179" s="391"/>
      <c r="C179" s="69"/>
      <c r="D179" s="70"/>
      <c r="E179" s="146"/>
      <c r="F179" s="70" t="str">
        <f>IFERROR(VLOOKUP(C179,MATERIAUX!$C$3:$G$1002,3,FALSE),"")</f>
        <v/>
      </c>
      <c r="G179" s="71" t="str">
        <f>IFERROR(VLOOKUP(C179,MATERIAUX!$C$3:$G$1002,5,FALSE),"")</f>
        <v/>
      </c>
      <c r="H179" s="71" t="str">
        <f t="shared" si="105"/>
        <v/>
      </c>
      <c r="I179" s="394"/>
      <c r="J179" s="72"/>
      <c r="K179" s="72"/>
      <c r="L179" s="72" t="str">
        <f>IFERROR(VLOOKUP(J179,'MAIN D OEUVRE'!$A$4:$B$99,2,FALSE)*$N$2,"")</f>
        <v/>
      </c>
      <c r="M179" s="73" t="str">
        <f t="shared" si="114"/>
        <v/>
      </c>
      <c r="N179" s="397"/>
      <c r="O179">
        <f t="shared" si="117"/>
        <v>0</v>
      </c>
      <c r="P179">
        <f t="shared" si="118"/>
        <v>0</v>
      </c>
      <c r="Q179">
        <f t="shared" si="119"/>
        <v>0</v>
      </c>
    </row>
    <row r="180" spans="1:17">
      <c r="A180" s="388"/>
      <c r="B180" s="391"/>
      <c r="C180" s="69"/>
      <c r="D180" s="70"/>
      <c r="E180" s="146"/>
      <c r="F180" s="70" t="str">
        <f>IFERROR(VLOOKUP(C180,MATERIAUX!$C$3:$G$1002,3,FALSE),"")</f>
        <v/>
      </c>
      <c r="G180" s="71" t="str">
        <f>IFERROR(VLOOKUP(C180,MATERIAUX!$C$3:$G$1002,5,FALSE),"")</f>
        <v/>
      </c>
      <c r="H180" s="71" t="str">
        <f t="shared" si="105"/>
        <v/>
      </c>
      <c r="I180" s="394"/>
      <c r="J180" s="72"/>
      <c r="K180" s="72"/>
      <c r="L180" s="72" t="str">
        <f>IFERROR(VLOOKUP(J180,'MAIN D OEUVRE'!$A$4:$B$99,2,FALSE)*$N$2,"")</f>
        <v/>
      </c>
      <c r="M180" s="73" t="str">
        <f t="shared" si="114"/>
        <v/>
      </c>
      <c r="N180" s="397"/>
      <c r="O180">
        <f t="shared" si="117"/>
        <v>0</v>
      </c>
      <c r="P180">
        <f t="shared" si="118"/>
        <v>0</v>
      </c>
      <c r="Q180">
        <f t="shared" si="119"/>
        <v>0</v>
      </c>
    </row>
    <row r="181" spans="1:17">
      <c r="A181" s="388"/>
      <c r="B181" s="391"/>
      <c r="C181" s="69"/>
      <c r="D181" s="70"/>
      <c r="E181" s="146"/>
      <c r="F181" s="70" t="str">
        <f>IFERROR(VLOOKUP(C181,MATERIAUX!$C$3:$G$1002,3,FALSE),"")</f>
        <v/>
      </c>
      <c r="G181" s="71" t="str">
        <f>IFERROR(VLOOKUP(C181,MATERIAUX!$C$3:$G$1002,5,FALSE),"")</f>
        <v/>
      </c>
      <c r="H181" s="71" t="str">
        <f t="shared" si="105"/>
        <v/>
      </c>
      <c r="I181" s="394"/>
      <c r="J181" s="72"/>
      <c r="K181" s="72"/>
      <c r="L181" s="72"/>
      <c r="M181" s="73"/>
      <c r="N181" s="397"/>
      <c r="O181">
        <f t="shared" si="117"/>
        <v>0</v>
      </c>
      <c r="P181">
        <f t="shared" si="118"/>
        <v>0</v>
      </c>
      <c r="Q181">
        <f t="shared" si="119"/>
        <v>0</v>
      </c>
    </row>
    <row r="182" spans="1:17" ht="15" thickBot="1">
      <c r="A182" s="389"/>
      <c r="B182" s="392"/>
      <c r="C182" s="74"/>
      <c r="D182" s="75"/>
      <c r="E182" s="147"/>
      <c r="F182" s="70" t="str">
        <f>IFERROR(VLOOKUP(C182,MATERIAUX!$C$3:$G$1002,3,FALSE),"")</f>
        <v/>
      </c>
      <c r="G182" s="71" t="str">
        <f>IFERROR(VLOOKUP(C182,MATERIAUX!$C$3:$G$1002,5,FALSE),"")</f>
        <v/>
      </c>
      <c r="H182" s="76" t="str">
        <f t="shared" si="105"/>
        <v/>
      </c>
      <c r="I182" s="395"/>
      <c r="J182" s="77"/>
      <c r="K182" s="77"/>
      <c r="L182" s="77"/>
      <c r="M182" s="78"/>
      <c r="N182" s="398"/>
      <c r="O182">
        <f t="shared" si="117"/>
        <v>0</v>
      </c>
      <c r="P182">
        <f t="shared" si="118"/>
        <v>0</v>
      </c>
      <c r="Q182">
        <f t="shared" si="119"/>
        <v>0</v>
      </c>
    </row>
    <row r="183" spans="1:17">
      <c r="A183" s="387" t="s">
        <v>214</v>
      </c>
      <c r="B183" s="390" t="s">
        <v>21</v>
      </c>
      <c r="C183" s="64" t="s">
        <v>96</v>
      </c>
      <c r="D183" s="280">
        <f>ROUND(4.05*0.26*0.045,4)+0.0015</f>
        <v>4.8899999999999999E-2</v>
      </c>
      <c r="E183" s="145">
        <v>0.1</v>
      </c>
      <c r="F183" s="65" t="str">
        <f>IFERROR(VLOOKUP(C183,MATERIAUX!$C$3:$G$1002,3,FALSE),"")</f>
        <v>m3</v>
      </c>
      <c r="G183" s="66">
        <f>IFERROR(VLOOKUP(C183,MATERIAUX!$C$3:$G$1002,5,FALSE),"")</f>
        <v>483.50515463917532</v>
      </c>
      <c r="H183" s="66">
        <f t="shared" si="105"/>
        <v>26.01</v>
      </c>
      <c r="I183" s="393">
        <f>SUM(H183:H192)</f>
        <v>27.216799000000002</v>
      </c>
      <c r="J183" s="67" t="s">
        <v>194</v>
      </c>
      <c r="K183" s="67">
        <f>ROUNDUP(2-0.625/0.625,2)</f>
        <v>1</v>
      </c>
      <c r="L183" s="67">
        <f>IFERROR(VLOOKUP(J183,'MAIN D OEUVRE'!$A$4:$B$99,2,FALSE)*$N$2,"")</f>
        <v>5.5</v>
      </c>
      <c r="M183" s="68">
        <f t="shared" ref="M183:M190" si="120">IFERROR(ROUND(L183*K183,2),"")</f>
        <v>5.5</v>
      </c>
      <c r="N183" s="396">
        <f>SUM(M183:M192)</f>
        <v>7.38</v>
      </c>
      <c r="O183" s="350">
        <v>0</v>
      </c>
      <c r="P183">
        <f t="shared" si="118"/>
        <v>0</v>
      </c>
      <c r="Q183">
        <f t="shared" si="119"/>
        <v>0</v>
      </c>
    </row>
    <row r="184" spans="1:17">
      <c r="A184" s="388"/>
      <c r="B184" s="391"/>
      <c r="C184" s="69" t="s">
        <v>84</v>
      </c>
      <c r="D184" s="70">
        <v>21</v>
      </c>
      <c r="E184" s="146">
        <v>0</v>
      </c>
      <c r="F184" s="70" t="str">
        <f>IFERROR(VLOOKUP(C184,MATERIAUX!$C$3:$G$1002,3,FALSE),"")</f>
        <v>u</v>
      </c>
      <c r="G184" s="71">
        <f>IFERROR(VLOOKUP(C184,MATERIAUX!$C$3:$G$1002,5,FALSE),"")</f>
        <v>3.9175257731958769E-2</v>
      </c>
      <c r="H184" s="71">
        <f t="shared" si="105"/>
        <v>0.82</v>
      </c>
      <c r="I184" s="394"/>
      <c r="J184" s="72" t="s">
        <v>438</v>
      </c>
      <c r="K184" s="72">
        <f>D183*2</f>
        <v>9.7799999999999998E-2</v>
      </c>
      <c r="L184" s="72">
        <f>IFERROR(VLOOKUP(J184,'MAIN D OEUVRE'!$A$4:$B$99,2,FALSE)*$N$2,"")</f>
        <v>19.25</v>
      </c>
      <c r="M184" s="73">
        <f t="shared" si="120"/>
        <v>1.88</v>
      </c>
      <c r="N184" s="397"/>
      <c r="O184">
        <f>O183</f>
        <v>0</v>
      </c>
      <c r="P184">
        <f t="shared" si="118"/>
        <v>0</v>
      </c>
      <c r="Q184">
        <f t="shared" si="119"/>
        <v>0</v>
      </c>
    </row>
    <row r="185" spans="1:17">
      <c r="A185" s="388"/>
      <c r="B185" s="391"/>
      <c r="C185" s="287" t="s">
        <v>263</v>
      </c>
      <c r="D185" s="288">
        <v>1.06</v>
      </c>
      <c r="E185" s="146">
        <v>0.02</v>
      </c>
      <c r="F185" s="70" t="str">
        <f>IFERROR(VLOOKUP(C185,MATERIAUX!$C$3:$G$1002,3,FALSE),"")</f>
        <v>m2</v>
      </c>
      <c r="G185" s="71">
        <f>IFERROR(VLOOKUP(C185,MATERIAUX!$C$3:$G$1002,5,FALSE),"")</f>
        <v>7.315463917525773</v>
      </c>
      <c r="H185" s="71">
        <f>IFERROR(ROUND(G185*(1+E185)*D185,2)*D183,"")</f>
        <v>0.386799</v>
      </c>
      <c r="I185" s="394"/>
      <c r="J185" s="72"/>
      <c r="K185" s="72"/>
      <c r="L185" s="72" t="str">
        <f>IFERROR(VLOOKUP(J185,'MAIN D OEUVRE'!$A$4:$B$99,2,FALSE)*$N$2,"")</f>
        <v/>
      </c>
      <c r="M185" s="73" t="str">
        <f t="shared" si="120"/>
        <v/>
      </c>
      <c r="N185" s="397"/>
      <c r="O185" s="351">
        <f t="shared" ref="O185" si="121">O184</f>
        <v>0</v>
      </c>
      <c r="P185" s="351">
        <f>O185*D185*(D182+D183)*1.02</f>
        <v>0</v>
      </c>
      <c r="Q185" s="351">
        <f t="shared" si="119"/>
        <v>0</v>
      </c>
    </row>
    <row r="186" spans="1:17">
      <c r="A186" s="388"/>
      <c r="B186" s="391"/>
      <c r="C186" s="69"/>
      <c r="D186" s="70"/>
      <c r="E186" s="146"/>
      <c r="F186" s="70" t="str">
        <f>IFERROR(VLOOKUP(C186,MATERIAUX!$C$3:$G$1002,3,FALSE),"")</f>
        <v/>
      </c>
      <c r="G186" s="71" t="str">
        <f>IFERROR(VLOOKUP(C186,MATERIAUX!$C$3:$G$1002,5,FALSE),"")</f>
        <v/>
      </c>
      <c r="H186" s="71" t="str">
        <f t="shared" si="105"/>
        <v/>
      </c>
      <c r="I186" s="394"/>
      <c r="J186" s="72"/>
      <c r="K186" s="72"/>
      <c r="L186" s="72" t="str">
        <f>IFERROR(VLOOKUP(J186,'MAIN D OEUVRE'!$A$4:$B$99,2,FALSE)*$N$2,"")</f>
        <v/>
      </c>
      <c r="M186" s="73" t="str">
        <f t="shared" si="120"/>
        <v/>
      </c>
      <c r="N186" s="397"/>
      <c r="O186">
        <f t="shared" ref="O186:O192" si="122">O185</f>
        <v>0</v>
      </c>
      <c r="P186">
        <f t="shared" si="118"/>
        <v>0</v>
      </c>
      <c r="Q186">
        <f t="shared" si="119"/>
        <v>0</v>
      </c>
    </row>
    <row r="187" spans="1:17">
      <c r="A187" s="388"/>
      <c r="B187" s="391"/>
      <c r="C187" s="69"/>
      <c r="D187" s="70"/>
      <c r="E187" s="146"/>
      <c r="F187" s="70" t="str">
        <f>IFERROR(VLOOKUP(C187,MATERIAUX!$C$3:$G$1002,3,FALSE),"")</f>
        <v/>
      </c>
      <c r="G187" s="71" t="str">
        <f>IFERROR(VLOOKUP(C187,MATERIAUX!$C$3:$G$1002,5,FALSE),"")</f>
        <v/>
      </c>
      <c r="H187" s="71" t="str">
        <f t="shared" si="105"/>
        <v/>
      </c>
      <c r="I187" s="394"/>
      <c r="J187" s="72"/>
      <c r="K187" s="72"/>
      <c r="L187" s="72" t="str">
        <f>IFERROR(VLOOKUP(J187,'MAIN D OEUVRE'!$A$4:$B$99,2,FALSE)*$N$2,"")</f>
        <v/>
      </c>
      <c r="M187" s="73" t="str">
        <f t="shared" si="120"/>
        <v/>
      </c>
      <c r="N187" s="397"/>
      <c r="O187">
        <f t="shared" si="122"/>
        <v>0</v>
      </c>
      <c r="P187">
        <f t="shared" si="118"/>
        <v>0</v>
      </c>
      <c r="Q187">
        <f t="shared" si="119"/>
        <v>0</v>
      </c>
    </row>
    <row r="188" spans="1:17">
      <c r="A188" s="388"/>
      <c r="B188" s="391"/>
      <c r="C188" s="69"/>
      <c r="D188" s="70"/>
      <c r="E188" s="146"/>
      <c r="F188" s="70" t="str">
        <f>IFERROR(VLOOKUP(C188,MATERIAUX!$C$3:$G$1002,3,FALSE),"")</f>
        <v/>
      </c>
      <c r="G188" s="71" t="str">
        <f>IFERROR(VLOOKUP(C188,MATERIAUX!$C$3:$G$1002,5,FALSE),"")</f>
        <v/>
      </c>
      <c r="H188" s="71" t="str">
        <f t="shared" si="105"/>
        <v/>
      </c>
      <c r="I188" s="394"/>
      <c r="J188" s="72"/>
      <c r="K188" s="72"/>
      <c r="L188" s="72" t="str">
        <f>IFERROR(VLOOKUP(J188,'MAIN D OEUVRE'!$A$4:$B$99,2,FALSE)*$N$2,"")</f>
        <v/>
      </c>
      <c r="M188" s="73" t="str">
        <f t="shared" si="120"/>
        <v/>
      </c>
      <c r="N188" s="397"/>
      <c r="O188">
        <f t="shared" si="122"/>
        <v>0</v>
      </c>
      <c r="P188">
        <f t="shared" si="118"/>
        <v>0</v>
      </c>
      <c r="Q188">
        <f t="shared" si="119"/>
        <v>0</v>
      </c>
    </row>
    <row r="189" spans="1:17">
      <c r="A189" s="388"/>
      <c r="B189" s="391"/>
      <c r="C189" s="69"/>
      <c r="D189" s="70"/>
      <c r="E189" s="146"/>
      <c r="F189" s="70" t="str">
        <f>IFERROR(VLOOKUP(C189,MATERIAUX!$C$3:$G$1002,3,FALSE),"")</f>
        <v/>
      </c>
      <c r="G189" s="71" t="str">
        <f>IFERROR(VLOOKUP(C189,MATERIAUX!$C$3:$G$1002,5,FALSE),"")</f>
        <v/>
      </c>
      <c r="H189" s="71" t="str">
        <f t="shared" si="105"/>
        <v/>
      </c>
      <c r="I189" s="394"/>
      <c r="J189" s="72"/>
      <c r="K189" s="72"/>
      <c r="L189" s="72" t="str">
        <f>IFERROR(VLOOKUP(J189,'MAIN D OEUVRE'!$A$4:$B$99,2,FALSE)*$N$2,"")</f>
        <v/>
      </c>
      <c r="M189" s="73" t="str">
        <f t="shared" si="120"/>
        <v/>
      </c>
      <c r="N189" s="397"/>
      <c r="O189">
        <f t="shared" si="122"/>
        <v>0</v>
      </c>
      <c r="P189">
        <f t="shared" si="118"/>
        <v>0</v>
      </c>
      <c r="Q189">
        <f t="shared" si="119"/>
        <v>0</v>
      </c>
    </row>
    <row r="190" spans="1:17">
      <c r="A190" s="388"/>
      <c r="B190" s="391"/>
      <c r="C190" s="69"/>
      <c r="D190" s="70"/>
      <c r="E190" s="146"/>
      <c r="F190" s="70" t="str">
        <f>IFERROR(VLOOKUP(C190,MATERIAUX!$C$3:$G$1002,3,FALSE),"")</f>
        <v/>
      </c>
      <c r="G190" s="71" t="str">
        <f>IFERROR(VLOOKUP(C190,MATERIAUX!$C$3:$G$1002,5,FALSE),"")</f>
        <v/>
      </c>
      <c r="H190" s="71" t="str">
        <f t="shared" si="105"/>
        <v/>
      </c>
      <c r="I190" s="394"/>
      <c r="J190" s="72"/>
      <c r="K190" s="72"/>
      <c r="L190" s="72" t="str">
        <f>IFERROR(VLOOKUP(J190,'MAIN D OEUVRE'!$A$4:$B$99,2,FALSE)*$N$2,"")</f>
        <v/>
      </c>
      <c r="M190" s="73" t="str">
        <f t="shared" si="120"/>
        <v/>
      </c>
      <c r="N190" s="397"/>
      <c r="O190">
        <f t="shared" si="122"/>
        <v>0</v>
      </c>
      <c r="P190">
        <f t="shared" si="118"/>
        <v>0</v>
      </c>
      <c r="Q190">
        <f t="shared" si="119"/>
        <v>0</v>
      </c>
    </row>
    <row r="191" spans="1:17">
      <c r="A191" s="388"/>
      <c r="B191" s="391"/>
      <c r="C191" s="69"/>
      <c r="D191" s="70"/>
      <c r="E191" s="146"/>
      <c r="F191" s="70" t="str">
        <f>IFERROR(VLOOKUP(C191,MATERIAUX!$C$3:$G$1002,3,FALSE),"")</f>
        <v/>
      </c>
      <c r="G191" s="71" t="str">
        <f>IFERROR(VLOOKUP(C191,MATERIAUX!$C$3:$G$1002,5,FALSE),"")</f>
        <v/>
      </c>
      <c r="H191" s="71" t="str">
        <f t="shared" si="105"/>
        <v/>
      </c>
      <c r="I191" s="394"/>
      <c r="J191" s="72"/>
      <c r="K191" s="72"/>
      <c r="L191" s="72"/>
      <c r="M191" s="73"/>
      <c r="N191" s="397"/>
      <c r="O191">
        <f t="shared" si="122"/>
        <v>0</v>
      </c>
      <c r="P191">
        <f t="shared" si="118"/>
        <v>0</v>
      </c>
      <c r="Q191">
        <f t="shared" si="119"/>
        <v>0</v>
      </c>
    </row>
    <row r="192" spans="1:17" ht="15" thickBot="1">
      <c r="A192" s="389"/>
      <c r="B192" s="392"/>
      <c r="C192" s="74"/>
      <c r="D192" s="75"/>
      <c r="E192" s="147"/>
      <c r="F192" s="70" t="str">
        <f>IFERROR(VLOOKUP(C192,MATERIAUX!$C$3:$G$1002,3,FALSE),"")</f>
        <v/>
      </c>
      <c r="G192" s="71" t="str">
        <f>IFERROR(VLOOKUP(C192,MATERIAUX!$C$3:$G$1002,5,FALSE),"")</f>
        <v/>
      </c>
      <c r="H192" s="76" t="str">
        <f t="shared" si="105"/>
        <v/>
      </c>
      <c r="I192" s="395"/>
      <c r="J192" s="77"/>
      <c r="K192" s="77"/>
      <c r="L192" s="77"/>
      <c r="M192" s="78"/>
      <c r="N192" s="398"/>
      <c r="O192">
        <f t="shared" si="122"/>
        <v>0</v>
      </c>
      <c r="P192">
        <f t="shared" si="118"/>
        <v>0</v>
      </c>
      <c r="Q192">
        <f t="shared" si="119"/>
        <v>0</v>
      </c>
    </row>
    <row r="193" spans="1:17">
      <c r="A193" s="387" t="s">
        <v>509</v>
      </c>
      <c r="B193" s="390" t="s">
        <v>21</v>
      </c>
      <c r="C193" s="64" t="s">
        <v>96</v>
      </c>
      <c r="D193" s="280">
        <f>ROUND(4.05*0.2*0.1,4)+0.0015</f>
        <v>8.2500000000000004E-2</v>
      </c>
      <c r="E193" s="145">
        <v>0.1</v>
      </c>
      <c r="F193" s="65" t="str">
        <f>IFERROR(VLOOKUP(C193,MATERIAUX!$C$3:$G$1002,3,FALSE),"")</f>
        <v>m3</v>
      </c>
      <c r="G193" s="66">
        <f>IFERROR(VLOOKUP(C193,MATERIAUX!$C$3:$G$1002,5,FALSE),"")</f>
        <v>483.50515463917532</v>
      </c>
      <c r="H193" s="66">
        <f t="shared" ref="H193:H194" si="123">IFERROR(ROUND(G193*(1+E193)*D193,2),"")</f>
        <v>43.88</v>
      </c>
      <c r="I193" s="393">
        <f>SUM(H193:H202)</f>
        <v>45.352575000000002</v>
      </c>
      <c r="J193" s="67" t="s">
        <v>194</v>
      </c>
      <c r="K193" s="67">
        <f>ROUNDUP(2-0.625/0.625,2)</f>
        <v>1</v>
      </c>
      <c r="L193" s="67">
        <f>IFERROR(VLOOKUP(J193,'MAIN D OEUVRE'!$A$4:$B$99,2,FALSE)*$N$2,"")</f>
        <v>5.5</v>
      </c>
      <c r="M193" s="68">
        <f t="shared" ref="M193:M200" si="124">IFERROR(ROUND(L193*K193,2),"")</f>
        <v>5.5</v>
      </c>
      <c r="N193" s="396">
        <f>SUM(M193:M202)</f>
        <v>8.68</v>
      </c>
      <c r="O193" s="350">
        <v>0</v>
      </c>
      <c r="P193">
        <f t="shared" si="118"/>
        <v>0</v>
      </c>
      <c r="Q193">
        <f t="shared" si="119"/>
        <v>0</v>
      </c>
    </row>
    <row r="194" spans="1:17">
      <c r="A194" s="388"/>
      <c r="B194" s="391"/>
      <c r="C194" s="69" t="s">
        <v>84</v>
      </c>
      <c r="D194" s="70">
        <v>21</v>
      </c>
      <c r="E194" s="146">
        <v>0</v>
      </c>
      <c r="F194" s="70" t="str">
        <f>IFERROR(VLOOKUP(C194,MATERIAUX!$C$3:$G$1002,3,FALSE),"")</f>
        <v>u</v>
      </c>
      <c r="G194" s="71">
        <f>IFERROR(VLOOKUP(C194,MATERIAUX!$C$3:$G$1002,5,FALSE),"")</f>
        <v>3.9175257731958769E-2</v>
      </c>
      <c r="H194" s="71">
        <f t="shared" si="123"/>
        <v>0.82</v>
      </c>
      <c r="I194" s="394"/>
      <c r="J194" s="72" t="s">
        <v>438</v>
      </c>
      <c r="K194" s="72">
        <f>D193*2</f>
        <v>0.16500000000000001</v>
      </c>
      <c r="L194" s="72">
        <f>IFERROR(VLOOKUP(J194,'MAIN D OEUVRE'!$A$4:$B$99,2,FALSE)*$N$2,"")</f>
        <v>19.25</v>
      </c>
      <c r="M194" s="73">
        <f t="shared" si="124"/>
        <v>3.18</v>
      </c>
      <c r="N194" s="397"/>
      <c r="O194">
        <f>O193</f>
        <v>0</v>
      </c>
      <c r="P194">
        <f t="shared" si="118"/>
        <v>0</v>
      </c>
      <c r="Q194">
        <f t="shared" si="119"/>
        <v>0</v>
      </c>
    </row>
    <row r="195" spans="1:17">
      <c r="A195" s="388"/>
      <c r="B195" s="391"/>
      <c r="C195" s="287" t="s">
        <v>263</v>
      </c>
      <c r="D195" s="288">
        <v>1.06</v>
      </c>
      <c r="E195" s="146">
        <v>0.02</v>
      </c>
      <c r="F195" s="70" t="str">
        <f>IFERROR(VLOOKUP(C195,MATERIAUX!$C$3:$G$1002,3,FALSE),"")</f>
        <v>m2</v>
      </c>
      <c r="G195" s="71">
        <f>IFERROR(VLOOKUP(C195,MATERIAUX!$C$3:$G$1002,5,FALSE),"")</f>
        <v>7.315463917525773</v>
      </c>
      <c r="H195" s="71">
        <f>IFERROR(ROUND(G195*(1+E195)*D195,2)*D193,"")</f>
        <v>0.65257500000000002</v>
      </c>
      <c r="I195" s="394"/>
      <c r="J195" s="72"/>
      <c r="K195" s="72"/>
      <c r="L195" s="72" t="str">
        <f>IFERROR(VLOOKUP(J195,'MAIN D OEUVRE'!$A$4:$B$99,2,FALSE)*$N$2,"")</f>
        <v/>
      </c>
      <c r="M195" s="73" t="str">
        <f t="shared" si="124"/>
        <v/>
      </c>
      <c r="N195" s="397"/>
      <c r="O195" s="351">
        <f t="shared" ref="O195" si="125">O194</f>
        <v>0</v>
      </c>
      <c r="P195" s="351">
        <f>O195*D195*(D192+D193)*1.02</f>
        <v>0</v>
      </c>
      <c r="Q195" s="351">
        <f t="shared" si="119"/>
        <v>0</v>
      </c>
    </row>
    <row r="196" spans="1:17">
      <c r="A196" s="388"/>
      <c r="B196" s="391"/>
      <c r="C196" s="69"/>
      <c r="D196" s="70"/>
      <c r="E196" s="146"/>
      <c r="F196" s="70" t="str">
        <f>IFERROR(VLOOKUP(C196,MATERIAUX!$C$3:$G$1002,3,FALSE),"")</f>
        <v/>
      </c>
      <c r="G196" s="71" t="str">
        <f>IFERROR(VLOOKUP(C196,MATERIAUX!$C$3:$G$1002,5,FALSE),"")</f>
        <v/>
      </c>
      <c r="H196" s="71" t="str">
        <f t="shared" ref="H196:H202" si="126">IFERROR(ROUND(G196*(1+E196)*D196,2),"")</f>
        <v/>
      </c>
      <c r="I196" s="394"/>
      <c r="J196" s="72"/>
      <c r="K196" s="72"/>
      <c r="L196" s="72" t="str">
        <f>IFERROR(VLOOKUP(J196,'MAIN D OEUVRE'!$A$4:$B$99,2,FALSE)*$N$2,"")</f>
        <v/>
      </c>
      <c r="M196" s="73" t="str">
        <f t="shared" si="124"/>
        <v/>
      </c>
      <c r="N196" s="397"/>
      <c r="O196">
        <f t="shared" ref="O196:O202" si="127">O195</f>
        <v>0</v>
      </c>
      <c r="P196">
        <f t="shared" si="118"/>
        <v>0</v>
      </c>
      <c r="Q196">
        <f t="shared" si="119"/>
        <v>0</v>
      </c>
    </row>
    <row r="197" spans="1:17">
      <c r="A197" s="388"/>
      <c r="B197" s="391"/>
      <c r="C197" s="69"/>
      <c r="D197" s="70"/>
      <c r="E197" s="146"/>
      <c r="F197" s="70" t="str">
        <f>IFERROR(VLOOKUP(C197,MATERIAUX!$C$3:$G$1002,3,FALSE),"")</f>
        <v/>
      </c>
      <c r="G197" s="71" t="str">
        <f>IFERROR(VLOOKUP(C197,MATERIAUX!$C$3:$G$1002,5,FALSE),"")</f>
        <v/>
      </c>
      <c r="H197" s="71" t="str">
        <f t="shared" si="126"/>
        <v/>
      </c>
      <c r="I197" s="394"/>
      <c r="J197" s="72"/>
      <c r="K197" s="72"/>
      <c r="L197" s="72" t="str">
        <f>IFERROR(VLOOKUP(J197,'MAIN D OEUVRE'!$A$4:$B$99,2,FALSE)*$N$2,"")</f>
        <v/>
      </c>
      <c r="M197" s="73" t="str">
        <f t="shared" si="124"/>
        <v/>
      </c>
      <c r="N197" s="397"/>
      <c r="O197">
        <f t="shared" si="127"/>
        <v>0</v>
      </c>
      <c r="P197">
        <f t="shared" si="118"/>
        <v>0</v>
      </c>
      <c r="Q197">
        <f t="shared" si="119"/>
        <v>0</v>
      </c>
    </row>
    <row r="198" spans="1:17">
      <c r="A198" s="388"/>
      <c r="B198" s="391"/>
      <c r="C198" s="69"/>
      <c r="D198" s="70"/>
      <c r="E198" s="146"/>
      <c r="F198" s="70" t="str">
        <f>IFERROR(VLOOKUP(C198,MATERIAUX!$C$3:$G$1002,3,FALSE),"")</f>
        <v/>
      </c>
      <c r="G198" s="71" t="str">
        <f>IFERROR(VLOOKUP(C198,MATERIAUX!$C$3:$G$1002,5,FALSE),"")</f>
        <v/>
      </c>
      <c r="H198" s="71" t="str">
        <f t="shared" si="126"/>
        <v/>
      </c>
      <c r="I198" s="394"/>
      <c r="J198" s="72"/>
      <c r="K198" s="72"/>
      <c r="L198" s="72" t="str">
        <f>IFERROR(VLOOKUP(J198,'MAIN D OEUVRE'!$A$4:$B$99,2,FALSE)*$N$2,"")</f>
        <v/>
      </c>
      <c r="M198" s="73" t="str">
        <f t="shared" si="124"/>
        <v/>
      </c>
      <c r="N198" s="397"/>
      <c r="O198">
        <f t="shared" si="127"/>
        <v>0</v>
      </c>
      <c r="P198">
        <f t="shared" si="118"/>
        <v>0</v>
      </c>
      <c r="Q198">
        <f t="shared" si="119"/>
        <v>0</v>
      </c>
    </row>
    <row r="199" spans="1:17">
      <c r="A199" s="388"/>
      <c r="B199" s="391"/>
      <c r="C199" s="69"/>
      <c r="D199" s="70"/>
      <c r="E199" s="146"/>
      <c r="F199" s="70" t="str">
        <f>IFERROR(VLOOKUP(C199,MATERIAUX!$C$3:$G$1002,3,FALSE),"")</f>
        <v/>
      </c>
      <c r="G199" s="71" t="str">
        <f>IFERROR(VLOOKUP(C199,MATERIAUX!$C$3:$G$1002,5,FALSE),"")</f>
        <v/>
      </c>
      <c r="H199" s="71" t="str">
        <f t="shared" si="126"/>
        <v/>
      </c>
      <c r="I199" s="394"/>
      <c r="J199" s="72"/>
      <c r="K199" s="72"/>
      <c r="L199" s="72" t="str">
        <f>IFERROR(VLOOKUP(J199,'MAIN D OEUVRE'!$A$4:$B$99,2,FALSE)*$N$2,"")</f>
        <v/>
      </c>
      <c r="M199" s="73" t="str">
        <f t="shared" si="124"/>
        <v/>
      </c>
      <c r="N199" s="397"/>
      <c r="O199">
        <f t="shared" si="127"/>
        <v>0</v>
      </c>
      <c r="P199">
        <f t="shared" si="118"/>
        <v>0</v>
      </c>
      <c r="Q199">
        <f t="shared" si="119"/>
        <v>0</v>
      </c>
    </row>
    <row r="200" spans="1:17">
      <c r="A200" s="388"/>
      <c r="B200" s="391"/>
      <c r="C200" s="69"/>
      <c r="D200" s="70"/>
      <c r="E200" s="146"/>
      <c r="F200" s="70" t="str">
        <f>IFERROR(VLOOKUP(C200,MATERIAUX!$C$3:$G$1002,3,FALSE),"")</f>
        <v/>
      </c>
      <c r="G200" s="71" t="str">
        <f>IFERROR(VLOOKUP(C200,MATERIAUX!$C$3:$G$1002,5,FALSE),"")</f>
        <v/>
      </c>
      <c r="H200" s="71" t="str">
        <f t="shared" si="126"/>
        <v/>
      </c>
      <c r="I200" s="394"/>
      <c r="J200" s="72"/>
      <c r="K200" s="72"/>
      <c r="L200" s="72" t="str">
        <f>IFERROR(VLOOKUP(J200,'MAIN D OEUVRE'!$A$4:$B$99,2,FALSE)*$N$2,"")</f>
        <v/>
      </c>
      <c r="M200" s="73" t="str">
        <f t="shared" si="124"/>
        <v/>
      </c>
      <c r="N200" s="397"/>
      <c r="O200">
        <f t="shared" si="127"/>
        <v>0</v>
      </c>
      <c r="P200">
        <f t="shared" si="118"/>
        <v>0</v>
      </c>
      <c r="Q200">
        <f t="shared" si="119"/>
        <v>0</v>
      </c>
    </row>
    <row r="201" spans="1:17">
      <c r="A201" s="388"/>
      <c r="B201" s="391"/>
      <c r="C201" s="69"/>
      <c r="D201" s="70"/>
      <c r="E201" s="146"/>
      <c r="F201" s="70" t="str">
        <f>IFERROR(VLOOKUP(C201,MATERIAUX!$C$3:$G$1002,3,FALSE),"")</f>
        <v/>
      </c>
      <c r="G201" s="71" t="str">
        <f>IFERROR(VLOOKUP(C201,MATERIAUX!$C$3:$G$1002,5,FALSE),"")</f>
        <v/>
      </c>
      <c r="H201" s="71" t="str">
        <f t="shared" si="126"/>
        <v/>
      </c>
      <c r="I201" s="394"/>
      <c r="J201" s="72"/>
      <c r="K201" s="72"/>
      <c r="L201" s="72"/>
      <c r="M201" s="73"/>
      <c r="N201" s="397"/>
      <c r="O201">
        <f t="shared" si="127"/>
        <v>0</v>
      </c>
      <c r="P201">
        <f t="shared" si="118"/>
        <v>0</v>
      </c>
      <c r="Q201">
        <f t="shared" si="119"/>
        <v>0</v>
      </c>
    </row>
    <row r="202" spans="1:17" ht="15" thickBot="1">
      <c r="A202" s="389"/>
      <c r="B202" s="392"/>
      <c r="C202" s="74"/>
      <c r="D202" s="75"/>
      <c r="E202" s="147"/>
      <c r="F202" s="70" t="str">
        <f>IFERROR(VLOOKUP(C202,MATERIAUX!$C$3:$G$1002,3,FALSE),"")</f>
        <v/>
      </c>
      <c r="G202" s="71" t="str">
        <f>IFERROR(VLOOKUP(C202,MATERIAUX!$C$3:$G$1002,5,FALSE),"")</f>
        <v/>
      </c>
      <c r="H202" s="76" t="str">
        <f t="shared" si="126"/>
        <v/>
      </c>
      <c r="I202" s="395"/>
      <c r="J202" s="77"/>
      <c r="K202" s="77"/>
      <c r="L202" s="77"/>
      <c r="M202" s="78"/>
      <c r="N202" s="398"/>
      <c r="O202">
        <f t="shared" si="127"/>
        <v>0</v>
      </c>
      <c r="P202">
        <f t="shared" si="118"/>
        <v>0</v>
      </c>
      <c r="Q202">
        <f t="shared" si="119"/>
        <v>0</v>
      </c>
    </row>
    <row r="203" spans="1:17">
      <c r="A203" s="387" t="s">
        <v>42</v>
      </c>
      <c r="B203" s="390" t="s">
        <v>21</v>
      </c>
      <c r="C203" s="64" t="s">
        <v>0</v>
      </c>
      <c r="D203" s="65">
        <v>1.0249999999999999</v>
      </c>
      <c r="E203" s="145">
        <v>0.1</v>
      </c>
      <c r="F203" s="65" t="str">
        <f>IFERROR(VLOOKUP(C203,MATERIAUX!$C$3:$G$1002,3,FALSE),"")</f>
        <v>m2</v>
      </c>
      <c r="G203" s="66">
        <f>IFERROR(VLOOKUP(C203,MATERIAUX!$C$3:$G$1002,5,FALSE),"")</f>
        <v>15.437113402061858</v>
      </c>
      <c r="H203" s="66">
        <f t="shared" si="105"/>
        <v>17.41</v>
      </c>
      <c r="I203" s="393">
        <f>SUM(H203:H212)</f>
        <v>22.41</v>
      </c>
      <c r="J203" s="67" t="s">
        <v>54</v>
      </c>
      <c r="K203" s="67">
        <v>1</v>
      </c>
      <c r="L203" s="67">
        <f>IFERROR(VLOOKUP(J203,'MAIN D OEUVRE'!$A$4:$B$99,2,FALSE)*$N$2,"")</f>
        <v>1.1000000000000001</v>
      </c>
      <c r="M203" s="68">
        <f t="shared" ref="M203:M210" si="128">IFERROR(ROUND(L203*K203,2),"")</f>
        <v>1.1000000000000001</v>
      </c>
      <c r="N203" s="396">
        <f>SUM(M203:M212)</f>
        <v>1.1000000000000001</v>
      </c>
      <c r="O203" s="350">
        <v>0</v>
      </c>
      <c r="P203">
        <f t="shared" si="118"/>
        <v>0</v>
      </c>
      <c r="Q203">
        <f t="shared" si="119"/>
        <v>0</v>
      </c>
    </row>
    <row r="204" spans="1:17">
      <c r="A204" s="388"/>
      <c r="B204" s="391"/>
      <c r="C204" s="69" t="s">
        <v>106</v>
      </c>
      <c r="D204" s="70">
        <v>1</v>
      </c>
      <c r="E204" s="146">
        <v>0</v>
      </c>
      <c r="F204" s="70" t="str">
        <f>IFERROR(VLOOKUP(C204,MATERIAUX!$C$3:$G$1002,3,FALSE),"")</f>
        <v>ml</v>
      </c>
      <c r="G204" s="71">
        <f>IFERROR(VLOOKUP(C204,MATERIAUX!$C$3:$G$1002,5,FALSE),"")</f>
        <v>3.2659793814432994</v>
      </c>
      <c r="H204" s="71">
        <f t="shared" si="105"/>
        <v>3.27</v>
      </c>
      <c r="I204" s="394"/>
      <c r="J204" s="72"/>
      <c r="K204" s="72"/>
      <c r="L204" s="72" t="str">
        <f>IFERROR(VLOOKUP(J204,'MAIN D OEUVRE'!$A$4:$B$99,2,FALSE)*$N$2,"")</f>
        <v/>
      </c>
      <c r="M204" s="73" t="str">
        <f t="shared" si="128"/>
        <v/>
      </c>
      <c r="N204" s="397"/>
      <c r="O204">
        <f>O203</f>
        <v>0</v>
      </c>
      <c r="P204">
        <f t="shared" si="118"/>
        <v>0</v>
      </c>
      <c r="Q204">
        <f t="shared" si="119"/>
        <v>0</v>
      </c>
    </row>
    <row r="205" spans="1:17">
      <c r="A205" s="388"/>
      <c r="B205" s="391"/>
      <c r="C205" s="69" t="s">
        <v>136</v>
      </c>
      <c r="D205" s="70">
        <v>70</v>
      </c>
      <c r="E205" s="146">
        <v>0</v>
      </c>
      <c r="F205" s="70" t="str">
        <f>IFERROR(VLOOKUP(C205,MATERIAUX!$C$3:$G$1002,3,FALSE),"")</f>
        <v>u</v>
      </c>
      <c r="G205" s="71">
        <f>IFERROR(VLOOKUP(C205,MATERIAUX!$C$3:$G$1002,5,FALSE),"")</f>
        <v>2.4742268041237116E-2</v>
      </c>
      <c r="H205" s="71">
        <f t="shared" si="105"/>
        <v>1.73</v>
      </c>
      <c r="I205" s="394"/>
      <c r="J205" s="72"/>
      <c r="K205" s="72"/>
      <c r="L205" s="72" t="str">
        <f>IFERROR(VLOOKUP(J205,'MAIN D OEUVRE'!$A$4:$B$99,2,FALSE)*$N$2,"")</f>
        <v/>
      </c>
      <c r="M205" s="73" t="str">
        <f t="shared" si="128"/>
        <v/>
      </c>
      <c r="N205" s="397"/>
      <c r="O205">
        <f t="shared" ref="O205:O212" si="129">O204</f>
        <v>0</v>
      </c>
      <c r="P205">
        <f t="shared" si="118"/>
        <v>0</v>
      </c>
      <c r="Q205">
        <f t="shared" si="119"/>
        <v>0</v>
      </c>
    </row>
    <row r="206" spans="1:17">
      <c r="A206" s="388"/>
      <c r="B206" s="391"/>
      <c r="C206" s="69"/>
      <c r="D206" s="70"/>
      <c r="E206" s="146"/>
      <c r="F206" s="70" t="str">
        <f>IFERROR(VLOOKUP(C206,MATERIAUX!$C$3:$G$1002,3,FALSE),"")</f>
        <v/>
      </c>
      <c r="G206" s="71" t="str">
        <f>IFERROR(VLOOKUP(C206,MATERIAUX!$C$3:$G$1002,5,FALSE),"")</f>
        <v/>
      </c>
      <c r="H206" s="71" t="str">
        <f t="shared" si="105"/>
        <v/>
      </c>
      <c r="I206" s="394"/>
      <c r="J206" s="72"/>
      <c r="K206" s="72"/>
      <c r="L206" s="72" t="str">
        <f>IFERROR(VLOOKUP(J206,'MAIN D OEUVRE'!$A$4:$B$99,2,FALSE)*$N$2,"")</f>
        <v/>
      </c>
      <c r="M206" s="73" t="str">
        <f t="shared" si="128"/>
        <v/>
      </c>
      <c r="N206" s="397"/>
      <c r="O206">
        <f t="shared" si="129"/>
        <v>0</v>
      </c>
      <c r="P206">
        <f t="shared" si="118"/>
        <v>0</v>
      </c>
      <c r="Q206">
        <f t="shared" si="119"/>
        <v>0</v>
      </c>
    </row>
    <row r="207" spans="1:17">
      <c r="A207" s="388"/>
      <c r="B207" s="391"/>
      <c r="C207" s="69"/>
      <c r="D207" s="70"/>
      <c r="E207" s="146"/>
      <c r="F207" s="70" t="str">
        <f>IFERROR(VLOOKUP(C207,MATERIAUX!$C$3:$G$1002,3,FALSE),"")</f>
        <v/>
      </c>
      <c r="G207" s="71" t="str">
        <f>IFERROR(VLOOKUP(C207,MATERIAUX!$C$3:$G$1002,5,FALSE),"")</f>
        <v/>
      </c>
      <c r="H207" s="71" t="str">
        <f t="shared" si="105"/>
        <v/>
      </c>
      <c r="I207" s="394"/>
      <c r="J207" s="72"/>
      <c r="K207" s="72"/>
      <c r="L207" s="72" t="str">
        <f>IFERROR(VLOOKUP(J207,'MAIN D OEUVRE'!$A$4:$B$99,2,FALSE)*$N$2,"")</f>
        <v/>
      </c>
      <c r="M207" s="73" t="str">
        <f t="shared" si="128"/>
        <v/>
      </c>
      <c r="N207" s="397"/>
      <c r="O207">
        <f t="shared" si="129"/>
        <v>0</v>
      </c>
      <c r="P207">
        <f t="shared" si="118"/>
        <v>0</v>
      </c>
      <c r="Q207">
        <f t="shared" si="119"/>
        <v>0</v>
      </c>
    </row>
    <row r="208" spans="1:17">
      <c r="A208" s="388"/>
      <c r="B208" s="391"/>
      <c r="C208" s="69"/>
      <c r="D208" s="70"/>
      <c r="E208" s="146"/>
      <c r="F208" s="70" t="str">
        <f>IFERROR(VLOOKUP(C208,MATERIAUX!$C$3:$G$1002,3,FALSE),"")</f>
        <v/>
      </c>
      <c r="G208" s="71" t="str">
        <f>IFERROR(VLOOKUP(C208,MATERIAUX!$C$3:$G$1002,5,FALSE),"")</f>
        <v/>
      </c>
      <c r="H208" s="71" t="str">
        <f t="shared" si="105"/>
        <v/>
      </c>
      <c r="I208" s="394"/>
      <c r="J208" s="72"/>
      <c r="K208" s="72"/>
      <c r="L208" s="72" t="str">
        <f>IFERROR(VLOOKUP(J208,'MAIN D OEUVRE'!$A$4:$B$99,2,FALSE)*$N$2,"")</f>
        <v/>
      </c>
      <c r="M208" s="73" t="str">
        <f t="shared" si="128"/>
        <v/>
      </c>
      <c r="N208" s="397"/>
      <c r="O208">
        <f t="shared" si="129"/>
        <v>0</v>
      </c>
      <c r="P208">
        <f t="shared" si="118"/>
        <v>0</v>
      </c>
      <c r="Q208">
        <f t="shared" si="119"/>
        <v>0</v>
      </c>
    </row>
    <row r="209" spans="1:17">
      <c r="A209" s="388"/>
      <c r="B209" s="391"/>
      <c r="C209" s="69"/>
      <c r="D209" s="70"/>
      <c r="E209" s="146"/>
      <c r="F209" s="70" t="str">
        <f>IFERROR(VLOOKUP(C209,MATERIAUX!$C$3:$G$1002,3,FALSE),"")</f>
        <v/>
      </c>
      <c r="G209" s="71" t="str">
        <f>IFERROR(VLOOKUP(C209,MATERIAUX!$C$3:$G$1002,5,FALSE),"")</f>
        <v/>
      </c>
      <c r="H209" s="71" t="str">
        <f t="shared" si="105"/>
        <v/>
      </c>
      <c r="I209" s="394"/>
      <c r="J209" s="72"/>
      <c r="K209" s="72"/>
      <c r="L209" s="72" t="str">
        <f>IFERROR(VLOOKUP(J209,'MAIN D OEUVRE'!$A$4:$B$99,2,FALSE)*$N$2,"")</f>
        <v/>
      </c>
      <c r="M209" s="73" t="str">
        <f t="shared" si="128"/>
        <v/>
      </c>
      <c r="N209" s="397"/>
      <c r="O209">
        <f t="shared" si="129"/>
        <v>0</v>
      </c>
      <c r="P209">
        <f t="shared" si="118"/>
        <v>0</v>
      </c>
      <c r="Q209">
        <f t="shared" si="119"/>
        <v>0</v>
      </c>
    </row>
    <row r="210" spans="1:17">
      <c r="A210" s="388"/>
      <c r="B210" s="391"/>
      <c r="C210" s="69"/>
      <c r="D210" s="70"/>
      <c r="E210" s="146"/>
      <c r="F210" s="70" t="str">
        <f>IFERROR(VLOOKUP(C210,MATERIAUX!$C$3:$G$1002,3,FALSE),"")</f>
        <v/>
      </c>
      <c r="G210" s="71" t="str">
        <f>IFERROR(VLOOKUP(C210,MATERIAUX!$C$3:$G$1002,5,FALSE),"")</f>
        <v/>
      </c>
      <c r="H210" s="71" t="str">
        <f t="shared" si="105"/>
        <v/>
      </c>
      <c r="I210" s="394"/>
      <c r="J210" s="72"/>
      <c r="K210" s="72"/>
      <c r="L210" s="72" t="str">
        <f>IFERROR(VLOOKUP(J210,'MAIN D OEUVRE'!$A$4:$B$99,2,FALSE)*$N$2,"")</f>
        <v/>
      </c>
      <c r="M210" s="73" t="str">
        <f t="shared" si="128"/>
        <v/>
      </c>
      <c r="N210" s="397"/>
      <c r="O210">
        <f t="shared" si="129"/>
        <v>0</v>
      </c>
      <c r="P210">
        <f t="shared" si="118"/>
        <v>0</v>
      </c>
      <c r="Q210">
        <f t="shared" si="119"/>
        <v>0</v>
      </c>
    </row>
    <row r="211" spans="1:17">
      <c r="A211" s="388"/>
      <c r="B211" s="391"/>
      <c r="C211" s="69"/>
      <c r="D211" s="70"/>
      <c r="E211" s="146"/>
      <c r="F211" s="70" t="str">
        <f>IFERROR(VLOOKUP(C211,MATERIAUX!$C$3:$G$1002,3,FALSE),"")</f>
        <v/>
      </c>
      <c r="G211" s="71" t="str">
        <f>IFERROR(VLOOKUP(C211,MATERIAUX!$C$3:$G$1002,5,FALSE),"")</f>
        <v/>
      </c>
      <c r="H211" s="71" t="str">
        <f t="shared" si="105"/>
        <v/>
      </c>
      <c r="I211" s="394"/>
      <c r="J211" s="72"/>
      <c r="K211" s="72"/>
      <c r="L211" s="72"/>
      <c r="M211" s="73"/>
      <c r="N211" s="397"/>
      <c r="O211">
        <f t="shared" si="129"/>
        <v>0</v>
      </c>
      <c r="P211">
        <f t="shared" si="118"/>
        <v>0</v>
      </c>
      <c r="Q211">
        <f t="shared" si="119"/>
        <v>0</v>
      </c>
    </row>
    <row r="212" spans="1:17" ht="15" thickBot="1">
      <c r="A212" s="389"/>
      <c r="B212" s="392"/>
      <c r="C212" s="74"/>
      <c r="D212" s="75"/>
      <c r="E212" s="147"/>
      <c r="F212" s="70" t="str">
        <f>IFERROR(VLOOKUP(C212,MATERIAUX!$C$3:$G$1002,3,FALSE),"")</f>
        <v/>
      </c>
      <c r="G212" s="71" t="str">
        <f>IFERROR(VLOOKUP(C212,MATERIAUX!$C$3:$G$1002,5,FALSE),"")</f>
        <v/>
      </c>
      <c r="H212" s="76" t="str">
        <f t="shared" si="105"/>
        <v/>
      </c>
      <c r="I212" s="395"/>
      <c r="J212" s="77"/>
      <c r="K212" s="77"/>
      <c r="L212" s="77"/>
      <c r="M212" s="78"/>
      <c r="N212" s="398"/>
      <c r="O212">
        <f t="shared" si="129"/>
        <v>0</v>
      </c>
      <c r="P212">
        <f t="shared" si="118"/>
        <v>0</v>
      </c>
      <c r="Q212">
        <f t="shared" si="119"/>
        <v>0</v>
      </c>
    </row>
    <row r="213" spans="1:17">
      <c r="A213" s="387" t="s">
        <v>43</v>
      </c>
      <c r="B213" s="390" t="s">
        <v>21</v>
      </c>
      <c r="C213" s="64" t="s">
        <v>104</v>
      </c>
      <c r="D213" s="65">
        <v>1.0249999999999999</v>
      </c>
      <c r="E213" s="145">
        <v>0.1</v>
      </c>
      <c r="F213" s="65" t="str">
        <f>IFERROR(VLOOKUP(C213,MATERIAUX!$C$3:$G$1002,3,FALSE),"")</f>
        <v>m2</v>
      </c>
      <c r="G213" s="66">
        <f>IFERROR(VLOOKUP(C213,MATERIAUX!$C$3:$G$1002,5,FALSE),"")</f>
        <v>10.738144329896908</v>
      </c>
      <c r="H213" s="66">
        <f t="shared" si="105"/>
        <v>12.11</v>
      </c>
      <c r="I213" s="393">
        <f>SUM(H213:H222)</f>
        <v>17.11</v>
      </c>
      <c r="J213" s="67" t="s">
        <v>54</v>
      </c>
      <c r="K213" s="67">
        <v>1</v>
      </c>
      <c r="L213" s="67">
        <f>IFERROR(VLOOKUP(J213,'MAIN D OEUVRE'!$A$4:$B$99,2,FALSE)*$N$2,"")</f>
        <v>1.1000000000000001</v>
      </c>
      <c r="M213" s="68">
        <f t="shared" si="9"/>
        <v>1.1000000000000001</v>
      </c>
      <c r="N213" s="396">
        <f>SUM(M213:M222)</f>
        <v>1.1000000000000001</v>
      </c>
      <c r="O213" s="350">
        <v>0</v>
      </c>
      <c r="P213">
        <f t="shared" si="118"/>
        <v>0</v>
      </c>
      <c r="Q213">
        <f t="shared" si="119"/>
        <v>0</v>
      </c>
    </row>
    <row r="214" spans="1:17">
      <c r="A214" s="388"/>
      <c r="B214" s="391"/>
      <c r="C214" s="69" t="s">
        <v>106</v>
      </c>
      <c r="D214" s="70">
        <v>1</v>
      </c>
      <c r="E214" s="146">
        <v>0</v>
      </c>
      <c r="F214" s="70" t="str">
        <f>IFERROR(VLOOKUP(C214,MATERIAUX!$C$3:$G$1002,3,FALSE),"")</f>
        <v>ml</v>
      </c>
      <c r="G214" s="71">
        <f>IFERROR(VLOOKUP(C214,MATERIAUX!$C$3:$G$1002,5,FALSE),"")</f>
        <v>3.2659793814432994</v>
      </c>
      <c r="H214" s="71">
        <f t="shared" si="105"/>
        <v>3.27</v>
      </c>
      <c r="I214" s="394"/>
      <c r="J214" s="72"/>
      <c r="K214" s="72"/>
      <c r="L214" s="72" t="str">
        <f>IFERROR(VLOOKUP(J214,'MAIN D OEUVRE'!$A$4:$B$99,2,FALSE)*$N$2,"")</f>
        <v/>
      </c>
      <c r="M214" s="73" t="str">
        <f t="shared" si="9"/>
        <v/>
      </c>
      <c r="N214" s="397"/>
      <c r="O214">
        <f>O213</f>
        <v>0</v>
      </c>
      <c r="P214">
        <f t="shared" si="118"/>
        <v>0</v>
      </c>
      <c r="Q214">
        <f t="shared" si="119"/>
        <v>0</v>
      </c>
    </row>
    <row r="215" spans="1:17">
      <c r="A215" s="388"/>
      <c r="B215" s="391"/>
      <c r="C215" s="69" t="s">
        <v>136</v>
      </c>
      <c r="D215" s="70">
        <v>70</v>
      </c>
      <c r="E215" s="146">
        <v>0</v>
      </c>
      <c r="F215" s="70" t="str">
        <f>IFERROR(VLOOKUP(C215,MATERIAUX!$C$3:$G$1002,3,FALSE),"")</f>
        <v>u</v>
      </c>
      <c r="G215" s="71">
        <f>IFERROR(VLOOKUP(C215,MATERIAUX!$C$3:$G$1002,5,FALSE),"")</f>
        <v>2.4742268041237116E-2</v>
      </c>
      <c r="H215" s="71">
        <f t="shared" si="105"/>
        <v>1.73</v>
      </c>
      <c r="I215" s="394"/>
      <c r="J215" s="72"/>
      <c r="K215" s="72"/>
      <c r="L215" s="72" t="str">
        <f>IFERROR(VLOOKUP(J215,'MAIN D OEUVRE'!$A$4:$B$99,2,FALSE)*$N$2,"")</f>
        <v/>
      </c>
      <c r="M215" s="73" t="str">
        <f t="shared" si="9"/>
        <v/>
      </c>
      <c r="N215" s="397"/>
      <c r="O215">
        <f t="shared" ref="O215:O222" si="130">O214</f>
        <v>0</v>
      </c>
      <c r="P215">
        <f t="shared" si="118"/>
        <v>0</v>
      </c>
      <c r="Q215">
        <f t="shared" si="119"/>
        <v>0</v>
      </c>
    </row>
    <row r="216" spans="1:17">
      <c r="A216" s="388"/>
      <c r="B216" s="391"/>
      <c r="C216" s="69"/>
      <c r="D216" s="70"/>
      <c r="E216" s="146"/>
      <c r="F216" s="70" t="str">
        <f>IFERROR(VLOOKUP(C216,MATERIAUX!$C$3:$G$1002,3,FALSE),"")</f>
        <v/>
      </c>
      <c r="G216" s="71" t="str">
        <f>IFERROR(VLOOKUP(C216,MATERIAUX!$C$3:$G$1002,5,FALSE),"")</f>
        <v/>
      </c>
      <c r="H216" s="71" t="str">
        <f t="shared" si="105"/>
        <v/>
      </c>
      <c r="I216" s="394"/>
      <c r="J216" s="72"/>
      <c r="K216" s="72"/>
      <c r="L216" s="72" t="str">
        <f>IFERROR(VLOOKUP(J216,'MAIN D OEUVRE'!$A$4:$B$99,2,FALSE)*$N$2,"")</f>
        <v/>
      </c>
      <c r="M216" s="73" t="str">
        <f t="shared" si="9"/>
        <v/>
      </c>
      <c r="N216" s="397"/>
      <c r="O216">
        <f t="shared" si="130"/>
        <v>0</v>
      </c>
      <c r="P216">
        <f t="shared" si="118"/>
        <v>0</v>
      </c>
      <c r="Q216">
        <f t="shared" si="119"/>
        <v>0</v>
      </c>
    </row>
    <row r="217" spans="1:17">
      <c r="A217" s="388"/>
      <c r="B217" s="391"/>
      <c r="C217" s="69"/>
      <c r="D217" s="70"/>
      <c r="E217" s="146"/>
      <c r="F217" s="70" t="str">
        <f>IFERROR(VLOOKUP(C217,MATERIAUX!$C$3:$G$1002,3,FALSE),"")</f>
        <v/>
      </c>
      <c r="G217" s="71" t="str">
        <f>IFERROR(VLOOKUP(C217,MATERIAUX!$C$3:$G$1002,5,FALSE),"")</f>
        <v/>
      </c>
      <c r="H217" s="71" t="str">
        <f t="shared" si="105"/>
        <v/>
      </c>
      <c r="I217" s="394"/>
      <c r="J217" s="72"/>
      <c r="K217" s="72"/>
      <c r="L217" s="72" t="str">
        <f>IFERROR(VLOOKUP(J217,'MAIN D OEUVRE'!$A$4:$B$99,2,FALSE)*$N$2,"")</f>
        <v/>
      </c>
      <c r="M217" s="73" t="str">
        <f t="shared" si="9"/>
        <v/>
      </c>
      <c r="N217" s="397"/>
      <c r="O217">
        <f t="shared" si="130"/>
        <v>0</v>
      </c>
      <c r="P217">
        <f t="shared" si="118"/>
        <v>0</v>
      </c>
      <c r="Q217">
        <f t="shared" si="119"/>
        <v>0</v>
      </c>
    </row>
    <row r="218" spans="1:17">
      <c r="A218" s="388"/>
      <c r="B218" s="391"/>
      <c r="C218" s="69"/>
      <c r="D218" s="70"/>
      <c r="E218" s="146"/>
      <c r="F218" s="70" t="str">
        <f>IFERROR(VLOOKUP(C218,MATERIAUX!$C$3:$G$1002,3,FALSE),"")</f>
        <v/>
      </c>
      <c r="G218" s="71" t="str">
        <f>IFERROR(VLOOKUP(C218,MATERIAUX!$C$3:$G$1002,5,FALSE),"")</f>
        <v/>
      </c>
      <c r="H218" s="71" t="str">
        <f t="shared" si="105"/>
        <v/>
      </c>
      <c r="I218" s="394"/>
      <c r="J218" s="72"/>
      <c r="K218" s="72"/>
      <c r="L218" s="72" t="str">
        <f>IFERROR(VLOOKUP(J218,'MAIN D OEUVRE'!$A$4:$B$99,2,FALSE)*$N$2,"")</f>
        <v/>
      </c>
      <c r="M218" s="73" t="str">
        <f t="shared" si="9"/>
        <v/>
      </c>
      <c r="N218" s="397"/>
      <c r="O218">
        <f t="shared" si="130"/>
        <v>0</v>
      </c>
      <c r="P218">
        <f t="shared" si="118"/>
        <v>0</v>
      </c>
      <c r="Q218">
        <f t="shared" si="119"/>
        <v>0</v>
      </c>
    </row>
    <row r="219" spans="1:17">
      <c r="A219" s="388"/>
      <c r="B219" s="391"/>
      <c r="C219" s="69"/>
      <c r="D219" s="70"/>
      <c r="E219" s="146"/>
      <c r="F219" s="70" t="str">
        <f>IFERROR(VLOOKUP(C219,MATERIAUX!$C$3:$G$1002,3,FALSE),"")</f>
        <v/>
      </c>
      <c r="G219" s="71" t="str">
        <f>IFERROR(VLOOKUP(C219,MATERIAUX!$C$3:$G$1002,5,FALSE),"")</f>
        <v/>
      </c>
      <c r="H219" s="71" t="str">
        <f t="shared" si="105"/>
        <v/>
      </c>
      <c r="I219" s="394"/>
      <c r="J219" s="72"/>
      <c r="K219" s="72"/>
      <c r="L219" s="72" t="str">
        <f>IFERROR(VLOOKUP(J219,'MAIN D OEUVRE'!$A$4:$B$99,2,FALSE)*$N$2,"")</f>
        <v/>
      </c>
      <c r="M219" s="73" t="str">
        <f t="shared" si="9"/>
        <v/>
      </c>
      <c r="N219" s="397"/>
      <c r="O219">
        <f t="shared" si="130"/>
        <v>0</v>
      </c>
      <c r="P219">
        <f t="shared" si="118"/>
        <v>0</v>
      </c>
      <c r="Q219">
        <f t="shared" si="119"/>
        <v>0</v>
      </c>
    </row>
    <row r="220" spans="1:17">
      <c r="A220" s="388"/>
      <c r="B220" s="391"/>
      <c r="C220" s="69"/>
      <c r="D220" s="70"/>
      <c r="E220" s="146"/>
      <c r="F220" s="70" t="str">
        <f>IFERROR(VLOOKUP(C220,MATERIAUX!$C$3:$G$1002,3,FALSE),"")</f>
        <v/>
      </c>
      <c r="G220" s="71" t="str">
        <f>IFERROR(VLOOKUP(C220,MATERIAUX!$C$3:$G$1002,5,FALSE),"")</f>
        <v/>
      </c>
      <c r="H220" s="71" t="str">
        <f t="shared" si="105"/>
        <v/>
      </c>
      <c r="I220" s="394"/>
      <c r="J220" s="72"/>
      <c r="K220" s="72"/>
      <c r="L220" s="72" t="str">
        <f>IFERROR(VLOOKUP(J220,'MAIN D OEUVRE'!$A$4:$B$99,2,FALSE)*$N$2,"")</f>
        <v/>
      </c>
      <c r="M220" s="73" t="str">
        <f t="shared" si="9"/>
        <v/>
      </c>
      <c r="N220" s="397"/>
      <c r="O220">
        <f t="shared" si="130"/>
        <v>0</v>
      </c>
      <c r="P220">
        <f t="shared" si="118"/>
        <v>0</v>
      </c>
      <c r="Q220">
        <f t="shared" si="119"/>
        <v>0</v>
      </c>
    </row>
    <row r="221" spans="1:17">
      <c r="A221" s="388"/>
      <c r="B221" s="391"/>
      <c r="C221" s="69"/>
      <c r="D221" s="70"/>
      <c r="E221" s="146"/>
      <c r="F221" s="70" t="str">
        <f>IFERROR(VLOOKUP(C221,MATERIAUX!$C$3:$G$1002,3,FALSE),"")</f>
        <v/>
      </c>
      <c r="G221" s="71" t="str">
        <f>IFERROR(VLOOKUP(C221,MATERIAUX!$C$3:$G$1002,5,FALSE),"")</f>
        <v/>
      </c>
      <c r="H221" s="71" t="str">
        <f t="shared" si="105"/>
        <v/>
      </c>
      <c r="I221" s="394"/>
      <c r="J221" s="72"/>
      <c r="K221" s="72"/>
      <c r="L221" s="72"/>
      <c r="M221" s="73"/>
      <c r="N221" s="397"/>
      <c r="O221">
        <f t="shared" si="130"/>
        <v>0</v>
      </c>
      <c r="P221">
        <f t="shared" si="118"/>
        <v>0</v>
      </c>
      <c r="Q221">
        <f t="shared" si="119"/>
        <v>0</v>
      </c>
    </row>
    <row r="222" spans="1:17" ht="15" thickBot="1">
      <c r="A222" s="389"/>
      <c r="B222" s="392"/>
      <c r="C222" s="74"/>
      <c r="D222" s="75"/>
      <c r="E222" s="147"/>
      <c r="F222" s="70" t="str">
        <f>IFERROR(VLOOKUP(C222,MATERIAUX!$C$3:$G$1002,3,FALSE),"")</f>
        <v/>
      </c>
      <c r="G222" s="71" t="str">
        <f>IFERROR(VLOOKUP(C222,MATERIAUX!$C$3:$G$1002,5,FALSE),"")</f>
        <v/>
      </c>
      <c r="H222" s="76" t="str">
        <f t="shared" si="105"/>
        <v/>
      </c>
      <c r="I222" s="395"/>
      <c r="J222" s="77"/>
      <c r="K222" s="77"/>
      <c r="L222" s="77"/>
      <c r="M222" s="78"/>
      <c r="N222" s="398"/>
      <c r="O222">
        <f t="shared" si="130"/>
        <v>0</v>
      </c>
      <c r="P222">
        <f t="shared" si="118"/>
        <v>0</v>
      </c>
      <c r="Q222">
        <f t="shared" si="119"/>
        <v>0</v>
      </c>
    </row>
    <row r="223" spans="1:17">
      <c r="A223" s="387" t="s">
        <v>272</v>
      </c>
      <c r="B223" s="390" t="s">
        <v>21</v>
      </c>
      <c r="C223" s="64" t="s">
        <v>107</v>
      </c>
      <c r="D223" s="65">
        <v>1.0249999999999999</v>
      </c>
      <c r="E223" s="145">
        <v>0.1</v>
      </c>
      <c r="F223" s="65" t="str">
        <f>IFERROR(VLOOKUP(C223,MATERIAUX!$C$3:$G$1002,3,FALSE),"")</f>
        <v>m2</v>
      </c>
      <c r="G223" s="66">
        <f>IFERROR(VLOOKUP(C223,MATERIAUX!$C$3:$G$1002,5,FALSE),"")</f>
        <v>4.2161730762886602</v>
      </c>
      <c r="H223" s="66">
        <f t="shared" si="105"/>
        <v>4.75</v>
      </c>
      <c r="I223" s="393">
        <f>SUM(H223:H232)</f>
        <v>9.98</v>
      </c>
      <c r="J223" s="67" t="s">
        <v>53</v>
      </c>
      <c r="K223" s="67">
        <v>1</v>
      </c>
      <c r="L223" s="67">
        <f>IFERROR(VLOOKUP(J223,'MAIN D OEUVRE'!$A$4:$B$99,2,FALSE)*$N$2,"")</f>
        <v>0.33</v>
      </c>
      <c r="M223" s="68">
        <f t="shared" si="9"/>
        <v>0.33</v>
      </c>
      <c r="N223" s="396">
        <f>SUM(M223:M232)</f>
        <v>1.4300000000000002</v>
      </c>
      <c r="O223" s="350">
        <v>0</v>
      </c>
      <c r="P223">
        <f t="shared" si="118"/>
        <v>0</v>
      </c>
      <c r="Q223">
        <f t="shared" si="119"/>
        <v>0</v>
      </c>
    </row>
    <row r="224" spans="1:17">
      <c r="A224" s="388"/>
      <c r="B224" s="391"/>
      <c r="C224" s="69" t="s">
        <v>75</v>
      </c>
      <c r="D224" s="70">
        <v>1</v>
      </c>
      <c r="E224" s="146">
        <v>0.1</v>
      </c>
      <c r="F224" s="70" t="str">
        <f>IFERROR(VLOOKUP(C224,MATERIAUX!$C$3:$G$1002,3,FALSE),"")</f>
        <v>kg</v>
      </c>
      <c r="G224" s="71">
        <f>IFERROR(VLOOKUP(C224,MATERIAUX!$C$3:$G$1002,5,FALSE),"")</f>
        <v>0.2061855670103093</v>
      </c>
      <c r="H224" s="71">
        <f t="shared" si="105"/>
        <v>0.23</v>
      </c>
      <c r="I224" s="394"/>
      <c r="J224" s="72" t="s">
        <v>54</v>
      </c>
      <c r="K224" s="72">
        <v>1</v>
      </c>
      <c r="L224" s="72">
        <f>IFERROR(VLOOKUP(J224,'MAIN D OEUVRE'!$A$4:$B$99,2,FALSE)*$N$2,"")</f>
        <v>1.1000000000000001</v>
      </c>
      <c r="M224" s="73">
        <f t="shared" si="9"/>
        <v>1.1000000000000001</v>
      </c>
      <c r="N224" s="397"/>
      <c r="O224">
        <f>O223</f>
        <v>0</v>
      </c>
      <c r="P224">
        <f t="shared" si="118"/>
        <v>0</v>
      </c>
      <c r="Q224">
        <f t="shared" si="119"/>
        <v>0</v>
      </c>
    </row>
    <row r="225" spans="1:17">
      <c r="A225" s="388"/>
      <c r="B225" s="391"/>
      <c r="C225" s="69" t="s">
        <v>106</v>
      </c>
      <c r="D225" s="70">
        <v>1</v>
      </c>
      <c r="E225" s="146">
        <v>0</v>
      </c>
      <c r="F225" s="70" t="str">
        <f>IFERROR(VLOOKUP(C225,MATERIAUX!$C$3:$G$1002,3,FALSE),"")</f>
        <v>ml</v>
      </c>
      <c r="G225" s="71">
        <f>IFERROR(VLOOKUP(C225,MATERIAUX!$C$3:$G$1002,5,FALSE),"")</f>
        <v>3.2659793814432994</v>
      </c>
      <c r="H225" s="71">
        <f t="shared" si="105"/>
        <v>3.27</v>
      </c>
      <c r="I225" s="394"/>
      <c r="J225" s="72"/>
      <c r="K225" s="72"/>
      <c r="L225" s="72" t="str">
        <f>IFERROR(VLOOKUP(J225,'MAIN D OEUVRE'!$A$4:$B$99,2,FALSE)*$N$2,"")</f>
        <v/>
      </c>
      <c r="M225" s="73" t="str">
        <f t="shared" si="9"/>
        <v/>
      </c>
      <c r="N225" s="397"/>
      <c r="O225">
        <f t="shared" ref="O225:O232" si="131">O224</f>
        <v>0</v>
      </c>
      <c r="P225">
        <f t="shared" si="118"/>
        <v>0</v>
      </c>
      <c r="Q225">
        <f t="shared" si="119"/>
        <v>0</v>
      </c>
    </row>
    <row r="226" spans="1:17">
      <c r="A226" s="388"/>
      <c r="B226" s="391"/>
      <c r="C226" s="69" t="s">
        <v>136</v>
      </c>
      <c r="D226" s="70">
        <v>70</v>
      </c>
      <c r="E226" s="146">
        <v>0</v>
      </c>
      <c r="F226" s="70" t="str">
        <f>IFERROR(VLOOKUP(C226,MATERIAUX!$C$3:$G$1002,3,FALSE),"")</f>
        <v>u</v>
      </c>
      <c r="G226" s="71">
        <f>IFERROR(VLOOKUP(C226,MATERIAUX!$C$3:$G$1002,5,FALSE),"")</f>
        <v>2.4742268041237116E-2</v>
      </c>
      <c r="H226" s="71">
        <f t="shared" si="105"/>
        <v>1.73</v>
      </c>
      <c r="I226" s="394"/>
      <c r="J226" s="72"/>
      <c r="K226" s="72"/>
      <c r="L226" s="72" t="str">
        <f>IFERROR(VLOOKUP(J226,'MAIN D OEUVRE'!$A$4:$B$99,2,FALSE)*$N$2,"")</f>
        <v/>
      </c>
      <c r="M226" s="73" t="str">
        <f t="shared" si="9"/>
        <v/>
      </c>
      <c r="N226" s="397"/>
      <c r="O226">
        <f t="shared" si="131"/>
        <v>0</v>
      </c>
      <c r="P226">
        <f t="shared" si="118"/>
        <v>0</v>
      </c>
      <c r="Q226">
        <f t="shared" si="119"/>
        <v>0</v>
      </c>
    </row>
    <row r="227" spans="1:17">
      <c r="A227" s="388"/>
      <c r="B227" s="391"/>
      <c r="C227" s="69"/>
      <c r="D227" s="70"/>
      <c r="E227" s="146"/>
      <c r="F227" s="70" t="str">
        <f>IFERROR(VLOOKUP(C227,MATERIAUX!$C$3:$G$1002,3,FALSE),"")</f>
        <v/>
      </c>
      <c r="G227" s="71" t="str">
        <f>IFERROR(VLOOKUP(C227,MATERIAUX!$C$3:$G$1002,5,FALSE),"")</f>
        <v/>
      </c>
      <c r="H227" s="71" t="str">
        <f t="shared" si="105"/>
        <v/>
      </c>
      <c r="I227" s="394"/>
      <c r="J227" s="72"/>
      <c r="K227" s="72"/>
      <c r="L227" s="72" t="str">
        <f>IFERROR(VLOOKUP(J227,'MAIN D OEUVRE'!$A$4:$B$99,2,FALSE)*$N$2,"")</f>
        <v/>
      </c>
      <c r="M227" s="73" t="str">
        <f t="shared" si="9"/>
        <v/>
      </c>
      <c r="N227" s="397"/>
      <c r="O227">
        <f t="shared" si="131"/>
        <v>0</v>
      </c>
      <c r="P227">
        <f t="shared" si="118"/>
        <v>0</v>
      </c>
      <c r="Q227">
        <f t="shared" si="119"/>
        <v>0</v>
      </c>
    </row>
    <row r="228" spans="1:17">
      <c r="A228" s="388"/>
      <c r="B228" s="391"/>
      <c r="C228" s="69"/>
      <c r="D228" s="70"/>
      <c r="E228" s="146"/>
      <c r="F228" s="70" t="str">
        <f>IFERROR(VLOOKUP(C228,MATERIAUX!$C$3:$G$1002,3,FALSE),"")</f>
        <v/>
      </c>
      <c r="G228" s="71" t="str">
        <f>IFERROR(VLOOKUP(C228,MATERIAUX!$C$3:$G$1002,5,FALSE),"")</f>
        <v/>
      </c>
      <c r="H228" s="71" t="str">
        <f t="shared" si="105"/>
        <v/>
      </c>
      <c r="I228" s="394"/>
      <c r="J228" s="72"/>
      <c r="K228" s="72"/>
      <c r="L228" s="72" t="str">
        <f>IFERROR(VLOOKUP(J228,'MAIN D OEUVRE'!$A$4:$B$99,2,FALSE)*$N$2,"")</f>
        <v/>
      </c>
      <c r="M228" s="73" t="str">
        <f t="shared" si="9"/>
        <v/>
      </c>
      <c r="N228" s="397"/>
      <c r="O228">
        <f t="shared" si="131"/>
        <v>0</v>
      </c>
      <c r="P228">
        <f t="shared" si="118"/>
        <v>0</v>
      </c>
      <c r="Q228">
        <f t="shared" si="119"/>
        <v>0</v>
      </c>
    </row>
    <row r="229" spans="1:17">
      <c r="A229" s="388"/>
      <c r="B229" s="391"/>
      <c r="C229" s="69"/>
      <c r="D229" s="70"/>
      <c r="E229" s="146"/>
      <c r="F229" s="70" t="str">
        <f>IFERROR(VLOOKUP(C229,MATERIAUX!$C$3:$G$1002,3,FALSE),"")</f>
        <v/>
      </c>
      <c r="G229" s="71" t="str">
        <f>IFERROR(VLOOKUP(C229,MATERIAUX!$C$3:$G$1002,5,FALSE),"")</f>
        <v/>
      </c>
      <c r="H229" s="71" t="str">
        <f t="shared" si="105"/>
        <v/>
      </c>
      <c r="I229" s="394"/>
      <c r="J229" s="72"/>
      <c r="K229" s="72"/>
      <c r="L229" s="72" t="str">
        <f>IFERROR(VLOOKUP(J229,'MAIN D OEUVRE'!$A$4:$B$99,2,FALSE)*$N$2,"")</f>
        <v/>
      </c>
      <c r="M229" s="73" t="str">
        <f t="shared" si="9"/>
        <v/>
      </c>
      <c r="N229" s="397"/>
      <c r="O229">
        <f t="shared" si="131"/>
        <v>0</v>
      </c>
      <c r="P229">
        <f t="shared" si="118"/>
        <v>0</v>
      </c>
      <c r="Q229">
        <f t="shared" si="119"/>
        <v>0</v>
      </c>
    </row>
    <row r="230" spans="1:17">
      <c r="A230" s="388"/>
      <c r="B230" s="391"/>
      <c r="C230" s="69"/>
      <c r="D230" s="70"/>
      <c r="E230" s="146"/>
      <c r="F230" s="70" t="str">
        <f>IFERROR(VLOOKUP(C230,MATERIAUX!$C$3:$G$1002,3,FALSE),"")</f>
        <v/>
      </c>
      <c r="G230" s="71" t="str">
        <f>IFERROR(VLOOKUP(C230,MATERIAUX!$C$3:$G$1002,5,FALSE),"")</f>
        <v/>
      </c>
      <c r="H230" s="71" t="str">
        <f t="shared" si="105"/>
        <v/>
      </c>
      <c r="I230" s="394"/>
      <c r="J230" s="72"/>
      <c r="K230" s="72"/>
      <c r="L230" s="72" t="str">
        <f>IFERROR(VLOOKUP(J230,'MAIN D OEUVRE'!$A$4:$B$99,2,FALSE)*$N$2,"")</f>
        <v/>
      </c>
      <c r="M230" s="73" t="str">
        <f t="shared" ref="M230" si="132">IFERROR(ROUND(L230*K230,2),"")</f>
        <v/>
      </c>
      <c r="N230" s="397"/>
      <c r="O230">
        <f t="shared" si="131"/>
        <v>0</v>
      </c>
      <c r="P230">
        <f t="shared" si="118"/>
        <v>0</v>
      </c>
      <c r="Q230">
        <f t="shared" si="119"/>
        <v>0</v>
      </c>
    </row>
    <row r="231" spans="1:17">
      <c r="A231" s="388"/>
      <c r="B231" s="391"/>
      <c r="C231" s="69"/>
      <c r="D231" s="70"/>
      <c r="E231" s="146"/>
      <c r="F231" s="70" t="str">
        <f>IFERROR(VLOOKUP(C231,MATERIAUX!$C$3:$G$1002,3,FALSE),"")</f>
        <v/>
      </c>
      <c r="G231" s="71" t="str">
        <f>IFERROR(VLOOKUP(C231,MATERIAUX!$C$3:$G$1002,5,FALSE),"")</f>
        <v/>
      </c>
      <c r="H231" s="71" t="str">
        <f t="shared" si="105"/>
        <v/>
      </c>
      <c r="I231" s="394"/>
      <c r="J231" s="72"/>
      <c r="K231" s="72"/>
      <c r="L231" s="72"/>
      <c r="M231" s="73"/>
      <c r="N231" s="397"/>
      <c r="O231">
        <f t="shared" si="131"/>
        <v>0</v>
      </c>
      <c r="P231">
        <f t="shared" si="118"/>
        <v>0</v>
      </c>
      <c r="Q231">
        <f t="shared" si="119"/>
        <v>0</v>
      </c>
    </row>
    <row r="232" spans="1:17" ht="15" thickBot="1">
      <c r="A232" s="389"/>
      <c r="B232" s="392"/>
      <c r="C232" s="74"/>
      <c r="D232" s="75"/>
      <c r="E232" s="147"/>
      <c r="F232" s="70" t="str">
        <f>IFERROR(VLOOKUP(C232,MATERIAUX!$C$3:$G$1002,3,FALSE),"")</f>
        <v/>
      </c>
      <c r="G232" s="71" t="str">
        <f>IFERROR(VLOOKUP(C232,MATERIAUX!$C$3:$G$1002,5,FALSE),"")</f>
        <v/>
      </c>
      <c r="H232" s="76" t="str">
        <f t="shared" si="105"/>
        <v/>
      </c>
      <c r="I232" s="395"/>
      <c r="J232" s="77"/>
      <c r="K232" s="77"/>
      <c r="L232" s="77"/>
      <c r="M232" s="78"/>
      <c r="N232" s="398"/>
      <c r="O232">
        <f t="shared" si="131"/>
        <v>0</v>
      </c>
      <c r="P232">
        <f t="shared" si="118"/>
        <v>0</v>
      </c>
      <c r="Q232">
        <f t="shared" si="119"/>
        <v>0</v>
      </c>
    </row>
    <row r="233" spans="1:17">
      <c r="A233" s="387" t="s">
        <v>504</v>
      </c>
      <c r="B233" s="390" t="s">
        <v>21</v>
      </c>
      <c r="C233" s="64" t="s">
        <v>501</v>
      </c>
      <c r="D233" s="65">
        <v>1.0249999999999999</v>
      </c>
      <c r="E233" s="145">
        <v>0.1</v>
      </c>
      <c r="F233" s="65" t="str">
        <f>IFERROR(VLOOKUP(C233,MATERIAUX!$C$3:$G$1002,3,FALSE),"")</f>
        <v>m2</v>
      </c>
      <c r="G233" s="66">
        <f>IFERROR(VLOOKUP(C233,MATERIAUX!$C$3:$G$1002,5,FALSE),"")</f>
        <v>20.459793814432992</v>
      </c>
      <c r="H233" s="66">
        <f t="shared" si="105"/>
        <v>23.07</v>
      </c>
      <c r="I233" s="393">
        <f>SUM(H233:H242)</f>
        <v>26.560000000000002</v>
      </c>
      <c r="J233" s="67" t="s">
        <v>54</v>
      </c>
      <c r="K233" s="67">
        <v>1</v>
      </c>
      <c r="L233" s="67">
        <f>IFERROR(VLOOKUP(J233,'MAIN D OEUVRE'!$A$4:$B$99,2,FALSE)*$N$2,"")</f>
        <v>1.1000000000000001</v>
      </c>
      <c r="M233" s="68">
        <f t="shared" ref="M233:M240" si="133">IFERROR(ROUND(L233*K233,2),"")</f>
        <v>1.1000000000000001</v>
      </c>
      <c r="N233" s="396">
        <f>SUM(M233:M242)</f>
        <v>1.1000000000000001</v>
      </c>
      <c r="O233" s="350">
        <v>0</v>
      </c>
      <c r="P233">
        <f t="shared" si="118"/>
        <v>0</v>
      </c>
      <c r="Q233">
        <f t="shared" si="119"/>
        <v>0</v>
      </c>
    </row>
    <row r="234" spans="1:17">
      <c r="A234" s="388"/>
      <c r="B234" s="391"/>
      <c r="C234" s="69" t="s">
        <v>80</v>
      </c>
      <c r="D234" s="70">
        <v>0.84</v>
      </c>
      <c r="E234" s="146">
        <v>0</v>
      </c>
      <c r="F234" s="70" t="str">
        <f>IFERROR(VLOOKUP(C234,MATERIAUX!$C$3:$G$1002,3,FALSE),"")</f>
        <v>ml</v>
      </c>
      <c r="G234" s="71">
        <f>IFERROR(VLOOKUP(C234,MATERIAUX!$C$3:$G$1002,5,FALSE),"")</f>
        <v>1.6199257731958763</v>
      </c>
      <c r="H234" s="71">
        <f t="shared" si="105"/>
        <v>1.36</v>
      </c>
      <c r="I234" s="394"/>
      <c r="J234" s="72"/>
      <c r="K234" s="72"/>
      <c r="L234" s="72" t="str">
        <f>IFERROR(VLOOKUP(J234,'MAIN D OEUVRE'!$A$4:$B$99,2,FALSE)*$N$2,"")</f>
        <v/>
      </c>
      <c r="M234" s="73" t="str">
        <f t="shared" si="133"/>
        <v/>
      </c>
      <c r="N234" s="397"/>
      <c r="O234">
        <f>O233</f>
        <v>0</v>
      </c>
      <c r="P234">
        <f t="shared" si="118"/>
        <v>0</v>
      </c>
      <c r="Q234">
        <f t="shared" si="119"/>
        <v>0</v>
      </c>
    </row>
    <row r="235" spans="1:17">
      <c r="A235" s="388"/>
      <c r="B235" s="391"/>
      <c r="C235" s="69" t="s">
        <v>77</v>
      </c>
      <c r="D235" s="70">
        <v>0.2</v>
      </c>
      <c r="E235" s="146">
        <v>0</v>
      </c>
      <c r="F235" s="70" t="str">
        <f>IFERROR(VLOOKUP(C235,MATERIAUX!$C$3:$G$1002,3,FALSE),"")</f>
        <v>l</v>
      </c>
      <c r="G235" s="71">
        <f>IFERROR(VLOOKUP(C235,MATERIAUX!$C$3:$G$1002,5,FALSE),"")</f>
        <v>8.8206185567010316</v>
      </c>
      <c r="H235" s="71">
        <f t="shared" si="105"/>
        <v>1.76</v>
      </c>
      <c r="I235" s="394"/>
      <c r="J235" s="72"/>
      <c r="K235" s="72"/>
      <c r="L235" s="72" t="str">
        <f>IFERROR(VLOOKUP(J235,'MAIN D OEUVRE'!$A$4:$B$99,2,FALSE)*$N$2,"")</f>
        <v/>
      </c>
      <c r="M235" s="73" t="str">
        <f t="shared" si="133"/>
        <v/>
      </c>
      <c r="N235" s="397"/>
      <c r="O235">
        <f t="shared" ref="O235:O242" si="134">O234</f>
        <v>0</v>
      </c>
      <c r="P235">
        <f t="shared" si="118"/>
        <v>0</v>
      </c>
      <c r="Q235">
        <f t="shared" si="119"/>
        <v>0</v>
      </c>
    </row>
    <row r="236" spans="1:17">
      <c r="A236" s="388"/>
      <c r="B236" s="391"/>
      <c r="C236" s="69" t="s">
        <v>136</v>
      </c>
      <c r="D236" s="70">
        <v>15</v>
      </c>
      <c r="E236" s="146">
        <v>0</v>
      </c>
      <c r="F236" s="70" t="str">
        <f>IFERROR(VLOOKUP(C236,MATERIAUX!$C$3:$G$1002,3,FALSE),"")</f>
        <v>u</v>
      </c>
      <c r="G236" s="71">
        <f>IFERROR(VLOOKUP(C236,MATERIAUX!$C$3:$G$1002,5,FALSE),"")</f>
        <v>2.4742268041237116E-2</v>
      </c>
      <c r="H236" s="71">
        <f t="shared" ref="H236:H319" si="135">IFERROR(ROUND(G236*(1+E236)*D236,2),"")</f>
        <v>0.37</v>
      </c>
      <c r="I236" s="394"/>
      <c r="J236" s="72"/>
      <c r="K236" s="72"/>
      <c r="L236" s="72" t="str">
        <f>IFERROR(VLOOKUP(J236,'MAIN D OEUVRE'!$A$4:$B$99,2,FALSE)*$N$2,"")</f>
        <v/>
      </c>
      <c r="M236" s="73" t="str">
        <f t="shared" si="133"/>
        <v/>
      </c>
      <c r="N236" s="397"/>
      <c r="O236">
        <f t="shared" si="134"/>
        <v>0</v>
      </c>
      <c r="P236">
        <f t="shared" si="118"/>
        <v>0</v>
      </c>
      <c r="Q236">
        <f t="shared" si="119"/>
        <v>0</v>
      </c>
    </row>
    <row r="237" spans="1:17">
      <c r="A237" s="388"/>
      <c r="B237" s="391"/>
      <c r="C237" s="69"/>
      <c r="D237" s="70"/>
      <c r="E237" s="146"/>
      <c r="F237" s="70" t="str">
        <f>IFERROR(VLOOKUP(C237,MATERIAUX!$C$3:$G$1002,3,FALSE),"")</f>
        <v/>
      </c>
      <c r="G237" s="71" t="str">
        <f>IFERROR(VLOOKUP(C237,MATERIAUX!$C$3:$G$1002,5,FALSE),"")</f>
        <v/>
      </c>
      <c r="H237" s="71" t="str">
        <f t="shared" si="135"/>
        <v/>
      </c>
      <c r="I237" s="394"/>
      <c r="J237" s="72"/>
      <c r="K237" s="72"/>
      <c r="L237" s="72" t="str">
        <f>IFERROR(VLOOKUP(J237,'MAIN D OEUVRE'!$A$4:$B$99,2,FALSE)*$N$2,"")</f>
        <v/>
      </c>
      <c r="M237" s="73" t="str">
        <f t="shared" si="133"/>
        <v/>
      </c>
      <c r="N237" s="397"/>
      <c r="O237">
        <f t="shared" si="134"/>
        <v>0</v>
      </c>
      <c r="P237">
        <f t="shared" si="118"/>
        <v>0</v>
      </c>
      <c r="Q237">
        <f t="shared" si="119"/>
        <v>0</v>
      </c>
    </row>
    <row r="238" spans="1:17">
      <c r="A238" s="388"/>
      <c r="B238" s="391"/>
      <c r="C238" s="69"/>
      <c r="D238" s="70"/>
      <c r="E238" s="146"/>
      <c r="F238" s="70" t="str">
        <f>IFERROR(VLOOKUP(C238,MATERIAUX!$C$3:$G$1002,3,FALSE),"")</f>
        <v/>
      </c>
      <c r="G238" s="71" t="str">
        <f>IFERROR(VLOOKUP(C238,MATERIAUX!$C$3:$G$1002,5,FALSE),"")</f>
        <v/>
      </c>
      <c r="H238" s="71" t="str">
        <f t="shared" si="135"/>
        <v/>
      </c>
      <c r="I238" s="394"/>
      <c r="J238" s="72"/>
      <c r="K238" s="72"/>
      <c r="L238" s="72" t="str">
        <f>IFERROR(VLOOKUP(J238,'MAIN D OEUVRE'!$A$4:$B$99,2,FALSE)*$N$2,"")</f>
        <v/>
      </c>
      <c r="M238" s="73" t="str">
        <f t="shared" si="133"/>
        <v/>
      </c>
      <c r="N238" s="397"/>
      <c r="O238">
        <f t="shared" si="134"/>
        <v>0</v>
      </c>
      <c r="P238">
        <f t="shared" si="118"/>
        <v>0</v>
      </c>
      <c r="Q238">
        <f t="shared" si="119"/>
        <v>0</v>
      </c>
    </row>
    <row r="239" spans="1:17">
      <c r="A239" s="388"/>
      <c r="B239" s="391"/>
      <c r="C239" s="69"/>
      <c r="D239" s="70"/>
      <c r="E239" s="146"/>
      <c r="F239" s="70" t="str">
        <f>IFERROR(VLOOKUP(C239,MATERIAUX!$C$3:$G$1002,3,FALSE),"")</f>
        <v/>
      </c>
      <c r="G239" s="71" t="str">
        <f>IFERROR(VLOOKUP(C239,MATERIAUX!$C$3:$G$1002,5,FALSE),"")</f>
        <v/>
      </c>
      <c r="H239" s="71" t="str">
        <f t="shared" si="135"/>
        <v/>
      </c>
      <c r="I239" s="394"/>
      <c r="J239" s="72"/>
      <c r="K239" s="72"/>
      <c r="L239" s="72" t="str">
        <f>IFERROR(VLOOKUP(J239,'MAIN D OEUVRE'!$A$4:$B$99,2,FALSE)*$N$2,"")</f>
        <v/>
      </c>
      <c r="M239" s="73" t="str">
        <f t="shared" si="133"/>
        <v/>
      </c>
      <c r="N239" s="397"/>
      <c r="O239">
        <f t="shared" si="134"/>
        <v>0</v>
      </c>
      <c r="P239">
        <f t="shared" ref="P239:P302" si="136">(D239+D239*E239)*O239</f>
        <v>0</v>
      </c>
      <c r="Q239">
        <f t="shared" ref="Q239:Q302" si="137">IF(P239=0,0,P239*G239)</f>
        <v>0</v>
      </c>
    </row>
    <row r="240" spans="1:17">
      <c r="A240" s="388"/>
      <c r="B240" s="391"/>
      <c r="C240" s="69"/>
      <c r="D240" s="70"/>
      <c r="E240" s="146"/>
      <c r="F240" s="70" t="str">
        <f>IFERROR(VLOOKUP(C240,MATERIAUX!$C$3:$G$1002,3,FALSE),"")</f>
        <v/>
      </c>
      <c r="G240" s="71" t="str">
        <f>IFERROR(VLOOKUP(C240,MATERIAUX!$C$3:$G$1002,5,FALSE),"")</f>
        <v/>
      </c>
      <c r="H240" s="71" t="str">
        <f t="shared" si="135"/>
        <v/>
      </c>
      <c r="I240" s="394"/>
      <c r="J240" s="72"/>
      <c r="K240" s="72"/>
      <c r="L240" s="72" t="str">
        <f>IFERROR(VLOOKUP(J240,'MAIN D OEUVRE'!$A$4:$B$99,2,FALSE)*$N$2,"")</f>
        <v/>
      </c>
      <c r="M240" s="73" t="str">
        <f t="shared" si="133"/>
        <v/>
      </c>
      <c r="N240" s="397"/>
      <c r="O240">
        <f t="shared" si="134"/>
        <v>0</v>
      </c>
      <c r="P240">
        <f t="shared" si="136"/>
        <v>0</v>
      </c>
      <c r="Q240">
        <f t="shared" si="137"/>
        <v>0</v>
      </c>
    </row>
    <row r="241" spans="1:17">
      <c r="A241" s="388"/>
      <c r="B241" s="391"/>
      <c r="C241" s="69"/>
      <c r="D241" s="70"/>
      <c r="E241" s="146"/>
      <c r="F241" s="70" t="str">
        <f>IFERROR(VLOOKUP(C241,MATERIAUX!$C$3:$G$1002,3,FALSE),"")</f>
        <v/>
      </c>
      <c r="G241" s="71" t="str">
        <f>IFERROR(VLOOKUP(C241,MATERIAUX!$C$3:$G$1002,5,FALSE),"")</f>
        <v/>
      </c>
      <c r="H241" s="71" t="str">
        <f t="shared" si="135"/>
        <v/>
      </c>
      <c r="I241" s="394"/>
      <c r="J241" s="72"/>
      <c r="K241" s="72"/>
      <c r="L241" s="72"/>
      <c r="M241" s="73"/>
      <c r="N241" s="397"/>
      <c r="O241">
        <f t="shared" si="134"/>
        <v>0</v>
      </c>
      <c r="P241">
        <f t="shared" si="136"/>
        <v>0</v>
      </c>
      <c r="Q241">
        <f t="shared" si="137"/>
        <v>0</v>
      </c>
    </row>
    <row r="242" spans="1:17" ht="15" thickBot="1">
      <c r="A242" s="389"/>
      <c r="B242" s="392"/>
      <c r="C242" s="74"/>
      <c r="D242" s="75"/>
      <c r="E242" s="147"/>
      <c r="F242" s="70" t="str">
        <f>IFERROR(VLOOKUP(C242,MATERIAUX!$C$3:$G$1002,3,FALSE),"")</f>
        <v/>
      </c>
      <c r="G242" s="71" t="str">
        <f>IFERROR(VLOOKUP(C242,MATERIAUX!$C$3:$G$1002,5,FALSE),"")</f>
        <v/>
      </c>
      <c r="H242" s="76" t="str">
        <f t="shared" si="135"/>
        <v/>
      </c>
      <c r="I242" s="395"/>
      <c r="J242" s="77"/>
      <c r="K242" s="77"/>
      <c r="L242" s="77"/>
      <c r="M242" s="78"/>
      <c r="N242" s="398"/>
      <c r="O242">
        <f t="shared" si="134"/>
        <v>0</v>
      </c>
      <c r="P242">
        <f t="shared" si="136"/>
        <v>0</v>
      </c>
      <c r="Q242">
        <f t="shared" si="137"/>
        <v>0</v>
      </c>
    </row>
    <row r="243" spans="1:17">
      <c r="A243" s="402" t="s">
        <v>44</v>
      </c>
      <c r="B243" s="390" t="s">
        <v>21</v>
      </c>
      <c r="C243" s="64" t="s">
        <v>109</v>
      </c>
      <c r="D243" s="65">
        <v>1.0249999999999999</v>
      </c>
      <c r="E243" s="145">
        <v>0</v>
      </c>
      <c r="F243" s="65" t="str">
        <f>IFERROR(VLOOKUP(C243,MATERIAUX!$C$3:$G$1002,3,FALSE),"")</f>
        <v>m2</v>
      </c>
      <c r="G243" s="66">
        <f>IFERROR(VLOOKUP(C243,MATERIAUX!$C$3:$G$1002,5,FALSE),"")</f>
        <v>6.851546391752577</v>
      </c>
      <c r="H243" s="66">
        <f t="shared" si="135"/>
        <v>7.02</v>
      </c>
      <c r="I243" s="393">
        <f>SUM(H243:H252)</f>
        <v>10.53</v>
      </c>
      <c r="J243" s="67" t="s">
        <v>57</v>
      </c>
      <c r="K243" s="67">
        <v>1</v>
      </c>
      <c r="L243" s="67">
        <f>IFERROR(VLOOKUP(J243,'MAIN D OEUVRE'!$A$4:$B$99,2,FALSE)*$N$2,"")</f>
        <v>0.71500000000000008</v>
      </c>
      <c r="M243" s="68">
        <f t="shared" si="9"/>
        <v>0.72</v>
      </c>
      <c r="N243" s="396">
        <f>SUM(M243:M252)</f>
        <v>1.44</v>
      </c>
      <c r="O243" s="350">
        <v>415</v>
      </c>
      <c r="P243">
        <f t="shared" si="136"/>
        <v>425.37499999999994</v>
      </c>
      <c r="Q243">
        <f t="shared" si="137"/>
        <v>2914.476546391752</v>
      </c>
    </row>
    <row r="244" spans="1:17">
      <c r="A244" s="403"/>
      <c r="B244" s="391"/>
      <c r="C244" s="69" t="s">
        <v>110</v>
      </c>
      <c r="D244" s="70">
        <v>1.0249999999999999</v>
      </c>
      <c r="E244" s="146">
        <v>0</v>
      </c>
      <c r="F244" s="70" t="str">
        <f>IFERROR(VLOOKUP(C244,MATERIAUX!$C$3:$G$1002,3,FALSE),"")</f>
        <v>m2</v>
      </c>
      <c r="G244" s="71">
        <f>IFERROR(VLOOKUP(C244,MATERIAUX!$C$3:$G$1002,5,FALSE),"")</f>
        <v>3.4206185567010312</v>
      </c>
      <c r="H244" s="71">
        <f t="shared" si="135"/>
        <v>3.51</v>
      </c>
      <c r="I244" s="394"/>
      <c r="J244" s="72" t="s">
        <v>58</v>
      </c>
      <c r="K244" s="72">
        <v>1</v>
      </c>
      <c r="L244" s="72">
        <f>IFERROR(VLOOKUP(J244,'MAIN D OEUVRE'!$A$4:$B$99,2,FALSE)*$N$2,"")</f>
        <v>0.71500000000000008</v>
      </c>
      <c r="M244" s="73">
        <f t="shared" si="9"/>
        <v>0.72</v>
      </c>
      <c r="N244" s="397"/>
      <c r="O244">
        <f>O243</f>
        <v>415</v>
      </c>
      <c r="P244">
        <f t="shared" si="136"/>
        <v>425.37499999999994</v>
      </c>
      <c r="Q244">
        <f t="shared" si="137"/>
        <v>1455.0456185567009</v>
      </c>
    </row>
    <row r="245" spans="1:17">
      <c r="A245" s="403"/>
      <c r="B245" s="391"/>
      <c r="C245" s="69"/>
      <c r="D245" s="70"/>
      <c r="E245" s="146"/>
      <c r="F245" s="70" t="str">
        <f>IFERROR(VLOOKUP(C245,MATERIAUX!$C$3:$G$1002,3,FALSE),"")</f>
        <v/>
      </c>
      <c r="G245" s="71" t="str">
        <f>IFERROR(VLOOKUP(C245,MATERIAUX!$C$3:$G$1002,5,FALSE),"")</f>
        <v/>
      </c>
      <c r="H245" s="71" t="str">
        <f t="shared" si="135"/>
        <v/>
      </c>
      <c r="I245" s="394"/>
      <c r="J245" s="72"/>
      <c r="K245" s="72"/>
      <c r="L245" s="72" t="str">
        <f>IFERROR(VLOOKUP(J245,'MAIN D OEUVRE'!$A$4:$B$99,2,FALSE)*$N$2,"")</f>
        <v/>
      </c>
      <c r="M245" s="73" t="str">
        <f t="shared" si="9"/>
        <v/>
      </c>
      <c r="N245" s="397"/>
      <c r="O245">
        <f t="shared" ref="O245:O252" si="138">O244</f>
        <v>415</v>
      </c>
      <c r="P245">
        <f t="shared" si="136"/>
        <v>0</v>
      </c>
      <c r="Q245">
        <f t="shared" si="137"/>
        <v>0</v>
      </c>
    </row>
    <row r="246" spans="1:17">
      <c r="A246" s="403"/>
      <c r="B246" s="391"/>
      <c r="C246" s="69"/>
      <c r="D246" s="70"/>
      <c r="E246" s="146"/>
      <c r="F246" s="70" t="str">
        <f>IFERROR(VLOOKUP(C246,MATERIAUX!$C$3:$G$1002,3,FALSE),"")</f>
        <v/>
      </c>
      <c r="G246" s="71" t="str">
        <f>IFERROR(VLOOKUP(C246,MATERIAUX!$C$3:$G$1002,5,FALSE),"")</f>
        <v/>
      </c>
      <c r="H246" s="71" t="str">
        <f t="shared" si="135"/>
        <v/>
      </c>
      <c r="I246" s="394"/>
      <c r="J246" s="72"/>
      <c r="K246" s="72"/>
      <c r="L246" s="72" t="str">
        <f>IFERROR(VLOOKUP(J246,'MAIN D OEUVRE'!$A$4:$B$99,2,FALSE)*$N$2,"")</f>
        <v/>
      </c>
      <c r="M246" s="73" t="str">
        <f t="shared" si="9"/>
        <v/>
      </c>
      <c r="N246" s="397"/>
      <c r="O246">
        <f t="shared" si="138"/>
        <v>415</v>
      </c>
      <c r="P246">
        <f t="shared" si="136"/>
        <v>0</v>
      </c>
      <c r="Q246">
        <f t="shared" si="137"/>
        <v>0</v>
      </c>
    </row>
    <row r="247" spans="1:17">
      <c r="A247" s="403"/>
      <c r="B247" s="391"/>
      <c r="C247" s="69"/>
      <c r="D247" s="70"/>
      <c r="E247" s="146"/>
      <c r="F247" s="70" t="str">
        <f>IFERROR(VLOOKUP(C247,MATERIAUX!$C$3:$G$1002,3,FALSE),"")</f>
        <v/>
      </c>
      <c r="G247" s="71" t="str">
        <f>IFERROR(VLOOKUP(C247,MATERIAUX!$C$3:$G$1002,5,FALSE),"")</f>
        <v/>
      </c>
      <c r="H247" s="71" t="str">
        <f t="shared" si="135"/>
        <v/>
      </c>
      <c r="I247" s="394"/>
      <c r="J247" s="72"/>
      <c r="K247" s="72"/>
      <c r="L247" s="72" t="str">
        <f>IFERROR(VLOOKUP(J247,'MAIN D OEUVRE'!$A$4:$B$99,2,FALSE)*$N$2,"")</f>
        <v/>
      </c>
      <c r="M247" s="73" t="str">
        <f t="shared" si="9"/>
        <v/>
      </c>
      <c r="N247" s="397"/>
      <c r="O247">
        <f t="shared" si="138"/>
        <v>415</v>
      </c>
      <c r="P247">
        <f t="shared" si="136"/>
        <v>0</v>
      </c>
      <c r="Q247">
        <f t="shared" si="137"/>
        <v>0</v>
      </c>
    </row>
    <row r="248" spans="1:17">
      <c r="A248" s="403"/>
      <c r="B248" s="391"/>
      <c r="C248" s="69"/>
      <c r="D248" s="70"/>
      <c r="E248" s="146"/>
      <c r="F248" s="70" t="str">
        <f>IFERROR(VLOOKUP(C248,MATERIAUX!$C$3:$G$1002,3,FALSE),"")</f>
        <v/>
      </c>
      <c r="G248" s="71" t="str">
        <f>IFERROR(VLOOKUP(C248,MATERIAUX!$C$3:$G$1002,5,FALSE),"")</f>
        <v/>
      </c>
      <c r="H248" s="71" t="str">
        <f t="shared" si="135"/>
        <v/>
      </c>
      <c r="I248" s="394"/>
      <c r="J248" s="72"/>
      <c r="K248" s="72"/>
      <c r="L248" s="72" t="str">
        <f>IFERROR(VLOOKUP(J248,'MAIN D OEUVRE'!$A$4:$B$99,2,FALSE)*$N$2,"")</f>
        <v/>
      </c>
      <c r="M248" s="73" t="str">
        <f t="shared" si="9"/>
        <v/>
      </c>
      <c r="N248" s="397"/>
      <c r="O248">
        <f t="shared" si="138"/>
        <v>415</v>
      </c>
      <c r="P248">
        <f t="shared" si="136"/>
        <v>0</v>
      </c>
      <c r="Q248">
        <f t="shared" si="137"/>
        <v>0</v>
      </c>
    </row>
    <row r="249" spans="1:17">
      <c r="A249" s="403"/>
      <c r="B249" s="391"/>
      <c r="C249" s="69"/>
      <c r="D249" s="70"/>
      <c r="E249" s="146"/>
      <c r="F249" s="70" t="str">
        <f>IFERROR(VLOOKUP(C249,MATERIAUX!$C$3:$G$1002,3,FALSE),"")</f>
        <v/>
      </c>
      <c r="G249" s="71" t="str">
        <f>IFERROR(VLOOKUP(C249,MATERIAUX!$C$3:$G$1002,5,FALSE),"")</f>
        <v/>
      </c>
      <c r="H249" s="71" t="str">
        <f t="shared" si="135"/>
        <v/>
      </c>
      <c r="I249" s="394"/>
      <c r="J249" s="72"/>
      <c r="K249" s="72"/>
      <c r="L249" s="72" t="str">
        <f>IFERROR(VLOOKUP(J249,'MAIN D OEUVRE'!$A$4:$B$99,2,FALSE)*$N$2,"")</f>
        <v/>
      </c>
      <c r="M249" s="73" t="str">
        <f t="shared" si="9"/>
        <v/>
      </c>
      <c r="N249" s="397"/>
      <c r="O249">
        <f t="shared" si="138"/>
        <v>415</v>
      </c>
      <c r="P249">
        <f t="shared" si="136"/>
        <v>0</v>
      </c>
      <c r="Q249">
        <f t="shared" si="137"/>
        <v>0</v>
      </c>
    </row>
    <row r="250" spans="1:17">
      <c r="A250" s="403"/>
      <c r="B250" s="391"/>
      <c r="C250" s="69"/>
      <c r="D250" s="70"/>
      <c r="E250" s="146"/>
      <c r="F250" s="70" t="str">
        <f>IFERROR(VLOOKUP(C250,MATERIAUX!$C$3:$G$1002,3,FALSE),"")</f>
        <v/>
      </c>
      <c r="G250" s="71" t="str">
        <f>IFERROR(VLOOKUP(C250,MATERIAUX!$C$3:$G$1002,5,FALSE),"")</f>
        <v/>
      </c>
      <c r="H250" s="71" t="str">
        <f t="shared" si="135"/>
        <v/>
      </c>
      <c r="I250" s="394"/>
      <c r="J250" s="72"/>
      <c r="K250" s="72"/>
      <c r="L250" s="72" t="str">
        <f>IFERROR(VLOOKUP(J250,'MAIN D OEUVRE'!$A$4:$B$99,2,FALSE)*$N$2,"")</f>
        <v/>
      </c>
      <c r="M250" s="73" t="str">
        <f t="shared" si="9"/>
        <v/>
      </c>
      <c r="N250" s="397"/>
      <c r="O250">
        <f t="shared" si="138"/>
        <v>415</v>
      </c>
      <c r="P250">
        <f t="shared" si="136"/>
        <v>0</v>
      </c>
      <c r="Q250">
        <f t="shared" si="137"/>
        <v>0</v>
      </c>
    </row>
    <row r="251" spans="1:17">
      <c r="A251" s="403"/>
      <c r="B251" s="391"/>
      <c r="C251" s="69"/>
      <c r="D251" s="70"/>
      <c r="E251" s="146"/>
      <c r="F251" s="70" t="str">
        <f>IFERROR(VLOOKUP(C251,MATERIAUX!$C$3:$G$1002,3,FALSE),"")</f>
        <v/>
      </c>
      <c r="G251" s="71" t="str">
        <f>IFERROR(VLOOKUP(C251,MATERIAUX!$C$3:$G$1002,5,FALSE),"")</f>
        <v/>
      </c>
      <c r="H251" s="71" t="str">
        <f t="shared" si="135"/>
        <v/>
      </c>
      <c r="I251" s="394"/>
      <c r="J251" s="72"/>
      <c r="K251" s="72"/>
      <c r="L251" s="72"/>
      <c r="M251" s="73"/>
      <c r="N251" s="397"/>
      <c r="O251">
        <f t="shared" si="138"/>
        <v>415</v>
      </c>
      <c r="P251">
        <f t="shared" si="136"/>
        <v>0</v>
      </c>
      <c r="Q251">
        <f t="shared" si="137"/>
        <v>0</v>
      </c>
    </row>
    <row r="252" spans="1:17" ht="15" thickBot="1">
      <c r="A252" s="404"/>
      <c r="B252" s="392"/>
      <c r="C252" s="74"/>
      <c r="D252" s="75"/>
      <c r="E252" s="147"/>
      <c r="F252" s="70" t="str">
        <f>IFERROR(VLOOKUP(C252,MATERIAUX!$C$3:$G$1002,3,FALSE),"")</f>
        <v/>
      </c>
      <c r="G252" s="71" t="str">
        <f>IFERROR(VLOOKUP(C252,MATERIAUX!$C$3:$G$1002,5,FALSE),"")</f>
        <v/>
      </c>
      <c r="H252" s="76" t="str">
        <f t="shared" si="135"/>
        <v/>
      </c>
      <c r="I252" s="395"/>
      <c r="J252" s="77"/>
      <c r="K252" s="77"/>
      <c r="L252" s="77"/>
      <c r="M252" s="78"/>
      <c r="N252" s="398"/>
      <c r="O252">
        <f t="shared" si="138"/>
        <v>415</v>
      </c>
      <c r="P252">
        <f t="shared" si="136"/>
        <v>0</v>
      </c>
      <c r="Q252">
        <f t="shared" si="137"/>
        <v>0</v>
      </c>
    </row>
    <row r="253" spans="1:17">
      <c r="A253" s="387" t="s">
        <v>512</v>
      </c>
      <c r="B253" s="390" t="s">
        <v>21</v>
      </c>
      <c r="C253" s="64" t="s">
        <v>511</v>
      </c>
      <c r="D253" s="65">
        <v>1.0249999999999999</v>
      </c>
      <c r="E253" s="145">
        <v>0</v>
      </c>
      <c r="F253" s="65" t="str">
        <f>IFERROR(VLOOKUP(C253,MATERIAUX!$C$3:$G$1002,3,FALSE),"")</f>
        <v>m2</v>
      </c>
      <c r="G253" s="66">
        <f>IFERROR(VLOOKUP(C253,MATERIAUX!$C$3:$G$1002,5,FALSE),"")</f>
        <v>14.901030927835052</v>
      </c>
      <c r="H253" s="66">
        <f t="shared" ref="H253:H262" si="139">IFERROR(ROUND(G253*(1+E253)*D253,2),"")</f>
        <v>15.27</v>
      </c>
      <c r="I253" s="393">
        <f>SUM(H253:H262)</f>
        <v>15.27</v>
      </c>
      <c r="J253" s="67" t="s">
        <v>57</v>
      </c>
      <c r="K253" s="67">
        <v>1</v>
      </c>
      <c r="L253" s="67">
        <f>IFERROR(VLOOKUP(J253,'MAIN D OEUVRE'!$A$4:$B$99,2,FALSE)*$N$2,"")</f>
        <v>0.71500000000000008</v>
      </c>
      <c r="M253" s="68">
        <f t="shared" ref="M253:M260" si="140">IFERROR(ROUND(L253*K253,2),"")</f>
        <v>0.72</v>
      </c>
      <c r="N253" s="396">
        <f>SUM(M253:M262)</f>
        <v>1.44</v>
      </c>
      <c r="O253" s="350">
        <v>0</v>
      </c>
      <c r="P253">
        <f t="shared" si="136"/>
        <v>0</v>
      </c>
      <c r="Q253">
        <f t="shared" si="137"/>
        <v>0</v>
      </c>
    </row>
    <row r="254" spans="1:17">
      <c r="A254" s="388"/>
      <c r="B254" s="391"/>
      <c r="C254" s="69"/>
      <c r="D254" s="70"/>
      <c r="E254" s="146"/>
      <c r="F254" s="70" t="str">
        <f>IFERROR(VLOOKUP(C254,MATERIAUX!$C$3:$G$1002,3,FALSE),"")</f>
        <v/>
      </c>
      <c r="G254" s="71" t="str">
        <f>IFERROR(VLOOKUP(C254,MATERIAUX!$C$3:$G$1002,5,FALSE),"")</f>
        <v/>
      </c>
      <c r="H254" s="71" t="str">
        <f t="shared" si="139"/>
        <v/>
      </c>
      <c r="I254" s="394"/>
      <c r="J254" s="72" t="s">
        <v>58</v>
      </c>
      <c r="K254" s="72">
        <v>1</v>
      </c>
      <c r="L254" s="72">
        <f>IFERROR(VLOOKUP(J254,'MAIN D OEUVRE'!$A$4:$B$99,2,FALSE)*$N$2,"")</f>
        <v>0.71500000000000008</v>
      </c>
      <c r="M254" s="73">
        <f t="shared" si="140"/>
        <v>0.72</v>
      </c>
      <c r="N254" s="397"/>
      <c r="O254">
        <f>O253</f>
        <v>0</v>
      </c>
      <c r="P254">
        <f t="shared" si="136"/>
        <v>0</v>
      </c>
      <c r="Q254">
        <f t="shared" si="137"/>
        <v>0</v>
      </c>
    </row>
    <row r="255" spans="1:17">
      <c r="A255" s="388"/>
      <c r="B255" s="391"/>
      <c r="C255" s="69"/>
      <c r="D255" s="70"/>
      <c r="E255" s="146"/>
      <c r="F255" s="70" t="str">
        <f>IFERROR(VLOOKUP(C255,MATERIAUX!$C$3:$G$1002,3,FALSE),"")</f>
        <v/>
      </c>
      <c r="G255" s="71" t="str">
        <f>IFERROR(VLOOKUP(C255,MATERIAUX!$C$3:$G$1002,5,FALSE),"")</f>
        <v/>
      </c>
      <c r="H255" s="71" t="str">
        <f t="shared" si="139"/>
        <v/>
      </c>
      <c r="I255" s="394"/>
      <c r="J255" s="72"/>
      <c r="K255" s="72"/>
      <c r="L255" s="72" t="str">
        <f>IFERROR(VLOOKUP(J255,'MAIN D OEUVRE'!$A$4:$B$99,2,FALSE)*$N$2,"")</f>
        <v/>
      </c>
      <c r="M255" s="73" t="str">
        <f t="shared" si="140"/>
        <v/>
      </c>
      <c r="N255" s="397"/>
      <c r="O255">
        <f t="shared" ref="O255:O262" si="141">O254</f>
        <v>0</v>
      </c>
      <c r="P255">
        <f t="shared" si="136"/>
        <v>0</v>
      </c>
      <c r="Q255">
        <f t="shared" si="137"/>
        <v>0</v>
      </c>
    </row>
    <row r="256" spans="1:17">
      <c r="A256" s="388"/>
      <c r="B256" s="391"/>
      <c r="C256" s="69"/>
      <c r="D256" s="70"/>
      <c r="E256" s="146"/>
      <c r="F256" s="70" t="str">
        <f>IFERROR(VLOOKUP(C256,MATERIAUX!$C$3:$G$1002,3,FALSE),"")</f>
        <v/>
      </c>
      <c r="G256" s="71" t="str">
        <f>IFERROR(VLOOKUP(C256,MATERIAUX!$C$3:$G$1002,5,FALSE),"")</f>
        <v/>
      </c>
      <c r="H256" s="71" t="str">
        <f t="shared" si="139"/>
        <v/>
      </c>
      <c r="I256" s="394"/>
      <c r="J256" s="72"/>
      <c r="K256" s="72"/>
      <c r="L256" s="72" t="str">
        <f>IFERROR(VLOOKUP(J256,'MAIN D OEUVRE'!$A$4:$B$99,2,FALSE)*$N$2,"")</f>
        <v/>
      </c>
      <c r="M256" s="73" t="str">
        <f t="shared" si="140"/>
        <v/>
      </c>
      <c r="N256" s="397"/>
      <c r="O256">
        <f t="shared" si="141"/>
        <v>0</v>
      </c>
      <c r="P256">
        <f t="shared" si="136"/>
        <v>0</v>
      </c>
      <c r="Q256">
        <f t="shared" si="137"/>
        <v>0</v>
      </c>
    </row>
    <row r="257" spans="1:17">
      <c r="A257" s="388"/>
      <c r="B257" s="391"/>
      <c r="C257" s="69"/>
      <c r="D257" s="70"/>
      <c r="E257" s="146"/>
      <c r="F257" s="70" t="str">
        <f>IFERROR(VLOOKUP(C257,MATERIAUX!$C$3:$G$1002,3,FALSE),"")</f>
        <v/>
      </c>
      <c r="G257" s="71" t="str">
        <f>IFERROR(VLOOKUP(C257,MATERIAUX!$C$3:$G$1002,5,FALSE),"")</f>
        <v/>
      </c>
      <c r="H257" s="71" t="str">
        <f t="shared" si="139"/>
        <v/>
      </c>
      <c r="I257" s="394"/>
      <c r="J257" s="72"/>
      <c r="K257" s="72"/>
      <c r="L257" s="72" t="str">
        <f>IFERROR(VLOOKUP(J257,'MAIN D OEUVRE'!$A$4:$B$99,2,FALSE)*$N$2,"")</f>
        <v/>
      </c>
      <c r="M257" s="73" t="str">
        <f t="shared" si="140"/>
        <v/>
      </c>
      <c r="N257" s="397"/>
      <c r="O257">
        <f t="shared" si="141"/>
        <v>0</v>
      </c>
      <c r="P257">
        <f t="shared" si="136"/>
        <v>0</v>
      </c>
      <c r="Q257">
        <f t="shared" si="137"/>
        <v>0</v>
      </c>
    </row>
    <row r="258" spans="1:17">
      <c r="A258" s="388"/>
      <c r="B258" s="391"/>
      <c r="C258" s="69"/>
      <c r="D258" s="70"/>
      <c r="E258" s="146"/>
      <c r="F258" s="70" t="str">
        <f>IFERROR(VLOOKUP(C258,MATERIAUX!$C$3:$G$1002,3,FALSE),"")</f>
        <v/>
      </c>
      <c r="G258" s="71" t="str">
        <f>IFERROR(VLOOKUP(C258,MATERIAUX!$C$3:$G$1002,5,FALSE),"")</f>
        <v/>
      </c>
      <c r="H258" s="71" t="str">
        <f t="shared" si="139"/>
        <v/>
      </c>
      <c r="I258" s="394"/>
      <c r="J258" s="72"/>
      <c r="K258" s="72"/>
      <c r="L258" s="72" t="str">
        <f>IFERROR(VLOOKUP(J258,'MAIN D OEUVRE'!$A$4:$B$99,2,FALSE)*$N$2,"")</f>
        <v/>
      </c>
      <c r="M258" s="73" t="str">
        <f t="shared" si="140"/>
        <v/>
      </c>
      <c r="N258" s="397"/>
      <c r="O258">
        <f t="shared" si="141"/>
        <v>0</v>
      </c>
      <c r="P258">
        <f t="shared" si="136"/>
        <v>0</v>
      </c>
      <c r="Q258">
        <f t="shared" si="137"/>
        <v>0</v>
      </c>
    </row>
    <row r="259" spans="1:17">
      <c r="A259" s="388"/>
      <c r="B259" s="391"/>
      <c r="C259" s="69"/>
      <c r="D259" s="70"/>
      <c r="E259" s="146"/>
      <c r="F259" s="70" t="str">
        <f>IFERROR(VLOOKUP(C259,MATERIAUX!$C$3:$G$1002,3,FALSE),"")</f>
        <v/>
      </c>
      <c r="G259" s="71" t="str">
        <f>IFERROR(VLOOKUP(C259,MATERIAUX!$C$3:$G$1002,5,FALSE),"")</f>
        <v/>
      </c>
      <c r="H259" s="71" t="str">
        <f t="shared" si="139"/>
        <v/>
      </c>
      <c r="I259" s="394"/>
      <c r="J259" s="72"/>
      <c r="K259" s="72"/>
      <c r="L259" s="72" t="str">
        <f>IFERROR(VLOOKUP(J259,'MAIN D OEUVRE'!$A$4:$B$99,2,FALSE)*$N$2,"")</f>
        <v/>
      </c>
      <c r="M259" s="73" t="str">
        <f t="shared" si="140"/>
        <v/>
      </c>
      <c r="N259" s="397"/>
      <c r="O259">
        <f t="shared" si="141"/>
        <v>0</v>
      </c>
      <c r="P259">
        <f t="shared" si="136"/>
        <v>0</v>
      </c>
      <c r="Q259">
        <f t="shared" si="137"/>
        <v>0</v>
      </c>
    </row>
    <row r="260" spans="1:17">
      <c r="A260" s="388"/>
      <c r="B260" s="391"/>
      <c r="C260" s="69"/>
      <c r="D260" s="70"/>
      <c r="E260" s="146"/>
      <c r="F260" s="70" t="str">
        <f>IFERROR(VLOOKUP(C260,MATERIAUX!$C$3:$G$1002,3,FALSE),"")</f>
        <v/>
      </c>
      <c r="G260" s="71" t="str">
        <f>IFERROR(VLOOKUP(C260,MATERIAUX!$C$3:$G$1002,5,FALSE),"")</f>
        <v/>
      </c>
      <c r="H260" s="71" t="str">
        <f t="shared" si="139"/>
        <v/>
      </c>
      <c r="I260" s="394"/>
      <c r="J260" s="72"/>
      <c r="K260" s="72"/>
      <c r="L260" s="72" t="str">
        <f>IFERROR(VLOOKUP(J260,'MAIN D OEUVRE'!$A$4:$B$99,2,FALSE)*$N$2,"")</f>
        <v/>
      </c>
      <c r="M260" s="73" t="str">
        <f t="shared" si="140"/>
        <v/>
      </c>
      <c r="N260" s="397"/>
      <c r="O260">
        <f t="shared" si="141"/>
        <v>0</v>
      </c>
      <c r="P260">
        <f t="shared" si="136"/>
        <v>0</v>
      </c>
      <c r="Q260">
        <f t="shared" si="137"/>
        <v>0</v>
      </c>
    </row>
    <row r="261" spans="1:17">
      <c r="A261" s="388"/>
      <c r="B261" s="391"/>
      <c r="C261" s="69"/>
      <c r="D261" s="70"/>
      <c r="E261" s="146"/>
      <c r="F261" s="70" t="str">
        <f>IFERROR(VLOOKUP(C261,MATERIAUX!$C$3:$G$1002,3,FALSE),"")</f>
        <v/>
      </c>
      <c r="G261" s="71" t="str">
        <f>IFERROR(VLOOKUP(C261,MATERIAUX!$C$3:$G$1002,5,FALSE),"")</f>
        <v/>
      </c>
      <c r="H261" s="71" t="str">
        <f t="shared" si="139"/>
        <v/>
      </c>
      <c r="I261" s="394"/>
      <c r="J261" s="72"/>
      <c r="K261" s="72"/>
      <c r="L261" s="72"/>
      <c r="M261" s="73"/>
      <c r="N261" s="397"/>
      <c r="O261">
        <f t="shared" si="141"/>
        <v>0</v>
      </c>
      <c r="P261">
        <f t="shared" si="136"/>
        <v>0</v>
      </c>
      <c r="Q261">
        <f t="shared" si="137"/>
        <v>0</v>
      </c>
    </row>
    <row r="262" spans="1:17" ht="15" thickBot="1">
      <c r="A262" s="389"/>
      <c r="B262" s="392"/>
      <c r="C262" s="74"/>
      <c r="D262" s="75"/>
      <c r="E262" s="147"/>
      <c r="F262" s="70" t="str">
        <f>IFERROR(VLOOKUP(C262,MATERIAUX!$C$3:$G$1002,3,FALSE),"")</f>
        <v/>
      </c>
      <c r="G262" s="71" t="str">
        <f>IFERROR(VLOOKUP(C262,MATERIAUX!$C$3:$G$1002,5,FALSE),"")</f>
        <v/>
      </c>
      <c r="H262" s="76" t="str">
        <f t="shared" si="139"/>
        <v/>
      </c>
      <c r="I262" s="395"/>
      <c r="J262" s="77"/>
      <c r="K262" s="77"/>
      <c r="L262" s="77"/>
      <c r="M262" s="78"/>
      <c r="N262" s="398"/>
      <c r="O262">
        <f t="shared" si="141"/>
        <v>0</v>
      </c>
      <c r="P262">
        <f t="shared" si="136"/>
        <v>0</v>
      </c>
      <c r="Q262">
        <f t="shared" si="137"/>
        <v>0</v>
      </c>
    </row>
    <row r="263" spans="1:17">
      <c r="A263" s="387" t="s">
        <v>46</v>
      </c>
      <c r="B263" s="390" t="s">
        <v>21</v>
      </c>
      <c r="C263" s="64" t="s">
        <v>109</v>
      </c>
      <c r="D263" s="65">
        <v>1.0249999999999999</v>
      </c>
      <c r="E263" s="145">
        <v>0</v>
      </c>
      <c r="F263" s="65" t="str">
        <f>IFERROR(VLOOKUP(C263,MATERIAUX!$C$3:$G$1002,3,FALSE),"")</f>
        <v>m2</v>
      </c>
      <c r="G263" s="66">
        <f>IFERROR(VLOOKUP(C263,MATERIAUX!$C$3:$G$1002,5,FALSE),"")</f>
        <v>6.851546391752577</v>
      </c>
      <c r="H263" s="66">
        <f t="shared" si="135"/>
        <v>7.02</v>
      </c>
      <c r="I263" s="393">
        <f>SUM(H263:H272)</f>
        <v>7.02</v>
      </c>
      <c r="J263" s="67" t="s">
        <v>57</v>
      </c>
      <c r="K263" s="67">
        <v>1</v>
      </c>
      <c r="L263" s="67">
        <f>IFERROR(VLOOKUP(J263,'MAIN D OEUVRE'!$A$4:$B$99,2,FALSE)*$N$2,"")</f>
        <v>0.71500000000000008</v>
      </c>
      <c r="M263" s="68">
        <f t="shared" ref="M263:M270" si="142">IFERROR(ROUND(L263*K263,2),"")</f>
        <v>0.72</v>
      </c>
      <c r="N263" s="396">
        <f>SUM(M263:M272)</f>
        <v>0.72</v>
      </c>
      <c r="O263" s="350">
        <v>0</v>
      </c>
      <c r="P263">
        <f t="shared" si="136"/>
        <v>0</v>
      </c>
      <c r="Q263">
        <f t="shared" si="137"/>
        <v>0</v>
      </c>
    </row>
    <row r="264" spans="1:17">
      <c r="A264" s="388"/>
      <c r="B264" s="391"/>
      <c r="C264" s="69"/>
      <c r="D264" s="70"/>
      <c r="E264" s="146"/>
      <c r="F264" s="70" t="str">
        <f>IFERROR(VLOOKUP(C264,MATERIAUX!$C$3:$G$1002,3,FALSE),"")</f>
        <v/>
      </c>
      <c r="G264" s="71" t="str">
        <f>IFERROR(VLOOKUP(C264,MATERIAUX!$C$3:$G$1002,5,FALSE),"")</f>
        <v/>
      </c>
      <c r="H264" s="71" t="str">
        <f t="shared" si="135"/>
        <v/>
      </c>
      <c r="I264" s="394"/>
      <c r="J264" s="72"/>
      <c r="K264" s="72"/>
      <c r="L264" s="72" t="str">
        <f>IFERROR(VLOOKUP(J264,'MAIN D OEUVRE'!$A$4:$B$99,2,FALSE)*$N$2,"")</f>
        <v/>
      </c>
      <c r="M264" s="73" t="str">
        <f t="shared" si="142"/>
        <v/>
      </c>
      <c r="N264" s="397"/>
      <c r="O264">
        <f>O263</f>
        <v>0</v>
      </c>
      <c r="P264">
        <f t="shared" si="136"/>
        <v>0</v>
      </c>
      <c r="Q264">
        <f t="shared" si="137"/>
        <v>0</v>
      </c>
    </row>
    <row r="265" spans="1:17">
      <c r="A265" s="388"/>
      <c r="B265" s="391"/>
      <c r="C265" s="69"/>
      <c r="D265" s="70"/>
      <c r="E265" s="146"/>
      <c r="F265" s="70" t="str">
        <f>IFERROR(VLOOKUP(C265,MATERIAUX!$C$3:$G$1002,3,FALSE),"")</f>
        <v/>
      </c>
      <c r="G265" s="71" t="str">
        <f>IFERROR(VLOOKUP(C265,MATERIAUX!$C$3:$G$1002,5,FALSE),"")</f>
        <v/>
      </c>
      <c r="H265" s="71" t="str">
        <f t="shared" si="135"/>
        <v/>
      </c>
      <c r="I265" s="394"/>
      <c r="J265" s="72"/>
      <c r="K265" s="72"/>
      <c r="L265" s="72" t="str">
        <f>IFERROR(VLOOKUP(J265,'MAIN D OEUVRE'!$A$4:$B$99,2,FALSE)*$N$2,"")</f>
        <v/>
      </c>
      <c r="M265" s="73" t="str">
        <f t="shared" si="142"/>
        <v/>
      </c>
      <c r="N265" s="397"/>
      <c r="O265">
        <f t="shared" ref="O265:O272" si="143">O264</f>
        <v>0</v>
      </c>
      <c r="P265">
        <f t="shared" si="136"/>
        <v>0</v>
      </c>
      <c r="Q265">
        <f t="shared" si="137"/>
        <v>0</v>
      </c>
    </row>
    <row r="266" spans="1:17">
      <c r="A266" s="388"/>
      <c r="B266" s="391"/>
      <c r="C266" s="69"/>
      <c r="D266" s="70"/>
      <c r="E266" s="146"/>
      <c r="F266" s="70" t="str">
        <f>IFERROR(VLOOKUP(C266,MATERIAUX!$C$3:$G$1002,3,FALSE),"")</f>
        <v/>
      </c>
      <c r="G266" s="71" t="str">
        <f>IFERROR(VLOOKUP(C266,MATERIAUX!$C$3:$G$1002,5,FALSE),"")</f>
        <v/>
      </c>
      <c r="H266" s="71" t="str">
        <f t="shared" si="135"/>
        <v/>
      </c>
      <c r="I266" s="394"/>
      <c r="J266" s="72"/>
      <c r="K266" s="72"/>
      <c r="L266" s="72" t="str">
        <f>IFERROR(VLOOKUP(J266,'MAIN D OEUVRE'!$A$4:$B$99,2,FALSE)*$N$2,"")</f>
        <v/>
      </c>
      <c r="M266" s="73" t="str">
        <f t="shared" si="142"/>
        <v/>
      </c>
      <c r="N266" s="397"/>
      <c r="O266">
        <f t="shared" si="143"/>
        <v>0</v>
      </c>
      <c r="P266">
        <f t="shared" si="136"/>
        <v>0</v>
      </c>
      <c r="Q266">
        <f t="shared" si="137"/>
        <v>0</v>
      </c>
    </row>
    <row r="267" spans="1:17">
      <c r="A267" s="388"/>
      <c r="B267" s="391"/>
      <c r="C267" s="69"/>
      <c r="D267" s="70"/>
      <c r="E267" s="146"/>
      <c r="F267" s="70" t="str">
        <f>IFERROR(VLOOKUP(C267,MATERIAUX!$C$3:$G$1002,3,FALSE),"")</f>
        <v/>
      </c>
      <c r="G267" s="71" t="str">
        <f>IFERROR(VLOOKUP(C267,MATERIAUX!$C$3:$G$1002,5,FALSE),"")</f>
        <v/>
      </c>
      <c r="H267" s="71" t="str">
        <f t="shared" si="135"/>
        <v/>
      </c>
      <c r="I267" s="394"/>
      <c r="J267" s="72"/>
      <c r="K267" s="72"/>
      <c r="L267" s="72" t="str">
        <f>IFERROR(VLOOKUP(J267,'MAIN D OEUVRE'!$A$4:$B$99,2,FALSE)*$N$2,"")</f>
        <v/>
      </c>
      <c r="M267" s="73" t="str">
        <f t="shared" si="142"/>
        <v/>
      </c>
      <c r="N267" s="397"/>
      <c r="O267">
        <f t="shared" si="143"/>
        <v>0</v>
      </c>
      <c r="P267">
        <f t="shared" si="136"/>
        <v>0</v>
      </c>
      <c r="Q267">
        <f t="shared" si="137"/>
        <v>0</v>
      </c>
    </row>
    <row r="268" spans="1:17">
      <c r="A268" s="388"/>
      <c r="B268" s="391"/>
      <c r="C268" s="69"/>
      <c r="D268" s="70"/>
      <c r="E268" s="146"/>
      <c r="F268" s="70" t="str">
        <f>IFERROR(VLOOKUP(C268,MATERIAUX!$C$3:$G$1002,3,FALSE),"")</f>
        <v/>
      </c>
      <c r="G268" s="71" t="str">
        <f>IFERROR(VLOOKUP(C268,MATERIAUX!$C$3:$G$1002,5,FALSE),"")</f>
        <v/>
      </c>
      <c r="H268" s="71" t="str">
        <f t="shared" si="135"/>
        <v/>
      </c>
      <c r="I268" s="394"/>
      <c r="J268" s="72"/>
      <c r="K268" s="72"/>
      <c r="L268" s="72" t="str">
        <f>IFERROR(VLOOKUP(J268,'MAIN D OEUVRE'!$A$4:$B$99,2,FALSE)*$N$2,"")</f>
        <v/>
      </c>
      <c r="M268" s="73" t="str">
        <f t="shared" si="142"/>
        <v/>
      </c>
      <c r="N268" s="397"/>
      <c r="O268">
        <f t="shared" si="143"/>
        <v>0</v>
      </c>
      <c r="P268">
        <f t="shared" si="136"/>
        <v>0</v>
      </c>
      <c r="Q268">
        <f t="shared" si="137"/>
        <v>0</v>
      </c>
    </row>
    <row r="269" spans="1:17">
      <c r="A269" s="388"/>
      <c r="B269" s="391"/>
      <c r="C269" s="69"/>
      <c r="D269" s="70"/>
      <c r="E269" s="146"/>
      <c r="F269" s="70" t="str">
        <f>IFERROR(VLOOKUP(C269,MATERIAUX!$C$3:$G$1002,3,FALSE),"")</f>
        <v/>
      </c>
      <c r="G269" s="71" t="str">
        <f>IFERROR(VLOOKUP(C269,MATERIAUX!$C$3:$G$1002,5,FALSE),"")</f>
        <v/>
      </c>
      <c r="H269" s="71" t="str">
        <f t="shared" si="135"/>
        <v/>
      </c>
      <c r="I269" s="394"/>
      <c r="J269" s="72"/>
      <c r="K269" s="72"/>
      <c r="L269" s="72" t="str">
        <f>IFERROR(VLOOKUP(J269,'MAIN D OEUVRE'!$A$4:$B$99,2,FALSE)*$N$2,"")</f>
        <v/>
      </c>
      <c r="M269" s="73" t="str">
        <f t="shared" si="142"/>
        <v/>
      </c>
      <c r="N269" s="397"/>
      <c r="O269">
        <f t="shared" si="143"/>
        <v>0</v>
      </c>
      <c r="P269">
        <f t="shared" si="136"/>
        <v>0</v>
      </c>
      <c r="Q269">
        <f t="shared" si="137"/>
        <v>0</v>
      </c>
    </row>
    <row r="270" spans="1:17">
      <c r="A270" s="388"/>
      <c r="B270" s="391"/>
      <c r="C270" s="69"/>
      <c r="D270" s="70"/>
      <c r="E270" s="146"/>
      <c r="F270" s="70" t="str">
        <f>IFERROR(VLOOKUP(C270,MATERIAUX!$C$3:$G$1002,3,FALSE),"")</f>
        <v/>
      </c>
      <c r="G270" s="71" t="str">
        <f>IFERROR(VLOOKUP(C270,MATERIAUX!$C$3:$G$1002,5,FALSE),"")</f>
        <v/>
      </c>
      <c r="H270" s="71" t="str">
        <f t="shared" si="135"/>
        <v/>
      </c>
      <c r="I270" s="394"/>
      <c r="J270" s="72"/>
      <c r="K270" s="72"/>
      <c r="L270" s="72" t="str">
        <f>IFERROR(VLOOKUP(J270,'MAIN D OEUVRE'!$A$4:$B$99,2,FALSE)*$N$2,"")</f>
        <v/>
      </c>
      <c r="M270" s="73" t="str">
        <f t="shared" si="142"/>
        <v/>
      </c>
      <c r="N270" s="397"/>
      <c r="O270">
        <f t="shared" si="143"/>
        <v>0</v>
      </c>
      <c r="P270">
        <f t="shared" si="136"/>
        <v>0</v>
      </c>
      <c r="Q270">
        <f t="shared" si="137"/>
        <v>0</v>
      </c>
    </row>
    <row r="271" spans="1:17">
      <c r="A271" s="388"/>
      <c r="B271" s="391"/>
      <c r="C271" s="69"/>
      <c r="D271" s="70"/>
      <c r="E271" s="146"/>
      <c r="F271" s="70" t="str">
        <f>IFERROR(VLOOKUP(C271,MATERIAUX!$C$3:$G$1002,3,FALSE),"")</f>
        <v/>
      </c>
      <c r="G271" s="71" t="str">
        <f>IFERROR(VLOOKUP(C271,MATERIAUX!$C$3:$G$1002,5,FALSE),"")</f>
        <v/>
      </c>
      <c r="H271" s="71" t="str">
        <f t="shared" si="135"/>
        <v/>
      </c>
      <c r="I271" s="394"/>
      <c r="J271" s="72"/>
      <c r="K271" s="72"/>
      <c r="L271" s="72"/>
      <c r="M271" s="73"/>
      <c r="N271" s="397"/>
      <c r="O271">
        <f t="shared" si="143"/>
        <v>0</v>
      </c>
      <c r="P271">
        <f t="shared" si="136"/>
        <v>0</v>
      </c>
      <c r="Q271">
        <f t="shared" si="137"/>
        <v>0</v>
      </c>
    </row>
    <row r="272" spans="1:17" ht="15" thickBot="1">
      <c r="A272" s="389"/>
      <c r="B272" s="392"/>
      <c r="C272" s="74"/>
      <c r="D272" s="75"/>
      <c r="E272" s="147"/>
      <c r="F272" s="70" t="str">
        <f>IFERROR(VLOOKUP(C272,MATERIAUX!$C$3:$G$1002,3,FALSE),"")</f>
        <v/>
      </c>
      <c r="G272" s="71" t="str">
        <f>IFERROR(VLOOKUP(C272,MATERIAUX!$C$3:$G$1002,5,FALSE),"")</f>
        <v/>
      </c>
      <c r="H272" s="76" t="str">
        <f t="shared" si="135"/>
        <v/>
      </c>
      <c r="I272" s="395"/>
      <c r="J272" s="77"/>
      <c r="K272" s="77"/>
      <c r="L272" s="77"/>
      <c r="M272" s="78"/>
      <c r="N272" s="398"/>
      <c r="O272">
        <f t="shared" si="143"/>
        <v>0</v>
      </c>
      <c r="P272">
        <f t="shared" si="136"/>
        <v>0</v>
      </c>
      <c r="Q272">
        <f t="shared" si="137"/>
        <v>0</v>
      </c>
    </row>
    <row r="273" spans="1:17">
      <c r="A273" s="387" t="s">
        <v>513</v>
      </c>
      <c r="B273" s="390" t="s">
        <v>21</v>
      </c>
      <c r="C273" s="64" t="s">
        <v>510</v>
      </c>
      <c r="D273" s="65">
        <v>1.0249999999999999</v>
      </c>
      <c r="E273" s="145">
        <v>0</v>
      </c>
      <c r="F273" s="65" t="str">
        <f>IFERROR(VLOOKUP(C273,MATERIAUX!$C$3:$G$1002,3,FALSE),"")</f>
        <v>m2</v>
      </c>
      <c r="G273" s="66">
        <f>IFERROR(VLOOKUP(C273,MATERIAUX!$C$3:$G$1002,5,FALSE),"")</f>
        <v>9.9381443298969092</v>
      </c>
      <c r="H273" s="66">
        <f t="shared" ref="H273:H282" si="144">IFERROR(ROUND(G273*(1+E273)*D273,2),"")</f>
        <v>10.19</v>
      </c>
      <c r="I273" s="393">
        <f>SUM(H273:H282)</f>
        <v>10.19</v>
      </c>
      <c r="J273" s="67" t="s">
        <v>57</v>
      </c>
      <c r="K273" s="67">
        <v>1</v>
      </c>
      <c r="L273" s="67">
        <f>IFERROR(VLOOKUP(J273,'MAIN D OEUVRE'!$A$4:$B$99,2,FALSE)*$N$2,"")</f>
        <v>0.71500000000000008</v>
      </c>
      <c r="M273" s="68">
        <f t="shared" ref="M273:M280" si="145">IFERROR(ROUND(L273*K273,2),"")</f>
        <v>0.72</v>
      </c>
      <c r="N273" s="396">
        <f>SUM(M273:M282)</f>
        <v>0.72</v>
      </c>
      <c r="O273" s="350">
        <v>0</v>
      </c>
      <c r="P273">
        <f t="shared" si="136"/>
        <v>0</v>
      </c>
      <c r="Q273">
        <f t="shared" si="137"/>
        <v>0</v>
      </c>
    </row>
    <row r="274" spans="1:17">
      <c r="A274" s="388"/>
      <c r="B274" s="391"/>
      <c r="C274" s="69"/>
      <c r="D274" s="70"/>
      <c r="E274" s="146"/>
      <c r="F274" s="70" t="str">
        <f>IFERROR(VLOOKUP(C274,MATERIAUX!$C$3:$G$1002,3,FALSE),"")</f>
        <v/>
      </c>
      <c r="G274" s="71" t="str">
        <f>IFERROR(VLOOKUP(C274,MATERIAUX!$C$3:$G$1002,5,FALSE),"")</f>
        <v/>
      </c>
      <c r="H274" s="71" t="str">
        <f t="shared" si="144"/>
        <v/>
      </c>
      <c r="I274" s="394"/>
      <c r="J274" s="72"/>
      <c r="K274" s="72"/>
      <c r="L274" s="72" t="str">
        <f>IFERROR(VLOOKUP(J274,'MAIN D OEUVRE'!$A$4:$B$99,2,FALSE)*$N$2,"")</f>
        <v/>
      </c>
      <c r="M274" s="73" t="str">
        <f t="shared" si="145"/>
        <v/>
      </c>
      <c r="N274" s="397"/>
      <c r="O274">
        <f>O273</f>
        <v>0</v>
      </c>
      <c r="P274">
        <f t="shared" si="136"/>
        <v>0</v>
      </c>
      <c r="Q274">
        <f t="shared" si="137"/>
        <v>0</v>
      </c>
    </row>
    <row r="275" spans="1:17">
      <c r="A275" s="388"/>
      <c r="B275" s="391"/>
      <c r="C275" s="69"/>
      <c r="D275" s="70"/>
      <c r="E275" s="146"/>
      <c r="F275" s="70" t="str">
        <f>IFERROR(VLOOKUP(C275,MATERIAUX!$C$3:$G$1002,3,FALSE),"")</f>
        <v/>
      </c>
      <c r="G275" s="71" t="str">
        <f>IFERROR(VLOOKUP(C275,MATERIAUX!$C$3:$G$1002,5,FALSE),"")</f>
        <v/>
      </c>
      <c r="H275" s="71" t="str">
        <f t="shared" si="144"/>
        <v/>
      </c>
      <c r="I275" s="394"/>
      <c r="J275" s="72"/>
      <c r="K275" s="72"/>
      <c r="L275" s="72" t="str">
        <f>IFERROR(VLOOKUP(J275,'MAIN D OEUVRE'!$A$4:$B$99,2,FALSE)*$N$2,"")</f>
        <v/>
      </c>
      <c r="M275" s="73" t="str">
        <f t="shared" si="145"/>
        <v/>
      </c>
      <c r="N275" s="397"/>
      <c r="O275">
        <f t="shared" ref="O275:O282" si="146">O274</f>
        <v>0</v>
      </c>
      <c r="P275">
        <f t="shared" si="136"/>
        <v>0</v>
      </c>
      <c r="Q275">
        <f t="shared" si="137"/>
        <v>0</v>
      </c>
    </row>
    <row r="276" spans="1:17">
      <c r="A276" s="388"/>
      <c r="B276" s="391"/>
      <c r="C276" s="69"/>
      <c r="D276" s="70"/>
      <c r="E276" s="146"/>
      <c r="F276" s="70" t="str">
        <f>IFERROR(VLOOKUP(C276,MATERIAUX!$C$3:$G$1002,3,FALSE),"")</f>
        <v/>
      </c>
      <c r="G276" s="71" t="str">
        <f>IFERROR(VLOOKUP(C276,MATERIAUX!$C$3:$G$1002,5,FALSE),"")</f>
        <v/>
      </c>
      <c r="H276" s="71" t="str">
        <f t="shared" si="144"/>
        <v/>
      </c>
      <c r="I276" s="394"/>
      <c r="J276" s="72"/>
      <c r="K276" s="72"/>
      <c r="L276" s="72" t="str">
        <f>IFERROR(VLOOKUP(J276,'MAIN D OEUVRE'!$A$4:$B$99,2,FALSE)*$N$2,"")</f>
        <v/>
      </c>
      <c r="M276" s="73" t="str">
        <f t="shared" si="145"/>
        <v/>
      </c>
      <c r="N276" s="397"/>
      <c r="O276">
        <f t="shared" si="146"/>
        <v>0</v>
      </c>
      <c r="P276">
        <f t="shared" si="136"/>
        <v>0</v>
      </c>
      <c r="Q276">
        <f t="shared" si="137"/>
        <v>0</v>
      </c>
    </row>
    <row r="277" spans="1:17">
      <c r="A277" s="388"/>
      <c r="B277" s="391"/>
      <c r="C277" s="69"/>
      <c r="D277" s="70"/>
      <c r="E277" s="146"/>
      <c r="F277" s="70" t="str">
        <f>IFERROR(VLOOKUP(C277,MATERIAUX!$C$3:$G$1002,3,FALSE),"")</f>
        <v/>
      </c>
      <c r="G277" s="71" t="str">
        <f>IFERROR(VLOOKUP(C277,MATERIAUX!$C$3:$G$1002,5,FALSE),"")</f>
        <v/>
      </c>
      <c r="H277" s="71" t="str">
        <f t="shared" si="144"/>
        <v/>
      </c>
      <c r="I277" s="394"/>
      <c r="J277" s="72"/>
      <c r="K277" s="72"/>
      <c r="L277" s="72" t="str">
        <f>IFERROR(VLOOKUP(J277,'MAIN D OEUVRE'!$A$4:$B$99,2,FALSE)*$N$2,"")</f>
        <v/>
      </c>
      <c r="M277" s="73" t="str">
        <f t="shared" si="145"/>
        <v/>
      </c>
      <c r="N277" s="397"/>
      <c r="O277">
        <f t="shared" si="146"/>
        <v>0</v>
      </c>
      <c r="P277">
        <f t="shared" si="136"/>
        <v>0</v>
      </c>
      <c r="Q277">
        <f t="shared" si="137"/>
        <v>0</v>
      </c>
    </row>
    <row r="278" spans="1:17">
      <c r="A278" s="388"/>
      <c r="B278" s="391"/>
      <c r="C278" s="69"/>
      <c r="D278" s="70"/>
      <c r="E278" s="146"/>
      <c r="F278" s="70" t="str">
        <f>IFERROR(VLOOKUP(C278,MATERIAUX!$C$3:$G$1002,3,FALSE),"")</f>
        <v/>
      </c>
      <c r="G278" s="71" t="str">
        <f>IFERROR(VLOOKUP(C278,MATERIAUX!$C$3:$G$1002,5,FALSE),"")</f>
        <v/>
      </c>
      <c r="H278" s="71" t="str">
        <f t="shared" si="144"/>
        <v/>
      </c>
      <c r="I278" s="394"/>
      <c r="J278" s="72"/>
      <c r="K278" s="72"/>
      <c r="L278" s="72" t="str">
        <f>IFERROR(VLOOKUP(J278,'MAIN D OEUVRE'!$A$4:$B$99,2,FALSE)*$N$2,"")</f>
        <v/>
      </c>
      <c r="M278" s="73" t="str">
        <f t="shared" si="145"/>
        <v/>
      </c>
      <c r="N278" s="397"/>
      <c r="O278">
        <f t="shared" si="146"/>
        <v>0</v>
      </c>
      <c r="P278">
        <f t="shared" si="136"/>
        <v>0</v>
      </c>
      <c r="Q278">
        <f t="shared" si="137"/>
        <v>0</v>
      </c>
    </row>
    <row r="279" spans="1:17">
      <c r="A279" s="388"/>
      <c r="B279" s="391"/>
      <c r="C279" s="69"/>
      <c r="D279" s="70"/>
      <c r="E279" s="146"/>
      <c r="F279" s="70" t="str">
        <f>IFERROR(VLOOKUP(C279,MATERIAUX!$C$3:$G$1002,3,FALSE),"")</f>
        <v/>
      </c>
      <c r="G279" s="71" t="str">
        <f>IFERROR(VLOOKUP(C279,MATERIAUX!$C$3:$G$1002,5,FALSE),"")</f>
        <v/>
      </c>
      <c r="H279" s="71" t="str">
        <f t="shared" si="144"/>
        <v/>
      </c>
      <c r="I279" s="394"/>
      <c r="J279" s="72"/>
      <c r="K279" s="72"/>
      <c r="L279" s="72" t="str">
        <f>IFERROR(VLOOKUP(J279,'MAIN D OEUVRE'!$A$4:$B$99,2,FALSE)*$N$2,"")</f>
        <v/>
      </c>
      <c r="M279" s="73" t="str">
        <f t="shared" si="145"/>
        <v/>
      </c>
      <c r="N279" s="397"/>
      <c r="O279">
        <f t="shared" si="146"/>
        <v>0</v>
      </c>
      <c r="P279">
        <f t="shared" si="136"/>
        <v>0</v>
      </c>
      <c r="Q279">
        <f t="shared" si="137"/>
        <v>0</v>
      </c>
    </row>
    <row r="280" spans="1:17">
      <c r="A280" s="388"/>
      <c r="B280" s="391"/>
      <c r="C280" s="69"/>
      <c r="D280" s="70"/>
      <c r="E280" s="146"/>
      <c r="F280" s="70" t="str">
        <f>IFERROR(VLOOKUP(C280,MATERIAUX!$C$3:$G$1002,3,FALSE),"")</f>
        <v/>
      </c>
      <c r="G280" s="71" t="str">
        <f>IFERROR(VLOOKUP(C280,MATERIAUX!$C$3:$G$1002,5,FALSE),"")</f>
        <v/>
      </c>
      <c r="H280" s="71" t="str">
        <f t="shared" si="144"/>
        <v/>
      </c>
      <c r="I280" s="394"/>
      <c r="J280" s="72"/>
      <c r="K280" s="72"/>
      <c r="L280" s="72" t="str">
        <f>IFERROR(VLOOKUP(J280,'MAIN D OEUVRE'!$A$4:$B$99,2,FALSE)*$N$2,"")</f>
        <v/>
      </c>
      <c r="M280" s="73" t="str">
        <f t="shared" si="145"/>
        <v/>
      </c>
      <c r="N280" s="397"/>
      <c r="O280">
        <f t="shared" si="146"/>
        <v>0</v>
      </c>
      <c r="P280">
        <f t="shared" si="136"/>
        <v>0</v>
      </c>
      <c r="Q280">
        <f t="shared" si="137"/>
        <v>0</v>
      </c>
    </row>
    <row r="281" spans="1:17">
      <c r="A281" s="388"/>
      <c r="B281" s="391"/>
      <c r="C281" s="69"/>
      <c r="D281" s="70"/>
      <c r="E281" s="146"/>
      <c r="F281" s="70" t="str">
        <f>IFERROR(VLOOKUP(C281,MATERIAUX!$C$3:$G$1002,3,FALSE),"")</f>
        <v/>
      </c>
      <c r="G281" s="71" t="str">
        <f>IFERROR(VLOOKUP(C281,MATERIAUX!$C$3:$G$1002,5,FALSE),"")</f>
        <v/>
      </c>
      <c r="H281" s="71" t="str">
        <f t="shared" si="144"/>
        <v/>
      </c>
      <c r="I281" s="394"/>
      <c r="J281" s="72"/>
      <c r="K281" s="72"/>
      <c r="L281" s="72"/>
      <c r="M281" s="73"/>
      <c r="N281" s="397"/>
      <c r="O281">
        <f t="shared" si="146"/>
        <v>0</v>
      </c>
      <c r="P281">
        <f t="shared" si="136"/>
        <v>0</v>
      </c>
      <c r="Q281">
        <f t="shared" si="137"/>
        <v>0</v>
      </c>
    </row>
    <row r="282" spans="1:17" ht="15" thickBot="1">
      <c r="A282" s="389"/>
      <c r="B282" s="392"/>
      <c r="C282" s="74"/>
      <c r="D282" s="75"/>
      <c r="E282" s="147"/>
      <c r="F282" s="70" t="str">
        <f>IFERROR(VLOOKUP(C282,MATERIAUX!$C$3:$G$1002,3,FALSE),"")</f>
        <v/>
      </c>
      <c r="G282" s="71" t="str">
        <f>IFERROR(VLOOKUP(C282,MATERIAUX!$C$3:$G$1002,5,FALSE),"")</f>
        <v/>
      </c>
      <c r="H282" s="76" t="str">
        <f t="shared" si="144"/>
        <v/>
      </c>
      <c r="I282" s="395"/>
      <c r="J282" s="77"/>
      <c r="K282" s="77"/>
      <c r="L282" s="77"/>
      <c r="M282" s="78"/>
      <c r="N282" s="398"/>
      <c r="O282">
        <f t="shared" si="146"/>
        <v>0</v>
      </c>
      <c r="P282">
        <f t="shared" si="136"/>
        <v>0</v>
      </c>
      <c r="Q282">
        <f t="shared" si="137"/>
        <v>0</v>
      </c>
    </row>
    <row r="283" spans="1:17">
      <c r="A283" s="387" t="s">
        <v>45</v>
      </c>
      <c r="B283" s="390" t="s">
        <v>21</v>
      </c>
      <c r="C283" s="64" t="s">
        <v>110</v>
      </c>
      <c r="D283" s="65">
        <v>1.0249999999999999</v>
      </c>
      <c r="E283" s="145">
        <v>0</v>
      </c>
      <c r="F283" s="65" t="str">
        <f>IFERROR(VLOOKUP(C283,MATERIAUX!$C$3:$G$1002,3,FALSE),"")</f>
        <v>m2</v>
      </c>
      <c r="G283" s="66">
        <f>IFERROR(VLOOKUP(C283,MATERIAUX!$C$3:$G$1002,5,FALSE),"")</f>
        <v>3.4206185567010312</v>
      </c>
      <c r="H283" s="66">
        <f t="shared" si="135"/>
        <v>3.51</v>
      </c>
      <c r="I283" s="393">
        <f>SUM(H283:H292)</f>
        <v>3.51</v>
      </c>
      <c r="J283" s="67" t="s">
        <v>57</v>
      </c>
      <c r="K283" s="67">
        <v>1</v>
      </c>
      <c r="L283" s="67">
        <f>IFERROR(VLOOKUP(J283,'MAIN D OEUVRE'!$A$4:$B$99,2,FALSE)*$N$2,"")</f>
        <v>0.71500000000000008</v>
      </c>
      <c r="M283" s="68">
        <f t="shared" si="9"/>
        <v>0.72</v>
      </c>
      <c r="N283" s="396">
        <f>SUM(M283:M292)</f>
        <v>0.72</v>
      </c>
      <c r="O283" s="350">
        <v>0</v>
      </c>
      <c r="P283">
        <f t="shared" si="136"/>
        <v>0</v>
      </c>
      <c r="Q283">
        <f t="shared" si="137"/>
        <v>0</v>
      </c>
    </row>
    <row r="284" spans="1:17">
      <c r="A284" s="388"/>
      <c r="B284" s="391"/>
      <c r="C284" s="69"/>
      <c r="D284" s="70"/>
      <c r="E284" s="146"/>
      <c r="F284" s="70" t="str">
        <f>IFERROR(VLOOKUP(C284,MATERIAUX!$C$3:$G$1002,3,FALSE),"")</f>
        <v/>
      </c>
      <c r="G284" s="71" t="str">
        <f>IFERROR(VLOOKUP(C284,MATERIAUX!$C$3:$G$1002,5,FALSE),"")</f>
        <v/>
      </c>
      <c r="H284" s="71" t="str">
        <f t="shared" si="135"/>
        <v/>
      </c>
      <c r="I284" s="394"/>
      <c r="J284" s="72"/>
      <c r="K284" s="72"/>
      <c r="L284" s="72" t="str">
        <f>IFERROR(VLOOKUP(J284,'MAIN D OEUVRE'!$A$4:$B$99,2,FALSE)*$N$2,"")</f>
        <v/>
      </c>
      <c r="M284" s="73" t="str">
        <f t="shared" si="9"/>
        <v/>
      </c>
      <c r="N284" s="397"/>
      <c r="O284">
        <f>O283</f>
        <v>0</v>
      </c>
      <c r="P284">
        <f t="shared" si="136"/>
        <v>0</v>
      </c>
      <c r="Q284">
        <f t="shared" si="137"/>
        <v>0</v>
      </c>
    </row>
    <row r="285" spans="1:17">
      <c r="A285" s="388"/>
      <c r="B285" s="391"/>
      <c r="C285" s="69"/>
      <c r="D285" s="70"/>
      <c r="E285" s="146"/>
      <c r="F285" s="70" t="str">
        <f>IFERROR(VLOOKUP(C285,MATERIAUX!$C$3:$G$1002,3,FALSE),"")</f>
        <v/>
      </c>
      <c r="G285" s="71" t="str">
        <f>IFERROR(VLOOKUP(C285,MATERIAUX!$C$3:$G$1002,5,FALSE),"")</f>
        <v/>
      </c>
      <c r="H285" s="71" t="str">
        <f t="shared" si="135"/>
        <v/>
      </c>
      <c r="I285" s="394"/>
      <c r="J285" s="72"/>
      <c r="K285" s="72"/>
      <c r="L285" s="72" t="str">
        <f>IFERROR(VLOOKUP(J285,'MAIN D OEUVRE'!$A$4:$B$99,2,FALSE)*$N$2,"")</f>
        <v/>
      </c>
      <c r="M285" s="73" t="str">
        <f t="shared" si="9"/>
        <v/>
      </c>
      <c r="N285" s="397"/>
      <c r="O285">
        <f t="shared" ref="O285:O292" si="147">O284</f>
        <v>0</v>
      </c>
      <c r="P285">
        <f t="shared" si="136"/>
        <v>0</v>
      </c>
      <c r="Q285">
        <f t="shared" si="137"/>
        <v>0</v>
      </c>
    </row>
    <row r="286" spans="1:17">
      <c r="A286" s="388"/>
      <c r="B286" s="391"/>
      <c r="C286" s="69"/>
      <c r="D286" s="70"/>
      <c r="E286" s="146"/>
      <c r="F286" s="70" t="str">
        <f>IFERROR(VLOOKUP(C286,MATERIAUX!$C$3:$G$1002,3,FALSE),"")</f>
        <v/>
      </c>
      <c r="G286" s="71" t="str">
        <f>IFERROR(VLOOKUP(C286,MATERIAUX!$C$3:$G$1002,5,FALSE),"")</f>
        <v/>
      </c>
      <c r="H286" s="71" t="str">
        <f t="shared" si="135"/>
        <v/>
      </c>
      <c r="I286" s="394"/>
      <c r="J286" s="72"/>
      <c r="K286" s="72"/>
      <c r="L286" s="72" t="str">
        <f>IFERROR(VLOOKUP(J286,'MAIN D OEUVRE'!$A$4:$B$99,2,FALSE)*$N$2,"")</f>
        <v/>
      </c>
      <c r="M286" s="73" t="str">
        <f t="shared" si="9"/>
        <v/>
      </c>
      <c r="N286" s="397"/>
      <c r="O286">
        <f t="shared" si="147"/>
        <v>0</v>
      </c>
      <c r="P286">
        <f t="shared" si="136"/>
        <v>0</v>
      </c>
      <c r="Q286">
        <f t="shared" si="137"/>
        <v>0</v>
      </c>
    </row>
    <row r="287" spans="1:17">
      <c r="A287" s="388"/>
      <c r="B287" s="391"/>
      <c r="C287" s="69"/>
      <c r="D287" s="70"/>
      <c r="E287" s="146"/>
      <c r="F287" s="70" t="str">
        <f>IFERROR(VLOOKUP(C287,MATERIAUX!$C$3:$G$1002,3,FALSE),"")</f>
        <v/>
      </c>
      <c r="G287" s="71" t="str">
        <f>IFERROR(VLOOKUP(C287,MATERIAUX!$C$3:$G$1002,5,FALSE),"")</f>
        <v/>
      </c>
      <c r="H287" s="71" t="str">
        <f t="shared" si="135"/>
        <v/>
      </c>
      <c r="I287" s="394"/>
      <c r="J287" s="72"/>
      <c r="K287" s="72"/>
      <c r="L287" s="72" t="str">
        <f>IFERROR(VLOOKUP(J287,'MAIN D OEUVRE'!$A$4:$B$99,2,FALSE)*$N$2,"")</f>
        <v/>
      </c>
      <c r="M287" s="73" t="str">
        <f t="shared" si="9"/>
        <v/>
      </c>
      <c r="N287" s="397"/>
      <c r="O287">
        <f t="shared" si="147"/>
        <v>0</v>
      </c>
      <c r="P287">
        <f t="shared" si="136"/>
        <v>0</v>
      </c>
      <c r="Q287">
        <f t="shared" si="137"/>
        <v>0</v>
      </c>
    </row>
    <row r="288" spans="1:17">
      <c r="A288" s="388"/>
      <c r="B288" s="391"/>
      <c r="C288" s="69"/>
      <c r="D288" s="70"/>
      <c r="E288" s="146"/>
      <c r="F288" s="70" t="str">
        <f>IFERROR(VLOOKUP(C288,MATERIAUX!$C$3:$G$1002,3,FALSE),"")</f>
        <v/>
      </c>
      <c r="G288" s="71" t="str">
        <f>IFERROR(VLOOKUP(C288,MATERIAUX!$C$3:$G$1002,5,FALSE),"")</f>
        <v/>
      </c>
      <c r="H288" s="71" t="str">
        <f t="shared" si="135"/>
        <v/>
      </c>
      <c r="I288" s="394"/>
      <c r="J288" s="72"/>
      <c r="K288" s="72"/>
      <c r="L288" s="72" t="str">
        <f>IFERROR(VLOOKUP(J288,'MAIN D OEUVRE'!$A$4:$B$99,2,FALSE)*$N$2,"")</f>
        <v/>
      </c>
      <c r="M288" s="73" t="str">
        <f t="shared" si="9"/>
        <v/>
      </c>
      <c r="N288" s="397"/>
      <c r="O288">
        <f t="shared" si="147"/>
        <v>0</v>
      </c>
      <c r="P288">
        <f t="shared" si="136"/>
        <v>0</v>
      </c>
      <c r="Q288">
        <f t="shared" si="137"/>
        <v>0</v>
      </c>
    </row>
    <row r="289" spans="1:17">
      <c r="A289" s="388"/>
      <c r="B289" s="391"/>
      <c r="C289" s="69"/>
      <c r="D289" s="70"/>
      <c r="E289" s="146"/>
      <c r="F289" s="70" t="str">
        <f>IFERROR(VLOOKUP(C289,MATERIAUX!$C$3:$G$1002,3,FALSE),"")</f>
        <v/>
      </c>
      <c r="G289" s="71" t="str">
        <f>IFERROR(VLOOKUP(C289,MATERIAUX!$C$3:$G$1002,5,FALSE),"")</f>
        <v/>
      </c>
      <c r="H289" s="71" t="str">
        <f t="shared" si="135"/>
        <v/>
      </c>
      <c r="I289" s="394"/>
      <c r="J289" s="72"/>
      <c r="K289" s="72"/>
      <c r="L289" s="72" t="str">
        <f>IFERROR(VLOOKUP(J289,'MAIN D OEUVRE'!$A$4:$B$99,2,FALSE)*$N$2,"")</f>
        <v/>
      </c>
      <c r="M289" s="73" t="str">
        <f t="shared" si="9"/>
        <v/>
      </c>
      <c r="N289" s="397"/>
      <c r="O289">
        <f t="shared" si="147"/>
        <v>0</v>
      </c>
      <c r="P289">
        <f t="shared" si="136"/>
        <v>0</v>
      </c>
      <c r="Q289">
        <f t="shared" si="137"/>
        <v>0</v>
      </c>
    </row>
    <row r="290" spans="1:17">
      <c r="A290" s="388"/>
      <c r="B290" s="391"/>
      <c r="C290" s="69"/>
      <c r="D290" s="70"/>
      <c r="E290" s="146"/>
      <c r="F290" s="70" t="str">
        <f>IFERROR(VLOOKUP(C290,MATERIAUX!$C$3:$G$1002,3,FALSE),"")</f>
        <v/>
      </c>
      <c r="G290" s="71" t="str">
        <f>IFERROR(VLOOKUP(C290,MATERIAUX!$C$3:$G$1002,5,FALSE),"")</f>
        <v/>
      </c>
      <c r="H290" s="71" t="str">
        <f t="shared" si="135"/>
        <v/>
      </c>
      <c r="I290" s="394"/>
      <c r="J290" s="72"/>
      <c r="K290" s="72"/>
      <c r="L290" s="72" t="str">
        <f>IFERROR(VLOOKUP(J290,'MAIN D OEUVRE'!$A$4:$B$99,2,FALSE)*$N$2,"")</f>
        <v/>
      </c>
      <c r="M290" s="73" t="str">
        <f t="shared" si="9"/>
        <v/>
      </c>
      <c r="N290" s="397"/>
      <c r="O290">
        <f t="shared" si="147"/>
        <v>0</v>
      </c>
      <c r="P290">
        <f t="shared" si="136"/>
        <v>0</v>
      </c>
      <c r="Q290">
        <f t="shared" si="137"/>
        <v>0</v>
      </c>
    </row>
    <row r="291" spans="1:17">
      <c r="A291" s="388"/>
      <c r="B291" s="391"/>
      <c r="C291" s="69"/>
      <c r="D291" s="70"/>
      <c r="E291" s="146"/>
      <c r="F291" s="70" t="str">
        <f>IFERROR(VLOOKUP(C291,MATERIAUX!$C$3:$G$1002,3,FALSE),"")</f>
        <v/>
      </c>
      <c r="G291" s="71" t="str">
        <f>IFERROR(VLOOKUP(C291,MATERIAUX!$C$3:$G$1002,5,FALSE),"")</f>
        <v/>
      </c>
      <c r="H291" s="71" t="str">
        <f t="shared" si="135"/>
        <v/>
      </c>
      <c r="I291" s="394"/>
      <c r="J291" s="72"/>
      <c r="K291" s="72"/>
      <c r="L291" s="72"/>
      <c r="M291" s="73"/>
      <c r="N291" s="397"/>
      <c r="O291">
        <f t="shared" si="147"/>
        <v>0</v>
      </c>
      <c r="P291">
        <f t="shared" si="136"/>
        <v>0</v>
      </c>
      <c r="Q291">
        <f t="shared" si="137"/>
        <v>0</v>
      </c>
    </row>
    <row r="292" spans="1:17" ht="15" thickBot="1">
      <c r="A292" s="389"/>
      <c r="B292" s="392"/>
      <c r="C292" s="74"/>
      <c r="D292" s="75"/>
      <c r="E292" s="147"/>
      <c r="F292" s="70" t="str">
        <f>IFERROR(VLOOKUP(C292,MATERIAUX!$C$3:$G$1002,3,FALSE),"")</f>
        <v/>
      </c>
      <c r="G292" s="71" t="str">
        <f>IFERROR(VLOOKUP(C292,MATERIAUX!$C$3:$G$1002,5,FALSE),"")</f>
        <v/>
      </c>
      <c r="H292" s="76" t="str">
        <f t="shared" si="135"/>
        <v/>
      </c>
      <c r="I292" s="395"/>
      <c r="J292" s="77"/>
      <c r="K292" s="77"/>
      <c r="L292" s="77"/>
      <c r="M292" s="78"/>
      <c r="N292" s="398"/>
      <c r="O292">
        <f t="shared" si="147"/>
        <v>0</v>
      </c>
      <c r="P292">
        <f t="shared" si="136"/>
        <v>0</v>
      </c>
      <c r="Q292">
        <f t="shared" si="137"/>
        <v>0</v>
      </c>
    </row>
    <row r="293" spans="1:17">
      <c r="A293" s="387" t="s">
        <v>47</v>
      </c>
      <c r="B293" s="390" t="s">
        <v>21</v>
      </c>
      <c r="C293" s="64" t="s">
        <v>111</v>
      </c>
      <c r="D293" s="65">
        <v>1.0249999999999999</v>
      </c>
      <c r="E293" s="145">
        <v>0</v>
      </c>
      <c r="F293" s="65" t="str">
        <f>IFERROR(VLOOKUP(C293,MATERIAUX!$C$3:$G$1002,3,FALSE),"")</f>
        <v>m2</v>
      </c>
      <c r="G293" s="66">
        <f>IFERROR(VLOOKUP(C293,MATERIAUX!$C$3:$G$1002,5,FALSE),"")</f>
        <v>10.929896907216495</v>
      </c>
      <c r="H293" s="66">
        <f t="shared" si="135"/>
        <v>11.2</v>
      </c>
      <c r="I293" s="393">
        <f>SUM(H293:H302)</f>
        <v>16.850000000000001</v>
      </c>
      <c r="J293" s="67" t="s">
        <v>57</v>
      </c>
      <c r="K293" s="67">
        <v>1</v>
      </c>
      <c r="L293" s="67">
        <f>IFERROR(VLOOKUP(J293,'MAIN D OEUVRE'!$A$4:$B$99,2,FALSE)*$N$2,"")</f>
        <v>0.71500000000000008</v>
      </c>
      <c r="M293" s="68">
        <f t="shared" ref="M293:M300" si="148">IFERROR(ROUND(L293*K293,2),"")</f>
        <v>0.72</v>
      </c>
      <c r="N293" s="396">
        <f>SUM(M293:M302)</f>
        <v>1.44</v>
      </c>
      <c r="O293" s="350">
        <v>0</v>
      </c>
      <c r="P293">
        <f t="shared" si="136"/>
        <v>0</v>
      </c>
      <c r="Q293">
        <f t="shared" si="137"/>
        <v>0</v>
      </c>
    </row>
    <row r="294" spans="1:17">
      <c r="A294" s="388"/>
      <c r="B294" s="391"/>
      <c r="C294" s="69" t="s">
        <v>112</v>
      </c>
      <c r="D294" s="70">
        <v>1.0249999999999999</v>
      </c>
      <c r="E294" s="146">
        <v>0</v>
      </c>
      <c r="F294" s="70" t="str">
        <f>IFERROR(VLOOKUP(C294,MATERIAUX!$C$3:$G$1002,3,FALSE),"")</f>
        <v>m2</v>
      </c>
      <c r="G294" s="71">
        <f>IFERROR(VLOOKUP(C294,MATERIAUX!$C$3:$G$1002,5,FALSE),"")</f>
        <v>5.5134020618556701</v>
      </c>
      <c r="H294" s="71">
        <f t="shared" si="135"/>
        <v>5.65</v>
      </c>
      <c r="I294" s="394"/>
      <c r="J294" s="72" t="s">
        <v>58</v>
      </c>
      <c r="K294" s="72">
        <v>1</v>
      </c>
      <c r="L294" s="72">
        <f>IFERROR(VLOOKUP(J294,'MAIN D OEUVRE'!$A$4:$B$99,2,FALSE)*$N$2,"")</f>
        <v>0.71500000000000008</v>
      </c>
      <c r="M294" s="73">
        <f t="shared" si="148"/>
        <v>0.72</v>
      </c>
      <c r="N294" s="397"/>
      <c r="O294">
        <f>O293</f>
        <v>0</v>
      </c>
      <c r="P294">
        <f t="shared" si="136"/>
        <v>0</v>
      </c>
      <c r="Q294">
        <f t="shared" si="137"/>
        <v>0</v>
      </c>
    </row>
    <row r="295" spans="1:17">
      <c r="A295" s="388"/>
      <c r="B295" s="391"/>
      <c r="C295" s="69"/>
      <c r="D295" s="70"/>
      <c r="E295" s="146"/>
      <c r="F295" s="70" t="str">
        <f>IFERROR(VLOOKUP(C295,MATERIAUX!$C$3:$G$1002,3,FALSE),"")</f>
        <v/>
      </c>
      <c r="G295" s="71" t="str">
        <f>IFERROR(VLOOKUP(C295,MATERIAUX!$C$3:$G$1002,5,FALSE),"")</f>
        <v/>
      </c>
      <c r="H295" s="71" t="str">
        <f t="shared" si="135"/>
        <v/>
      </c>
      <c r="I295" s="394"/>
      <c r="J295" s="72"/>
      <c r="K295" s="72"/>
      <c r="L295" s="72" t="str">
        <f>IFERROR(VLOOKUP(J295,'MAIN D OEUVRE'!$A$4:$B$99,2,FALSE)*$N$2,"")</f>
        <v/>
      </c>
      <c r="M295" s="73" t="str">
        <f t="shared" si="148"/>
        <v/>
      </c>
      <c r="N295" s="397"/>
      <c r="O295">
        <f t="shared" ref="O295:O302" si="149">O294</f>
        <v>0</v>
      </c>
      <c r="P295">
        <f t="shared" si="136"/>
        <v>0</v>
      </c>
      <c r="Q295">
        <f t="shared" si="137"/>
        <v>0</v>
      </c>
    </row>
    <row r="296" spans="1:17">
      <c r="A296" s="388"/>
      <c r="B296" s="391"/>
      <c r="C296" s="69"/>
      <c r="D296" s="70"/>
      <c r="E296" s="146"/>
      <c r="F296" s="70" t="str">
        <f>IFERROR(VLOOKUP(C296,MATERIAUX!$C$3:$G$1002,3,FALSE),"")</f>
        <v/>
      </c>
      <c r="G296" s="71" t="str">
        <f>IFERROR(VLOOKUP(C296,MATERIAUX!$C$3:$G$1002,5,FALSE),"")</f>
        <v/>
      </c>
      <c r="H296" s="71" t="str">
        <f t="shared" si="135"/>
        <v/>
      </c>
      <c r="I296" s="394"/>
      <c r="J296" s="72"/>
      <c r="K296" s="72"/>
      <c r="L296" s="72" t="str">
        <f>IFERROR(VLOOKUP(J296,'MAIN D OEUVRE'!$A$4:$B$99,2,FALSE)*$N$2,"")</f>
        <v/>
      </c>
      <c r="M296" s="73" t="str">
        <f t="shared" si="148"/>
        <v/>
      </c>
      <c r="N296" s="397"/>
      <c r="O296">
        <f t="shared" si="149"/>
        <v>0</v>
      </c>
      <c r="P296">
        <f t="shared" si="136"/>
        <v>0</v>
      </c>
      <c r="Q296">
        <f t="shared" si="137"/>
        <v>0</v>
      </c>
    </row>
    <row r="297" spans="1:17">
      <c r="A297" s="388"/>
      <c r="B297" s="391"/>
      <c r="C297" s="69"/>
      <c r="D297" s="70"/>
      <c r="E297" s="146"/>
      <c r="F297" s="70" t="str">
        <f>IFERROR(VLOOKUP(C297,MATERIAUX!$C$3:$G$1002,3,FALSE),"")</f>
        <v/>
      </c>
      <c r="G297" s="71" t="str">
        <f>IFERROR(VLOOKUP(C297,MATERIAUX!$C$3:$G$1002,5,FALSE),"")</f>
        <v/>
      </c>
      <c r="H297" s="71" t="str">
        <f t="shared" si="135"/>
        <v/>
      </c>
      <c r="I297" s="394"/>
      <c r="J297" s="72"/>
      <c r="K297" s="72"/>
      <c r="L297" s="72" t="str">
        <f>IFERROR(VLOOKUP(J297,'MAIN D OEUVRE'!$A$4:$B$99,2,FALSE)*$N$2,"")</f>
        <v/>
      </c>
      <c r="M297" s="73" t="str">
        <f t="shared" si="148"/>
        <v/>
      </c>
      <c r="N297" s="397"/>
      <c r="O297">
        <f t="shared" si="149"/>
        <v>0</v>
      </c>
      <c r="P297">
        <f t="shared" si="136"/>
        <v>0</v>
      </c>
      <c r="Q297">
        <f t="shared" si="137"/>
        <v>0</v>
      </c>
    </row>
    <row r="298" spans="1:17">
      <c r="A298" s="388"/>
      <c r="B298" s="391"/>
      <c r="C298" s="69"/>
      <c r="D298" s="70"/>
      <c r="E298" s="146"/>
      <c r="F298" s="70" t="str">
        <f>IFERROR(VLOOKUP(C298,MATERIAUX!$C$3:$G$1002,3,FALSE),"")</f>
        <v/>
      </c>
      <c r="G298" s="71" t="str">
        <f>IFERROR(VLOOKUP(C298,MATERIAUX!$C$3:$G$1002,5,FALSE),"")</f>
        <v/>
      </c>
      <c r="H298" s="71" t="str">
        <f t="shared" si="135"/>
        <v/>
      </c>
      <c r="I298" s="394"/>
      <c r="J298" s="72"/>
      <c r="K298" s="72"/>
      <c r="L298" s="72" t="str">
        <f>IFERROR(VLOOKUP(J298,'MAIN D OEUVRE'!$A$4:$B$99,2,FALSE)*$N$2,"")</f>
        <v/>
      </c>
      <c r="M298" s="73" t="str">
        <f t="shared" si="148"/>
        <v/>
      </c>
      <c r="N298" s="397"/>
      <c r="O298">
        <f t="shared" si="149"/>
        <v>0</v>
      </c>
      <c r="P298">
        <f t="shared" si="136"/>
        <v>0</v>
      </c>
      <c r="Q298">
        <f t="shared" si="137"/>
        <v>0</v>
      </c>
    </row>
    <row r="299" spans="1:17">
      <c r="A299" s="388"/>
      <c r="B299" s="391"/>
      <c r="C299" s="69"/>
      <c r="D299" s="70"/>
      <c r="E299" s="146"/>
      <c r="F299" s="70" t="str">
        <f>IFERROR(VLOOKUP(C299,MATERIAUX!$C$3:$G$1002,3,FALSE),"")</f>
        <v/>
      </c>
      <c r="G299" s="71" t="str">
        <f>IFERROR(VLOOKUP(C299,MATERIAUX!$C$3:$G$1002,5,FALSE),"")</f>
        <v/>
      </c>
      <c r="H299" s="71" t="str">
        <f t="shared" si="135"/>
        <v/>
      </c>
      <c r="I299" s="394"/>
      <c r="J299" s="72"/>
      <c r="K299" s="72"/>
      <c r="L299" s="72" t="str">
        <f>IFERROR(VLOOKUP(J299,'MAIN D OEUVRE'!$A$4:$B$99,2,FALSE)*$N$2,"")</f>
        <v/>
      </c>
      <c r="M299" s="73" t="str">
        <f t="shared" si="148"/>
        <v/>
      </c>
      <c r="N299" s="397"/>
      <c r="O299">
        <f t="shared" si="149"/>
        <v>0</v>
      </c>
      <c r="P299">
        <f t="shared" si="136"/>
        <v>0</v>
      </c>
      <c r="Q299">
        <f t="shared" si="137"/>
        <v>0</v>
      </c>
    </row>
    <row r="300" spans="1:17">
      <c r="A300" s="388"/>
      <c r="B300" s="391"/>
      <c r="C300" s="69"/>
      <c r="D300" s="70"/>
      <c r="E300" s="146"/>
      <c r="F300" s="70" t="str">
        <f>IFERROR(VLOOKUP(C300,MATERIAUX!$C$3:$G$1002,3,FALSE),"")</f>
        <v/>
      </c>
      <c r="G300" s="71" t="str">
        <f>IFERROR(VLOOKUP(C300,MATERIAUX!$C$3:$G$1002,5,FALSE),"")</f>
        <v/>
      </c>
      <c r="H300" s="71" t="str">
        <f t="shared" si="135"/>
        <v/>
      </c>
      <c r="I300" s="394"/>
      <c r="J300" s="72"/>
      <c r="K300" s="72"/>
      <c r="L300" s="72" t="str">
        <f>IFERROR(VLOOKUP(J300,'MAIN D OEUVRE'!$A$4:$B$99,2,FALSE)*$N$2,"")</f>
        <v/>
      </c>
      <c r="M300" s="73" t="str">
        <f t="shared" si="148"/>
        <v/>
      </c>
      <c r="N300" s="397"/>
      <c r="O300">
        <f t="shared" si="149"/>
        <v>0</v>
      </c>
      <c r="P300">
        <f t="shared" si="136"/>
        <v>0</v>
      </c>
      <c r="Q300">
        <f t="shared" si="137"/>
        <v>0</v>
      </c>
    </row>
    <row r="301" spans="1:17">
      <c r="A301" s="388"/>
      <c r="B301" s="391"/>
      <c r="C301" s="69"/>
      <c r="D301" s="70"/>
      <c r="E301" s="146"/>
      <c r="F301" s="70" t="str">
        <f>IFERROR(VLOOKUP(C301,MATERIAUX!$C$3:$G$1002,3,FALSE),"")</f>
        <v/>
      </c>
      <c r="G301" s="71" t="str">
        <f>IFERROR(VLOOKUP(C301,MATERIAUX!$C$3:$G$1002,5,FALSE),"")</f>
        <v/>
      </c>
      <c r="H301" s="71" t="str">
        <f t="shared" si="135"/>
        <v/>
      </c>
      <c r="I301" s="394"/>
      <c r="J301" s="72"/>
      <c r="K301" s="72"/>
      <c r="L301" s="72"/>
      <c r="M301" s="73"/>
      <c r="N301" s="397"/>
      <c r="O301">
        <f t="shared" si="149"/>
        <v>0</v>
      </c>
      <c r="P301">
        <f t="shared" si="136"/>
        <v>0</v>
      </c>
      <c r="Q301">
        <f t="shared" si="137"/>
        <v>0</v>
      </c>
    </row>
    <row r="302" spans="1:17" ht="15" thickBot="1">
      <c r="A302" s="389"/>
      <c r="B302" s="392"/>
      <c r="C302" s="74"/>
      <c r="D302" s="75"/>
      <c r="E302" s="147"/>
      <c r="F302" s="70" t="str">
        <f>IFERROR(VLOOKUP(C302,MATERIAUX!$C$3:$G$1002,3,FALSE),"")</f>
        <v/>
      </c>
      <c r="G302" s="71" t="str">
        <f>IFERROR(VLOOKUP(C302,MATERIAUX!$C$3:$G$1002,5,FALSE),"")</f>
        <v/>
      </c>
      <c r="H302" s="76" t="str">
        <f t="shared" si="135"/>
        <v/>
      </c>
      <c r="I302" s="395"/>
      <c r="J302" s="77"/>
      <c r="K302" s="77"/>
      <c r="L302" s="77"/>
      <c r="M302" s="78"/>
      <c r="N302" s="398"/>
      <c r="O302">
        <f t="shared" si="149"/>
        <v>0</v>
      </c>
      <c r="P302">
        <f t="shared" si="136"/>
        <v>0</v>
      </c>
      <c r="Q302">
        <f t="shared" si="137"/>
        <v>0</v>
      </c>
    </row>
    <row r="303" spans="1:17">
      <c r="A303" s="387" t="s">
        <v>49</v>
      </c>
      <c r="B303" s="390" t="s">
        <v>21</v>
      </c>
      <c r="C303" s="64" t="s">
        <v>111</v>
      </c>
      <c r="D303" s="65">
        <v>1.0249999999999999</v>
      </c>
      <c r="E303" s="145">
        <v>0</v>
      </c>
      <c r="F303" s="65" t="str">
        <f>IFERROR(VLOOKUP(C303,MATERIAUX!$C$3:$G$1002,3,FALSE),"")</f>
        <v>m2</v>
      </c>
      <c r="G303" s="66">
        <f>IFERROR(VLOOKUP(C303,MATERIAUX!$C$3:$G$1002,5,FALSE),"")</f>
        <v>10.929896907216495</v>
      </c>
      <c r="H303" s="66">
        <f t="shared" si="135"/>
        <v>11.2</v>
      </c>
      <c r="I303" s="393">
        <f>SUM(H303:H312)</f>
        <v>11.2</v>
      </c>
      <c r="J303" s="67" t="s">
        <v>57</v>
      </c>
      <c r="K303" s="67">
        <v>1</v>
      </c>
      <c r="L303" s="67">
        <f>IFERROR(VLOOKUP(J303,'MAIN D OEUVRE'!$A$4:$B$99,2,FALSE)*$N$2,"")</f>
        <v>0.71500000000000008</v>
      </c>
      <c r="M303" s="68">
        <f t="shared" si="9"/>
        <v>0.72</v>
      </c>
      <c r="N303" s="396">
        <f>SUM(M303:M312)</f>
        <v>0.72</v>
      </c>
      <c r="O303" s="350">
        <v>0</v>
      </c>
      <c r="P303">
        <f t="shared" ref="P303:P366" si="150">(D303+D303*E303)*O303</f>
        <v>0</v>
      </c>
      <c r="Q303">
        <f t="shared" ref="Q303:Q366" si="151">IF(P303=0,0,P303*G303)</f>
        <v>0</v>
      </c>
    </row>
    <row r="304" spans="1:17">
      <c r="A304" s="388"/>
      <c r="B304" s="391"/>
      <c r="C304" s="69"/>
      <c r="D304" s="70"/>
      <c r="E304" s="146"/>
      <c r="F304" s="70" t="str">
        <f>IFERROR(VLOOKUP(C304,MATERIAUX!$C$3:$G$1002,3,FALSE),"")</f>
        <v/>
      </c>
      <c r="G304" s="71" t="str">
        <f>IFERROR(VLOOKUP(C304,MATERIAUX!$C$3:$G$1002,5,FALSE),"")</f>
        <v/>
      </c>
      <c r="H304" s="71" t="str">
        <f t="shared" si="135"/>
        <v/>
      </c>
      <c r="I304" s="394"/>
      <c r="J304" s="72"/>
      <c r="K304" s="72"/>
      <c r="L304" s="72" t="str">
        <f>IFERROR(VLOOKUP(J304,'MAIN D OEUVRE'!$A$4:$B$99,2,FALSE)*$N$2,"")</f>
        <v/>
      </c>
      <c r="M304" s="73" t="str">
        <f t="shared" si="9"/>
        <v/>
      </c>
      <c r="N304" s="397"/>
      <c r="O304">
        <f>O303</f>
        <v>0</v>
      </c>
      <c r="P304">
        <f t="shared" si="150"/>
        <v>0</v>
      </c>
      <c r="Q304">
        <f t="shared" si="151"/>
        <v>0</v>
      </c>
    </row>
    <row r="305" spans="1:17">
      <c r="A305" s="388"/>
      <c r="B305" s="391"/>
      <c r="C305" s="69"/>
      <c r="D305" s="70"/>
      <c r="E305" s="146"/>
      <c r="F305" s="70" t="str">
        <f>IFERROR(VLOOKUP(C305,MATERIAUX!$C$3:$G$1002,3,FALSE),"")</f>
        <v/>
      </c>
      <c r="G305" s="71" t="str">
        <f>IFERROR(VLOOKUP(C305,MATERIAUX!$C$3:$G$1002,5,FALSE),"")</f>
        <v/>
      </c>
      <c r="H305" s="71" t="str">
        <f t="shared" si="135"/>
        <v/>
      </c>
      <c r="I305" s="394"/>
      <c r="J305" s="72"/>
      <c r="K305" s="72"/>
      <c r="L305" s="72" t="str">
        <f>IFERROR(VLOOKUP(J305,'MAIN D OEUVRE'!$A$4:$B$99,2,FALSE)*$N$2,"")</f>
        <v/>
      </c>
      <c r="M305" s="73" t="str">
        <f t="shared" si="9"/>
        <v/>
      </c>
      <c r="N305" s="397"/>
      <c r="O305">
        <f t="shared" ref="O305:O312" si="152">O304</f>
        <v>0</v>
      </c>
      <c r="P305">
        <f t="shared" si="150"/>
        <v>0</v>
      </c>
      <c r="Q305">
        <f t="shared" si="151"/>
        <v>0</v>
      </c>
    </row>
    <row r="306" spans="1:17">
      <c r="A306" s="388"/>
      <c r="B306" s="391"/>
      <c r="C306" s="69"/>
      <c r="D306" s="70"/>
      <c r="E306" s="146"/>
      <c r="F306" s="70" t="str">
        <f>IFERROR(VLOOKUP(C306,MATERIAUX!$C$3:$G$1002,3,FALSE),"")</f>
        <v/>
      </c>
      <c r="G306" s="71" t="str">
        <f>IFERROR(VLOOKUP(C306,MATERIAUX!$C$3:$G$1002,5,FALSE),"")</f>
        <v/>
      </c>
      <c r="H306" s="71" t="str">
        <f t="shared" si="135"/>
        <v/>
      </c>
      <c r="I306" s="394"/>
      <c r="J306" s="72"/>
      <c r="K306" s="72"/>
      <c r="L306" s="72" t="str">
        <f>IFERROR(VLOOKUP(J306,'MAIN D OEUVRE'!$A$4:$B$99,2,FALSE)*$N$2,"")</f>
        <v/>
      </c>
      <c r="M306" s="73" t="str">
        <f t="shared" si="9"/>
        <v/>
      </c>
      <c r="N306" s="397"/>
      <c r="O306">
        <f t="shared" si="152"/>
        <v>0</v>
      </c>
      <c r="P306">
        <f t="shared" si="150"/>
        <v>0</v>
      </c>
      <c r="Q306">
        <f t="shared" si="151"/>
        <v>0</v>
      </c>
    </row>
    <row r="307" spans="1:17">
      <c r="A307" s="388"/>
      <c r="B307" s="391"/>
      <c r="C307" s="69"/>
      <c r="D307" s="70"/>
      <c r="E307" s="146"/>
      <c r="F307" s="70" t="str">
        <f>IFERROR(VLOOKUP(C307,MATERIAUX!$C$3:$G$1002,3,FALSE),"")</f>
        <v/>
      </c>
      <c r="G307" s="71" t="str">
        <f>IFERROR(VLOOKUP(C307,MATERIAUX!$C$3:$G$1002,5,FALSE),"")</f>
        <v/>
      </c>
      <c r="H307" s="71" t="str">
        <f t="shared" si="135"/>
        <v/>
      </c>
      <c r="I307" s="394"/>
      <c r="J307" s="72"/>
      <c r="K307" s="72"/>
      <c r="L307" s="72" t="str">
        <f>IFERROR(VLOOKUP(J307,'MAIN D OEUVRE'!$A$4:$B$99,2,FALSE)*$N$2,"")</f>
        <v/>
      </c>
      <c r="M307" s="73" t="str">
        <f t="shared" si="9"/>
        <v/>
      </c>
      <c r="N307" s="397"/>
      <c r="O307">
        <f t="shared" si="152"/>
        <v>0</v>
      </c>
      <c r="P307">
        <f t="shared" si="150"/>
        <v>0</v>
      </c>
      <c r="Q307">
        <f t="shared" si="151"/>
        <v>0</v>
      </c>
    </row>
    <row r="308" spans="1:17">
      <c r="A308" s="388"/>
      <c r="B308" s="391"/>
      <c r="C308" s="69"/>
      <c r="D308" s="70"/>
      <c r="E308" s="146"/>
      <c r="F308" s="70" t="str">
        <f>IFERROR(VLOOKUP(C308,MATERIAUX!$C$3:$G$1002,3,FALSE),"")</f>
        <v/>
      </c>
      <c r="G308" s="71" t="str">
        <f>IFERROR(VLOOKUP(C308,MATERIAUX!$C$3:$G$1002,5,FALSE),"")</f>
        <v/>
      </c>
      <c r="H308" s="71" t="str">
        <f t="shared" si="135"/>
        <v/>
      </c>
      <c r="I308" s="394"/>
      <c r="J308" s="72"/>
      <c r="K308" s="72"/>
      <c r="L308" s="72" t="str">
        <f>IFERROR(VLOOKUP(J308,'MAIN D OEUVRE'!$A$4:$B$99,2,FALSE)*$N$2,"")</f>
        <v/>
      </c>
      <c r="M308" s="73" t="str">
        <f t="shared" si="9"/>
        <v/>
      </c>
      <c r="N308" s="397"/>
      <c r="O308">
        <f t="shared" si="152"/>
        <v>0</v>
      </c>
      <c r="P308">
        <f t="shared" si="150"/>
        <v>0</v>
      </c>
      <c r="Q308">
        <f t="shared" si="151"/>
        <v>0</v>
      </c>
    </row>
    <row r="309" spans="1:17">
      <c r="A309" s="388"/>
      <c r="B309" s="391"/>
      <c r="C309" s="69"/>
      <c r="D309" s="70"/>
      <c r="E309" s="146"/>
      <c r="F309" s="70" t="str">
        <f>IFERROR(VLOOKUP(C309,MATERIAUX!$C$3:$G$1002,3,FALSE),"")</f>
        <v/>
      </c>
      <c r="G309" s="71" t="str">
        <f>IFERROR(VLOOKUP(C309,MATERIAUX!$C$3:$G$1002,5,FALSE),"")</f>
        <v/>
      </c>
      <c r="H309" s="71" t="str">
        <f t="shared" si="135"/>
        <v/>
      </c>
      <c r="I309" s="394"/>
      <c r="J309" s="72"/>
      <c r="K309" s="72"/>
      <c r="L309" s="72" t="str">
        <f>IFERROR(VLOOKUP(J309,'MAIN D OEUVRE'!$A$4:$B$99,2,FALSE)*$N$2,"")</f>
        <v/>
      </c>
      <c r="M309" s="73" t="str">
        <f t="shared" si="9"/>
        <v/>
      </c>
      <c r="N309" s="397"/>
      <c r="O309">
        <f t="shared" si="152"/>
        <v>0</v>
      </c>
      <c r="P309">
        <f t="shared" si="150"/>
        <v>0</v>
      </c>
      <c r="Q309">
        <f t="shared" si="151"/>
        <v>0</v>
      </c>
    </row>
    <row r="310" spans="1:17">
      <c r="A310" s="388"/>
      <c r="B310" s="391"/>
      <c r="C310" s="69"/>
      <c r="D310" s="70"/>
      <c r="E310" s="146"/>
      <c r="F310" s="70" t="str">
        <f>IFERROR(VLOOKUP(C310,MATERIAUX!$C$3:$G$1002,3,FALSE),"")</f>
        <v/>
      </c>
      <c r="G310" s="71" t="str">
        <f>IFERROR(VLOOKUP(C310,MATERIAUX!$C$3:$G$1002,5,FALSE),"")</f>
        <v/>
      </c>
      <c r="H310" s="71" t="str">
        <f t="shared" si="135"/>
        <v/>
      </c>
      <c r="I310" s="394"/>
      <c r="J310" s="72"/>
      <c r="K310" s="72"/>
      <c r="L310" s="72" t="str">
        <f>IFERROR(VLOOKUP(J310,'MAIN D OEUVRE'!$A$4:$B$99,2,FALSE)*$N$2,"")</f>
        <v/>
      </c>
      <c r="M310" s="73" t="str">
        <f t="shared" si="9"/>
        <v/>
      </c>
      <c r="N310" s="397"/>
      <c r="O310">
        <f t="shared" si="152"/>
        <v>0</v>
      </c>
      <c r="P310">
        <f t="shared" si="150"/>
        <v>0</v>
      </c>
      <c r="Q310">
        <f t="shared" si="151"/>
        <v>0</v>
      </c>
    </row>
    <row r="311" spans="1:17">
      <c r="A311" s="388"/>
      <c r="B311" s="391"/>
      <c r="C311" s="69"/>
      <c r="D311" s="70"/>
      <c r="E311" s="146"/>
      <c r="F311" s="70" t="str">
        <f>IFERROR(VLOOKUP(C311,MATERIAUX!$C$3:$G$1002,3,FALSE),"")</f>
        <v/>
      </c>
      <c r="G311" s="71" t="str">
        <f>IFERROR(VLOOKUP(C311,MATERIAUX!$C$3:$G$1002,5,FALSE),"")</f>
        <v/>
      </c>
      <c r="H311" s="71" t="str">
        <f t="shared" si="135"/>
        <v/>
      </c>
      <c r="I311" s="394"/>
      <c r="J311" s="72"/>
      <c r="K311" s="72"/>
      <c r="L311" s="72"/>
      <c r="M311" s="73"/>
      <c r="N311" s="397"/>
      <c r="O311">
        <f t="shared" si="152"/>
        <v>0</v>
      </c>
      <c r="P311">
        <f t="shared" si="150"/>
        <v>0</v>
      </c>
      <c r="Q311">
        <f t="shared" si="151"/>
        <v>0</v>
      </c>
    </row>
    <row r="312" spans="1:17" ht="15" thickBot="1">
      <c r="A312" s="389"/>
      <c r="B312" s="392"/>
      <c r="C312" s="74"/>
      <c r="D312" s="75"/>
      <c r="E312" s="147"/>
      <c r="F312" s="70" t="str">
        <f>IFERROR(VLOOKUP(C312,MATERIAUX!$C$3:$G$1002,3,FALSE),"")</f>
        <v/>
      </c>
      <c r="G312" s="71" t="str">
        <f>IFERROR(VLOOKUP(C312,MATERIAUX!$C$3:$G$1002,5,FALSE),"")</f>
        <v/>
      </c>
      <c r="H312" s="76" t="str">
        <f t="shared" si="135"/>
        <v/>
      </c>
      <c r="I312" s="395"/>
      <c r="J312" s="77"/>
      <c r="K312" s="77"/>
      <c r="L312" s="77"/>
      <c r="M312" s="78"/>
      <c r="N312" s="398"/>
      <c r="O312">
        <f t="shared" si="152"/>
        <v>0</v>
      </c>
      <c r="P312">
        <f t="shared" si="150"/>
        <v>0</v>
      </c>
      <c r="Q312">
        <f t="shared" si="151"/>
        <v>0</v>
      </c>
    </row>
    <row r="313" spans="1:17">
      <c r="A313" s="387" t="s">
        <v>48</v>
      </c>
      <c r="B313" s="390" t="s">
        <v>21</v>
      </c>
      <c r="C313" s="64" t="s">
        <v>112</v>
      </c>
      <c r="D313" s="65">
        <v>1</v>
      </c>
      <c r="E313" s="145">
        <v>2.5000000000000001E-2</v>
      </c>
      <c r="F313" s="65" t="str">
        <f>IFERROR(VLOOKUP(C313,MATERIAUX!$C$3:$G$1002,3,FALSE),"")</f>
        <v>m2</v>
      </c>
      <c r="G313" s="66">
        <f>IFERROR(VLOOKUP(C313,MATERIAUX!$C$3:$G$1002,5,FALSE),"")</f>
        <v>5.5134020618556701</v>
      </c>
      <c r="H313" s="66">
        <f t="shared" si="135"/>
        <v>5.65</v>
      </c>
      <c r="I313" s="393">
        <f>SUM(H313:H322)</f>
        <v>5.65</v>
      </c>
      <c r="J313" s="67" t="s">
        <v>57</v>
      </c>
      <c r="K313" s="67">
        <v>1</v>
      </c>
      <c r="L313" s="67">
        <f>IFERROR(VLOOKUP(J313,'MAIN D OEUVRE'!$A$4:$B$99,2,FALSE)*$N$2,"")</f>
        <v>0.71500000000000008</v>
      </c>
      <c r="M313" s="68">
        <f t="shared" ref="M313:M320" si="153">IFERROR(ROUND(L313*K313,2),"")</f>
        <v>0.72</v>
      </c>
      <c r="N313" s="396">
        <f>SUM(M313:M322)</f>
        <v>0.72</v>
      </c>
      <c r="O313" s="350">
        <v>0</v>
      </c>
      <c r="P313">
        <f t="shared" si="150"/>
        <v>0</v>
      </c>
      <c r="Q313">
        <f t="shared" si="151"/>
        <v>0</v>
      </c>
    </row>
    <row r="314" spans="1:17">
      <c r="A314" s="388"/>
      <c r="B314" s="391"/>
      <c r="C314" s="69"/>
      <c r="D314" s="70"/>
      <c r="E314" s="146"/>
      <c r="F314" s="70" t="str">
        <f>IFERROR(VLOOKUP(C314,MATERIAUX!$C$3:$G$1002,3,FALSE),"")</f>
        <v/>
      </c>
      <c r="G314" s="71" t="str">
        <f>IFERROR(VLOOKUP(C314,MATERIAUX!$C$3:$G$1002,5,FALSE),"")</f>
        <v/>
      </c>
      <c r="H314" s="71" t="str">
        <f t="shared" si="135"/>
        <v/>
      </c>
      <c r="I314" s="394"/>
      <c r="J314" s="72"/>
      <c r="K314" s="72"/>
      <c r="L314" s="72" t="str">
        <f>IFERROR(VLOOKUP(J314,'MAIN D OEUVRE'!$A$4:$B$99,2,FALSE)*$N$2,"")</f>
        <v/>
      </c>
      <c r="M314" s="73" t="str">
        <f t="shared" si="153"/>
        <v/>
      </c>
      <c r="N314" s="397"/>
      <c r="O314">
        <f>O313</f>
        <v>0</v>
      </c>
      <c r="P314">
        <f t="shared" si="150"/>
        <v>0</v>
      </c>
      <c r="Q314">
        <f t="shared" si="151"/>
        <v>0</v>
      </c>
    </row>
    <row r="315" spans="1:17">
      <c r="A315" s="388"/>
      <c r="B315" s="391"/>
      <c r="C315" s="69"/>
      <c r="D315" s="70"/>
      <c r="E315" s="146"/>
      <c r="F315" s="70" t="str">
        <f>IFERROR(VLOOKUP(C315,MATERIAUX!$C$3:$G$1002,3,FALSE),"")</f>
        <v/>
      </c>
      <c r="G315" s="71" t="str">
        <f>IFERROR(VLOOKUP(C315,MATERIAUX!$C$3:$G$1002,5,FALSE),"")</f>
        <v/>
      </c>
      <c r="H315" s="71" t="str">
        <f t="shared" si="135"/>
        <v/>
      </c>
      <c r="I315" s="394"/>
      <c r="J315" s="72"/>
      <c r="K315" s="72"/>
      <c r="L315" s="72" t="str">
        <f>IFERROR(VLOOKUP(J315,'MAIN D OEUVRE'!$A$4:$B$99,2,FALSE)*$N$2,"")</f>
        <v/>
      </c>
      <c r="M315" s="73" t="str">
        <f t="shared" si="153"/>
        <v/>
      </c>
      <c r="N315" s="397"/>
      <c r="O315">
        <f t="shared" ref="O315:O322" si="154">O314</f>
        <v>0</v>
      </c>
      <c r="P315">
        <f t="shared" si="150"/>
        <v>0</v>
      </c>
      <c r="Q315">
        <f t="shared" si="151"/>
        <v>0</v>
      </c>
    </row>
    <row r="316" spans="1:17">
      <c r="A316" s="388"/>
      <c r="B316" s="391"/>
      <c r="C316" s="69"/>
      <c r="D316" s="70"/>
      <c r="E316" s="146"/>
      <c r="F316" s="70" t="str">
        <f>IFERROR(VLOOKUP(C316,MATERIAUX!$C$3:$G$1002,3,FALSE),"")</f>
        <v/>
      </c>
      <c r="G316" s="71" t="str">
        <f>IFERROR(VLOOKUP(C316,MATERIAUX!$C$3:$G$1002,5,FALSE),"")</f>
        <v/>
      </c>
      <c r="H316" s="71" t="str">
        <f t="shared" si="135"/>
        <v/>
      </c>
      <c r="I316" s="394"/>
      <c r="J316" s="72"/>
      <c r="K316" s="72"/>
      <c r="L316" s="72" t="str">
        <f>IFERROR(VLOOKUP(J316,'MAIN D OEUVRE'!$A$4:$B$99,2,FALSE)*$N$2,"")</f>
        <v/>
      </c>
      <c r="M316" s="73" t="str">
        <f t="shared" si="153"/>
        <v/>
      </c>
      <c r="N316" s="397"/>
      <c r="O316">
        <f t="shared" si="154"/>
        <v>0</v>
      </c>
      <c r="P316">
        <f t="shared" si="150"/>
        <v>0</v>
      </c>
      <c r="Q316">
        <f t="shared" si="151"/>
        <v>0</v>
      </c>
    </row>
    <row r="317" spans="1:17">
      <c r="A317" s="388"/>
      <c r="B317" s="391"/>
      <c r="C317" s="69"/>
      <c r="D317" s="70"/>
      <c r="E317" s="146"/>
      <c r="F317" s="70" t="str">
        <f>IFERROR(VLOOKUP(C317,MATERIAUX!$C$3:$G$1002,3,FALSE),"")</f>
        <v/>
      </c>
      <c r="G317" s="71" t="str">
        <f>IFERROR(VLOOKUP(C317,MATERIAUX!$C$3:$G$1002,5,FALSE),"")</f>
        <v/>
      </c>
      <c r="H317" s="71" t="str">
        <f t="shared" si="135"/>
        <v/>
      </c>
      <c r="I317" s="394"/>
      <c r="J317" s="72"/>
      <c r="K317" s="72"/>
      <c r="L317" s="72" t="str">
        <f>IFERROR(VLOOKUP(J317,'MAIN D OEUVRE'!$A$4:$B$99,2,FALSE)*$N$2,"")</f>
        <v/>
      </c>
      <c r="M317" s="73" t="str">
        <f t="shared" si="153"/>
        <v/>
      </c>
      <c r="N317" s="397"/>
      <c r="O317">
        <f t="shared" si="154"/>
        <v>0</v>
      </c>
      <c r="P317">
        <f t="shared" si="150"/>
        <v>0</v>
      </c>
      <c r="Q317">
        <f t="shared" si="151"/>
        <v>0</v>
      </c>
    </row>
    <row r="318" spans="1:17">
      <c r="A318" s="388"/>
      <c r="B318" s="391"/>
      <c r="C318" s="69"/>
      <c r="D318" s="70"/>
      <c r="E318" s="146"/>
      <c r="F318" s="70" t="str">
        <f>IFERROR(VLOOKUP(C318,MATERIAUX!$C$3:$G$1002,3,FALSE),"")</f>
        <v/>
      </c>
      <c r="G318" s="71" t="str">
        <f>IFERROR(VLOOKUP(C318,MATERIAUX!$C$3:$G$1002,5,FALSE),"")</f>
        <v/>
      </c>
      <c r="H318" s="71" t="str">
        <f t="shared" si="135"/>
        <v/>
      </c>
      <c r="I318" s="394"/>
      <c r="J318" s="72"/>
      <c r="K318" s="72"/>
      <c r="L318" s="72" t="str">
        <f>IFERROR(VLOOKUP(J318,'MAIN D OEUVRE'!$A$4:$B$99,2,FALSE)*$N$2,"")</f>
        <v/>
      </c>
      <c r="M318" s="73" t="str">
        <f t="shared" si="153"/>
        <v/>
      </c>
      <c r="N318" s="397"/>
      <c r="O318">
        <f t="shared" si="154"/>
        <v>0</v>
      </c>
      <c r="P318">
        <f t="shared" si="150"/>
        <v>0</v>
      </c>
      <c r="Q318">
        <f t="shared" si="151"/>
        <v>0</v>
      </c>
    </row>
    <row r="319" spans="1:17">
      <c r="A319" s="388"/>
      <c r="B319" s="391"/>
      <c r="C319" s="69"/>
      <c r="D319" s="70"/>
      <c r="E319" s="146"/>
      <c r="F319" s="70" t="str">
        <f>IFERROR(VLOOKUP(C319,MATERIAUX!$C$3:$G$1002,3,FALSE),"")</f>
        <v/>
      </c>
      <c r="G319" s="71" t="str">
        <f>IFERROR(VLOOKUP(C319,MATERIAUX!$C$3:$G$1002,5,FALSE),"")</f>
        <v/>
      </c>
      <c r="H319" s="71" t="str">
        <f t="shared" si="135"/>
        <v/>
      </c>
      <c r="I319" s="394"/>
      <c r="J319" s="72"/>
      <c r="K319" s="72"/>
      <c r="L319" s="72" t="str">
        <f>IFERROR(VLOOKUP(J319,'MAIN D OEUVRE'!$A$4:$B$99,2,FALSE)*$N$2,"")</f>
        <v/>
      </c>
      <c r="M319" s="73" t="str">
        <f t="shared" si="153"/>
        <v/>
      </c>
      <c r="N319" s="397"/>
      <c r="O319">
        <f t="shared" si="154"/>
        <v>0</v>
      </c>
      <c r="P319">
        <f t="shared" si="150"/>
        <v>0</v>
      </c>
      <c r="Q319">
        <f t="shared" si="151"/>
        <v>0</v>
      </c>
    </row>
    <row r="320" spans="1:17">
      <c r="A320" s="388"/>
      <c r="B320" s="391"/>
      <c r="C320" s="69"/>
      <c r="D320" s="70"/>
      <c r="E320" s="146"/>
      <c r="F320" s="70" t="str">
        <f>IFERROR(VLOOKUP(C320,MATERIAUX!$C$3:$G$1002,3,FALSE),"")</f>
        <v/>
      </c>
      <c r="G320" s="71" t="str">
        <f>IFERROR(VLOOKUP(C320,MATERIAUX!$C$3:$G$1002,5,FALSE),"")</f>
        <v/>
      </c>
      <c r="H320" s="71" t="str">
        <f t="shared" ref="H320:H383" si="155">IFERROR(ROUND(G320*(1+E320)*D320,2),"")</f>
        <v/>
      </c>
      <c r="I320" s="394"/>
      <c r="J320" s="72"/>
      <c r="K320" s="72"/>
      <c r="L320" s="72" t="str">
        <f>IFERROR(VLOOKUP(J320,'MAIN D OEUVRE'!$A$4:$B$99,2,FALSE)*$N$2,"")</f>
        <v/>
      </c>
      <c r="M320" s="73" t="str">
        <f t="shared" si="153"/>
        <v/>
      </c>
      <c r="N320" s="397"/>
      <c r="O320">
        <f t="shared" si="154"/>
        <v>0</v>
      </c>
      <c r="P320">
        <f t="shared" si="150"/>
        <v>0</v>
      </c>
      <c r="Q320">
        <f t="shared" si="151"/>
        <v>0</v>
      </c>
    </row>
    <row r="321" spans="1:17">
      <c r="A321" s="388"/>
      <c r="B321" s="391"/>
      <c r="C321" s="69"/>
      <c r="D321" s="70"/>
      <c r="E321" s="146"/>
      <c r="F321" s="70" t="str">
        <f>IFERROR(VLOOKUP(C321,MATERIAUX!$C$3:$G$1002,3,FALSE),"")</f>
        <v/>
      </c>
      <c r="G321" s="71" t="str">
        <f>IFERROR(VLOOKUP(C321,MATERIAUX!$C$3:$G$1002,5,FALSE),"")</f>
        <v/>
      </c>
      <c r="H321" s="71" t="str">
        <f t="shared" si="155"/>
        <v/>
      </c>
      <c r="I321" s="394"/>
      <c r="J321" s="72"/>
      <c r="K321" s="72"/>
      <c r="L321" s="72"/>
      <c r="M321" s="73"/>
      <c r="N321" s="397"/>
      <c r="O321">
        <f t="shared" si="154"/>
        <v>0</v>
      </c>
      <c r="P321">
        <f t="shared" si="150"/>
        <v>0</v>
      </c>
      <c r="Q321">
        <f t="shared" si="151"/>
        <v>0</v>
      </c>
    </row>
    <row r="322" spans="1:17" ht="15" thickBot="1">
      <c r="A322" s="389"/>
      <c r="B322" s="392"/>
      <c r="C322" s="74"/>
      <c r="D322" s="75"/>
      <c r="E322" s="147"/>
      <c r="F322" s="70" t="str">
        <f>IFERROR(VLOOKUP(C322,MATERIAUX!$C$3:$G$1002,3,FALSE),"")</f>
        <v/>
      </c>
      <c r="G322" s="71" t="str">
        <f>IFERROR(VLOOKUP(C322,MATERIAUX!$C$3:$G$1002,5,FALSE),"")</f>
        <v/>
      </c>
      <c r="H322" s="76" t="str">
        <f t="shared" si="155"/>
        <v/>
      </c>
      <c r="I322" s="395"/>
      <c r="J322" s="77"/>
      <c r="K322" s="77"/>
      <c r="L322" s="77"/>
      <c r="M322" s="78"/>
      <c r="N322" s="398"/>
      <c r="O322">
        <f t="shared" si="154"/>
        <v>0</v>
      </c>
      <c r="P322">
        <f t="shared" si="150"/>
        <v>0</v>
      </c>
      <c r="Q322">
        <f t="shared" si="151"/>
        <v>0</v>
      </c>
    </row>
    <row r="323" spans="1:17">
      <c r="A323" s="387" t="s">
        <v>419</v>
      </c>
      <c r="B323" s="390" t="s">
        <v>21</v>
      </c>
      <c r="C323" s="64" t="s">
        <v>418</v>
      </c>
      <c r="D323" s="65">
        <v>1</v>
      </c>
      <c r="E323" s="145">
        <v>0.25</v>
      </c>
      <c r="F323" s="65" t="str">
        <f>IFERROR(VLOOKUP(C323,MATERIAUX!$C$3:$G$1002,3,FALSE),"")</f>
        <v>m2</v>
      </c>
      <c r="G323" s="66">
        <f>IFERROR(VLOOKUP(C323,MATERIAUX!$C$3:$G$1002,5,FALSE),"")</f>
        <v>1.439175257731959</v>
      </c>
      <c r="H323" s="66">
        <f t="shared" si="155"/>
        <v>1.8</v>
      </c>
      <c r="I323" s="393">
        <f>SUM(H323:H332)</f>
        <v>2.97</v>
      </c>
      <c r="J323" s="67" t="s">
        <v>61</v>
      </c>
      <c r="K323" s="67">
        <v>1</v>
      </c>
      <c r="L323" s="67">
        <f>IFERROR(VLOOKUP(J323,'MAIN D OEUVRE'!$A$4:$B$99,2,FALSE)*$N$2,"")</f>
        <v>0.60500000000000009</v>
      </c>
      <c r="M323" s="68">
        <f t="shared" si="9"/>
        <v>0.61</v>
      </c>
      <c r="N323" s="396">
        <f>SUM(M323:M332)</f>
        <v>0.61</v>
      </c>
      <c r="O323" s="350">
        <v>0</v>
      </c>
      <c r="P323">
        <f t="shared" si="150"/>
        <v>0</v>
      </c>
      <c r="Q323">
        <f t="shared" si="151"/>
        <v>0</v>
      </c>
    </row>
    <row r="324" spans="1:17">
      <c r="A324" s="388"/>
      <c r="B324" s="391"/>
      <c r="C324" s="69" t="s">
        <v>85</v>
      </c>
      <c r="D324" s="70">
        <v>2</v>
      </c>
      <c r="E324" s="146">
        <v>0</v>
      </c>
      <c r="F324" s="70" t="str">
        <f>IFERROR(VLOOKUP(C324,MATERIAUX!$C$3:$G$1002,3,FALSE),"")</f>
        <v>ml</v>
      </c>
      <c r="G324" s="71">
        <f>IFERROR(VLOOKUP(C324,MATERIAUX!$C$3:$G$1002,5,FALSE),"")</f>
        <v>0.47422680412371132</v>
      </c>
      <c r="H324" s="71">
        <f t="shared" si="155"/>
        <v>0.95</v>
      </c>
      <c r="I324" s="394"/>
      <c r="J324" s="72"/>
      <c r="K324" s="72"/>
      <c r="L324" s="72" t="str">
        <f>IFERROR(VLOOKUP(J324,'MAIN D OEUVRE'!$A$4:$B$99,2,FALSE)*$N$2,"")</f>
        <v/>
      </c>
      <c r="M324" s="73" t="str">
        <f t="shared" si="9"/>
        <v/>
      </c>
      <c r="N324" s="397"/>
      <c r="O324">
        <f>O323</f>
        <v>0</v>
      </c>
      <c r="P324">
        <f t="shared" si="150"/>
        <v>0</v>
      </c>
      <c r="Q324">
        <f t="shared" si="151"/>
        <v>0</v>
      </c>
    </row>
    <row r="325" spans="1:17">
      <c r="A325" s="388"/>
      <c r="B325" s="391"/>
      <c r="C325" s="69" t="s">
        <v>81</v>
      </c>
      <c r="D325" s="70">
        <v>15</v>
      </c>
      <c r="E325" s="146">
        <v>0</v>
      </c>
      <c r="F325" s="70" t="str">
        <f>IFERROR(VLOOKUP(C325,MATERIAUX!$C$3:$G$1002,3,FALSE),"")</f>
        <v>u</v>
      </c>
      <c r="G325" s="71">
        <f>IFERROR(VLOOKUP(C325,MATERIAUX!$C$3:$G$1002,5,FALSE),"")</f>
        <v>1.4432989690721652E-2</v>
      </c>
      <c r="H325" s="71">
        <f t="shared" si="155"/>
        <v>0.22</v>
      </c>
      <c r="I325" s="394"/>
      <c r="J325" s="72"/>
      <c r="K325" s="72"/>
      <c r="L325" s="72" t="str">
        <f>IFERROR(VLOOKUP(J325,'MAIN D OEUVRE'!$A$4:$B$99,2,FALSE)*$N$2,"")</f>
        <v/>
      </c>
      <c r="M325" s="73" t="str">
        <f t="shared" si="9"/>
        <v/>
      </c>
      <c r="N325" s="397"/>
      <c r="O325">
        <f t="shared" ref="O325:O332" si="156">O324</f>
        <v>0</v>
      </c>
      <c r="P325">
        <f t="shared" si="150"/>
        <v>0</v>
      </c>
      <c r="Q325">
        <f t="shared" si="151"/>
        <v>0</v>
      </c>
    </row>
    <row r="326" spans="1:17">
      <c r="A326" s="388"/>
      <c r="B326" s="391"/>
      <c r="C326" s="69"/>
      <c r="D326" s="70"/>
      <c r="E326" s="146"/>
      <c r="F326" s="70" t="str">
        <f>IFERROR(VLOOKUP(C326,MATERIAUX!$C$3:$G$1002,3,FALSE),"")</f>
        <v/>
      </c>
      <c r="G326" s="71" t="str">
        <f>IFERROR(VLOOKUP(C326,MATERIAUX!$C$3:$G$1002,5,FALSE),"")</f>
        <v/>
      </c>
      <c r="H326" s="71" t="str">
        <f t="shared" si="155"/>
        <v/>
      </c>
      <c r="I326" s="394"/>
      <c r="J326" s="72"/>
      <c r="K326" s="72"/>
      <c r="L326" s="72" t="str">
        <f>IFERROR(VLOOKUP(J326,'MAIN D OEUVRE'!$A$4:$B$99,2,FALSE)*$N$2,"")</f>
        <v/>
      </c>
      <c r="M326" s="73" t="str">
        <f t="shared" si="9"/>
        <v/>
      </c>
      <c r="N326" s="397"/>
      <c r="O326">
        <f t="shared" si="156"/>
        <v>0</v>
      </c>
      <c r="P326">
        <f t="shared" si="150"/>
        <v>0</v>
      </c>
      <c r="Q326">
        <f t="shared" si="151"/>
        <v>0</v>
      </c>
    </row>
    <row r="327" spans="1:17">
      <c r="A327" s="388"/>
      <c r="B327" s="391"/>
      <c r="C327" s="69"/>
      <c r="D327" s="70"/>
      <c r="E327" s="146"/>
      <c r="F327" s="70" t="str">
        <f>IFERROR(VLOOKUP(C327,MATERIAUX!$C$3:$G$1002,3,FALSE),"")</f>
        <v/>
      </c>
      <c r="G327" s="71" t="str">
        <f>IFERROR(VLOOKUP(C327,MATERIAUX!$C$3:$G$1002,5,FALSE),"")</f>
        <v/>
      </c>
      <c r="H327" s="71" t="str">
        <f t="shared" si="155"/>
        <v/>
      </c>
      <c r="I327" s="394"/>
      <c r="J327" s="72"/>
      <c r="K327" s="72"/>
      <c r="L327" s="72" t="str">
        <f>IFERROR(VLOOKUP(J327,'MAIN D OEUVRE'!$A$4:$B$99,2,FALSE)*$N$2,"")</f>
        <v/>
      </c>
      <c r="M327" s="73" t="str">
        <f t="shared" si="9"/>
        <v/>
      </c>
      <c r="N327" s="397"/>
      <c r="O327">
        <f t="shared" si="156"/>
        <v>0</v>
      </c>
      <c r="P327">
        <f t="shared" si="150"/>
        <v>0</v>
      </c>
      <c r="Q327">
        <f t="shared" si="151"/>
        <v>0</v>
      </c>
    </row>
    <row r="328" spans="1:17">
      <c r="A328" s="388"/>
      <c r="B328" s="391"/>
      <c r="C328" s="69"/>
      <c r="D328" s="70"/>
      <c r="E328" s="146"/>
      <c r="F328" s="70" t="str">
        <f>IFERROR(VLOOKUP(C328,MATERIAUX!$C$3:$G$1002,3,FALSE),"")</f>
        <v/>
      </c>
      <c r="G328" s="71" t="str">
        <f>IFERROR(VLOOKUP(C328,MATERIAUX!$C$3:$G$1002,5,FALSE),"")</f>
        <v/>
      </c>
      <c r="H328" s="71" t="str">
        <f t="shared" si="155"/>
        <v/>
      </c>
      <c r="I328" s="394"/>
      <c r="J328" s="72"/>
      <c r="K328" s="72"/>
      <c r="L328" s="72" t="str">
        <f>IFERROR(VLOOKUP(J328,'MAIN D OEUVRE'!$A$4:$B$99,2,FALSE)*$N$2,"")</f>
        <v/>
      </c>
      <c r="M328" s="73" t="str">
        <f t="shared" si="9"/>
        <v/>
      </c>
      <c r="N328" s="397"/>
      <c r="O328">
        <f t="shared" si="156"/>
        <v>0</v>
      </c>
      <c r="P328">
        <f t="shared" si="150"/>
        <v>0</v>
      </c>
      <c r="Q328">
        <f t="shared" si="151"/>
        <v>0</v>
      </c>
    </row>
    <row r="329" spans="1:17">
      <c r="A329" s="388"/>
      <c r="B329" s="391"/>
      <c r="C329" s="69"/>
      <c r="D329" s="70"/>
      <c r="E329" s="146"/>
      <c r="F329" s="70" t="str">
        <f>IFERROR(VLOOKUP(C329,MATERIAUX!$C$3:$G$1002,3,FALSE),"")</f>
        <v/>
      </c>
      <c r="G329" s="71" t="str">
        <f>IFERROR(VLOOKUP(C329,MATERIAUX!$C$3:$G$1002,5,FALSE),"")</f>
        <v/>
      </c>
      <c r="H329" s="71" t="str">
        <f t="shared" si="155"/>
        <v/>
      </c>
      <c r="I329" s="394"/>
      <c r="J329" s="72"/>
      <c r="K329" s="72"/>
      <c r="L329" s="72" t="str">
        <f>IFERROR(VLOOKUP(J329,'MAIN D OEUVRE'!$A$4:$B$99,2,FALSE)*$N$2,"")</f>
        <v/>
      </c>
      <c r="M329" s="73" t="str">
        <f t="shared" si="9"/>
        <v/>
      </c>
      <c r="N329" s="397"/>
      <c r="O329">
        <f t="shared" si="156"/>
        <v>0</v>
      </c>
      <c r="P329">
        <f t="shared" si="150"/>
        <v>0</v>
      </c>
      <c r="Q329">
        <f t="shared" si="151"/>
        <v>0</v>
      </c>
    </row>
    <row r="330" spans="1:17">
      <c r="A330" s="388"/>
      <c r="B330" s="391"/>
      <c r="C330" s="69"/>
      <c r="D330" s="70"/>
      <c r="E330" s="146"/>
      <c r="F330" s="70" t="str">
        <f>IFERROR(VLOOKUP(C330,MATERIAUX!$C$3:$G$1002,3,FALSE),"")</f>
        <v/>
      </c>
      <c r="G330" s="71" t="str">
        <f>IFERROR(VLOOKUP(C330,MATERIAUX!$C$3:$G$1002,5,FALSE),"")</f>
        <v/>
      </c>
      <c r="H330" s="71" t="str">
        <f t="shared" si="155"/>
        <v/>
      </c>
      <c r="I330" s="394"/>
      <c r="J330" s="72"/>
      <c r="K330" s="72"/>
      <c r="L330" s="72" t="str">
        <f>IFERROR(VLOOKUP(J330,'MAIN D OEUVRE'!$A$4:$B$99,2,FALSE)*$N$2,"")</f>
        <v/>
      </c>
      <c r="M330" s="73" t="str">
        <f t="shared" si="9"/>
        <v/>
      </c>
      <c r="N330" s="397"/>
      <c r="O330">
        <f t="shared" si="156"/>
        <v>0</v>
      </c>
      <c r="P330">
        <f t="shared" si="150"/>
        <v>0</v>
      </c>
      <c r="Q330">
        <f t="shared" si="151"/>
        <v>0</v>
      </c>
    </row>
    <row r="331" spans="1:17">
      <c r="A331" s="388"/>
      <c r="B331" s="391"/>
      <c r="C331" s="69"/>
      <c r="D331" s="70"/>
      <c r="E331" s="146"/>
      <c r="F331" s="70" t="str">
        <f>IFERROR(VLOOKUP(C331,MATERIAUX!$C$3:$G$1002,3,FALSE),"")</f>
        <v/>
      </c>
      <c r="G331" s="71" t="str">
        <f>IFERROR(VLOOKUP(C331,MATERIAUX!$C$3:$G$1002,5,FALSE),"")</f>
        <v/>
      </c>
      <c r="H331" s="71" t="str">
        <f t="shared" si="155"/>
        <v/>
      </c>
      <c r="I331" s="394"/>
      <c r="J331" s="72"/>
      <c r="K331" s="72"/>
      <c r="L331" s="72"/>
      <c r="M331" s="73"/>
      <c r="N331" s="397"/>
      <c r="O331">
        <f t="shared" si="156"/>
        <v>0</v>
      </c>
      <c r="P331">
        <f t="shared" si="150"/>
        <v>0</v>
      </c>
      <c r="Q331">
        <f t="shared" si="151"/>
        <v>0</v>
      </c>
    </row>
    <row r="332" spans="1:17" ht="15" thickBot="1">
      <c r="A332" s="389"/>
      <c r="B332" s="392"/>
      <c r="C332" s="74"/>
      <c r="D332" s="75"/>
      <c r="E332" s="147"/>
      <c r="F332" s="70" t="str">
        <f>IFERROR(VLOOKUP(C332,MATERIAUX!$C$3:$G$1002,3,FALSE),"")</f>
        <v/>
      </c>
      <c r="G332" s="71" t="str">
        <f>IFERROR(VLOOKUP(C332,MATERIAUX!$C$3:$G$1002,5,FALSE),"")</f>
        <v/>
      </c>
      <c r="H332" s="76" t="str">
        <f t="shared" si="155"/>
        <v/>
      </c>
      <c r="I332" s="395"/>
      <c r="J332" s="77"/>
      <c r="K332" s="77"/>
      <c r="L332" s="77"/>
      <c r="M332" s="78"/>
      <c r="N332" s="398"/>
      <c r="O332">
        <f t="shared" si="156"/>
        <v>0</v>
      </c>
      <c r="P332">
        <f t="shared" si="150"/>
        <v>0</v>
      </c>
      <c r="Q332">
        <f t="shared" si="151"/>
        <v>0</v>
      </c>
    </row>
    <row r="333" spans="1:17">
      <c r="A333" s="387" t="s">
        <v>195</v>
      </c>
      <c r="B333" s="390" t="s">
        <v>21</v>
      </c>
      <c r="C333" s="64" t="s">
        <v>197</v>
      </c>
      <c r="D333" s="65">
        <v>1</v>
      </c>
      <c r="E333" s="145">
        <v>0.25</v>
      </c>
      <c r="F333" s="65" t="str">
        <f>IFERROR(VLOOKUP(C333,MATERIAUX!$C$3:$G$1002,3,FALSE),"")</f>
        <v>m2</v>
      </c>
      <c r="G333" s="66">
        <f>IFERROR(VLOOKUP(C333,MATERIAUX!$C$3:$G$1002,5,FALSE),"")</f>
        <v>0.58969072164948455</v>
      </c>
      <c r="H333" s="66">
        <f t="shared" si="155"/>
        <v>0.74</v>
      </c>
      <c r="I333" s="393">
        <f>SUM(H333:H342)</f>
        <v>1.91</v>
      </c>
      <c r="J333" s="67" t="s">
        <v>61</v>
      </c>
      <c r="K333" s="67">
        <v>1</v>
      </c>
      <c r="L333" s="67">
        <f>IFERROR(VLOOKUP(J333,'MAIN D OEUVRE'!$A$4:$B$99,2,FALSE)*$N$2,"")</f>
        <v>0.60500000000000009</v>
      </c>
      <c r="M333" s="68">
        <f t="shared" ref="M333:M340" si="157">IFERROR(ROUND(L333*K333,2),"")</f>
        <v>0.61</v>
      </c>
      <c r="N333" s="396">
        <f>SUM(M333:M342)</f>
        <v>0.61</v>
      </c>
      <c r="O333" s="350">
        <v>0</v>
      </c>
      <c r="P333">
        <f t="shared" si="150"/>
        <v>0</v>
      </c>
      <c r="Q333">
        <f t="shared" si="151"/>
        <v>0</v>
      </c>
    </row>
    <row r="334" spans="1:17">
      <c r="A334" s="388"/>
      <c r="B334" s="391"/>
      <c r="C334" s="69" t="s">
        <v>85</v>
      </c>
      <c r="D334" s="70">
        <v>2</v>
      </c>
      <c r="E334" s="146">
        <f>1/25*10%</f>
        <v>4.0000000000000001E-3</v>
      </c>
      <c r="F334" s="70" t="str">
        <f>IFERROR(VLOOKUP(C334,MATERIAUX!$C$3:$G$1002,3,FALSE),"")</f>
        <v>ml</v>
      </c>
      <c r="G334" s="71">
        <f>IFERROR(VLOOKUP(C334,MATERIAUX!$C$3:$G$1002,5,FALSE),"")</f>
        <v>0.47422680412371132</v>
      </c>
      <c r="H334" s="71">
        <f t="shared" si="155"/>
        <v>0.95</v>
      </c>
      <c r="I334" s="394"/>
      <c r="J334" s="72"/>
      <c r="K334" s="72"/>
      <c r="L334" s="72" t="str">
        <f>IFERROR(VLOOKUP(J334,'MAIN D OEUVRE'!$A$4:$B$99,2,FALSE)*$N$2,"")</f>
        <v/>
      </c>
      <c r="M334" s="73" t="str">
        <f t="shared" si="157"/>
        <v/>
      </c>
      <c r="N334" s="397"/>
      <c r="O334">
        <f>O333</f>
        <v>0</v>
      </c>
      <c r="P334">
        <f t="shared" si="150"/>
        <v>0</v>
      </c>
      <c r="Q334">
        <f t="shared" si="151"/>
        <v>0</v>
      </c>
    </row>
    <row r="335" spans="1:17">
      <c r="A335" s="388"/>
      <c r="B335" s="391"/>
      <c r="C335" s="69" t="s">
        <v>81</v>
      </c>
      <c r="D335" s="70">
        <v>15</v>
      </c>
      <c r="E335" s="146">
        <v>0</v>
      </c>
      <c r="F335" s="70" t="str">
        <f>IFERROR(VLOOKUP(C335,MATERIAUX!$C$3:$G$1002,3,FALSE),"")</f>
        <v>u</v>
      </c>
      <c r="G335" s="71">
        <f>IFERROR(VLOOKUP(C335,MATERIAUX!$C$3:$G$1002,5,FALSE),"")</f>
        <v>1.4432989690721652E-2</v>
      </c>
      <c r="H335" s="71">
        <f t="shared" si="155"/>
        <v>0.22</v>
      </c>
      <c r="I335" s="394"/>
      <c r="J335" s="72"/>
      <c r="K335" s="72"/>
      <c r="L335" s="72" t="str">
        <f>IFERROR(VLOOKUP(J335,'MAIN D OEUVRE'!$A$4:$B$99,2,FALSE)*$N$2,"")</f>
        <v/>
      </c>
      <c r="M335" s="73" t="str">
        <f t="shared" si="157"/>
        <v/>
      </c>
      <c r="N335" s="397"/>
      <c r="O335">
        <f t="shared" ref="O335:O342" si="158">O334</f>
        <v>0</v>
      </c>
      <c r="P335">
        <f t="shared" si="150"/>
        <v>0</v>
      </c>
      <c r="Q335">
        <f t="shared" si="151"/>
        <v>0</v>
      </c>
    </row>
    <row r="336" spans="1:17">
      <c r="A336" s="388"/>
      <c r="B336" s="391"/>
      <c r="C336" s="69"/>
      <c r="D336" s="70"/>
      <c r="E336" s="146"/>
      <c r="F336" s="70" t="str">
        <f>IFERROR(VLOOKUP(C336,MATERIAUX!$C$3:$G$1002,3,FALSE),"")</f>
        <v/>
      </c>
      <c r="G336" s="71" t="str">
        <f>IFERROR(VLOOKUP(C336,MATERIAUX!$C$3:$G$1002,5,FALSE),"")</f>
        <v/>
      </c>
      <c r="H336" s="71" t="str">
        <f t="shared" si="155"/>
        <v/>
      </c>
      <c r="I336" s="394"/>
      <c r="J336" s="72"/>
      <c r="K336" s="72"/>
      <c r="L336" s="72" t="str">
        <f>IFERROR(VLOOKUP(J336,'MAIN D OEUVRE'!$A$4:$B$99,2,FALSE)*$N$2,"")</f>
        <v/>
      </c>
      <c r="M336" s="73" t="str">
        <f t="shared" si="157"/>
        <v/>
      </c>
      <c r="N336" s="397"/>
      <c r="O336">
        <f t="shared" si="158"/>
        <v>0</v>
      </c>
      <c r="P336">
        <f t="shared" si="150"/>
        <v>0</v>
      </c>
      <c r="Q336">
        <f t="shared" si="151"/>
        <v>0</v>
      </c>
    </row>
    <row r="337" spans="1:17">
      <c r="A337" s="388"/>
      <c r="B337" s="391"/>
      <c r="C337" s="69"/>
      <c r="D337" s="70"/>
      <c r="E337" s="146"/>
      <c r="F337" s="70" t="str">
        <f>IFERROR(VLOOKUP(C337,MATERIAUX!$C$3:$G$1002,3,FALSE),"")</f>
        <v/>
      </c>
      <c r="G337" s="71" t="str">
        <f>IFERROR(VLOOKUP(C337,MATERIAUX!$C$3:$G$1002,5,FALSE),"")</f>
        <v/>
      </c>
      <c r="H337" s="71" t="str">
        <f t="shared" si="155"/>
        <v/>
      </c>
      <c r="I337" s="394"/>
      <c r="J337" s="72"/>
      <c r="K337" s="72"/>
      <c r="L337" s="72" t="str">
        <f>IFERROR(VLOOKUP(J337,'MAIN D OEUVRE'!$A$4:$B$99,2,FALSE)*$N$2,"")</f>
        <v/>
      </c>
      <c r="M337" s="73" t="str">
        <f t="shared" si="157"/>
        <v/>
      </c>
      <c r="N337" s="397"/>
      <c r="O337">
        <f t="shared" si="158"/>
        <v>0</v>
      </c>
      <c r="P337">
        <f t="shared" si="150"/>
        <v>0</v>
      </c>
      <c r="Q337">
        <f t="shared" si="151"/>
        <v>0</v>
      </c>
    </row>
    <row r="338" spans="1:17">
      <c r="A338" s="388"/>
      <c r="B338" s="391"/>
      <c r="C338" s="69"/>
      <c r="D338" s="70"/>
      <c r="E338" s="146"/>
      <c r="F338" s="70" t="str">
        <f>IFERROR(VLOOKUP(C338,MATERIAUX!$C$3:$G$1002,3,FALSE),"")</f>
        <v/>
      </c>
      <c r="G338" s="71" t="str">
        <f>IFERROR(VLOOKUP(C338,MATERIAUX!$C$3:$G$1002,5,FALSE),"")</f>
        <v/>
      </c>
      <c r="H338" s="71" t="str">
        <f t="shared" si="155"/>
        <v/>
      </c>
      <c r="I338" s="394"/>
      <c r="J338" s="72"/>
      <c r="K338" s="72"/>
      <c r="L338" s="72" t="str">
        <f>IFERROR(VLOOKUP(J338,'MAIN D OEUVRE'!$A$4:$B$99,2,FALSE)*$N$2,"")</f>
        <v/>
      </c>
      <c r="M338" s="73" t="str">
        <f t="shared" si="157"/>
        <v/>
      </c>
      <c r="N338" s="397"/>
      <c r="O338">
        <f t="shared" si="158"/>
        <v>0</v>
      </c>
      <c r="P338">
        <f t="shared" si="150"/>
        <v>0</v>
      </c>
      <c r="Q338">
        <f t="shared" si="151"/>
        <v>0</v>
      </c>
    </row>
    <row r="339" spans="1:17">
      <c r="A339" s="388"/>
      <c r="B339" s="391"/>
      <c r="C339" s="69"/>
      <c r="D339" s="70"/>
      <c r="E339" s="146"/>
      <c r="F339" s="70" t="str">
        <f>IFERROR(VLOOKUP(C339,MATERIAUX!$C$3:$G$1002,3,FALSE),"")</f>
        <v/>
      </c>
      <c r="G339" s="71" t="str">
        <f>IFERROR(VLOOKUP(C339,MATERIAUX!$C$3:$G$1002,5,FALSE),"")</f>
        <v/>
      </c>
      <c r="H339" s="71" t="str">
        <f t="shared" si="155"/>
        <v/>
      </c>
      <c r="I339" s="394"/>
      <c r="J339" s="72"/>
      <c r="K339" s="72"/>
      <c r="L339" s="72" t="str">
        <f>IFERROR(VLOOKUP(J339,'MAIN D OEUVRE'!$A$4:$B$99,2,FALSE)*$N$2,"")</f>
        <v/>
      </c>
      <c r="M339" s="73" t="str">
        <f t="shared" si="157"/>
        <v/>
      </c>
      <c r="N339" s="397"/>
      <c r="O339">
        <f t="shared" si="158"/>
        <v>0</v>
      </c>
      <c r="P339">
        <f t="shared" si="150"/>
        <v>0</v>
      </c>
      <c r="Q339">
        <f t="shared" si="151"/>
        <v>0</v>
      </c>
    </row>
    <row r="340" spans="1:17">
      <c r="A340" s="388"/>
      <c r="B340" s="391"/>
      <c r="C340" s="69"/>
      <c r="D340" s="70"/>
      <c r="E340" s="146"/>
      <c r="F340" s="70" t="str">
        <f>IFERROR(VLOOKUP(C340,MATERIAUX!$C$3:$G$1002,3,FALSE),"")</f>
        <v/>
      </c>
      <c r="G340" s="71" t="str">
        <f>IFERROR(VLOOKUP(C340,MATERIAUX!$C$3:$G$1002,5,FALSE),"")</f>
        <v/>
      </c>
      <c r="H340" s="71" t="str">
        <f t="shared" si="155"/>
        <v/>
      </c>
      <c r="I340" s="394"/>
      <c r="J340" s="72"/>
      <c r="K340" s="72"/>
      <c r="L340" s="72" t="str">
        <f>IFERROR(VLOOKUP(J340,'MAIN D OEUVRE'!$A$4:$B$99,2,FALSE)*$N$2,"")</f>
        <v/>
      </c>
      <c r="M340" s="73" t="str">
        <f t="shared" si="157"/>
        <v/>
      </c>
      <c r="N340" s="397"/>
      <c r="O340">
        <f t="shared" si="158"/>
        <v>0</v>
      </c>
      <c r="P340">
        <f t="shared" si="150"/>
        <v>0</v>
      </c>
      <c r="Q340">
        <f t="shared" si="151"/>
        <v>0</v>
      </c>
    </row>
    <row r="341" spans="1:17">
      <c r="A341" s="388"/>
      <c r="B341" s="391"/>
      <c r="C341" s="69"/>
      <c r="D341" s="70"/>
      <c r="E341" s="146"/>
      <c r="F341" s="70" t="str">
        <f>IFERROR(VLOOKUP(C341,MATERIAUX!$C$3:$G$1002,3,FALSE),"")</f>
        <v/>
      </c>
      <c r="G341" s="71" t="str">
        <f>IFERROR(VLOOKUP(C341,MATERIAUX!$C$3:$G$1002,5,FALSE),"")</f>
        <v/>
      </c>
      <c r="H341" s="71" t="str">
        <f t="shared" si="155"/>
        <v/>
      </c>
      <c r="I341" s="394"/>
      <c r="J341" s="72"/>
      <c r="K341" s="72"/>
      <c r="L341" s="72"/>
      <c r="M341" s="73"/>
      <c r="N341" s="397"/>
      <c r="O341">
        <f t="shared" si="158"/>
        <v>0</v>
      </c>
      <c r="P341">
        <f t="shared" si="150"/>
        <v>0</v>
      </c>
      <c r="Q341">
        <f t="shared" si="151"/>
        <v>0</v>
      </c>
    </row>
    <row r="342" spans="1:17" ht="15" thickBot="1">
      <c r="A342" s="389"/>
      <c r="B342" s="392"/>
      <c r="C342" s="74"/>
      <c r="D342" s="75"/>
      <c r="E342" s="147"/>
      <c r="F342" s="70" t="str">
        <f>IFERROR(VLOOKUP(C342,MATERIAUX!$C$3:$G$1002,3,FALSE),"")</f>
        <v/>
      </c>
      <c r="G342" s="71" t="str">
        <f>IFERROR(VLOOKUP(C342,MATERIAUX!$C$3:$G$1002,5,FALSE),"")</f>
        <v/>
      </c>
      <c r="H342" s="76" t="str">
        <f t="shared" si="155"/>
        <v/>
      </c>
      <c r="I342" s="395"/>
      <c r="J342" s="77"/>
      <c r="K342" s="77"/>
      <c r="L342" s="77"/>
      <c r="M342" s="78"/>
      <c r="N342" s="398"/>
      <c r="O342">
        <f t="shared" si="158"/>
        <v>0</v>
      </c>
      <c r="P342">
        <f t="shared" si="150"/>
        <v>0</v>
      </c>
      <c r="Q342">
        <f t="shared" si="151"/>
        <v>0</v>
      </c>
    </row>
    <row r="343" spans="1:17">
      <c r="A343" s="387" t="s">
        <v>1</v>
      </c>
      <c r="B343" s="390" t="s">
        <v>21</v>
      </c>
      <c r="C343" s="64" t="s">
        <v>103</v>
      </c>
      <c r="D343" s="65">
        <v>1.0249999999999999</v>
      </c>
      <c r="E343" s="145">
        <v>0.1</v>
      </c>
      <c r="F343" s="65" t="str">
        <f>IFERROR(VLOOKUP(C343,MATERIAUX!$C$3:$G$1002,3,FALSE),"")</f>
        <v>m2</v>
      </c>
      <c r="G343" s="66">
        <f>IFERROR(VLOOKUP(C343,MATERIAUX!$C$3:$G$1002,5,FALSE),"")</f>
        <v>2.57319587628866</v>
      </c>
      <c r="H343" s="66">
        <f t="shared" si="155"/>
        <v>2.9</v>
      </c>
      <c r="I343" s="393">
        <f>SUM(H343:H352)</f>
        <v>5.42</v>
      </c>
      <c r="J343" s="67" t="s">
        <v>60</v>
      </c>
      <c r="K343" s="67">
        <v>1</v>
      </c>
      <c r="L343" s="67">
        <f>IFERROR(VLOOKUP(J343,'MAIN D OEUVRE'!$A$4:$B$99,2,FALSE)*$N$2,"")</f>
        <v>0.82500000000000007</v>
      </c>
      <c r="M343" s="68">
        <f t="shared" ref="M343:M350" si="159">IFERROR(ROUND(L343*K343,2),"")</f>
        <v>0.83</v>
      </c>
      <c r="N343" s="396">
        <f>SUM(M343:M352)</f>
        <v>0.83</v>
      </c>
      <c r="O343" s="350">
        <v>0</v>
      </c>
      <c r="P343">
        <f t="shared" si="150"/>
        <v>0</v>
      </c>
      <c r="Q343">
        <f t="shared" si="151"/>
        <v>0</v>
      </c>
    </row>
    <row r="344" spans="1:17">
      <c r="A344" s="388"/>
      <c r="B344" s="391"/>
      <c r="C344" s="69" t="s">
        <v>83</v>
      </c>
      <c r="D344" s="70">
        <v>15</v>
      </c>
      <c r="E344" s="146">
        <v>0.1</v>
      </c>
      <c r="F344" s="70" t="str">
        <f>IFERROR(VLOOKUP(C344,MATERIAUX!$C$3:$G$1002,3,FALSE),"")</f>
        <v>u</v>
      </c>
      <c r="G344" s="71">
        <f>IFERROR(VLOOKUP(C344,MATERIAUX!$C$3:$G$1002,5,FALSE),"")</f>
        <v>0.15257731958762888</v>
      </c>
      <c r="H344" s="71">
        <f t="shared" si="155"/>
        <v>2.52</v>
      </c>
      <c r="I344" s="394"/>
      <c r="J344" s="72"/>
      <c r="K344" s="72"/>
      <c r="L344" s="72" t="str">
        <f>IFERROR(VLOOKUP(J344,'MAIN D OEUVRE'!$A$4:$B$99,2,FALSE)*$N$2,"")</f>
        <v/>
      </c>
      <c r="M344" s="73" t="str">
        <f t="shared" si="159"/>
        <v/>
      </c>
      <c r="N344" s="397"/>
      <c r="O344">
        <f>O343</f>
        <v>0</v>
      </c>
      <c r="P344">
        <f t="shared" si="150"/>
        <v>0</v>
      </c>
      <c r="Q344">
        <f t="shared" si="151"/>
        <v>0</v>
      </c>
    </row>
    <row r="345" spans="1:17">
      <c r="A345" s="388"/>
      <c r="B345" s="391"/>
      <c r="C345" s="69"/>
      <c r="D345" s="70"/>
      <c r="E345" s="146"/>
      <c r="F345" s="70" t="str">
        <f>IFERROR(VLOOKUP(C345,MATERIAUX!$C$3:$G$1002,3,FALSE),"")</f>
        <v/>
      </c>
      <c r="G345" s="71" t="str">
        <f>IFERROR(VLOOKUP(C345,MATERIAUX!$C$3:$G$1002,5,FALSE),"")</f>
        <v/>
      </c>
      <c r="H345" s="71" t="str">
        <f t="shared" si="155"/>
        <v/>
      </c>
      <c r="I345" s="394"/>
      <c r="J345" s="72"/>
      <c r="K345" s="72"/>
      <c r="L345" s="72" t="str">
        <f>IFERROR(VLOOKUP(J345,'MAIN D OEUVRE'!$A$4:$B$99,2,FALSE)*$N$2,"")</f>
        <v/>
      </c>
      <c r="M345" s="73" t="str">
        <f t="shared" si="159"/>
        <v/>
      </c>
      <c r="N345" s="397"/>
      <c r="O345">
        <f t="shared" ref="O345:O352" si="160">O344</f>
        <v>0</v>
      </c>
      <c r="P345">
        <f t="shared" si="150"/>
        <v>0</v>
      </c>
      <c r="Q345">
        <f t="shared" si="151"/>
        <v>0</v>
      </c>
    </row>
    <row r="346" spans="1:17">
      <c r="A346" s="388"/>
      <c r="B346" s="391"/>
      <c r="C346" s="69"/>
      <c r="D346" s="70"/>
      <c r="E346" s="146"/>
      <c r="F346" s="70" t="str">
        <f>IFERROR(VLOOKUP(C346,MATERIAUX!$C$3:$G$1002,3,FALSE),"")</f>
        <v/>
      </c>
      <c r="G346" s="71" t="str">
        <f>IFERROR(VLOOKUP(C346,MATERIAUX!$C$3:$G$1002,5,FALSE),"")</f>
        <v/>
      </c>
      <c r="H346" s="71" t="str">
        <f t="shared" si="155"/>
        <v/>
      </c>
      <c r="I346" s="394"/>
      <c r="J346" s="72"/>
      <c r="K346" s="72"/>
      <c r="L346" s="72" t="str">
        <f>IFERROR(VLOOKUP(J346,'MAIN D OEUVRE'!$A$4:$B$99,2,FALSE)*$N$2,"")</f>
        <v/>
      </c>
      <c r="M346" s="73" t="str">
        <f t="shared" si="159"/>
        <v/>
      </c>
      <c r="N346" s="397"/>
      <c r="O346">
        <f t="shared" si="160"/>
        <v>0</v>
      </c>
      <c r="P346">
        <f t="shared" si="150"/>
        <v>0</v>
      </c>
      <c r="Q346">
        <f t="shared" si="151"/>
        <v>0</v>
      </c>
    </row>
    <row r="347" spans="1:17">
      <c r="A347" s="388"/>
      <c r="B347" s="391"/>
      <c r="C347" s="69"/>
      <c r="D347" s="70"/>
      <c r="E347" s="146"/>
      <c r="F347" s="70" t="str">
        <f>IFERROR(VLOOKUP(C347,MATERIAUX!$C$3:$G$1002,3,FALSE),"")</f>
        <v/>
      </c>
      <c r="G347" s="71" t="str">
        <f>IFERROR(VLOOKUP(C347,MATERIAUX!$C$3:$G$1002,5,FALSE),"")</f>
        <v/>
      </c>
      <c r="H347" s="71" t="str">
        <f t="shared" si="155"/>
        <v/>
      </c>
      <c r="I347" s="394"/>
      <c r="J347" s="72"/>
      <c r="K347" s="72"/>
      <c r="L347" s="72" t="str">
        <f>IFERROR(VLOOKUP(J347,'MAIN D OEUVRE'!$A$4:$B$99,2,FALSE)*$N$2,"")</f>
        <v/>
      </c>
      <c r="M347" s="73" t="str">
        <f t="shared" si="159"/>
        <v/>
      </c>
      <c r="N347" s="397"/>
      <c r="O347">
        <f t="shared" si="160"/>
        <v>0</v>
      </c>
      <c r="P347">
        <f t="shared" si="150"/>
        <v>0</v>
      </c>
      <c r="Q347">
        <f t="shared" si="151"/>
        <v>0</v>
      </c>
    </row>
    <row r="348" spans="1:17">
      <c r="A348" s="388"/>
      <c r="B348" s="391"/>
      <c r="C348" s="69"/>
      <c r="D348" s="70"/>
      <c r="E348" s="146"/>
      <c r="F348" s="70" t="str">
        <f>IFERROR(VLOOKUP(C348,MATERIAUX!$C$3:$G$1002,3,FALSE),"")</f>
        <v/>
      </c>
      <c r="G348" s="71" t="str">
        <f>IFERROR(VLOOKUP(C348,MATERIAUX!$C$3:$G$1002,5,FALSE),"")</f>
        <v/>
      </c>
      <c r="H348" s="71" t="str">
        <f t="shared" si="155"/>
        <v/>
      </c>
      <c r="I348" s="394"/>
      <c r="J348" s="72"/>
      <c r="K348" s="72"/>
      <c r="L348" s="72" t="str">
        <f>IFERROR(VLOOKUP(J348,'MAIN D OEUVRE'!$A$4:$B$99,2,FALSE)*$N$2,"")</f>
        <v/>
      </c>
      <c r="M348" s="73" t="str">
        <f t="shared" si="159"/>
        <v/>
      </c>
      <c r="N348" s="397"/>
      <c r="O348">
        <f t="shared" si="160"/>
        <v>0</v>
      </c>
      <c r="P348">
        <f t="shared" si="150"/>
        <v>0</v>
      </c>
      <c r="Q348">
        <f t="shared" si="151"/>
        <v>0</v>
      </c>
    </row>
    <row r="349" spans="1:17">
      <c r="A349" s="388"/>
      <c r="B349" s="391"/>
      <c r="C349" s="69"/>
      <c r="D349" s="70"/>
      <c r="E349" s="146"/>
      <c r="F349" s="70" t="str">
        <f>IFERROR(VLOOKUP(C349,MATERIAUX!$C$3:$G$1002,3,FALSE),"")</f>
        <v/>
      </c>
      <c r="G349" s="71" t="str">
        <f>IFERROR(VLOOKUP(C349,MATERIAUX!$C$3:$G$1002,5,FALSE),"")</f>
        <v/>
      </c>
      <c r="H349" s="71" t="str">
        <f t="shared" si="155"/>
        <v/>
      </c>
      <c r="I349" s="394"/>
      <c r="J349" s="72"/>
      <c r="K349" s="72"/>
      <c r="L349" s="72" t="str">
        <f>IFERROR(VLOOKUP(J349,'MAIN D OEUVRE'!$A$4:$B$99,2,FALSE)*$N$2,"")</f>
        <v/>
      </c>
      <c r="M349" s="73" t="str">
        <f t="shared" si="159"/>
        <v/>
      </c>
      <c r="N349" s="397"/>
      <c r="O349">
        <f t="shared" si="160"/>
        <v>0</v>
      </c>
      <c r="P349">
        <f t="shared" si="150"/>
        <v>0</v>
      </c>
      <c r="Q349">
        <f t="shared" si="151"/>
        <v>0</v>
      </c>
    </row>
    <row r="350" spans="1:17">
      <c r="A350" s="388"/>
      <c r="B350" s="391"/>
      <c r="C350" s="69"/>
      <c r="D350" s="70"/>
      <c r="E350" s="146"/>
      <c r="F350" s="70" t="str">
        <f>IFERROR(VLOOKUP(C350,MATERIAUX!$C$3:$G$1002,3,FALSE),"")</f>
        <v/>
      </c>
      <c r="G350" s="71" t="str">
        <f>IFERROR(VLOOKUP(C350,MATERIAUX!$C$3:$G$1002,5,FALSE),"")</f>
        <v/>
      </c>
      <c r="H350" s="71" t="str">
        <f t="shared" si="155"/>
        <v/>
      </c>
      <c r="I350" s="394"/>
      <c r="J350" s="72"/>
      <c r="K350" s="72"/>
      <c r="L350" s="72" t="str">
        <f>IFERROR(VLOOKUP(J350,'MAIN D OEUVRE'!$A$4:$B$99,2,FALSE)*$N$2,"")</f>
        <v/>
      </c>
      <c r="M350" s="73" t="str">
        <f t="shared" si="159"/>
        <v/>
      </c>
      <c r="N350" s="397"/>
      <c r="O350">
        <f t="shared" si="160"/>
        <v>0</v>
      </c>
      <c r="P350">
        <f t="shared" si="150"/>
        <v>0</v>
      </c>
      <c r="Q350">
        <f t="shared" si="151"/>
        <v>0</v>
      </c>
    </row>
    <row r="351" spans="1:17">
      <c r="A351" s="388"/>
      <c r="B351" s="391"/>
      <c r="C351" s="69"/>
      <c r="D351" s="70"/>
      <c r="E351" s="146"/>
      <c r="F351" s="70" t="str">
        <f>IFERROR(VLOOKUP(C351,MATERIAUX!$C$3:$G$1002,3,FALSE),"")</f>
        <v/>
      </c>
      <c r="G351" s="71" t="str">
        <f>IFERROR(VLOOKUP(C351,MATERIAUX!$C$3:$G$1002,5,FALSE),"")</f>
        <v/>
      </c>
      <c r="H351" s="71" t="str">
        <f t="shared" si="155"/>
        <v/>
      </c>
      <c r="I351" s="394"/>
      <c r="J351" s="72"/>
      <c r="K351" s="72"/>
      <c r="L351" s="72"/>
      <c r="M351" s="73"/>
      <c r="N351" s="397"/>
      <c r="O351">
        <f t="shared" si="160"/>
        <v>0</v>
      </c>
      <c r="P351">
        <f t="shared" si="150"/>
        <v>0</v>
      </c>
      <c r="Q351">
        <f t="shared" si="151"/>
        <v>0</v>
      </c>
    </row>
    <row r="352" spans="1:17" ht="15" thickBot="1">
      <c r="A352" s="389"/>
      <c r="B352" s="392"/>
      <c r="C352" s="74"/>
      <c r="D352" s="75"/>
      <c r="E352" s="147"/>
      <c r="F352" s="70" t="str">
        <f>IFERROR(VLOOKUP(C352,MATERIAUX!$C$3:$G$1002,3,FALSE),"")</f>
        <v/>
      </c>
      <c r="G352" s="71" t="str">
        <f>IFERROR(VLOOKUP(C352,MATERIAUX!$C$3:$G$1002,5,FALSE),"")</f>
        <v/>
      </c>
      <c r="H352" s="76" t="str">
        <f t="shared" si="155"/>
        <v/>
      </c>
      <c r="I352" s="395"/>
      <c r="J352" s="77"/>
      <c r="K352" s="77"/>
      <c r="L352" s="77"/>
      <c r="M352" s="78"/>
      <c r="N352" s="398"/>
      <c r="O352">
        <f t="shared" si="160"/>
        <v>0</v>
      </c>
      <c r="P352">
        <f t="shared" si="150"/>
        <v>0</v>
      </c>
      <c r="Q352">
        <f t="shared" si="151"/>
        <v>0</v>
      </c>
    </row>
    <row r="353" spans="1:17">
      <c r="A353" s="402" t="s">
        <v>2</v>
      </c>
      <c r="B353" s="390" t="s">
        <v>21</v>
      </c>
      <c r="C353" s="64" t="s">
        <v>99</v>
      </c>
      <c r="D353" s="65">
        <v>1.0249999999999999</v>
      </c>
      <c r="E353" s="145">
        <v>0.1</v>
      </c>
      <c r="F353" s="65" t="str">
        <f>IFERROR(VLOOKUP(C353,MATERIAUX!$C$3:$G$1002,3,FALSE),"")</f>
        <v>m2</v>
      </c>
      <c r="G353" s="66">
        <f>IFERROR(VLOOKUP(C353,MATERIAUX!$C$3:$G$1002,5,FALSE),"")</f>
        <v>4.3690721649484541</v>
      </c>
      <c r="H353" s="66">
        <f t="shared" si="155"/>
        <v>4.93</v>
      </c>
      <c r="I353" s="393">
        <f>SUM(H353:H362)</f>
        <v>7.4499999999999993</v>
      </c>
      <c r="J353" s="67" t="s">
        <v>60</v>
      </c>
      <c r="K353" s="67">
        <v>1</v>
      </c>
      <c r="L353" s="67">
        <f>IFERROR(VLOOKUP(J353,'MAIN D OEUVRE'!$A$4:$B$99,2,FALSE)*$N$2,"")</f>
        <v>0.82500000000000007</v>
      </c>
      <c r="M353" s="68">
        <f t="shared" si="9"/>
        <v>0.83</v>
      </c>
      <c r="N353" s="396">
        <f>SUM(M353:M362)</f>
        <v>0.83</v>
      </c>
      <c r="O353" s="350">
        <v>455</v>
      </c>
      <c r="P353">
        <f t="shared" si="150"/>
        <v>513.01249999999993</v>
      </c>
      <c r="Q353">
        <f t="shared" si="151"/>
        <v>2241.3886340206186</v>
      </c>
    </row>
    <row r="354" spans="1:17">
      <c r="A354" s="403"/>
      <c r="B354" s="391"/>
      <c r="C354" s="69" t="s">
        <v>83</v>
      </c>
      <c r="D354" s="70">
        <v>15</v>
      </c>
      <c r="E354" s="146">
        <v>0.1</v>
      </c>
      <c r="F354" s="70" t="str">
        <f>IFERROR(VLOOKUP(C354,MATERIAUX!$C$3:$G$1002,3,FALSE),"")</f>
        <v>u</v>
      </c>
      <c r="G354" s="71">
        <f>IFERROR(VLOOKUP(C354,MATERIAUX!$C$3:$G$1002,5,FALSE),"")</f>
        <v>0.15257731958762888</v>
      </c>
      <c r="H354" s="71">
        <f t="shared" si="155"/>
        <v>2.52</v>
      </c>
      <c r="I354" s="394"/>
      <c r="J354" s="72"/>
      <c r="K354" s="72"/>
      <c r="L354" s="72" t="str">
        <f>IFERROR(VLOOKUP(J354,'MAIN D OEUVRE'!$A$4:$B$99,2,FALSE)*$N$2,"")</f>
        <v/>
      </c>
      <c r="M354" s="73" t="str">
        <f t="shared" si="9"/>
        <v/>
      </c>
      <c r="N354" s="397"/>
      <c r="O354">
        <f>O353</f>
        <v>455</v>
      </c>
      <c r="P354">
        <f t="shared" si="150"/>
        <v>7507.5</v>
      </c>
      <c r="Q354">
        <f t="shared" si="151"/>
        <v>1145.4742268041239</v>
      </c>
    </row>
    <row r="355" spans="1:17">
      <c r="A355" s="403"/>
      <c r="B355" s="391"/>
      <c r="C355" s="69"/>
      <c r="D355" s="70"/>
      <c r="E355" s="146"/>
      <c r="F355" s="70" t="str">
        <f>IFERROR(VLOOKUP(C355,MATERIAUX!$C$3:$G$1002,3,FALSE),"")</f>
        <v/>
      </c>
      <c r="G355" s="71" t="str">
        <f>IFERROR(VLOOKUP(C355,MATERIAUX!$C$3:$G$1002,5,FALSE),"")</f>
        <v/>
      </c>
      <c r="H355" s="71" t="str">
        <f t="shared" si="155"/>
        <v/>
      </c>
      <c r="I355" s="394"/>
      <c r="J355" s="72"/>
      <c r="K355" s="72"/>
      <c r="L355" s="72" t="str">
        <f>IFERROR(VLOOKUP(J355,'MAIN D OEUVRE'!$A$4:$B$99,2,FALSE)*$N$2,"")</f>
        <v/>
      </c>
      <c r="M355" s="73" t="str">
        <f t="shared" si="9"/>
        <v/>
      </c>
      <c r="N355" s="397"/>
      <c r="O355">
        <f t="shared" ref="O355:O362" si="161">O354</f>
        <v>455</v>
      </c>
      <c r="P355">
        <f t="shared" si="150"/>
        <v>0</v>
      </c>
      <c r="Q355">
        <f t="shared" si="151"/>
        <v>0</v>
      </c>
    </row>
    <row r="356" spans="1:17">
      <c r="A356" s="403"/>
      <c r="B356" s="391"/>
      <c r="C356" s="69"/>
      <c r="D356" s="70"/>
      <c r="E356" s="146"/>
      <c r="F356" s="70" t="str">
        <f>IFERROR(VLOOKUP(C356,MATERIAUX!$C$3:$G$1002,3,FALSE),"")</f>
        <v/>
      </c>
      <c r="G356" s="71" t="str">
        <f>IFERROR(VLOOKUP(C356,MATERIAUX!$C$3:$G$1002,5,FALSE),"")</f>
        <v/>
      </c>
      <c r="H356" s="71" t="str">
        <f t="shared" si="155"/>
        <v/>
      </c>
      <c r="I356" s="394"/>
      <c r="J356" s="72"/>
      <c r="K356" s="72"/>
      <c r="L356" s="72" t="str">
        <f>IFERROR(VLOOKUP(J356,'MAIN D OEUVRE'!$A$4:$B$99,2,FALSE)*$N$2,"")</f>
        <v/>
      </c>
      <c r="M356" s="73" t="str">
        <f t="shared" si="9"/>
        <v/>
      </c>
      <c r="N356" s="397"/>
      <c r="O356">
        <f t="shared" si="161"/>
        <v>455</v>
      </c>
      <c r="P356">
        <f t="shared" si="150"/>
        <v>0</v>
      </c>
      <c r="Q356">
        <f t="shared" si="151"/>
        <v>0</v>
      </c>
    </row>
    <row r="357" spans="1:17">
      <c r="A357" s="403"/>
      <c r="B357" s="391"/>
      <c r="C357" s="69"/>
      <c r="D357" s="70"/>
      <c r="E357" s="146"/>
      <c r="F357" s="70" t="str">
        <f>IFERROR(VLOOKUP(C357,MATERIAUX!$C$3:$G$1002,3,FALSE),"")</f>
        <v/>
      </c>
      <c r="G357" s="71" t="str">
        <f>IFERROR(VLOOKUP(C357,MATERIAUX!$C$3:$G$1002,5,FALSE),"")</f>
        <v/>
      </c>
      <c r="H357" s="71" t="str">
        <f t="shared" si="155"/>
        <v/>
      </c>
      <c r="I357" s="394"/>
      <c r="J357" s="72"/>
      <c r="K357" s="72"/>
      <c r="L357" s="72" t="str">
        <f>IFERROR(VLOOKUP(J357,'MAIN D OEUVRE'!$A$4:$B$99,2,FALSE)*$N$2,"")</f>
        <v/>
      </c>
      <c r="M357" s="73" t="str">
        <f t="shared" si="9"/>
        <v/>
      </c>
      <c r="N357" s="397"/>
      <c r="O357">
        <f t="shared" si="161"/>
        <v>455</v>
      </c>
      <c r="P357">
        <f t="shared" si="150"/>
        <v>0</v>
      </c>
      <c r="Q357">
        <f t="shared" si="151"/>
        <v>0</v>
      </c>
    </row>
    <row r="358" spans="1:17">
      <c r="A358" s="403"/>
      <c r="B358" s="391"/>
      <c r="C358" s="69"/>
      <c r="D358" s="70"/>
      <c r="E358" s="146"/>
      <c r="F358" s="70" t="str">
        <f>IFERROR(VLOOKUP(C358,MATERIAUX!$C$3:$G$1002,3,FALSE),"")</f>
        <v/>
      </c>
      <c r="G358" s="71" t="str">
        <f>IFERROR(VLOOKUP(C358,MATERIAUX!$C$3:$G$1002,5,FALSE),"")</f>
        <v/>
      </c>
      <c r="H358" s="71" t="str">
        <f t="shared" si="155"/>
        <v/>
      </c>
      <c r="I358" s="394"/>
      <c r="J358" s="72"/>
      <c r="K358" s="72"/>
      <c r="L358" s="72" t="str">
        <f>IFERROR(VLOOKUP(J358,'MAIN D OEUVRE'!$A$4:$B$99,2,FALSE)*$N$2,"")</f>
        <v/>
      </c>
      <c r="M358" s="73" t="str">
        <f t="shared" si="9"/>
        <v/>
      </c>
      <c r="N358" s="397"/>
      <c r="O358">
        <f t="shared" si="161"/>
        <v>455</v>
      </c>
      <c r="P358">
        <f t="shared" si="150"/>
        <v>0</v>
      </c>
      <c r="Q358">
        <f t="shared" si="151"/>
        <v>0</v>
      </c>
    </row>
    <row r="359" spans="1:17">
      <c r="A359" s="403"/>
      <c r="B359" s="391"/>
      <c r="C359" s="69"/>
      <c r="D359" s="70"/>
      <c r="E359" s="146"/>
      <c r="F359" s="70" t="str">
        <f>IFERROR(VLOOKUP(C359,MATERIAUX!$C$3:$G$1002,3,FALSE),"")</f>
        <v/>
      </c>
      <c r="G359" s="71" t="str">
        <f>IFERROR(VLOOKUP(C359,MATERIAUX!$C$3:$G$1002,5,FALSE),"")</f>
        <v/>
      </c>
      <c r="H359" s="71" t="str">
        <f t="shared" si="155"/>
        <v/>
      </c>
      <c r="I359" s="394"/>
      <c r="J359" s="72"/>
      <c r="K359" s="72"/>
      <c r="L359" s="72" t="str">
        <f>IFERROR(VLOOKUP(J359,'MAIN D OEUVRE'!$A$4:$B$99,2,FALSE)*$N$2,"")</f>
        <v/>
      </c>
      <c r="M359" s="73" t="str">
        <f t="shared" si="9"/>
        <v/>
      </c>
      <c r="N359" s="397"/>
      <c r="O359">
        <f t="shared" si="161"/>
        <v>455</v>
      </c>
      <c r="P359">
        <f t="shared" si="150"/>
        <v>0</v>
      </c>
      <c r="Q359">
        <f t="shared" si="151"/>
        <v>0</v>
      </c>
    </row>
    <row r="360" spans="1:17">
      <c r="A360" s="403"/>
      <c r="B360" s="391"/>
      <c r="C360" s="69"/>
      <c r="D360" s="70"/>
      <c r="E360" s="146"/>
      <c r="F360" s="70" t="str">
        <f>IFERROR(VLOOKUP(C360,MATERIAUX!$C$3:$G$1002,3,FALSE),"")</f>
        <v/>
      </c>
      <c r="G360" s="71" t="str">
        <f>IFERROR(VLOOKUP(C360,MATERIAUX!$C$3:$G$1002,5,FALSE),"")</f>
        <v/>
      </c>
      <c r="H360" s="71" t="str">
        <f t="shared" si="155"/>
        <v/>
      </c>
      <c r="I360" s="394"/>
      <c r="J360" s="72"/>
      <c r="K360" s="72"/>
      <c r="L360" s="72" t="str">
        <f>IFERROR(VLOOKUP(J360,'MAIN D OEUVRE'!$A$4:$B$99,2,FALSE)*$N$2,"")</f>
        <v/>
      </c>
      <c r="M360" s="73" t="str">
        <f t="shared" si="9"/>
        <v/>
      </c>
      <c r="N360" s="397"/>
      <c r="O360">
        <f t="shared" si="161"/>
        <v>455</v>
      </c>
      <c r="P360">
        <f t="shared" si="150"/>
        <v>0</v>
      </c>
      <c r="Q360">
        <f t="shared" si="151"/>
        <v>0</v>
      </c>
    </row>
    <row r="361" spans="1:17">
      <c r="A361" s="403"/>
      <c r="B361" s="391"/>
      <c r="C361" s="69"/>
      <c r="D361" s="70"/>
      <c r="E361" s="146"/>
      <c r="F361" s="70" t="str">
        <f>IFERROR(VLOOKUP(C361,MATERIAUX!$C$3:$G$1002,3,FALSE),"")</f>
        <v/>
      </c>
      <c r="G361" s="71" t="str">
        <f>IFERROR(VLOOKUP(C361,MATERIAUX!$C$3:$G$1002,5,FALSE),"")</f>
        <v/>
      </c>
      <c r="H361" s="71" t="str">
        <f t="shared" si="155"/>
        <v/>
      </c>
      <c r="I361" s="394"/>
      <c r="J361" s="72"/>
      <c r="K361" s="72"/>
      <c r="L361" s="72"/>
      <c r="M361" s="73"/>
      <c r="N361" s="397"/>
      <c r="O361">
        <f t="shared" si="161"/>
        <v>455</v>
      </c>
      <c r="P361">
        <f t="shared" si="150"/>
        <v>0</v>
      </c>
      <c r="Q361">
        <f t="shared" si="151"/>
        <v>0</v>
      </c>
    </row>
    <row r="362" spans="1:17" ht="15" thickBot="1">
      <c r="A362" s="404"/>
      <c r="B362" s="392"/>
      <c r="C362" s="74"/>
      <c r="D362" s="75"/>
      <c r="E362" s="147"/>
      <c r="F362" s="70" t="str">
        <f>IFERROR(VLOOKUP(C362,MATERIAUX!$C$3:$G$1002,3,FALSE),"")</f>
        <v/>
      </c>
      <c r="G362" s="71" t="str">
        <f>IFERROR(VLOOKUP(C362,MATERIAUX!$C$3:$G$1002,5,FALSE),"")</f>
        <v/>
      </c>
      <c r="H362" s="76" t="str">
        <f t="shared" si="155"/>
        <v/>
      </c>
      <c r="I362" s="395"/>
      <c r="J362" s="77"/>
      <c r="K362" s="77"/>
      <c r="L362" s="77"/>
      <c r="M362" s="78"/>
      <c r="N362" s="398"/>
      <c r="O362">
        <f t="shared" si="161"/>
        <v>455</v>
      </c>
      <c r="P362">
        <f t="shared" si="150"/>
        <v>0</v>
      </c>
      <c r="Q362">
        <f t="shared" si="151"/>
        <v>0</v>
      </c>
    </row>
    <row r="363" spans="1:17">
      <c r="A363" s="387" t="s">
        <v>3</v>
      </c>
      <c r="B363" s="390" t="s">
        <v>21</v>
      </c>
      <c r="C363" s="64" t="s">
        <v>100</v>
      </c>
      <c r="D363" s="65">
        <v>1.0249999999999999</v>
      </c>
      <c r="E363" s="145">
        <v>0.1</v>
      </c>
      <c r="F363" s="65" t="str">
        <f>IFERROR(VLOOKUP(C363,MATERIAUX!$C$3:$G$1002,3,FALSE),"")</f>
        <v>m2</v>
      </c>
      <c r="G363" s="66">
        <f>IFERROR(VLOOKUP(C363,MATERIAUX!$C$3:$G$1002,5,FALSE),"")</f>
        <v>4.268041237113402</v>
      </c>
      <c r="H363" s="66">
        <f t="shared" si="155"/>
        <v>4.8099999999999996</v>
      </c>
      <c r="I363" s="393">
        <f>SUM(H363:H372)</f>
        <v>11.02</v>
      </c>
      <c r="J363" s="67" t="s">
        <v>60</v>
      </c>
      <c r="K363" s="67">
        <v>1</v>
      </c>
      <c r="L363" s="67">
        <f>IFERROR(VLOOKUP(J363,'MAIN D OEUVRE'!$A$4:$B$99,2,FALSE)*$N$2,"")</f>
        <v>0.82500000000000007</v>
      </c>
      <c r="M363" s="68">
        <f t="shared" ref="M363:M370" si="162">IFERROR(ROUND(L363*K363,2),"")</f>
        <v>0.83</v>
      </c>
      <c r="N363" s="396">
        <f>SUM(M363:M372)</f>
        <v>0.83</v>
      </c>
      <c r="O363" s="350">
        <v>0</v>
      </c>
      <c r="P363">
        <f t="shared" si="150"/>
        <v>0</v>
      </c>
      <c r="Q363">
        <f t="shared" si="151"/>
        <v>0</v>
      </c>
    </row>
    <row r="364" spans="1:17">
      <c r="A364" s="388"/>
      <c r="B364" s="391"/>
      <c r="C364" s="69" t="s">
        <v>83</v>
      </c>
      <c r="D364" s="70">
        <v>37</v>
      </c>
      <c r="E364" s="146">
        <v>0.1</v>
      </c>
      <c r="F364" s="70" t="str">
        <f>IFERROR(VLOOKUP(C364,MATERIAUX!$C$3:$G$1002,3,FALSE),"")</f>
        <v>u</v>
      </c>
      <c r="G364" s="71">
        <f>IFERROR(VLOOKUP(C364,MATERIAUX!$C$3:$G$1002,5,FALSE),"")</f>
        <v>0.15257731958762888</v>
      </c>
      <c r="H364" s="71">
        <f t="shared" si="155"/>
        <v>6.21</v>
      </c>
      <c r="I364" s="394"/>
      <c r="J364" s="72"/>
      <c r="K364" s="72"/>
      <c r="L364" s="72" t="str">
        <f>IFERROR(VLOOKUP(J364,'MAIN D OEUVRE'!$A$4:$B$99,2,FALSE)*$N$2,"")</f>
        <v/>
      </c>
      <c r="M364" s="73" t="str">
        <f t="shared" si="162"/>
        <v/>
      </c>
      <c r="N364" s="397"/>
      <c r="O364">
        <f>O363</f>
        <v>0</v>
      </c>
      <c r="P364">
        <f t="shared" si="150"/>
        <v>0</v>
      </c>
      <c r="Q364">
        <f t="shared" si="151"/>
        <v>0</v>
      </c>
    </row>
    <row r="365" spans="1:17">
      <c r="A365" s="388"/>
      <c r="B365" s="391"/>
      <c r="C365" s="69"/>
      <c r="D365" s="70"/>
      <c r="E365" s="146"/>
      <c r="F365" s="70" t="str">
        <f>IFERROR(VLOOKUP(C365,MATERIAUX!$C$3:$G$1002,3,FALSE),"")</f>
        <v/>
      </c>
      <c r="G365" s="71" t="str">
        <f>IFERROR(VLOOKUP(C365,MATERIAUX!$C$3:$G$1002,5,FALSE),"")</f>
        <v/>
      </c>
      <c r="H365" s="71" t="str">
        <f t="shared" si="155"/>
        <v/>
      </c>
      <c r="I365" s="394"/>
      <c r="J365" s="72"/>
      <c r="K365" s="72"/>
      <c r="L365" s="72" t="str">
        <f>IFERROR(VLOOKUP(J365,'MAIN D OEUVRE'!$A$4:$B$99,2,FALSE)*$N$2,"")</f>
        <v/>
      </c>
      <c r="M365" s="73" t="str">
        <f t="shared" si="162"/>
        <v/>
      </c>
      <c r="N365" s="397"/>
      <c r="O365">
        <f t="shared" ref="O365:O372" si="163">O364</f>
        <v>0</v>
      </c>
      <c r="P365">
        <f t="shared" si="150"/>
        <v>0</v>
      </c>
      <c r="Q365">
        <f t="shared" si="151"/>
        <v>0</v>
      </c>
    </row>
    <row r="366" spans="1:17">
      <c r="A366" s="388"/>
      <c r="B366" s="391"/>
      <c r="C366" s="69"/>
      <c r="D366" s="70"/>
      <c r="E366" s="146"/>
      <c r="F366" s="70" t="str">
        <f>IFERROR(VLOOKUP(C366,MATERIAUX!$C$3:$G$1002,3,FALSE),"")</f>
        <v/>
      </c>
      <c r="G366" s="71" t="str">
        <f>IFERROR(VLOOKUP(C366,MATERIAUX!$C$3:$G$1002,5,FALSE),"")</f>
        <v/>
      </c>
      <c r="H366" s="71" t="str">
        <f t="shared" si="155"/>
        <v/>
      </c>
      <c r="I366" s="394"/>
      <c r="J366" s="72"/>
      <c r="K366" s="72"/>
      <c r="L366" s="72" t="str">
        <f>IFERROR(VLOOKUP(J366,'MAIN D OEUVRE'!$A$4:$B$99,2,FALSE)*$N$2,"")</f>
        <v/>
      </c>
      <c r="M366" s="73" t="str">
        <f t="shared" si="162"/>
        <v/>
      </c>
      <c r="N366" s="397"/>
      <c r="O366">
        <f t="shared" si="163"/>
        <v>0</v>
      </c>
      <c r="P366">
        <f t="shared" si="150"/>
        <v>0</v>
      </c>
      <c r="Q366">
        <f t="shared" si="151"/>
        <v>0</v>
      </c>
    </row>
    <row r="367" spans="1:17">
      <c r="A367" s="388"/>
      <c r="B367" s="391"/>
      <c r="C367" s="69"/>
      <c r="D367" s="70"/>
      <c r="E367" s="146"/>
      <c r="F367" s="70" t="str">
        <f>IFERROR(VLOOKUP(C367,MATERIAUX!$C$3:$G$1002,3,FALSE),"")</f>
        <v/>
      </c>
      <c r="G367" s="71" t="str">
        <f>IFERROR(VLOOKUP(C367,MATERIAUX!$C$3:$G$1002,5,FALSE),"")</f>
        <v/>
      </c>
      <c r="H367" s="71" t="str">
        <f t="shared" si="155"/>
        <v/>
      </c>
      <c r="I367" s="394"/>
      <c r="J367" s="72"/>
      <c r="K367" s="72"/>
      <c r="L367" s="72" t="str">
        <f>IFERROR(VLOOKUP(J367,'MAIN D OEUVRE'!$A$4:$B$99,2,FALSE)*$N$2,"")</f>
        <v/>
      </c>
      <c r="M367" s="73" t="str">
        <f t="shared" si="162"/>
        <v/>
      </c>
      <c r="N367" s="397"/>
      <c r="O367">
        <f t="shared" si="163"/>
        <v>0</v>
      </c>
      <c r="P367">
        <f t="shared" ref="P367:P430" si="164">(D367+D367*E367)*O367</f>
        <v>0</v>
      </c>
      <c r="Q367">
        <f t="shared" ref="Q367:Q430" si="165">IF(P367=0,0,P367*G367)</f>
        <v>0</v>
      </c>
    </row>
    <row r="368" spans="1:17">
      <c r="A368" s="388"/>
      <c r="B368" s="391"/>
      <c r="C368" s="69"/>
      <c r="D368" s="70"/>
      <c r="E368" s="146"/>
      <c r="F368" s="70" t="str">
        <f>IFERROR(VLOOKUP(C368,MATERIAUX!$C$3:$G$1002,3,FALSE),"")</f>
        <v/>
      </c>
      <c r="G368" s="71" t="str">
        <f>IFERROR(VLOOKUP(C368,MATERIAUX!$C$3:$G$1002,5,FALSE),"")</f>
        <v/>
      </c>
      <c r="H368" s="71" t="str">
        <f t="shared" si="155"/>
        <v/>
      </c>
      <c r="I368" s="394"/>
      <c r="J368" s="72"/>
      <c r="K368" s="72"/>
      <c r="L368" s="72" t="str">
        <f>IFERROR(VLOOKUP(J368,'MAIN D OEUVRE'!$A$4:$B$99,2,FALSE)*$N$2,"")</f>
        <v/>
      </c>
      <c r="M368" s="73" t="str">
        <f t="shared" si="162"/>
        <v/>
      </c>
      <c r="N368" s="397"/>
      <c r="O368">
        <f t="shared" si="163"/>
        <v>0</v>
      </c>
      <c r="P368">
        <f t="shared" si="164"/>
        <v>0</v>
      </c>
      <c r="Q368">
        <f t="shared" si="165"/>
        <v>0</v>
      </c>
    </row>
    <row r="369" spans="1:17">
      <c r="A369" s="388"/>
      <c r="B369" s="391"/>
      <c r="C369" s="69"/>
      <c r="D369" s="70"/>
      <c r="E369" s="146"/>
      <c r="F369" s="70" t="str">
        <f>IFERROR(VLOOKUP(C369,MATERIAUX!$C$3:$G$1002,3,FALSE),"")</f>
        <v/>
      </c>
      <c r="G369" s="71" t="str">
        <f>IFERROR(VLOOKUP(C369,MATERIAUX!$C$3:$G$1002,5,FALSE),"")</f>
        <v/>
      </c>
      <c r="H369" s="71" t="str">
        <f t="shared" si="155"/>
        <v/>
      </c>
      <c r="I369" s="394"/>
      <c r="J369" s="72"/>
      <c r="K369" s="72"/>
      <c r="L369" s="72" t="str">
        <f>IFERROR(VLOOKUP(J369,'MAIN D OEUVRE'!$A$4:$B$99,2,FALSE)*$N$2,"")</f>
        <v/>
      </c>
      <c r="M369" s="73" t="str">
        <f t="shared" si="162"/>
        <v/>
      </c>
      <c r="N369" s="397"/>
      <c r="O369">
        <f t="shared" si="163"/>
        <v>0</v>
      </c>
      <c r="P369">
        <f t="shared" si="164"/>
        <v>0</v>
      </c>
      <c r="Q369">
        <f t="shared" si="165"/>
        <v>0</v>
      </c>
    </row>
    <row r="370" spans="1:17">
      <c r="A370" s="388"/>
      <c r="B370" s="391"/>
      <c r="C370" s="69"/>
      <c r="D370" s="70"/>
      <c r="E370" s="146"/>
      <c r="F370" s="70" t="str">
        <f>IFERROR(VLOOKUP(C370,MATERIAUX!$C$3:$G$1002,3,FALSE),"")</f>
        <v/>
      </c>
      <c r="G370" s="71" t="str">
        <f>IFERROR(VLOOKUP(C370,MATERIAUX!$C$3:$G$1002,5,FALSE),"")</f>
        <v/>
      </c>
      <c r="H370" s="71" t="str">
        <f t="shared" si="155"/>
        <v/>
      </c>
      <c r="I370" s="394"/>
      <c r="J370" s="72"/>
      <c r="K370" s="72"/>
      <c r="L370" s="72" t="str">
        <f>IFERROR(VLOOKUP(J370,'MAIN D OEUVRE'!$A$4:$B$99,2,FALSE)*$N$2,"")</f>
        <v/>
      </c>
      <c r="M370" s="73" t="str">
        <f t="shared" si="162"/>
        <v/>
      </c>
      <c r="N370" s="397"/>
      <c r="O370">
        <f t="shared" si="163"/>
        <v>0</v>
      </c>
      <c r="P370">
        <f t="shared" si="164"/>
        <v>0</v>
      </c>
      <c r="Q370">
        <f t="shared" si="165"/>
        <v>0</v>
      </c>
    </row>
    <row r="371" spans="1:17">
      <c r="A371" s="388"/>
      <c r="B371" s="391"/>
      <c r="C371" s="69"/>
      <c r="D371" s="70"/>
      <c r="E371" s="146"/>
      <c r="F371" s="70" t="str">
        <f>IFERROR(VLOOKUP(C371,MATERIAUX!$C$3:$G$1002,3,FALSE),"")</f>
        <v/>
      </c>
      <c r="G371" s="71" t="str">
        <f>IFERROR(VLOOKUP(C371,MATERIAUX!$C$3:$G$1002,5,FALSE),"")</f>
        <v/>
      </c>
      <c r="H371" s="71" t="str">
        <f t="shared" si="155"/>
        <v/>
      </c>
      <c r="I371" s="394"/>
      <c r="J371" s="72"/>
      <c r="K371" s="72"/>
      <c r="L371" s="72"/>
      <c r="M371" s="73"/>
      <c r="N371" s="397"/>
      <c r="O371">
        <f t="shared" si="163"/>
        <v>0</v>
      </c>
      <c r="P371">
        <f t="shared" si="164"/>
        <v>0</v>
      </c>
      <c r="Q371">
        <f t="shared" si="165"/>
        <v>0</v>
      </c>
    </row>
    <row r="372" spans="1:17" ht="15" thickBot="1">
      <c r="A372" s="389"/>
      <c r="B372" s="392"/>
      <c r="C372" s="74"/>
      <c r="D372" s="75"/>
      <c r="E372" s="147"/>
      <c r="F372" s="70" t="str">
        <f>IFERROR(VLOOKUP(C372,MATERIAUX!$C$3:$G$1002,3,FALSE),"")</f>
        <v/>
      </c>
      <c r="G372" s="71" t="str">
        <f>IFERROR(VLOOKUP(C372,MATERIAUX!$C$3:$G$1002,5,FALSE),"")</f>
        <v/>
      </c>
      <c r="H372" s="76" t="str">
        <f t="shared" si="155"/>
        <v/>
      </c>
      <c r="I372" s="395"/>
      <c r="J372" s="77"/>
      <c r="K372" s="77"/>
      <c r="L372" s="77"/>
      <c r="M372" s="78"/>
      <c r="N372" s="398"/>
      <c r="O372">
        <f t="shared" si="163"/>
        <v>0</v>
      </c>
      <c r="P372">
        <f t="shared" si="164"/>
        <v>0</v>
      </c>
      <c r="Q372">
        <f t="shared" si="165"/>
        <v>0</v>
      </c>
    </row>
    <row r="373" spans="1:17">
      <c r="A373" s="387" t="s">
        <v>5</v>
      </c>
      <c r="B373" s="390" t="s">
        <v>21</v>
      </c>
      <c r="C373" s="64" t="s">
        <v>100</v>
      </c>
      <c r="D373" s="65">
        <v>1.0249999999999999</v>
      </c>
      <c r="E373" s="145">
        <v>0.1</v>
      </c>
      <c r="F373" s="65" t="str">
        <f>IFERROR(VLOOKUP(C373,MATERIAUX!$C$3:$G$1002,3,FALSE),"")</f>
        <v>m2</v>
      </c>
      <c r="G373" s="66">
        <f>IFERROR(VLOOKUP(C373,MATERIAUX!$C$3:$G$1002,5,FALSE),"")</f>
        <v>4.268041237113402</v>
      </c>
      <c r="H373" s="66">
        <f t="shared" si="155"/>
        <v>4.8099999999999996</v>
      </c>
      <c r="I373" s="393">
        <f>SUM(H373:H382)</f>
        <v>8.58</v>
      </c>
      <c r="J373" s="67" t="s">
        <v>60</v>
      </c>
      <c r="K373" s="67">
        <v>1</v>
      </c>
      <c r="L373" s="67">
        <f>IFERROR(VLOOKUP(J373,'MAIN D OEUVRE'!$A$4:$B$99,2,FALSE)*$N$2,"")</f>
        <v>0.82500000000000007</v>
      </c>
      <c r="M373" s="68">
        <f t="shared" ref="M373:M380" si="166">IFERROR(ROUND(L373*K373,2),"")</f>
        <v>0.83</v>
      </c>
      <c r="N373" s="396">
        <f>SUM(M373:M382)</f>
        <v>0.83</v>
      </c>
      <c r="O373" s="350">
        <v>0</v>
      </c>
      <c r="P373">
        <f t="shared" si="164"/>
        <v>0</v>
      </c>
      <c r="Q373">
        <f t="shared" si="165"/>
        <v>0</v>
      </c>
    </row>
    <row r="374" spans="1:17">
      <c r="A374" s="388"/>
      <c r="B374" s="391"/>
      <c r="C374" s="69" t="s">
        <v>87</v>
      </c>
      <c r="D374" s="70">
        <v>0.2</v>
      </c>
      <c r="E374" s="146">
        <v>0</v>
      </c>
      <c r="F374" s="70" t="str">
        <f>IFERROR(VLOOKUP(C374,MATERIAUX!$C$3:$G$1002,3,FALSE),"")</f>
        <v>boite</v>
      </c>
      <c r="G374" s="71">
        <f>IFERROR(VLOOKUP(C374,MATERIAUX!$C$3:$G$1002,5,FALSE),"")</f>
        <v>6.6020618556701045</v>
      </c>
      <c r="H374" s="71">
        <f t="shared" si="155"/>
        <v>1.32</v>
      </c>
      <c r="I374" s="394"/>
      <c r="J374" s="72"/>
      <c r="K374" s="72"/>
      <c r="L374" s="72" t="str">
        <f>IFERROR(VLOOKUP(J374,'MAIN D OEUVRE'!$A$4:$B$99,2,FALSE)*$N$2,"")</f>
        <v/>
      </c>
      <c r="M374" s="73" t="str">
        <f t="shared" si="166"/>
        <v/>
      </c>
      <c r="N374" s="397"/>
      <c r="O374">
        <f>O373</f>
        <v>0</v>
      </c>
      <c r="P374">
        <f t="shared" si="164"/>
        <v>0</v>
      </c>
      <c r="Q374">
        <f t="shared" si="165"/>
        <v>0</v>
      </c>
    </row>
    <row r="375" spans="1:17">
      <c r="A375" s="388"/>
      <c r="B375" s="391"/>
      <c r="C375" s="69" t="s">
        <v>88</v>
      </c>
      <c r="D375" s="70">
        <v>0.02</v>
      </c>
      <c r="E375" s="146">
        <v>0</v>
      </c>
      <c r="F375" s="70" t="str">
        <f>IFERROR(VLOOKUP(C375,MATERIAUX!$C$3:$G$1002,3,FALSE),"")</f>
        <v>boite</v>
      </c>
      <c r="G375" s="71">
        <f>IFERROR(VLOOKUP(C375,MATERIAUX!$C$3:$G$1002,5,FALSE),"")</f>
        <v>8.169072164948453</v>
      </c>
      <c r="H375" s="71">
        <f t="shared" si="155"/>
        <v>0.16</v>
      </c>
      <c r="I375" s="394"/>
      <c r="J375" s="72"/>
      <c r="K375" s="72"/>
      <c r="L375" s="72" t="str">
        <f>IFERROR(VLOOKUP(J375,'MAIN D OEUVRE'!$A$4:$B$99,2,FALSE)*$N$2,"")</f>
        <v/>
      </c>
      <c r="M375" s="73" t="str">
        <f t="shared" si="166"/>
        <v/>
      </c>
      <c r="N375" s="397"/>
      <c r="O375">
        <f t="shared" ref="O375:O382" si="167">O374</f>
        <v>0</v>
      </c>
      <c r="P375">
        <f t="shared" si="164"/>
        <v>0</v>
      </c>
      <c r="Q375">
        <f t="shared" si="165"/>
        <v>0</v>
      </c>
    </row>
    <row r="376" spans="1:17">
      <c r="A376" s="388"/>
      <c r="B376" s="391"/>
      <c r="C376" s="69" t="s">
        <v>83</v>
      </c>
      <c r="D376" s="70">
        <v>15</v>
      </c>
      <c r="E376" s="146">
        <v>0</v>
      </c>
      <c r="F376" s="70" t="str">
        <f>IFERROR(VLOOKUP(C376,MATERIAUX!$C$3:$G$1002,3,FALSE),"")</f>
        <v>u</v>
      </c>
      <c r="G376" s="71">
        <f>IFERROR(VLOOKUP(C376,MATERIAUX!$C$3:$G$1002,5,FALSE),"")</f>
        <v>0.15257731958762888</v>
      </c>
      <c r="H376" s="71">
        <f t="shared" si="155"/>
        <v>2.29</v>
      </c>
      <c r="I376" s="394"/>
      <c r="J376" s="72"/>
      <c r="K376" s="72"/>
      <c r="L376" s="72" t="str">
        <f>IFERROR(VLOOKUP(J376,'MAIN D OEUVRE'!$A$4:$B$99,2,FALSE)*$N$2,"")</f>
        <v/>
      </c>
      <c r="M376" s="73" t="str">
        <f t="shared" si="166"/>
        <v/>
      </c>
      <c r="N376" s="397"/>
      <c r="O376">
        <f t="shared" si="167"/>
        <v>0</v>
      </c>
      <c r="P376">
        <f t="shared" si="164"/>
        <v>0</v>
      </c>
      <c r="Q376">
        <f t="shared" si="165"/>
        <v>0</v>
      </c>
    </row>
    <row r="377" spans="1:17">
      <c r="A377" s="388"/>
      <c r="B377" s="391"/>
      <c r="C377" s="69"/>
      <c r="D377" s="70"/>
      <c r="E377" s="146"/>
      <c r="F377" s="70" t="str">
        <f>IFERROR(VLOOKUP(C377,MATERIAUX!$C$3:$G$1002,3,FALSE),"")</f>
        <v/>
      </c>
      <c r="G377" s="71" t="str">
        <f>IFERROR(VLOOKUP(C377,MATERIAUX!$C$3:$G$1002,5,FALSE),"")</f>
        <v/>
      </c>
      <c r="H377" s="71" t="str">
        <f t="shared" si="155"/>
        <v/>
      </c>
      <c r="I377" s="394"/>
      <c r="J377" s="72"/>
      <c r="K377" s="72"/>
      <c r="L377" s="72" t="str">
        <f>IFERROR(VLOOKUP(J377,'MAIN D OEUVRE'!$A$4:$B$99,2,FALSE)*$N$2,"")</f>
        <v/>
      </c>
      <c r="M377" s="73" t="str">
        <f t="shared" si="166"/>
        <v/>
      </c>
      <c r="N377" s="397"/>
      <c r="O377">
        <f t="shared" si="167"/>
        <v>0</v>
      </c>
      <c r="P377">
        <f t="shared" si="164"/>
        <v>0</v>
      </c>
      <c r="Q377">
        <f t="shared" si="165"/>
        <v>0</v>
      </c>
    </row>
    <row r="378" spans="1:17">
      <c r="A378" s="388"/>
      <c r="B378" s="391"/>
      <c r="C378" s="69"/>
      <c r="D378" s="70"/>
      <c r="E378" s="146"/>
      <c r="F378" s="70" t="str">
        <f>IFERROR(VLOOKUP(C378,MATERIAUX!$C$3:$G$1002,3,FALSE),"")</f>
        <v/>
      </c>
      <c r="G378" s="71" t="str">
        <f>IFERROR(VLOOKUP(C378,MATERIAUX!$C$3:$G$1002,5,FALSE),"")</f>
        <v/>
      </c>
      <c r="H378" s="71" t="str">
        <f t="shared" si="155"/>
        <v/>
      </c>
      <c r="I378" s="394"/>
      <c r="J378" s="72"/>
      <c r="K378" s="72"/>
      <c r="L378" s="72" t="str">
        <f>IFERROR(VLOOKUP(J378,'MAIN D OEUVRE'!$A$4:$B$99,2,FALSE)*$N$2,"")</f>
        <v/>
      </c>
      <c r="M378" s="73" t="str">
        <f t="shared" si="166"/>
        <v/>
      </c>
      <c r="N378" s="397"/>
      <c r="O378">
        <f t="shared" si="167"/>
        <v>0</v>
      </c>
      <c r="P378">
        <f t="shared" si="164"/>
        <v>0</v>
      </c>
      <c r="Q378">
        <f t="shared" si="165"/>
        <v>0</v>
      </c>
    </row>
    <row r="379" spans="1:17">
      <c r="A379" s="388"/>
      <c r="B379" s="391"/>
      <c r="C379" s="69"/>
      <c r="D379" s="70"/>
      <c r="E379" s="146"/>
      <c r="F379" s="70" t="str">
        <f>IFERROR(VLOOKUP(C379,MATERIAUX!$C$3:$G$1002,3,FALSE),"")</f>
        <v/>
      </c>
      <c r="G379" s="71" t="str">
        <f>IFERROR(VLOOKUP(C379,MATERIAUX!$C$3:$G$1002,5,FALSE),"")</f>
        <v/>
      </c>
      <c r="H379" s="71" t="str">
        <f t="shared" si="155"/>
        <v/>
      </c>
      <c r="I379" s="394"/>
      <c r="J379" s="72"/>
      <c r="K379" s="72"/>
      <c r="L379" s="72" t="str">
        <f>IFERROR(VLOOKUP(J379,'MAIN D OEUVRE'!$A$4:$B$99,2,FALSE)*$N$2,"")</f>
        <v/>
      </c>
      <c r="M379" s="73" t="str">
        <f t="shared" si="166"/>
        <v/>
      </c>
      <c r="N379" s="397"/>
      <c r="O379">
        <f t="shared" si="167"/>
        <v>0</v>
      </c>
      <c r="P379">
        <f t="shared" si="164"/>
        <v>0</v>
      </c>
      <c r="Q379">
        <f t="shared" si="165"/>
        <v>0</v>
      </c>
    </row>
    <row r="380" spans="1:17">
      <c r="A380" s="388"/>
      <c r="B380" s="391"/>
      <c r="C380" s="69"/>
      <c r="D380" s="70"/>
      <c r="E380" s="146"/>
      <c r="F380" s="70" t="str">
        <f>IFERROR(VLOOKUP(C380,MATERIAUX!$C$3:$G$1002,3,FALSE),"")</f>
        <v/>
      </c>
      <c r="G380" s="71" t="str">
        <f>IFERROR(VLOOKUP(C380,MATERIAUX!$C$3:$G$1002,5,FALSE),"")</f>
        <v/>
      </c>
      <c r="H380" s="71" t="str">
        <f t="shared" si="155"/>
        <v/>
      </c>
      <c r="I380" s="394"/>
      <c r="J380" s="72"/>
      <c r="K380" s="72"/>
      <c r="L380" s="72" t="str">
        <f>IFERROR(VLOOKUP(J380,'MAIN D OEUVRE'!$A$4:$B$99,2,FALSE)*$N$2,"")</f>
        <v/>
      </c>
      <c r="M380" s="73" t="str">
        <f t="shared" si="166"/>
        <v/>
      </c>
      <c r="N380" s="397"/>
      <c r="O380">
        <f t="shared" si="167"/>
        <v>0</v>
      </c>
      <c r="P380">
        <f t="shared" si="164"/>
        <v>0</v>
      </c>
      <c r="Q380">
        <f t="shared" si="165"/>
        <v>0</v>
      </c>
    </row>
    <row r="381" spans="1:17">
      <c r="A381" s="388"/>
      <c r="B381" s="391"/>
      <c r="C381" s="69"/>
      <c r="D381" s="70"/>
      <c r="E381" s="146"/>
      <c r="F381" s="70" t="str">
        <f>IFERROR(VLOOKUP(C381,MATERIAUX!$C$3:$G$1002,3,FALSE),"")</f>
        <v/>
      </c>
      <c r="G381" s="71" t="str">
        <f>IFERROR(VLOOKUP(C381,MATERIAUX!$C$3:$G$1002,5,FALSE),"")</f>
        <v/>
      </c>
      <c r="H381" s="71" t="str">
        <f t="shared" si="155"/>
        <v/>
      </c>
      <c r="I381" s="394"/>
      <c r="J381" s="72"/>
      <c r="K381" s="72"/>
      <c r="L381" s="72"/>
      <c r="M381" s="73"/>
      <c r="N381" s="397"/>
      <c r="O381">
        <f t="shared" si="167"/>
        <v>0</v>
      </c>
      <c r="P381">
        <f t="shared" si="164"/>
        <v>0</v>
      </c>
      <c r="Q381">
        <f t="shared" si="165"/>
        <v>0</v>
      </c>
    </row>
    <row r="382" spans="1:17" ht="15" thickBot="1">
      <c r="A382" s="389"/>
      <c r="B382" s="392"/>
      <c r="C382" s="74"/>
      <c r="D382" s="75"/>
      <c r="E382" s="147"/>
      <c r="F382" s="70" t="str">
        <f>IFERROR(VLOOKUP(C382,MATERIAUX!$C$3:$G$1002,3,FALSE),"")</f>
        <v/>
      </c>
      <c r="G382" s="71" t="str">
        <f>IFERROR(VLOOKUP(C382,MATERIAUX!$C$3:$G$1002,5,FALSE),"")</f>
        <v/>
      </c>
      <c r="H382" s="76" t="str">
        <f t="shared" si="155"/>
        <v/>
      </c>
      <c r="I382" s="395"/>
      <c r="J382" s="77"/>
      <c r="K382" s="77"/>
      <c r="L382" s="77"/>
      <c r="M382" s="78"/>
      <c r="N382" s="398"/>
      <c r="O382">
        <f t="shared" si="167"/>
        <v>0</v>
      </c>
      <c r="P382">
        <f t="shared" si="164"/>
        <v>0</v>
      </c>
      <c r="Q382">
        <f t="shared" si="165"/>
        <v>0</v>
      </c>
    </row>
    <row r="383" spans="1:17">
      <c r="A383" s="387" t="s">
        <v>4</v>
      </c>
      <c r="B383" s="390" t="s">
        <v>21</v>
      </c>
      <c r="C383" s="64" t="s">
        <v>101</v>
      </c>
      <c r="D383" s="65">
        <v>1.0249999999999999</v>
      </c>
      <c r="E383" s="145">
        <v>0.1</v>
      </c>
      <c r="F383" s="65" t="str">
        <f>IFERROR(VLOOKUP(C383,MATERIAUX!$C$3:$G$1002,3,FALSE),"")</f>
        <v>m2</v>
      </c>
      <c r="G383" s="66">
        <f>IFERROR(VLOOKUP(C383,MATERIAUX!$C$3:$G$1002,5,FALSE),"")</f>
        <v>8.197938144329898</v>
      </c>
      <c r="H383" s="66">
        <f t="shared" si="155"/>
        <v>9.24</v>
      </c>
      <c r="I383" s="393">
        <f>SUM(H383:H392)</f>
        <v>11.76</v>
      </c>
      <c r="J383" s="67" t="s">
        <v>60</v>
      </c>
      <c r="K383" s="67">
        <v>1</v>
      </c>
      <c r="L383" s="67">
        <f>IFERROR(VLOOKUP(J383,'MAIN D OEUVRE'!$A$4:$B$99,2,FALSE)*$N$2,"")</f>
        <v>0.82500000000000007</v>
      </c>
      <c r="M383" s="68">
        <f t="shared" si="9"/>
        <v>0.83</v>
      </c>
      <c r="N383" s="396">
        <f>SUM(M383:M392)</f>
        <v>0.83</v>
      </c>
      <c r="O383" s="350">
        <v>0</v>
      </c>
      <c r="P383">
        <f t="shared" si="164"/>
        <v>0</v>
      </c>
      <c r="Q383">
        <f t="shared" si="165"/>
        <v>0</v>
      </c>
    </row>
    <row r="384" spans="1:17">
      <c r="A384" s="388"/>
      <c r="B384" s="391"/>
      <c r="C384" s="69" t="s">
        <v>83</v>
      </c>
      <c r="D384" s="70">
        <v>15</v>
      </c>
      <c r="E384" s="146">
        <v>0.1</v>
      </c>
      <c r="F384" s="70" t="str">
        <f>IFERROR(VLOOKUP(C384,MATERIAUX!$C$3:$G$1002,3,FALSE),"")</f>
        <v>u</v>
      </c>
      <c r="G384" s="71">
        <f>IFERROR(VLOOKUP(C384,MATERIAUX!$C$3:$G$1002,5,FALSE),"")</f>
        <v>0.15257731958762888</v>
      </c>
      <c r="H384" s="71">
        <f t="shared" ref="H384:H447" si="168">IFERROR(ROUND(G384*(1+E384)*D384,2),"")</f>
        <v>2.52</v>
      </c>
      <c r="I384" s="394"/>
      <c r="J384" s="72"/>
      <c r="K384" s="72"/>
      <c r="L384" s="72" t="str">
        <f>IFERROR(VLOOKUP(J384,'MAIN D OEUVRE'!$A$4:$B$99,2,FALSE)*$N$2,"")</f>
        <v/>
      </c>
      <c r="M384" s="73" t="str">
        <f t="shared" si="9"/>
        <v/>
      </c>
      <c r="N384" s="397"/>
      <c r="O384">
        <f>O383</f>
        <v>0</v>
      </c>
      <c r="P384">
        <f t="shared" si="164"/>
        <v>0</v>
      </c>
      <c r="Q384">
        <f t="shared" si="165"/>
        <v>0</v>
      </c>
    </row>
    <row r="385" spans="1:17">
      <c r="A385" s="388"/>
      <c r="B385" s="391"/>
      <c r="C385" s="69"/>
      <c r="D385" s="70"/>
      <c r="E385" s="146"/>
      <c r="F385" s="70" t="str">
        <f>IFERROR(VLOOKUP(C385,MATERIAUX!$C$3:$G$1002,3,FALSE),"")</f>
        <v/>
      </c>
      <c r="G385" s="71" t="str">
        <f>IFERROR(VLOOKUP(C385,MATERIAUX!$C$3:$G$1002,5,FALSE),"")</f>
        <v/>
      </c>
      <c r="H385" s="71" t="str">
        <f t="shared" si="168"/>
        <v/>
      </c>
      <c r="I385" s="394"/>
      <c r="J385" s="72"/>
      <c r="K385" s="72"/>
      <c r="L385" s="72" t="str">
        <f>IFERROR(VLOOKUP(J385,'MAIN D OEUVRE'!$A$4:$B$99,2,FALSE)*$N$2,"")</f>
        <v/>
      </c>
      <c r="M385" s="73" t="str">
        <f t="shared" si="9"/>
        <v/>
      </c>
      <c r="N385" s="397"/>
      <c r="O385">
        <f t="shared" ref="O385:O392" si="169">O384</f>
        <v>0</v>
      </c>
      <c r="P385">
        <f t="shared" si="164"/>
        <v>0</v>
      </c>
      <c r="Q385">
        <f t="shared" si="165"/>
        <v>0</v>
      </c>
    </row>
    <row r="386" spans="1:17">
      <c r="A386" s="388"/>
      <c r="B386" s="391"/>
      <c r="C386" s="69"/>
      <c r="D386" s="70"/>
      <c r="E386" s="146"/>
      <c r="F386" s="70" t="str">
        <f>IFERROR(VLOOKUP(C386,MATERIAUX!$C$3:$G$1002,3,FALSE),"")</f>
        <v/>
      </c>
      <c r="G386" s="71" t="str">
        <f>IFERROR(VLOOKUP(C386,MATERIAUX!$C$3:$G$1002,5,FALSE),"")</f>
        <v/>
      </c>
      <c r="H386" s="71" t="str">
        <f t="shared" si="168"/>
        <v/>
      </c>
      <c r="I386" s="394"/>
      <c r="J386" s="72"/>
      <c r="K386" s="72"/>
      <c r="L386" s="72" t="str">
        <f>IFERROR(VLOOKUP(J386,'MAIN D OEUVRE'!$A$4:$B$99,2,FALSE)*$N$2,"")</f>
        <v/>
      </c>
      <c r="M386" s="73" t="str">
        <f t="shared" si="9"/>
        <v/>
      </c>
      <c r="N386" s="397"/>
      <c r="O386">
        <f t="shared" si="169"/>
        <v>0</v>
      </c>
      <c r="P386">
        <f t="shared" si="164"/>
        <v>0</v>
      </c>
      <c r="Q386">
        <f t="shared" si="165"/>
        <v>0</v>
      </c>
    </row>
    <row r="387" spans="1:17">
      <c r="A387" s="388"/>
      <c r="B387" s="391"/>
      <c r="C387" s="69"/>
      <c r="D387" s="70"/>
      <c r="E387" s="146"/>
      <c r="F387" s="70" t="str">
        <f>IFERROR(VLOOKUP(C387,MATERIAUX!$C$3:$G$1002,3,FALSE),"")</f>
        <v/>
      </c>
      <c r="G387" s="71" t="str">
        <f>IFERROR(VLOOKUP(C387,MATERIAUX!$C$3:$G$1002,5,FALSE),"")</f>
        <v/>
      </c>
      <c r="H387" s="71" t="str">
        <f t="shared" si="168"/>
        <v/>
      </c>
      <c r="I387" s="394"/>
      <c r="J387" s="72"/>
      <c r="K387" s="72"/>
      <c r="L387" s="72" t="str">
        <f>IFERROR(VLOOKUP(J387,'MAIN D OEUVRE'!$A$4:$B$99,2,FALSE)*$N$2,"")</f>
        <v/>
      </c>
      <c r="M387" s="73" t="str">
        <f t="shared" si="9"/>
        <v/>
      </c>
      <c r="N387" s="397"/>
      <c r="O387">
        <f t="shared" si="169"/>
        <v>0</v>
      </c>
      <c r="P387">
        <f t="shared" si="164"/>
        <v>0</v>
      </c>
      <c r="Q387">
        <f t="shared" si="165"/>
        <v>0</v>
      </c>
    </row>
    <row r="388" spans="1:17">
      <c r="A388" s="388"/>
      <c r="B388" s="391"/>
      <c r="C388" s="69"/>
      <c r="D388" s="70"/>
      <c r="E388" s="146"/>
      <c r="F388" s="70" t="str">
        <f>IFERROR(VLOOKUP(C388,MATERIAUX!$C$3:$G$1002,3,FALSE),"")</f>
        <v/>
      </c>
      <c r="G388" s="71" t="str">
        <f>IFERROR(VLOOKUP(C388,MATERIAUX!$C$3:$G$1002,5,FALSE),"")</f>
        <v/>
      </c>
      <c r="H388" s="71" t="str">
        <f t="shared" si="168"/>
        <v/>
      </c>
      <c r="I388" s="394"/>
      <c r="J388" s="72"/>
      <c r="K388" s="72"/>
      <c r="L388" s="72" t="str">
        <f>IFERROR(VLOOKUP(J388,'MAIN D OEUVRE'!$A$4:$B$99,2,FALSE)*$N$2,"")</f>
        <v/>
      </c>
      <c r="M388" s="73" t="str">
        <f t="shared" si="9"/>
        <v/>
      </c>
      <c r="N388" s="397"/>
      <c r="O388">
        <f t="shared" si="169"/>
        <v>0</v>
      </c>
      <c r="P388">
        <f t="shared" si="164"/>
        <v>0</v>
      </c>
      <c r="Q388">
        <f t="shared" si="165"/>
        <v>0</v>
      </c>
    </row>
    <row r="389" spans="1:17">
      <c r="A389" s="388"/>
      <c r="B389" s="391"/>
      <c r="C389" s="69"/>
      <c r="D389" s="70"/>
      <c r="E389" s="146"/>
      <c r="F389" s="70" t="str">
        <f>IFERROR(VLOOKUP(C389,MATERIAUX!$C$3:$G$1002,3,FALSE),"")</f>
        <v/>
      </c>
      <c r="G389" s="71" t="str">
        <f>IFERROR(VLOOKUP(C389,MATERIAUX!$C$3:$G$1002,5,FALSE),"")</f>
        <v/>
      </c>
      <c r="H389" s="71" t="str">
        <f t="shared" si="168"/>
        <v/>
      </c>
      <c r="I389" s="394"/>
      <c r="J389" s="72"/>
      <c r="K389" s="72"/>
      <c r="L389" s="72" t="str">
        <f>IFERROR(VLOOKUP(J389,'MAIN D OEUVRE'!$A$4:$B$99,2,FALSE)*$N$2,"")</f>
        <v/>
      </c>
      <c r="M389" s="73" t="str">
        <f t="shared" si="9"/>
        <v/>
      </c>
      <c r="N389" s="397"/>
      <c r="O389">
        <f t="shared" si="169"/>
        <v>0</v>
      </c>
      <c r="P389">
        <f t="shared" si="164"/>
        <v>0</v>
      </c>
      <c r="Q389">
        <f t="shared" si="165"/>
        <v>0</v>
      </c>
    </row>
    <row r="390" spans="1:17">
      <c r="A390" s="388"/>
      <c r="B390" s="391"/>
      <c r="C390" s="69"/>
      <c r="D390" s="70"/>
      <c r="E390" s="146"/>
      <c r="F390" s="70" t="str">
        <f>IFERROR(VLOOKUP(C390,MATERIAUX!$C$3:$G$1002,3,FALSE),"")</f>
        <v/>
      </c>
      <c r="G390" s="71" t="str">
        <f>IFERROR(VLOOKUP(C390,MATERIAUX!$C$3:$G$1002,5,FALSE),"")</f>
        <v/>
      </c>
      <c r="H390" s="71" t="str">
        <f t="shared" si="168"/>
        <v/>
      </c>
      <c r="I390" s="394"/>
      <c r="J390" s="72"/>
      <c r="K390" s="72"/>
      <c r="L390" s="72" t="str">
        <f>IFERROR(VLOOKUP(J390,'MAIN D OEUVRE'!$A$4:$B$99,2,FALSE)*$N$2,"")</f>
        <v/>
      </c>
      <c r="M390" s="73" t="str">
        <f t="shared" si="9"/>
        <v/>
      </c>
      <c r="N390" s="397"/>
      <c r="O390">
        <f t="shared" si="169"/>
        <v>0</v>
      </c>
      <c r="P390">
        <f t="shared" si="164"/>
        <v>0</v>
      </c>
      <c r="Q390">
        <f t="shared" si="165"/>
        <v>0</v>
      </c>
    </row>
    <row r="391" spans="1:17">
      <c r="A391" s="388"/>
      <c r="B391" s="391"/>
      <c r="C391" s="69"/>
      <c r="D391" s="70"/>
      <c r="E391" s="146"/>
      <c r="F391" s="70" t="str">
        <f>IFERROR(VLOOKUP(C391,MATERIAUX!$C$3:$G$1002,3,FALSE),"")</f>
        <v/>
      </c>
      <c r="G391" s="71" t="str">
        <f>IFERROR(VLOOKUP(C391,MATERIAUX!$C$3:$G$1002,5,FALSE),"")</f>
        <v/>
      </c>
      <c r="H391" s="71" t="str">
        <f t="shared" si="168"/>
        <v/>
      </c>
      <c r="I391" s="394"/>
      <c r="J391" s="72"/>
      <c r="K391" s="72"/>
      <c r="L391" s="72"/>
      <c r="M391" s="73"/>
      <c r="N391" s="397"/>
      <c r="O391">
        <f t="shared" si="169"/>
        <v>0</v>
      </c>
      <c r="P391">
        <f t="shared" si="164"/>
        <v>0</v>
      </c>
      <c r="Q391">
        <f t="shared" si="165"/>
        <v>0</v>
      </c>
    </row>
    <row r="392" spans="1:17" ht="15" thickBot="1">
      <c r="A392" s="389"/>
      <c r="B392" s="392"/>
      <c r="C392" s="74"/>
      <c r="D392" s="75"/>
      <c r="E392" s="147"/>
      <c r="F392" s="70" t="str">
        <f>IFERROR(VLOOKUP(C392,MATERIAUX!$C$3:$G$1002,3,FALSE),"")</f>
        <v/>
      </c>
      <c r="G392" s="71" t="str">
        <f>IFERROR(VLOOKUP(C392,MATERIAUX!$C$3:$G$1002,5,FALSE),"")</f>
        <v/>
      </c>
      <c r="H392" s="76" t="str">
        <f t="shared" si="168"/>
        <v/>
      </c>
      <c r="I392" s="395"/>
      <c r="J392" s="77"/>
      <c r="K392" s="77"/>
      <c r="L392" s="77"/>
      <c r="M392" s="78"/>
      <c r="N392" s="398"/>
      <c r="O392">
        <f t="shared" si="169"/>
        <v>0</v>
      </c>
      <c r="P392">
        <f t="shared" si="164"/>
        <v>0</v>
      </c>
      <c r="Q392">
        <f t="shared" si="165"/>
        <v>0</v>
      </c>
    </row>
    <row r="393" spans="1:17">
      <c r="A393" s="387" t="s">
        <v>6</v>
      </c>
      <c r="B393" s="390" t="s">
        <v>21</v>
      </c>
      <c r="C393" s="64" t="s">
        <v>102</v>
      </c>
      <c r="D393" s="65">
        <v>1.0249999999999999</v>
      </c>
      <c r="E393" s="145">
        <v>0.1</v>
      </c>
      <c r="F393" s="65" t="str">
        <f>IFERROR(VLOOKUP(C393,MATERIAUX!$C$3:$G$1002,3,FALSE),"")</f>
        <v>m2</v>
      </c>
      <c r="G393" s="66">
        <f>IFERROR(VLOOKUP(C393,MATERIAUX!$C$3:$G$1002,5,FALSE),"")</f>
        <v>6.3257731958762893</v>
      </c>
      <c r="H393" s="66">
        <f t="shared" si="168"/>
        <v>7.13</v>
      </c>
      <c r="I393" s="393">
        <f>SUM(H393:H402)</f>
        <v>9.42</v>
      </c>
      <c r="J393" s="67" t="s">
        <v>60</v>
      </c>
      <c r="K393" s="67">
        <v>1</v>
      </c>
      <c r="L393" s="67">
        <f>IFERROR(VLOOKUP(J393,'MAIN D OEUVRE'!$A$4:$B$99,2,FALSE)*$N$2,"")</f>
        <v>0.82500000000000007</v>
      </c>
      <c r="M393" s="68">
        <f t="shared" si="9"/>
        <v>0.83</v>
      </c>
      <c r="N393" s="396">
        <f>SUM(M393:M402)</f>
        <v>0.83</v>
      </c>
      <c r="O393" s="350">
        <v>0</v>
      </c>
      <c r="P393">
        <f t="shared" si="164"/>
        <v>0</v>
      </c>
      <c r="Q393">
        <f t="shared" si="165"/>
        <v>0</v>
      </c>
    </row>
    <row r="394" spans="1:17">
      <c r="A394" s="388"/>
      <c r="B394" s="391"/>
      <c r="C394" s="69" t="s">
        <v>83</v>
      </c>
      <c r="D394" s="70">
        <v>15</v>
      </c>
      <c r="E394" s="146">
        <v>0</v>
      </c>
      <c r="F394" s="70" t="str">
        <f>IFERROR(VLOOKUP(C394,MATERIAUX!$C$3:$G$1002,3,FALSE),"")</f>
        <v>u</v>
      </c>
      <c r="G394" s="71">
        <f>IFERROR(VLOOKUP(C394,MATERIAUX!$C$3:$G$1002,5,FALSE),"")</f>
        <v>0.15257731958762888</v>
      </c>
      <c r="H394" s="71">
        <f t="shared" si="168"/>
        <v>2.29</v>
      </c>
      <c r="I394" s="394"/>
      <c r="J394" s="72"/>
      <c r="K394" s="72"/>
      <c r="L394" s="72" t="str">
        <f>IFERROR(VLOOKUP(J394,'MAIN D OEUVRE'!$A$4:$B$99,2,FALSE)*$N$2,"")</f>
        <v/>
      </c>
      <c r="M394" s="73" t="str">
        <f t="shared" si="9"/>
        <v/>
      </c>
      <c r="N394" s="397"/>
      <c r="O394">
        <f>O393</f>
        <v>0</v>
      </c>
      <c r="P394">
        <f t="shared" si="164"/>
        <v>0</v>
      </c>
      <c r="Q394">
        <f t="shared" si="165"/>
        <v>0</v>
      </c>
    </row>
    <row r="395" spans="1:17">
      <c r="A395" s="388"/>
      <c r="B395" s="391"/>
      <c r="C395" s="69"/>
      <c r="D395" s="70"/>
      <c r="E395" s="146"/>
      <c r="F395" s="70" t="str">
        <f>IFERROR(VLOOKUP(C395,MATERIAUX!$C$3:$G$1002,3,FALSE),"")</f>
        <v/>
      </c>
      <c r="G395" s="71" t="str">
        <f>IFERROR(VLOOKUP(C395,MATERIAUX!$C$3:$G$1002,5,FALSE),"")</f>
        <v/>
      </c>
      <c r="H395" s="71" t="str">
        <f t="shared" si="168"/>
        <v/>
      </c>
      <c r="I395" s="394"/>
      <c r="J395" s="72"/>
      <c r="K395" s="72"/>
      <c r="L395" s="72" t="str">
        <f>IFERROR(VLOOKUP(J395,'MAIN D OEUVRE'!$A$4:$B$99,2,FALSE)*$N$2,"")</f>
        <v/>
      </c>
      <c r="M395" s="73" t="str">
        <f t="shared" si="9"/>
        <v/>
      </c>
      <c r="N395" s="397"/>
      <c r="O395">
        <f t="shared" ref="O395:O402" si="170">O394</f>
        <v>0</v>
      </c>
      <c r="P395">
        <f t="shared" si="164"/>
        <v>0</v>
      </c>
      <c r="Q395">
        <f t="shared" si="165"/>
        <v>0</v>
      </c>
    </row>
    <row r="396" spans="1:17">
      <c r="A396" s="388"/>
      <c r="B396" s="391"/>
      <c r="C396" s="69"/>
      <c r="D396" s="70"/>
      <c r="E396" s="146"/>
      <c r="F396" s="70" t="str">
        <f>IFERROR(VLOOKUP(C396,MATERIAUX!$C$3:$G$1002,3,FALSE),"")</f>
        <v/>
      </c>
      <c r="G396" s="71" t="str">
        <f>IFERROR(VLOOKUP(C396,MATERIAUX!$C$3:$G$1002,5,FALSE),"")</f>
        <v/>
      </c>
      <c r="H396" s="71" t="str">
        <f t="shared" si="168"/>
        <v/>
      </c>
      <c r="I396" s="394"/>
      <c r="J396" s="72"/>
      <c r="K396" s="72"/>
      <c r="L396" s="72" t="str">
        <f>IFERROR(VLOOKUP(J396,'MAIN D OEUVRE'!$A$4:$B$99,2,FALSE)*$N$2,"")</f>
        <v/>
      </c>
      <c r="M396" s="73" t="str">
        <f t="shared" si="9"/>
        <v/>
      </c>
      <c r="N396" s="397"/>
      <c r="O396">
        <f t="shared" si="170"/>
        <v>0</v>
      </c>
      <c r="P396">
        <f t="shared" si="164"/>
        <v>0</v>
      </c>
      <c r="Q396">
        <f t="shared" si="165"/>
        <v>0</v>
      </c>
    </row>
    <row r="397" spans="1:17">
      <c r="A397" s="388"/>
      <c r="B397" s="391"/>
      <c r="C397" s="69"/>
      <c r="D397" s="70"/>
      <c r="E397" s="146"/>
      <c r="F397" s="70" t="str">
        <f>IFERROR(VLOOKUP(C397,MATERIAUX!$C$3:$G$1002,3,FALSE),"")</f>
        <v/>
      </c>
      <c r="G397" s="71" t="str">
        <f>IFERROR(VLOOKUP(C397,MATERIAUX!$C$3:$G$1002,5,FALSE),"")</f>
        <v/>
      </c>
      <c r="H397" s="71" t="str">
        <f t="shared" si="168"/>
        <v/>
      </c>
      <c r="I397" s="394"/>
      <c r="J397" s="72"/>
      <c r="K397" s="72"/>
      <c r="L397" s="72" t="str">
        <f>IFERROR(VLOOKUP(J397,'MAIN D OEUVRE'!$A$4:$B$99,2,FALSE)*$N$2,"")</f>
        <v/>
      </c>
      <c r="M397" s="73" t="str">
        <f t="shared" si="9"/>
        <v/>
      </c>
      <c r="N397" s="397"/>
      <c r="O397">
        <f t="shared" si="170"/>
        <v>0</v>
      </c>
      <c r="P397">
        <f t="shared" si="164"/>
        <v>0</v>
      </c>
      <c r="Q397">
        <f t="shared" si="165"/>
        <v>0</v>
      </c>
    </row>
    <row r="398" spans="1:17">
      <c r="A398" s="388"/>
      <c r="B398" s="391"/>
      <c r="C398" s="69"/>
      <c r="D398" s="70"/>
      <c r="E398" s="146"/>
      <c r="F398" s="70" t="str">
        <f>IFERROR(VLOOKUP(C398,MATERIAUX!$C$3:$G$1002,3,FALSE),"")</f>
        <v/>
      </c>
      <c r="G398" s="71" t="str">
        <f>IFERROR(VLOOKUP(C398,MATERIAUX!$C$3:$G$1002,5,FALSE),"")</f>
        <v/>
      </c>
      <c r="H398" s="71" t="str">
        <f t="shared" si="168"/>
        <v/>
      </c>
      <c r="I398" s="394"/>
      <c r="J398" s="72"/>
      <c r="K398" s="72"/>
      <c r="L398" s="72" t="str">
        <f>IFERROR(VLOOKUP(J398,'MAIN D OEUVRE'!$A$4:$B$99,2,FALSE)*$N$2,"")</f>
        <v/>
      </c>
      <c r="M398" s="73" t="str">
        <f t="shared" si="9"/>
        <v/>
      </c>
      <c r="N398" s="397"/>
      <c r="O398">
        <f t="shared" si="170"/>
        <v>0</v>
      </c>
      <c r="P398">
        <f t="shared" si="164"/>
        <v>0</v>
      </c>
      <c r="Q398">
        <f t="shared" si="165"/>
        <v>0</v>
      </c>
    </row>
    <row r="399" spans="1:17">
      <c r="A399" s="388"/>
      <c r="B399" s="391"/>
      <c r="C399" s="69"/>
      <c r="D399" s="70"/>
      <c r="E399" s="146"/>
      <c r="F399" s="70" t="str">
        <f>IFERROR(VLOOKUP(C399,MATERIAUX!$C$3:$G$1002,3,FALSE),"")</f>
        <v/>
      </c>
      <c r="G399" s="71" t="str">
        <f>IFERROR(VLOOKUP(C399,MATERIAUX!$C$3:$G$1002,5,FALSE),"")</f>
        <v/>
      </c>
      <c r="H399" s="71" t="str">
        <f t="shared" si="168"/>
        <v/>
      </c>
      <c r="I399" s="394"/>
      <c r="J399" s="72"/>
      <c r="K399" s="72"/>
      <c r="L399" s="72" t="str">
        <f>IFERROR(VLOOKUP(J399,'MAIN D OEUVRE'!$A$4:$B$99,2,FALSE)*$N$2,"")</f>
        <v/>
      </c>
      <c r="M399" s="73" t="str">
        <f t="shared" si="9"/>
        <v/>
      </c>
      <c r="N399" s="397"/>
      <c r="O399">
        <f t="shared" si="170"/>
        <v>0</v>
      </c>
      <c r="P399">
        <f t="shared" si="164"/>
        <v>0</v>
      </c>
      <c r="Q399">
        <f t="shared" si="165"/>
        <v>0</v>
      </c>
    </row>
    <row r="400" spans="1:17">
      <c r="A400" s="388"/>
      <c r="B400" s="391"/>
      <c r="C400" s="69"/>
      <c r="D400" s="70"/>
      <c r="E400" s="146"/>
      <c r="F400" s="70" t="str">
        <f>IFERROR(VLOOKUP(C400,MATERIAUX!$C$3:$G$1002,3,FALSE),"")</f>
        <v/>
      </c>
      <c r="G400" s="71" t="str">
        <f>IFERROR(VLOOKUP(C400,MATERIAUX!$C$3:$G$1002,5,FALSE),"")</f>
        <v/>
      </c>
      <c r="H400" s="71" t="str">
        <f t="shared" si="168"/>
        <v/>
      </c>
      <c r="I400" s="394"/>
      <c r="J400" s="72"/>
      <c r="K400" s="72"/>
      <c r="L400" s="72" t="str">
        <f>IFERROR(VLOOKUP(J400,'MAIN D OEUVRE'!$A$4:$B$99,2,FALSE)*$N$2,"")</f>
        <v/>
      </c>
      <c r="M400" s="73" t="str">
        <f t="shared" si="9"/>
        <v/>
      </c>
      <c r="N400" s="397"/>
      <c r="O400">
        <f t="shared" si="170"/>
        <v>0</v>
      </c>
      <c r="P400">
        <f t="shared" si="164"/>
        <v>0</v>
      </c>
      <c r="Q400">
        <f t="shared" si="165"/>
        <v>0</v>
      </c>
    </row>
    <row r="401" spans="1:17">
      <c r="A401" s="388"/>
      <c r="B401" s="391"/>
      <c r="C401" s="69"/>
      <c r="D401" s="70"/>
      <c r="E401" s="146"/>
      <c r="F401" s="70" t="str">
        <f>IFERROR(VLOOKUP(C401,MATERIAUX!$C$3:$G$1002,3,FALSE),"")</f>
        <v/>
      </c>
      <c r="G401" s="71" t="str">
        <f>IFERROR(VLOOKUP(C401,MATERIAUX!$C$3:$G$1002,5,FALSE),"")</f>
        <v/>
      </c>
      <c r="H401" s="71" t="str">
        <f t="shared" si="168"/>
        <v/>
      </c>
      <c r="I401" s="394"/>
      <c r="J401" s="72"/>
      <c r="K401" s="72"/>
      <c r="L401" s="72"/>
      <c r="M401" s="73"/>
      <c r="N401" s="397"/>
      <c r="O401">
        <f t="shared" si="170"/>
        <v>0</v>
      </c>
      <c r="P401">
        <f t="shared" si="164"/>
        <v>0</v>
      </c>
      <c r="Q401">
        <f t="shared" si="165"/>
        <v>0</v>
      </c>
    </row>
    <row r="402" spans="1:17" ht="15" thickBot="1">
      <c r="A402" s="389"/>
      <c r="B402" s="392"/>
      <c r="C402" s="74"/>
      <c r="D402" s="75"/>
      <c r="E402" s="147"/>
      <c r="F402" s="70" t="str">
        <f>IFERROR(VLOOKUP(C402,MATERIAUX!$C$3:$G$1002,3,FALSE),"")</f>
        <v/>
      </c>
      <c r="G402" s="71" t="str">
        <f>IFERROR(VLOOKUP(C402,MATERIAUX!$C$3:$G$1002,5,FALSE),"")</f>
        <v/>
      </c>
      <c r="H402" s="76" t="str">
        <f t="shared" si="168"/>
        <v/>
      </c>
      <c r="I402" s="395"/>
      <c r="J402" s="77"/>
      <c r="K402" s="77"/>
      <c r="L402" s="77"/>
      <c r="M402" s="78"/>
      <c r="N402" s="398"/>
      <c r="O402">
        <f t="shared" si="170"/>
        <v>0</v>
      </c>
      <c r="P402">
        <f t="shared" si="164"/>
        <v>0</v>
      </c>
      <c r="Q402">
        <f t="shared" si="165"/>
        <v>0</v>
      </c>
    </row>
    <row r="403" spans="1:17">
      <c r="A403" s="387" t="s">
        <v>417</v>
      </c>
      <c r="B403" s="390" t="s">
        <v>21</v>
      </c>
      <c r="C403" s="64" t="s">
        <v>416</v>
      </c>
      <c r="D403" s="65">
        <v>1.0249999999999999</v>
      </c>
      <c r="E403" s="145">
        <v>0.1</v>
      </c>
      <c r="F403" s="65" t="str">
        <f>IFERROR(VLOOKUP(C403,MATERIAUX!$C$3:$G$1002,3,FALSE),"")</f>
        <v>m2</v>
      </c>
      <c r="G403" s="66">
        <f>IFERROR(VLOOKUP(C403,MATERIAUX!$C$3:$G$1002,5,FALSE),"")</f>
        <v>6.9587628865979383</v>
      </c>
      <c r="H403" s="66">
        <f t="shared" ref="H403:H412" si="171">IFERROR(ROUND(G403*(1+E403)*D403,2),"")</f>
        <v>7.85</v>
      </c>
      <c r="I403" s="393">
        <f>SUM(H403:H412)</f>
        <v>10.14</v>
      </c>
      <c r="J403" s="67" t="s">
        <v>60</v>
      </c>
      <c r="K403" s="67">
        <v>1.5</v>
      </c>
      <c r="L403" s="67">
        <f>IFERROR(VLOOKUP(J403,'MAIN D OEUVRE'!$A$4:$B$99,2,FALSE)*$N$2,"")</f>
        <v>0.82500000000000007</v>
      </c>
      <c r="M403" s="68">
        <f t="shared" ref="M403:M410" si="172">IFERROR(ROUND(L403*K403,2),"")</f>
        <v>1.24</v>
      </c>
      <c r="N403" s="396">
        <f>SUM(M403:M412)</f>
        <v>1.24</v>
      </c>
      <c r="O403" s="350">
        <v>0</v>
      </c>
      <c r="P403">
        <f t="shared" si="164"/>
        <v>0</v>
      </c>
      <c r="Q403">
        <f t="shared" si="165"/>
        <v>0</v>
      </c>
    </row>
    <row r="404" spans="1:17">
      <c r="A404" s="388"/>
      <c r="B404" s="391"/>
      <c r="C404" s="69" t="s">
        <v>83</v>
      </c>
      <c r="D404" s="70">
        <v>15</v>
      </c>
      <c r="E404" s="146">
        <v>0</v>
      </c>
      <c r="F404" s="70" t="str">
        <f>IFERROR(VLOOKUP(C404,MATERIAUX!$C$3:$G$1002,3,FALSE),"")</f>
        <v>u</v>
      </c>
      <c r="G404" s="71">
        <f>IFERROR(VLOOKUP(C404,MATERIAUX!$C$3:$G$1002,5,FALSE),"")</f>
        <v>0.15257731958762888</v>
      </c>
      <c r="H404" s="71">
        <f t="shared" si="171"/>
        <v>2.29</v>
      </c>
      <c r="I404" s="394"/>
      <c r="J404" s="72"/>
      <c r="K404" s="72"/>
      <c r="L404" s="72" t="str">
        <f>IFERROR(VLOOKUP(J404,'MAIN D OEUVRE'!$A$4:$B$99,2,FALSE)*$N$2,"")</f>
        <v/>
      </c>
      <c r="M404" s="73" t="str">
        <f t="shared" si="172"/>
        <v/>
      </c>
      <c r="N404" s="397"/>
      <c r="O404">
        <f>O403</f>
        <v>0</v>
      </c>
      <c r="P404">
        <f t="shared" si="164"/>
        <v>0</v>
      </c>
      <c r="Q404">
        <f t="shared" si="165"/>
        <v>0</v>
      </c>
    </row>
    <row r="405" spans="1:17">
      <c r="A405" s="388"/>
      <c r="B405" s="391"/>
      <c r="C405" s="69"/>
      <c r="D405" s="70"/>
      <c r="E405" s="146"/>
      <c r="F405" s="70" t="str">
        <f>IFERROR(VLOOKUP(C405,MATERIAUX!$C$3:$G$1002,3,FALSE),"")</f>
        <v/>
      </c>
      <c r="G405" s="71" t="str">
        <f>IFERROR(VLOOKUP(C405,MATERIAUX!$C$3:$G$1002,5,FALSE),"")</f>
        <v/>
      </c>
      <c r="H405" s="71" t="str">
        <f t="shared" si="171"/>
        <v/>
      </c>
      <c r="I405" s="394"/>
      <c r="J405" s="72"/>
      <c r="K405" s="72"/>
      <c r="L405" s="72" t="str">
        <f>IFERROR(VLOOKUP(J405,'MAIN D OEUVRE'!$A$4:$B$99,2,FALSE)*$N$2,"")</f>
        <v/>
      </c>
      <c r="M405" s="73" t="str">
        <f t="shared" si="172"/>
        <v/>
      </c>
      <c r="N405" s="397"/>
      <c r="O405">
        <f t="shared" ref="O405:O412" si="173">O404</f>
        <v>0</v>
      </c>
      <c r="P405">
        <f t="shared" si="164"/>
        <v>0</v>
      </c>
      <c r="Q405">
        <f t="shared" si="165"/>
        <v>0</v>
      </c>
    </row>
    <row r="406" spans="1:17">
      <c r="A406" s="388"/>
      <c r="B406" s="391"/>
      <c r="C406" s="69"/>
      <c r="D406" s="70"/>
      <c r="E406" s="146"/>
      <c r="F406" s="70" t="str">
        <f>IFERROR(VLOOKUP(C406,MATERIAUX!$C$3:$G$1002,3,FALSE),"")</f>
        <v/>
      </c>
      <c r="G406" s="71" t="str">
        <f>IFERROR(VLOOKUP(C406,MATERIAUX!$C$3:$G$1002,5,FALSE),"")</f>
        <v/>
      </c>
      <c r="H406" s="71" t="str">
        <f t="shared" si="171"/>
        <v/>
      </c>
      <c r="I406" s="394"/>
      <c r="J406" s="72"/>
      <c r="K406" s="72"/>
      <c r="L406" s="72" t="str">
        <f>IFERROR(VLOOKUP(J406,'MAIN D OEUVRE'!$A$4:$B$99,2,FALSE)*$N$2,"")</f>
        <v/>
      </c>
      <c r="M406" s="73" t="str">
        <f t="shared" si="172"/>
        <v/>
      </c>
      <c r="N406" s="397"/>
      <c r="O406">
        <f t="shared" si="173"/>
        <v>0</v>
      </c>
      <c r="P406">
        <f t="shared" si="164"/>
        <v>0</v>
      </c>
      <c r="Q406">
        <f t="shared" si="165"/>
        <v>0</v>
      </c>
    </row>
    <row r="407" spans="1:17">
      <c r="A407" s="388"/>
      <c r="B407" s="391"/>
      <c r="C407" s="69"/>
      <c r="D407" s="70"/>
      <c r="E407" s="146"/>
      <c r="F407" s="70" t="str">
        <f>IFERROR(VLOOKUP(C407,MATERIAUX!$C$3:$G$1002,3,FALSE),"")</f>
        <v/>
      </c>
      <c r="G407" s="71" t="str">
        <f>IFERROR(VLOOKUP(C407,MATERIAUX!$C$3:$G$1002,5,FALSE),"")</f>
        <v/>
      </c>
      <c r="H407" s="71" t="str">
        <f t="shared" si="171"/>
        <v/>
      </c>
      <c r="I407" s="394"/>
      <c r="J407" s="72"/>
      <c r="K407" s="72"/>
      <c r="L407" s="72" t="str">
        <f>IFERROR(VLOOKUP(J407,'MAIN D OEUVRE'!$A$4:$B$99,2,FALSE)*$N$2,"")</f>
        <v/>
      </c>
      <c r="M407" s="73" t="str">
        <f t="shared" si="172"/>
        <v/>
      </c>
      <c r="N407" s="397"/>
      <c r="O407">
        <f t="shared" si="173"/>
        <v>0</v>
      </c>
      <c r="P407">
        <f t="shared" si="164"/>
        <v>0</v>
      </c>
      <c r="Q407">
        <f t="shared" si="165"/>
        <v>0</v>
      </c>
    </row>
    <row r="408" spans="1:17">
      <c r="A408" s="388"/>
      <c r="B408" s="391"/>
      <c r="C408" s="69"/>
      <c r="D408" s="70"/>
      <c r="E408" s="146"/>
      <c r="F408" s="70" t="str">
        <f>IFERROR(VLOOKUP(C408,MATERIAUX!$C$3:$G$1002,3,FALSE),"")</f>
        <v/>
      </c>
      <c r="G408" s="71" t="str">
        <f>IFERROR(VLOOKUP(C408,MATERIAUX!$C$3:$G$1002,5,FALSE),"")</f>
        <v/>
      </c>
      <c r="H408" s="71" t="str">
        <f t="shared" si="171"/>
        <v/>
      </c>
      <c r="I408" s="394"/>
      <c r="J408" s="72"/>
      <c r="K408" s="72"/>
      <c r="L408" s="72" t="str">
        <f>IFERROR(VLOOKUP(J408,'MAIN D OEUVRE'!$A$4:$B$99,2,FALSE)*$N$2,"")</f>
        <v/>
      </c>
      <c r="M408" s="73" t="str">
        <f t="shared" si="172"/>
        <v/>
      </c>
      <c r="N408" s="397"/>
      <c r="O408">
        <f t="shared" si="173"/>
        <v>0</v>
      </c>
      <c r="P408">
        <f t="shared" si="164"/>
        <v>0</v>
      </c>
      <c r="Q408">
        <f t="shared" si="165"/>
        <v>0</v>
      </c>
    </row>
    <row r="409" spans="1:17">
      <c r="A409" s="388"/>
      <c r="B409" s="391"/>
      <c r="C409" s="69"/>
      <c r="D409" s="70"/>
      <c r="E409" s="146"/>
      <c r="F409" s="70" t="str">
        <f>IFERROR(VLOOKUP(C409,MATERIAUX!$C$3:$G$1002,3,FALSE),"")</f>
        <v/>
      </c>
      <c r="G409" s="71" t="str">
        <f>IFERROR(VLOOKUP(C409,MATERIAUX!$C$3:$G$1002,5,FALSE),"")</f>
        <v/>
      </c>
      <c r="H409" s="71" t="str">
        <f t="shared" si="171"/>
        <v/>
      </c>
      <c r="I409" s="394"/>
      <c r="J409" s="72"/>
      <c r="K409" s="72"/>
      <c r="L409" s="72" t="str">
        <f>IFERROR(VLOOKUP(J409,'MAIN D OEUVRE'!$A$4:$B$99,2,FALSE)*$N$2,"")</f>
        <v/>
      </c>
      <c r="M409" s="73" t="str">
        <f t="shared" si="172"/>
        <v/>
      </c>
      <c r="N409" s="397"/>
      <c r="O409">
        <f t="shared" si="173"/>
        <v>0</v>
      </c>
      <c r="P409">
        <f t="shared" si="164"/>
        <v>0</v>
      </c>
      <c r="Q409">
        <f t="shared" si="165"/>
        <v>0</v>
      </c>
    </row>
    <row r="410" spans="1:17">
      <c r="A410" s="388"/>
      <c r="B410" s="391"/>
      <c r="C410" s="69"/>
      <c r="D410" s="70"/>
      <c r="E410" s="146"/>
      <c r="F410" s="70" t="str">
        <f>IFERROR(VLOOKUP(C410,MATERIAUX!$C$3:$G$1002,3,FALSE),"")</f>
        <v/>
      </c>
      <c r="G410" s="71" t="str">
        <f>IFERROR(VLOOKUP(C410,MATERIAUX!$C$3:$G$1002,5,FALSE),"")</f>
        <v/>
      </c>
      <c r="H410" s="71" t="str">
        <f t="shared" si="171"/>
        <v/>
      </c>
      <c r="I410" s="394"/>
      <c r="J410" s="72"/>
      <c r="K410" s="72"/>
      <c r="L410" s="72" t="str">
        <f>IFERROR(VLOOKUP(J410,'MAIN D OEUVRE'!$A$4:$B$99,2,FALSE)*$N$2,"")</f>
        <v/>
      </c>
      <c r="M410" s="73" t="str">
        <f t="shared" si="172"/>
        <v/>
      </c>
      <c r="N410" s="397"/>
      <c r="O410">
        <f t="shared" si="173"/>
        <v>0</v>
      </c>
      <c r="P410">
        <f t="shared" si="164"/>
        <v>0</v>
      </c>
      <c r="Q410">
        <f t="shared" si="165"/>
        <v>0</v>
      </c>
    </row>
    <row r="411" spans="1:17">
      <c r="A411" s="388"/>
      <c r="B411" s="391"/>
      <c r="C411" s="69"/>
      <c r="D411" s="70"/>
      <c r="E411" s="146"/>
      <c r="F411" s="70" t="str">
        <f>IFERROR(VLOOKUP(C411,MATERIAUX!$C$3:$G$1002,3,FALSE),"")</f>
        <v/>
      </c>
      <c r="G411" s="71" t="str">
        <f>IFERROR(VLOOKUP(C411,MATERIAUX!$C$3:$G$1002,5,FALSE),"")</f>
        <v/>
      </c>
      <c r="H411" s="71" t="str">
        <f t="shared" si="171"/>
        <v/>
      </c>
      <c r="I411" s="394"/>
      <c r="J411" s="72"/>
      <c r="K411" s="72"/>
      <c r="L411" s="72"/>
      <c r="M411" s="73"/>
      <c r="N411" s="397"/>
      <c r="O411">
        <f t="shared" si="173"/>
        <v>0</v>
      </c>
      <c r="P411">
        <f t="shared" si="164"/>
        <v>0</v>
      </c>
      <c r="Q411">
        <f t="shared" si="165"/>
        <v>0</v>
      </c>
    </row>
    <row r="412" spans="1:17" ht="15" thickBot="1">
      <c r="A412" s="389"/>
      <c r="B412" s="392"/>
      <c r="C412" s="74"/>
      <c r="D412" s="75"/>
      <c r="E412" s="147"/>
      <c r="F412" s="70" t="str">
        <f>IFERROR(VLOOKUP(C412,MATERIAUX!$C$3:$G$1002,3,FALSE),"")</f>
        <v/>
      </c>
      <c r="G412" s="71" t="str">
        <f>IFERROR(VLOOKUP(C412,MATERIAUX!$C$3:$G$1002,5,FALSE),"")</f>
        <v/>
      </c>
      <c r="H412" s="76" t="str">
        <f t="shared" si="171"/>
        <v/>
      </c>
      <c r="I412" s="395"/>
      <c r="J412" s="77"/>
      <c r="K412" s="77"/>
      <c r="L412" s="77"/>
      <c r="M412" s="78"/>
      <c r="N412" s="398"/>
      <c r="O412">
        <f t="shared" si="173"/>
        <v>0</v>
      </c>
      <c r="P412">
        <f t="shared" si="164"/>
        <v>0</v>
      </c>
      <c r="Q412">
        <f t="shared" si="165"/>
        <v>0</v>
      </c>
    </row>
    <row r="413" spans="1:17">
      <c r="A413" s="387" t="s">
        <v>502</v>
      </c>
      <c r="B413" s="390" t="s">
        <v>21</v>
      </c>
      <c r="C413" s="64" t="s">
        <v>501</v>
      </c>
      <c r="D413" s="65">
        <v>1.0249999999999999</v>
      </c>
      <c r="E413" s="145">
        <v>0.1</v>
      </c>
      <c r="F413" s="65" t="str">
        <f>IFERROR(VLOOKUP(C413,MATERIAUX!$C$3:$G$1002,3,FALSE),"")</f>
        <v>m2</v>
      </c>
      <c r="G413" s="66">
        <f>IFERROR(VLOOKUP(C413,MATERIAUX!$C$3:$G$1002,5,FALSE),"")</f>
        <v>20.459793814432992</v>
      </c>
      <c r="H413" s="66">
        <f t="shared" si="168"/>
        <v>23.07</v>
      </c>
      <c r="I413" s="393">
        <f>SUM(H413:H422)</f>
        <v>28.72</v>
      </c>
      <c r="J413" s="67" t="s">
        <v>60</v>
      </c>
      <c r="K413" s="67">
        <v>1</v>
      </c>
      <c r="L413" s="67">
        <f>IFERROR(VLOOKUP(J413,'MAIN D OEUVRE'!$A$4:$B$99,2,FALSE)*$N$2,"")</f>
        <v>0.82500000000000007</v>
      </c>
      <c r="M413" s="68">
        <f t="shared" ref="M413:M420" si="174">IFERROR(ROUND(L413*K413,2),"")</f>
        <v>0.83</v>
      </c>
      <c r="N413" s="396">
        <f>SUM(M413:M422)</f>
        <v>0.83</v>
      </c>
      <c r="O413" s="350">
        <v>0</v>
      </c>
      <c r="P413">
        <f t="shared" si="164"/>
        <v>0</v>
      </c>
      <c r="Q413">
        <f t="shared" si="165"/>
        <v>0</v>
      </c>
    </row>
    <row r="414" spans="1:17">
      <c r="A414" s="388"/>
      <c r="B414" s="391"/>
      <c r="C414" s="69" t="s">
        <v>83</v>
      </c>
      <c r="D414" s="70">
        <v>37</v>
      </c>
      <c r="E414" s="146">
        <v>0</v>
      </c>
      <c r="F414" s="70" t="str">
        <f>IFERROR(VLOOKUP(C414,MATERIAUX!$C$3:$G$1002,3,FALSE),"")</f>
        <v>u</v>
      </c>
      <c r="G414" s="71">
        <f>IFERROR(VLOOKUP(C414,MATERIAUX!$C$3:$G$1002,5,FALSE),"")</f>
        <v>0.15257731958762888</v>
      </c>
      <c r="H414" s="71">
        <f t="shared" si="168"/>
        <v>5.65</v>
      </c>
      <c r="I414" s="394"/>
      <c r="J414" s="72"/>
      <c r="K414" s="72"/>
      <c r="L414" s="72" t="str">
        <f>IFERROR(VLOOKUP(J414,'MAIN D OEUVRE'!$A$4:$B$99,2,FALSE)*$N$2,"")</f>
        <v/>
      </c>
      <c r="M414" s="73" t="str">
        <f t="shared" si="174"/>
        <v/>
      </c>
      <c r="N414" s="397"/>
      <c r="O414">
        <f>O413</f>
        <v>0</v>
      </c>
      <c r="P414">
        <f t="shared" si="164"/>
        <v>0</v>
      </c>
      <c r="Q414">
        <f t="shared" si="165"/>
        <v>0</v>
      </c>
    </row>
    <row r="415" spans="1:17">
      <c r="A415" s="388"/>
      <c r="B415" s="391"/>
      <c r="C415" s="69"/>
      <c r="D415" s="70"/>
      <c r="E415" s="146"/>
      <c r="F415" s="70" t="str">
        <f>IFERROR(VLOOKUP(C415,MATERIAUX!$C$3:$G$1002,3,FALSE),"")</f>
        <v/>
      </c>
      <c r="G415" s="71" t="str">
        <f>IFERROR(VLOOKUP(C415,MATERIAUX!$C$3:$G$1002,5,FALSE),"")</f>
        <v/>
      </c>
      <c r="H415" s="71" t="str">
        <f t="shared" si="168"/>
        <v/>
      </c>
      <c r="I415" s="394"/>
      <c r="J415" s="72"/>
      <c r="K415" s="72"/>
      <c r="L415" s="72" t="str">
        <f>IFERROR(VLOOKUP(J415,'MAIN D OEUVRE'!$A$4:$B$99,2,FALSE)*$N$2,"")</f>
        <v/>
      </c>
      <c r="M415" s="73" t="str">
        <f t="shared" si="174"/>
        <v/>
      </c>
      <c r="N415" s="397"/>
      <c r="O415">
        <f t="shared" ref="O415:O422" si="175">O414</f>
        <v>0</v>
      </c>
      <c r="P415">
        <f t="shared" si="164"/>
        <v>0</v>
      </c>
      <c r="Q415">
        <f t="shared" si="165"/>
        <v>0</v>
      </c>
    </row>
    <row r="416" spans="1:17">
      <c r="A416" s="388"/>
      <c r="B416" s="391"/>
      <c r="C416" s="69"/>
      <c r="D416" s="70"/>
      <c r="E416" s="146"/>
      <c r="F416" s="70" t="str">
        <f>IFERROR(VLOOKUP(C416,MATERIAUX!$C$3:$G$1002,3,FALSE),"")</f>
        <v/>
      </c>
      <c r="G416" s="71" t="str">
        <f>IFERROR(VLOOKUP(C416,MATERIAUX!$C$3:$G$1002,5,FALSE),"")</f>
        <v/>
      </c>
      <c r="H416" s="71" t="str">
        <f t="shared" si="168"/>
        <v/>
      </c>
      <c r="I416" s="394"/>
      <c r="J416" s="72"/>
      <c r="K416" s="72"/>
      <c r="L416" s="72" t="str">
        <f>IFERROR(VLOOKUP(J416,'MAIN D OEUVRE'!$A$4:$B$99,2,FALSE)*$N$2,"")</f>
        <v/>
      </c>
      <c r="M416" s="73" t="str">
        <f t="shared" si="174"/>
        <v/>
      </c>
      <c r="N416" s="397"/>
      <c r="O416">
        <f t="shared" si="175"/>
        <v>0</v>
      </c>
      <c r="P416">
        <f t="shared" si="164"/>
        <v>0</v>
      </c>
      <c r="Q416">
        <f t="shared" si="165"/>
        <v>0</v>
      </c>
    </row>
    <row r="417" spans="1:17">
      <c r="A417" s="388"/>
      <c r="B417" s="391"/>
      <c r="C417" s="69"/>
      <c r="D417" s="70"/>
      <c r="E417" s="146"/>
      <c r="F417" s="70" t="str">
        <f>IFERROR(VLOOKUP(C417,MATERIAUX!$C$3:$G$1002,3,FALSE),"")</f>
        <v/>
      </c>
      <c r="G417" s="71" t="str">
        <f>IFERROR(VLOOKUP(C417,MATERIAUX!$C$3:$G$1002,5,FALSE),"")</f>
        <v/>
      </c>
      <c r="H417" s="71" t="str">
        <f t="shared" si="168"/>
        <v/>
      </c>
      <c r="I417" s="394"/>
      <c r="J417" s="72"/>
      <c r="K417" s="72"/>
      <c r="L417" s="72" t="str">
        <f>IFERROR(VLOOKUP(J417,'MAIN D OEUVRE'!$A$4:$B$99,2,FALSE)*$N$2,"")</f>
        <v/>
      </c>
      <c r="M417" s="73" t="str">
        <f t="shared" si="174"/>
        <v/>
      </c>
      <c r="N417" s="397"/>
      <c r="O417">
        <f t="shared" si="175"/>
        <v>0</v>
      </c>
      <c r="P417">
        <f t="shared" si="164"/>
        <v>0</v>
      </c>
      <c r="Q417">
        <f t="shared" si="165"/>
        <v>0</v>
      </c>
    </row>
    <row r="418" spans="1:17">
      <c r="A418" s="388"/>
      <c r="B418" s="391"/>
      <c r="C418" s="69"/>
      <c r="D418" s="70"/>
      <c r="E418" s="146"/>
      <c r="F418" s="70" t="str">
        <f>IFERROR(VLOOKUP(C418,MATERIAUX!$C$3:$G$1002,3,FALSE),"")</f>
        <v/>
      </c>
      <c r="G418" s="71" t="str">
        <f>IFERROR(VLOOKUP(C418,MATERIAUX!$C$3:$G$1002,5,FALSE),"")</f>
        <v/>
      </c>
      <c r="H418" s="71" t="str">
        <f t="shared" si="168"/>
        <v/>
      </c>
      <c r="I418" s="394"/>
      <c r="J418" s="72"/>
      <c r="K418" s="72"/>
      <c r="L418" s="72" t="str">
        <f>IFERROR(VLOOKUP(J418,'MAIN D OEUVRE'!$A$4:$B$99,2,FALSE)*$N$2,"")</f>
        <v/>
      </c>
      <c r="M418" s="73" t="str">
        <f t="shared" si="174"/>
        <v/>
      </c>
      <c r="N418" s="397"/>
      <c r="O418">
        <f t="shared" si="175"/>
        <v>0</v>
      </c>
      <c r="P418">
        <f t="shared" si="164"/>
        <v>0</v>
      </c>
      <c r="Q418">
        <f t="shared" si="165"/>
        <v>0</v>
      </c>
    </row>
    <row r="419" spans="1:17">
      <c r="A419" s="388"/>
      <c r="B419" s="391"/>
      <c r="C419" s="69"/>
      <c r="D419" s="70"/>
      <c r="E419" s="146"/>
      <c r="F419" s="70" t="str">
        <f>IFERROR(VLOOKUP(C419,MATERIAUX!$C$3:$G$1002,3,FALSE),"")</f>
        <v/>
      </c>
      <c r="G419" s="71" t="str">
        <f>IFERROR(VLOOKUP(C419,MATERIAUX!$C$3:$G$1002,5,FALSE),"")</f>
        <v/>
      </c>
      <c r="H419" s="71" t="str">
        <f t="shared" si="168"/>
        <v/>
      </c>
      <c r="I419" s="394"/>
      <c r="J419" s="72"/>
      <c r="K419" s="72"/>
      <c r="L419" s="72" t="str">
        <f>IFERROR(VLOOKUP(J419,'MAIN D OEUVRE'!$A$4:$B$99,2,FALSE)*$N$2,"")</f>
        <v/>
      </c>
      <c r="M419" s="73" t="str">
        <f t="shared" si="174"/>
        <v/>
      </c>
      <c r="N419" s="397"/>
      <c r="O419">
        <f t="shared" si="175"/>
        <v>0</v>
      </c>
      <c r="P419">
        <f t="shared" si="164"/>
        <v>0</v>
      </c>
      <c r="Q419">
        <f t="shared" si="165"/>
        <v>0</v>
      </c>
    </row>
    <row r="420" spans="1:17">
      <c r="A420" s="388"/>
      <c r="B420" s="391"/>
      <c r="C420" s="69"/>
      <c r="D420" s="70"/>
      <c r="E420" s="146"/>
      <c r="F420" s="70" t="str">
        <f>IFERROR(VLOOKUP(C420,MATERIAUX!$C$3:$G$1002,3,FALSE),"")</f>
        <v/>
      </c>
      <c r="G420" s="71" t="str">
        <f>IFERROR(VLOOKUP(C420,MATERIAUX!$C$3:$G$1002,5,FALSE),"")</f>
        <v/>
      </c>
      <c r="H420" s="71" t="str">
        <f t="shared" si="168"/>
        <v/>
      </c>
      <c r="I420" s="394"/>
      <c r="J420" s="72"/>
      <c r="K420" s="72"/>
      <c r="L420" s="72" t="str">
        <f>IFERROR(VLOOKUP(J420,'MAIN D OEUVRE'!$A$4:$B$99,2,FALSE)*$N$2,"")</f>
        <v/>
      </c>
      <c r="M420" s="73" t="str">
        <f t="shared" si="174"/>
        <v/>
      </c>
      <c r="N420" s="397"/>
      <c r="O420">
        <f t="shared" si="175"/>
        <v>0</v>
      </c>
      <c r="P420">
        <f t="shared" si="164"/>
        <v>0</v>
      </c>
      <c r="Q420">
        <f t="shared" si="165"/>
        <v>0</v>
      </c>
    </row>
    <row r="421" spans="1:17">
      <c r="A421" s="388"/>
      <c r="B421" s="391"/>
      <c r="C421" s="69"/>
      <c r="D421" s="70"/>
      <c r="E421" s="146"/>
      <c r="F421" s="70" t="str">
        <f>IFERROR(VLOOKUP(C421,MATERIAUX!$C$3:$G$1002,3,FALSE),"")</f>
        <v/>
      </c>
      <c r="G421" s="71" t="str">
        <f>IFERROR(VLOOKUP(C421,MATERIAUX!$C$3:$G$1002,5,FALSE),"")</f>
        <v/>
      </c>
      <c r="H421" s="71" t="str">
        <f t="shared" si="168"/>
        <v/>
      </c>
      <c r="I421" s="394"/>
      <c r="J421" s="72"/>
      <c r="K421" s="72"/>
      <c r="L421" s="72"/>
      <c r="M421" s="73"/>
      <c r="N421" s="397"/>
      <c r="O421">
        <f t="shared" si="175"/>
        <v>0</v>
      </c>
      <c r="P421">
        <f t="shared" si="164"/>
        <v>0</v>
      </c>
      <c r="Q421">
        <f t="shared" si="165"/>
        <v>0</v>
      </c>
    </row>
    <row r="422" spans="1:17" ht="15" thickBot="1">
      <c r="A422" s="389"/>
      <c r="B422" s="392"/>
      <c r="C422" s="74"/>
      <c r="D422" s="75"/>
      <c r="E422" s="147"/>
      <c r="F422" s="70" t="str">
        <f>IFERROR(VLOOKUP(C422,MATERIAUX!$C$3:$G$1002,3,FALSE),"")</f>
        <v/>
      </c>
      <c r="G422" s="71" t="str">
        <f>IFERROR(VLOOKUP(C422,MATERIAUX!$C$3:$G$1002,5,FALSE),"")</f>
        <v/>
      </c>
      <c r="H422" s="76" t="str">
        <f t="shared" si="168"/>
        <v/>
      </c>
      <c r="I422" s="395"/>
      <c r="J422" s="77"/>
      <c r="K422" s="77"/>
      <c r="L422" s="77"/>
      <c r="M422" s="78"/>
      <c r="N422" s="398"/>
      <c r="O422">
        <f t="shared" si="175"/>
        <v>0</v>
      </c>
      <c r="P422">
        <f t="shared" si="164"/>
        <v>0</v>
      </c>
      <c r="Q422">
        <f t="shared" si="165"/>
        <v>0</v>
      </c>
    </row>
    <row r="423" spans="1:17">
      <c r="A423" s="387" t="s">
        <v>7</v>
      </c>
      <c r="B423" s="390" t="s">
        <v>21</v>
      </c>
      <c r="C423" s="64" t="s">
        <v>121</v>
      </c>
      <c r="D423" s="65">
        <v>1.0249999999999999</v>
      </c>
      <c r="E423" s="145">
        <v>0.1</v>
      </c>
      <c r="F423" s="65" t="str">
        <f>IFERROR(VLOOKUP(C423,MATERIAUX!$C$3:$G$1002,3,FALSE),"")</f>
        <v>m2</v>
      </c>
      <c r="G423" s="66">
        <f>IFERROR(VLOOKUP(C423,MATERIAUX!$C$3:$G$1002,5,FALSE),"")</f>
        <v>2.6721649484536085</v>
      </c>
      <c r="H423" s="66">
        <f t="shared" si="168"/>
        <v>3.01</v>
      </c>
      <c r="I423" s="393">
        <f>SUM(H423:H432)</f>
        <v>5.3</v>
      </c>
      <c r="J423" s="67" t="s">
        <v>60</v>
      </c>
      <c r="K423" s="67">
        <v>1</v>
      </c>
      <c r="L423" s="67">
        <f>IFERROR(VLOOKUP(J423,'MAIN D OEUVRE'!$A$4:$B$99,2,FALSE)*$N$2,"")</f>
        <v>0.82500000000000007</v>
      </c>
      <c r="M423" s="68">
        <f t="shared" ref="M423:M460" si="176">IFERROR(ROUND(L423*K423,2),"")</f>
        <v>0.83</v>
      </c>
      <c r="N423" s="396">
        <f>SUM(M423:M432)</f>
        <v>0.83</v>
      </c>
      <c r="O423" s="350">
        <v>0</v>
      </c>
      <c r="P423">
        <f t="shared" si="164"/>
        <v>0</v>
      </c>
      <c r="Q423">
        <f t="shared" si="165"/>
        <v>0</v>
      </c>
    </row>
    <row r="424" spans="1:17">
      <c r="A424" s="388"/>
      <c r="B424" s="391"/>
      <c r="C424" s="69" t="s">
        <v>83</v>
      </c>
      <c r="D424" s="70">
        <v>15</v>
      </c>
      <c r="E424" s="146">
        <v>0</v>
      </c>
      <c r="F424" s="70" t="str">
        <f>IFERROR(VLOOKUP(C424,MATERIAUX!$C$3:$G$1002,3,FALSE),"")</f>
        <v>u</v>
      </c>
      <c r="G424" s="71">
        <f>IFERROR(VLOOKUP(C424,MATERIAUX!$C$3:$G$1002,5,FALSE),"")</f>
        <v>0.15257731958762888</v>
      </c>
      <c r="H424" s="71">
        <f t="shared" si="168"/>
        <v>2.29</v>
      </c>
      <c r="I424" s="394"/>
      <c r="J424" s="72"/>
      <c r="K424" s="72"/>
      <c r="L424" s="72" t="str">
        <f>IFERROR(VLOOKUP(J424,'MAIN D OEUVRE'!$A$4:$B$99,2,FALSE)*$N$2,"")</f>
        <v/>
      </c>
      <c r="M424" s="73" t="str">
        <f t="shared" si="176"/>
        <v/>
      </c>
      <c r="N424" s="397"/>
      <c r="O424">
        <f>O423</f>
        <v>0</v>
      </c>
      <c r="P424">
        <f t="shared" si="164"/>
        <v>0</v>
      </c>
      <c r="Q424">
        <f t="shared" si="165"/>
        <v>0</v>
      </c>
    </row>
    <row r="425" spans="1:17">
      <c r="A425" s="388"/>
      <c r="B425" s="391"/>
      <c r="C425" s="69"/>
      <c r="D425" s="70"/>
      <c r="E425" s="146"/>
      <c r="F425" s="70" t="str">
        <f>IFERROR(VLOOKUP(C425,MATERIAUX!$C$3:$G$1002,3,FALSE),"")</f>
        <v/>
      </c>
      <c r="G425" s="71" t="str">
        <f>IFERROR(VLOOKUP(C425,MATERIAUX!$C$3:$G$1002,5,FALSE),"")</f>
        <v/>
      </c>
      <c r="H425" s="71" t="str">
        <f t="shared" si="168"/>
        <v/>
      </c>
      <c r="I425" s="394"/>
      <c r="J425" s="72"/>
      <c r="K425" s="72"/>
      <c r="L425" s="72" t="str">
        <f>IFERROR(VLOOKUP(J425,'MAIN D OEUVRE'!$A$4:$B$99,2,FALSE)*$N$2,"")</f>
        <v/>
      </c>
      <c r="M425" s="73" t="str">
        <f t="shared" si="176"/>
        <v/>
      </c>
      <c r="N425" s="397"/>
      <c r="O425">
        <f t="shared" ref="O425:O432" si="177">O424</f>
        <v>0</v>
      </c>
      <c r="P425">
        <f t="shared" si="164"/>
        <v>0</v>
      </c>
      <c r="Q425">
        <f t="shared" si="165"/>
        <v>0</v>
      </c>
    </row>
    <row r="426" spans="1:17">
      <c r="A426" s="388"/>
      <c r="B426" s="391"/>
      <c r="C426" s="69"/>
      <c r="D426" s="70"/>
      <c r="E426" s="146"/>
      <c r="F426" s="70" t="str">
        <f>IFERROR(VLOOKUP(C426,MATERIAUX!$C$3:$G$1002,3,FALSE),"")</f>
        <v/>
      </c>
      <c r="G426" s="71" t="str">
        <f>IFERROR(VLOOKUP(C426,MATERIAUX!$C$3:$G$1002,5,FALSE),"")</f>
        <v/>
      </c>
      <c r="H426" s="71" t="str">
        <f t="shared" si="168"/>
        <v/>
      </c>
      <c r="I426" s="394"/>
      <c r="J426" s="72"/>
      <c r="K426" s="72"/>
      <c r="L426" s="72" t="str">
        <f>IFERROR(VLOOKUP(J426,'MAIN D OEUVRE'!$A$4:$B$99,2,FALSE)*$N$2,"")</f>
        <v/>
      </c>
      <c r="M426" s="73" t="str">
        <f t="shared" si="176"/>
        <v/>
      </c>
      <c r="N426" s="397"/>
      <c r="O426">
        <f t="shared" si="177"/>
        <v>0</v>
      </c>
      <c r="P426">
        <f t="shared" si="164"/>
        <v>0</v>
      </c>
      <c r="Q426">
        <f t="shared" si="165"/>
        <v>0</v>
      </c>
    </row>
    <row r="427" spans="1:17">
      <c r="A427" s="388"/>
      <c r="B427" s="391"/>
      <c r="C427" s="69"/>
      <c r="D427" s="70"/>
      <c r="E427" s="146"/>
      <c r="F427" s="70" t="str">
        <f>IFERROR(VLOOKUP(C427,MATERIAUX!$C$3:$G$1002,3,FALSE),"")</f>
        <v/>
      </c>
      <c r="G427" s="71" t="str">
        <f>IFERROR(VLOOKUP(C427,MATERIAUX!$C$3:$G$1002,5,FALSE),"")</f>
        <v/>
      </c>
      <c r="H427" s="71" t="str">
        <f t="shared" si="168"/>
        <v/>
      </c>
      <c r="I427" s="394"/>
      <c r="J427" s="72"/>
      <c r="K427" s="72"/>
      <c r="L427" s="72" t="str">
        <f>IFERROR(VLOOKUP(J427,'MAIN D OEUVRE'!$A$4:$B$99,2,FALSE)*$N$2,"")</f>
        <v/>
      </c>
      <c r="M427" s="73" t="str">
        <f t="shared" si="176"/>
        <v/>
      </c>
      <c r="N427" s="397"/>
      <c r="O427">
        <f t="shared" si="177"/>
        <v>0</v>
      </c>
      <c r="P427">
        <f t="shared" si="164"/>
        <v>0</v>
      </c>
      <c r="Q427">
        <f t="shared" si="165"/>
        <v>0</v>
      </c>
    </row>
    <row r="428" spans="1:17">
      <c r="A428" s="388"/>
      <c r="B428" s="391"/>
      <c r="C428" s="69"/>
      <c r="D428" s="70"/>
      <c r="E428" s="146"/>
      <c r="F428" s="70" t="str">
        <f>IFERROR(VLOOKUP(C428,MATERIAUX!$C$3:$G$1002,3,FALSE),"")</f>
        <v/>
      </c>
      <c r="G428" s="71" t="str">
        <f>IFERROR(VLOOKUP(C428,MATERIAUX!$C$3:$G$1002,5,FALSE),"")</f>
        <v/>
      </c>
      <c r="H428" s="71" t="str">
        <f t="shared" si="168"/>
        <v/>
      </c>
      <c r="I428" s="394"/>
      <c r="J428" s="72"/>
      <c r="K428" s="72"/>
      <c r="L428" s="72" t="str">
        <f>IFERROR(VLOOKUP(J428,'MAIN D OEUVRE'!$A$4:$B$99,2,FALSE)*$N$2,"")</f>
        <v/>
      </c>
      <c r="M428" s="73" t="str">
        <f t="shared" si="176"/>
        <v/>
      </c>
      <c r="N428" s="397"/>
      <c r="O428">
        <f t="shared" si="177"/>
        <v>0</v>
      </c>
      <c r="P428">
        <f t="shared" si="164"/>
        <v>0</v>
      </c>
      <c r="Q428">
        <f t="shared" si="165"/>
        <v>0</v>
      </c>
    </row>
    <row r="429" spans="1:17">
      <c r="A429" s="388"/>
      <c r="B429" s="391"/>
      <c r="C429" s="69"/>
      <c r="D429" s="70"/>
      <c r="E429" s="146"/>
      <c r="F429" s="70" t="str">
        <f>IFERROR(VLOOKUP(C429,MATERIAUX!$C$3:$G$1002,3,FALSE),"")</f>
        <v/>
      </c>
      <c r="G429" s="71" t="str">
        <f>IFERROR(VLOOKUP(C429,MATERIAUX!$C$3:$G$1002,5,FALSE),"")</f>
        <v/>
      </c>
      <c r="H429" s="71" t="str">
        <f t="shared" si="168"/>
        <v/>
      </c>
      <c r="I429" s="394"/>
      <c r="J429" s="72"/>
      <c r="K429" s="72"/>
      <c r="L429" s="72" t="str">
        <f>IFERROR(VLOOKUP(J429,'MAIN D OEUVRE'!$A$4:$B$99,2,FALSE)*$N$2,"")</f>
        <v/>
      </c>
      <c r="M429" s="73" t="str">
        <f t="shared" si="176"/>
        <v/>
      </c>
      <c r="N429" s="397"/>
      <c r="O429">
        <f t="shared" si="177"/>
        <v>0</v>
      </c>
      <c r="P429">
        <f t="shared" si="164"/>
        <v>0</v>
      </c>
      <c r="Q429">
        <f t="shared" si="165"/>
        <v>0</v>
      </c>
    </row>
    <row r="430" spans="1:17">
      <c r="A430" s="388"/>
      <c r="B430" s="391"/>
      <c r="C430" s="69"/>
      <c r="D430" s="70"/>
      <c r="E430" s="146"/>
      <c r="F430" s="70" t="str">
        <f>IFERROR(VLOOKUP(C430,MATERIAUX!$C$3:$G$1002,3,FALSE),"")</f>
        <v/>
      </c>
      <c r="G430" s="71" t="str">
        <f>IFERROR(VLOOKUP(C430,MATERIAUX!$C$3:$G$1002,5,FALSE),"")</f>
        <v/>
      </c>
      <c r="H430" s="71" t="str">
        <f t="shared" si="168"/>
        <v/>
      </c>
      <c r="I430" s="394"/>
      <c r="J430" s="72"/>
      <c r="K430" s="72"/>
      <c r="L430" s="72" t="str">
        <f>IFERROR(VLOOKUP(J430,'MAIN D OEUVRE'!$A$4:$B$99,2,FALSE)*$N$2,"")</f>
        <v/>
      </c>
      <c r="M430" s="73" t="str">
        <f t="shared" si="176"/>
        <v/>
      </c>
      <c r="N430" s="397"/>
      <c r="O430">
        <f t="shared" si="177"/>
        <v>0</v>
      </c>
      <c r="P430">
        <f t="shared" si="164"/>
        <v>0</v>
      </c>
      <c r="Q430">
        <f t="shared" si="165"/>
        <v>0</v>
      </c>
    </row>
    <row r="431" spans="1:17">
      <c r="A431" s="388"/>
      <c r="B431" s="391"/>
      <c r="C431" s="69"/>
      <c r="D431" s="70"/>
      <c r="E431" s="146"/>
      <c r="F431" s="70" t="str">
        <f>IFERROR(VLOOKUP(C431,MATERIAUX!$C$3:$G$1002,3,FALSE),"")</f>
        <v/>
      </c>
      <c r="G431" s="71" t="str">
        <f>IFERROR(VLOOKUP(C431,MATERIAUX!$C$3:$G$1002,5,FALSE),"")</f>
        <v/>
      </c>
      <c r="H431" s="71" t="str">
        <f t="shared" si="168"/>
        <v/>
      </c>
      <c r="I431" s="394"/>
      <c r="J431" s="72"/>
      <c r="K431" s="72"/>
      <c r="L431" s="72"/>
      <c r="M431" s="73"/>
      <c r="N431" s="397"/>
      <c r="O431">
        <f t="shared" si="177"/>
        <v>0</v>
      </c>
      <c r="P431">
        <f t="shared" ref="P431:P494" si="178">(D431+D431*E431)*O431</f>
        <v>0</v>
      </c>
      <c r="Q431">
        <f t="shared" ref="Q431:Q494" si="179">IF(P431=0,0,P431*G431)</f>
        <v>0</v>
      </c>
    </row>
    <row r="432" spans="1:17" ht="15" thickBot="1">
      <c r="A432" s="389"/>
      <c r="B432" s="392"/>
      <c r="C432" s="74"/>
      <c r="D432" s="75"/>
      <c r="E432" s="147"/>
      <c r="F432" s="70" t="str">
        <f>IFERROR(VLOOKUP(C432,MATERIAUX!$C$3:$G$1002,3,FALSE),"")</f>
        <v/>
      </c>
      <c r="G432" s="71" t="str">
        <f>IFERROR(VLOOKUP(C432,MATERIAUX!$C$3:$G$1002,5,FALSE),"")</f>
        <v/>
      </c>
      <c r="H432" s="76" t="str">
        <f t="shared" si="168"/>
        <v/>
      </c>
      <c r="I432" s="395"/>
      <c r="J432" s="77"/>
      <c r="K432" s="77"/>
      <c r="L432" s="77"/>
      <c r="M432" s="78"/>
      <c r="N432" s="398"/>
      <c r="O432">
        <f t="shared" si="177"/>
        <v>0</v>
      </c>
      <c r="P432">
        <f t="shared" si="178"/>
        <v>0</v>
      </c>
      <c r="Q432">
        <f t="shared" si="179"/>
        <v>0</v>
      </c>
    </row>
    <row r="433" spans="1:17">
      <c r="A433" s="387" t="s">
        <v>8</v>
      </c>
      <c r="B433" s="390" t="s">
        <v>21</v>
      </c>
      <c r="C433" s="64" t="s">
        <v>8</v>
      </c>
      <c r="D433" s="65">
        <v>1.0249999999999999</v>
      </c>
      <c r="E433" s="145">
        <v>0.1</v>
      </c>
      <c r="F433" s="65" t="str">
        <f>IFERROR(VLOOKUP(C433,MATERIAUX!$C$3:$G$1002,3,FALSE),"")</f>
        <v>m2</v>
      </c>
      <c r="G433" s="66">
        <f>IFERROR(VLOOKUP(C433,MATERIAUX!$C$3:$G$1002,5,FALSE),"")</f>
        <v>8.0309278350515481</v>
      </c>
      <c r="H433" s="66">
        <f t="shared" si="168"/>
        <v>9.0500000000000007</v>
      </c>
      <c r="I433" s="393">
        <f>SUM(H433:H442)</f>
        <v>14.700000000000001</v>
      </c>
      <c r="J433" s="67" t="s">
        <v>60</v>
      </c>
      <c r="K433" s="67">
        <v>1</v>
      </c>
      <c r="L433" s="67">
        <f>IFERROR(VLOOKUP(J433,'MAIN D OEUVRE'!$A$4:$B$99,2,FALSE)*$N$2,"")</f>
        <v>0.82500000000000007</v>
      </c>
      <c r="M433" s="68">
        <f t="shared" ref="M433:M440" si="180">IFERROR(ROUND(L433*K433,2),"")</f>
        <v>0.83</v>
      </c>
      <c r="N433" s="396">
        <f>SUM(M433:M442)</f>
        <v>0.83</v>
      </c>
      <c r="O433" s="350">
        <v>0</v>
      </c>
      <c r="P433">
        <f t="shared" si="178"/>
        <v>0</v>
      </c>
      <c r="Q433">
        <f t="shared" si="179"/>
        <v>0</v>
      </c>
    </row>
    <row r="434" spans="1:17">
      <c r="A434" s="388"/>
      <c r="B434" s="391"/>
      <c r="C434" s="69" t="s">
        <v>83</v>
      </c>
      <c r="D434" s="70">
        <v>37</v>
      </c>
      <c r="E434" s="146">
        <v>0</v>
      </c>
      <c r="F434" s="70" t="str">
        <f>IFERROR(VLOOKUP(C434,MATERIAUX!$C$3:$G$1002,3,FALSE),"")</f>
        <v>u</v>
      </c>
      <c r="G434" s="71">
        <f>IFERROR(VLOOKUP(C434,MATERIAUX!$C$3:$G$1002,5,FALSE),"")</f>
        <v>0.15257731958762888</v>
      </c>
      <c r="H434" s="71">
        <f t="shared" si="168"/>
        <v>5.65</v>
      </c>
      <c r="I434" s="394"/>
      <c r="J434" s="72"/>
      <c r="K434" s="72"/>
      <c r="L434" s="72" t="str">
        <f>IFERROR(VLOOKUP(J434,'MAIN D OEUVRE'!$A$4:$B$99,2,FALSE)*$N$2,"")</f>
        <v/>
      </c>
      <c r="M434" s="73" t="str">
        <f t="shared" si="180"/>
        <v/>
      </c>
      <c r="N434" s="397"/>
      <c r="O434">
        <f>O433</f>
        <v>0</v>
      </c>
      <c r="P434">
        <f t="shared" si="178"/>
        <v>0</v>
      </c>
      <c r="Q434">
        <f t="shared" si="179"/>
        <v>0</v>
      </c>
    </row>
    <row r="435" spans="1:17">
      <c r="A435" s="388"/>
      <c r="B435" s="391"/>
      <c r="C435" s="69"/>
      <c r="D435" s="70"/>
      <c r="E435" s="146"/>
      <c r="F435" s="70" t="str">
        <f>IFERROR(VLOOKUP(C435,MATERIAUX!$C$3:$G$1002,3,FALSE),"")</f>
        <v/>
      </c>
      <c r="G435" s="71" t="str">
        <f>IFERROR(VLOOKUP(C435,MATERIAUX!$C$3:$G$1002,5,FALSE),"")</f>
        <v/>
      </c>
      <c r="H435" s="71" t="str">
        <f t="shared" si="168"/>
        <v/>
      </c>
      <c r="I435" s="394"/>
      <c r="J435" s="72"/>
      <c r="K435" s="72"/>
      <c r="L435" s="72" t="str">
        <f>IFERROR(VLOOKUP(J435,'MAIN D OEUVRE'!$A$4:$B$99,2,FALSE)*$N$2,"")</f>
        <v/>
      </c>
      <c r="M435" s="73" t="str">
        <f t="shared" si="180"/>
        <v/>
      </c>
      <c r="N435" s="397"/>
      <c r="O435">
        <f t="shared" ref="O435:O442" si="181">O434</f>
        <v>0</v>
      </c>
      <c r="P435">
        <f t="shared" si="178"/>
        <v>0</v>
      </c>
      <c r="Q435">
        <f t="shared" si="179"/>
        <v>0</v>
      </c>
    </row>
    <row r="436" spans="1:17">
      <c r="A436" s="388"/>
      <c r="B436" s="391"/>
      <c r="C436" s="69"/>
      <c r="D436" s="70"/>
      <c r="E436" s="146"/>
      <c r="F436" s="70" t="str">
        <f>IFERROR(VLOOKUP(C436,MATERIAUX!$C$3:$G$1002,3,FALSE),"")</f>
        <v/>
      </c>
      <c r="G436" s="71" t="str">
        <f>IFERROR(VLOOKUP(C436,MATERIAUX!$C$3:$G$1002,5,FALSE),"")</f>
        <v/>
      </c>
      <c r="H436" s="71" t="str">
        <f t="shared" si="168"/>
        <v/>
      </c>
      <c r="I436" s="394"/>
      <c r="J436" s="72"/>
      <c r="K436" s="72"/>
      <c r="L436" s="72" t="str">
        <f>IFERROR(VLOOKUP(J436,'MAIN D OEUVRE'!$A$4:$B$99,2,FALSE)*$N$2,"")</f>
        <v/>
      </c>
      <c r="M436" s="73" t="str">
        <f t="shared" si="180"/>
        <v/>
      </c>
      <c r="N436" s="397"/>
      <c r="O436">
        <f t="shared" si="181"/>
        <v>0</v>
      </c>
      <c r="P436">
        <f t="shared" si="178"/>
        <v>0</v>
      </c>
      <c r="Q436">
        <f t="shared" si="179"/>
        <v>0</v>
      </c>
    </row>
    <row r="437" spans="1:17">
      <c r="A437" s="388"/>
      <c r="B437" s="391"/>
      <c r="C437" s="69"/>
      <c r="D437" s="70"/>
      <c r="E437" s="146"/>
      <c r="F437" s="70" t="str">
        <f>IFERROR(VLOOKUP(C437,MATERIAUX!$C$3:$G$1002,3,FALSE),"")</f>
        <v/>
      </c>
      <c r="G437" s="71" t="str">
        <f>IFERROR(VLOOKUP(C437,MATERIAUX!$C$3:$G$1002,5,FALSE),"")</f>
        <v/>
      </c>
      <c r="H437" s="71" t="str">
        <f t="shared" si="168"/>
        <v/>
      </c>
      <c r="I437" s="394"/>
      <c r="J437" s="72"/>
      <c r="K437" s="72"/>
      <c r="L437" s="72" t="str">
        <f>IFERROR(VLOOKUP(J437,'MAIN D OEUVRE'!$A$4:$B$99,2,FALSE)*$N$2,"")</f>
        <v/>
      </c>
      <c r="M437" s="73" t="str">
        <f t="shared" si="180"/>
        <v/>
      </c>
      <c r="N437" s="397"/>
      <c r="O437">
        <f t="shared" si="181"/>
        <v>0</v>
      </c>
      <c r="P437">
        <f t="shared" si="178"/>
        <v>0</v>
      </c>
      <c r="Q437">
        <f t="shared" si="179"/>
        <v>0</v>
      </c>
    </row>
    <row r="438" spans="1:17">
      <c r="A438" s="388"/>
      <c r="B438" s="391"/>
      <c r="C438" s="69"/>
      <c r="D438" s="70"/>
      <c r="E438" s="146"/>
      <c r="F438" s="70" t="str">
        <f>IFERROR(VLOOKUP(C438,MATERIAUX!$C$3:$G$1002,3,FALSE),"")</f>
        <v/>
      </c>
      <c r="G438" s="71" t="str">
        <f>IFERROR(VLOOKUP(C438,MATERIAUX!$C$3:$G$1002,5,FALSE),"")</f>
        <v/>
      </c>
      <c r="H438" s="71" t="str">
        <f t="shared" si="168"/>
        <v/>
      </c>
      <c r="I438" s="394"/>
      <c r="J438" s="72"/>
      <c r="K438" s="72"/>
      <c r="L438" s="72" t="str">
        <f>IFERROR(VLOOKUP(J438,'MAIN D OEUVRE'!$A$4:$B$99,2,FALSE)*$N$2,"")</f>
        <v/>
      </c>
      <c r="M438" s="73" t="str">
        <f t="shared" si="180"/>
        <v/>
      </c>
      <c r="N438" s="397"/>
      <c r="O438">
        <f t="shared" si="181"/>
        <v>0</v>
      </c>
      <c r="P438">
        <f t="shared" si="178"/>
        <v>0</v>
      </c>
      <c r="Q438">
        <f t="shared" si="179"/>
        <v>0</v>
      </c>
    </row>
    <row r="439" spans="1:17">
      <c r="A439" s="388"/>
      <c r="B439" s="391"/>
      <c r="C439" s="69"/>
      <c r="D439" s="70"/>
      <c r="E439" s="146"/>
      <c r="F439" s="70" t="str">
        <f>IFERROR(VLOOKUP(C439,MATERIAUX!$C$3:$G$1002,3,FALSE),"")</f>
        <v/>
      </c>
      <c r="G439" s="71" t="str">
        <f>IFERROR(VLOOKUP(C439,MATERIAUX!$C$3:$G$1002,5,FALSE),"")</f>
        <v/>
      </c>
      <c r="H439" s="71" t="str">
        <f t="shared" si="168"/>
        <v/>
      </c>
      <c r="I439" s="394"/>
      <c r="J439" s="72"/>
      <c r="K439" s="72"/>
      <c r="L439" s="72" t="str">
        <f>IFERROR(VLOOKUP(J439,'MAIN D OEUVRE'!$A$4:$B$99,2,FALSE)*$N$2,"")</f>
        <v/>
      </c>
      <c r="M439" s="73" t="str">
        <f t="shared" si="180"/>
        <v/>
      </c>
      <c r="N439" s="397"/>
      <c r="O439">
        <f t="shared" si="181"/>
        <v>0</v>
      </c>
      <c r="P439">
        <f t="shared" si="178"/>
        <v>0</v>
      </c>
      <c r="Q439">
        <f t="shared" si="179"/>
        <v>0</v>
      </c>
    </row>
    <row r="440" spans="1:17">
      <c r="A440" s="388"/>
      <c r="B440" s="391"/>
      <c r="C440" s="69"/>
      <c r="D440" s="70"/>
      <c r="E440" s="146"/>
      <c r="F440" s="70" t="str">
        <f>IFERROR(VLOOKUP(C440,MATERIAUX!$C$3:$G$1002,3,FALSE),"")</f>
        <v/>
      </c>
      <c r="G440" s="71" t="str">
        <f>IFERROR(VLOOKUP(C440,MATERIAUX!$C$3:$G$1002,5,FALSE),"")</f>
        <v/>
      </c>
      <c r="H440" s="71" t="str">
        <f t="shared" si="168"/>
        <v/>
      </c>
      <c r="I440" s="394"/>
      <c r="J440" s="72"/>
      <c r="K440" s="72"/>
      <c r="L440" s="72" t="str">
        <f>IFERROR(VLOOKUP(J440,'MAIN D OEUVRE'!$A$4:$B$99,2,FALSE)*$N$2,"")</f>
        <v/>
      </c>
      <c r="M440" s="73" t="str">
        <f t="shared" si="180"/>
        <v/>
      </c>
      <c r="N440" s="397"/>
      <c r="O440">
        <f t="shared" si="181"/>
        <v>0</v>
      </c>
      <c r="P440">
        <f t="shared" si="178"/>
        <v>0</v>
      </c>
      <c r="Q440">
        <f t="shared" si="179"/>
        <v>0</v>
      </c>
    </row>
    <row r="441" spans="1:17">
      <c r="A441" s="388"/>
      <c r="B441" s="391"/>
      <c r="C441" s="69"/>
      <c r="D441" s="70"/>
      <c r="E441" s="146"/>
      <c r="F441" s="70" t="str">
        <f>IFERROR(VLOOKUP(C441,MATERIAUX!$C$3:$G$1002,3,FALSE),"")</f>
        <v/>
      </c>
      <c r="G441" s="71" t="str">
        <f>IFERROR(VLOOKUP(C441,MATERIAUX!$C$3:$G$1002,5,FALSE),"")</f>
        <v/>
      </c>
      <c r="H441" s="71" t="str">
        <f t="shared" si="168"/>
        <v/>
      </c>
      <c r="I441" s="394"/>
      <c r="J441" s="72"/>
      <c r="K441" s="72"/>
      <c r="L441" s="72"/>
      <c r="M441" s="73"/>
      <c r="N441" s="397"/>
      <c r="O441">
        <f t="shared" si="181"/>
        <v>0</v>
      </c>
      <c r="P441">
        <f t="shared" si="178"/>
        <v>0</v>
      </c>
      <c r="Q441">
        <f t="shared" si="179"/>
        <v>0</v>
      </c>
    </row>
    <row r="442" spans="1:17" ht="15" thickBot="1">
      <c r="A442" s="389"/>
      <c r="B442" s="392"/>
      <c r="C442" s="74"/>
      <c r="D442" s="75"/>
      <c r="E442" s="147"/>
      <c r="F442" s="70" t="str">
        <f>IFERROR(VLOOKUP(C442,MATERIAUX!$C$3:$G$1002,3,FALSE),"")</f>
        <v/>
      </c>
      <c r="G442" s="71" t="str">
        <f>IFERROR(VLOOKUP(C442,MATERIAUX!$C$3:$G$1002,5,FALSE),"")</f>
        <v/>
      </c>
      <c r="H442" s="76" t="str">
        <f t="shared" si="168"/>
        <v/>
      </c>
      <c r="I442" s="395"/>
      <c r="J442" s="77"/>
      <c r="K442" s="77"/>
      <c r="L442" s="77"/>
      <c r="M442" s="78"/>
      <c r="N442" s="398"/>
      <c r="O442">
        <f t="shared" si="181"/>
        <v>0</v>
      </c>
      <c r="P442">
        <f t="shared" si="178"/>
        <v>0</v>
      </c>
      <c r="Q442">
        <f t="shared" si="179"/>
        <v>0</v>
      </c>
    </row>
    <row r="443" spans="1:17">
      <c r="A443" s="387" t="s">
        <v>50</v>
      </c>
      <c r="B443" s="390" t="s">
        <v>21</v>
      </c>
      <c r="C443" s="64" t="s">
        <v>0</v>
      </c>
      <c r="D443" s="65">
        <v>1.0249999999999999</v>
      </c>
      <c r="E443" s="145">
        <v>1</v>
      </c>
      <c r="F443" s="65" t="str">
        <f>IFERROR(VLOOKUP(C443,MATERIAUX!$C$3:$G$1002,3,FALSE),"")</f>
        <v>m2</v>
      </c>
      <c r="G443" s="66">
        <f>IFERROR(VLOOKUP(C443,MATERIAUX!$C$3:$G$1002,5,FALSE),"")</f>
        <v>15.437113402061858</v>
      </c>
      <c r="H443" s="66">
        <f t="shared" si="168"/>
        <v>31.65</v>
      </c>
      <c r="I443" s="393">
        <f>SUM(H443:H452)</f>
        <v>33.989999999999995</v>
      </c>
      <c r="J443" s="67" t="s">
        <v>54</v>
      </c>
      <c r="K443" s="67">
        <v>1</v>
      </c>
      <c r="L443" s="67">
        <f>IFERROR(VLOOKUP(J443,'MAIN D OEUVRE'!$A$4:$B$99,2,FALSE)*$N$2,"")</f>
        <v>1.1000000000000001</v>
      </c>
      <c r="M443" s="68">
        <f t="shared" ref="M443:M450" si="182">IFERROR(ROUND(L443*K443,2),"")</f>
        <v>1.1000000000000001</v>
      </c>
      <c r="N443" s="396">
        <f>SUM(M443:M452)</f>
        <v>1.87</v>
      </c>
      <c r="O443" s="350">
        <v>0</v>
      </c>
      <c r="P443">
        <f t="shared" si="178"/>
        <v>0</v>
      </c>
      <c r="Q443">
        <f t="shared" si="179"/>
        <v>0</v>
      </c>
    </row>
    <row r="444" spans="1:17">
      <c r="A444" s="388"/>
      <c r="B444" s="391"/>
      <c r="C444" s="69" t="s">
        <v>79</v>
      </c>
      <c r="D444" s="70">
        <v>0.03</v>
      </c>
      <c r="E444" s="146">
        <v>0.1</v>
      </c>
      <c r="F444" s="70" t="str">
        <f>IFERROR(VLOOKUP(C444,MATERIAUX!$C$3:$G$1002,3,FALSE),"")</f>
        <v>l</v>
      </c>
      <c r="G444" s="71">
        <f>IFERROR(VLOOKUP(C444,MATERIAUX!$C$3:$G$1002,5,FALSE),"")</f>
        <v>6.804123711340207E-2</v>
      </c>
      <c r="H444" s="71">
        <f t="shared" si="168"/>
        <v>0</v>
      </c>
      <c r="I444" s="394"/>
      <c r="J444" s="72" t="s">
        <v>55</v>
      </c>
      <c r="K444" s="72">
        <v>1</v>
      </c>
      <c r="L444" s="72">
        <f>IFERROR(VLOOKUP(J444,'MAIN D OEUVRE'!$A$4:$B$99,2,FALSE)*$N$2,"")</f>
        <v>0.44000000000000006</v>
      </c>
      <c r="M444" s="73">
        <f t="shared" si="182"/>
        <v>0.44</v>
      </c>
      <c r="N444" s="397"/>
      <c r="O444">
        <f>O443</f>
        <v>0</v>
      </c>
      <c r="P444">
        <f t="shared" si="178"/>
        <v>0</v>
      </c>
      <c r="Q444">
        <f t="shared" si="179"/>
        <v>0</v>
      </c>
    </row>
    <row r="445" spans="1:17">
      <c r="A445" s="388"/>
      <c r="B445" s="391"/>
      <c r="C445" s="69" t="s">
        <v>105</v>
      </c>
      <c r="D445" s="70">
        <v>1.0249999999999999</v>
      </c>
      <c r="E445" s="146">
        <v>0</v>
      </c>
      <c r="F445" s="70" t="str">
        <f>IFERROR(VLOOKUP(C445,MATERIAUX!$C$3:$G$1002,3,FALSE),"")</f>
        <v>m2</v>
      </c>
      <c r="G445" s="71">
        <f>IFERROR(VLOOKUP(C445,MATERIAUX!$C$3:$G$1002,5,FALSE),"")</f>
        <v>0.98969072164948457</v>
      </c>
      <c r="H445" s="71">
        <f t="shared" si="168"/>
        <v>1.01</v>
      </c>
      <c r="I445" s="394"/>
      <c r="J445" s="72" t="s">
        <v>56</v>
      </c>
      <c r="K445" s="72">
        <v>1</v>
      </c>
      <c r="L445" s="72">
        <f>IFERROR(VLOOKUP(J445,'MAIN D OEUVRE'!$A$4:$B$99,2,FALSE)*$N$2,"")</f>
        <v>0.33</v>
      </c>
      <c r="M445" s="73">
        <f t="shared" si="182"/>
        <v>0.33</v>
      </c>
      <c r="N445" s="397"/>
      <c r="O445">
        <f t="shared" ref="O445:O452" si="183">O444</f>
        <v>0</v>
      </c>
      <c r="P445">
        <f t="shared" si="178"/>
        <v>0</v>
      </c>
      <c r="Q445">
        <f t="shared" si="179"/>
        <v>0</v>
      </c>
    </row>
    <row r="446" spans="1:17">
      <c r="A446" s="388"/>
      <c r="B446" s="391"/>
      <c r="C446" s="69" t="s">
        <v>108</v>
      </c>
      <c r="D446" s="70">
        <f>3.5*2</f>
        <v>7</v>
      </c>
      <c r="E446" s="146">
        <v>0</v>
      </c>
      <c r="F446" s="70" t="str">
        <f>IFERROR(VLOOKUP(C446,MATERIAUX!$C$3:$G$1002,3,FALSE),"")</f>
        <v>kg</v>
      </c>
      <c r="G446" s="71">
        <f>IFERROR(VLOOKUP(C446,MATERIAUX!$C$3:$G$1002,5,FALSE),"")</f>
        <v>0.18969072164948456</v>
      </c>
      <c r="H446" s="71">
        <f t="shared" si="168"/>
        <v>1.33</v>
      </c>
      <c r="I446" s="394"/>
      <c r="J446" s="72"/>
      <c r="K446" s="72"/>
      <c r="L446" s="72" t="str">
        <f>IFERROR(VLOOKUP(J446,'MAIN D OEUVRE'!$A$4:$B$99,2,FALSE)*$N$2,"")</f>
        <v/>
      </c>
      <c r="M446" s="73" t="str">
        <f t="shared" si="182"/>
        <v/>
      </c>
      <c r="N446" s="397"/>
      <c r="O446">
        <f t="shared" si="183"/>
        <v>0</v>
      </c>
      <c r="P446">
        <f t="shared" si="178"/>
        <v>0</v>
      </c>
      <c r="Q446">
        <f t="shared" si="179"/>
        <v>0</v>
      </c>
    </row>
    <row r="447" spans="1:17">
      <c r="A447" s="388"/>
      <c r="B447" s="391"/>
      <c r="C447" s="69"/>
      <c r="D447" s="70"/>
      <c r="E447" s="146"/>
      <c r="F447" s="70" t="str">
        <f>IFERROR(VLOOKUP(C447,MATERIAUX!$C$3:$G$1002,3,FALSE),"")</f>
        <v/>
      </c>
      <c r="G447" s="71" t="str">
        <f>IFERROR(VLOOKUP(C447,MATERIAUX!$C$3:$G$1002,5,FALSE),"")</f>
        <v/>
      </c>
      <c r="H447" s="71" t="str">
        <f t="shared" si="168"/>
        <v/>
      </c>
      <c r="I447" s="394"/>
      <c r="J447" s="72"/>
      <c r="K447" s="72"/>
      <c r="L447" s="72" t="str">
        <f>IFERROR(VLOOKUP(J447,'MAIN D OEUVRE'!$A$4:$B$99,2,FALSE)*$N$2,"")</f>
        <v/>
      </c>
      <c r="M447" s="73" t="str">
        <f t="shared" si="182"/>
        <v/>
      </c>
      <c r="N447" s="397"/>
      <c r="O447">
        <f t="shared" si="183"/>
        <v>0</v>
      </c>
      <c r="P447">
        <f t="shared" si="178"/>
        <v>0</v>
      </c>
      <c r="Q447">
        <f t="shared" si="179"/>
        <v>0</v>
      </c>
    </row>
    <row r="448" spans="1:17">
      <c r="A448" s="388"/>
      <c r="B448" s="391"/>
      <c r="C448" s="69"/>
      <c r="D448" s="70"/>
      <c r="E448" s="146"/>
      <c r="F448" s="70" t="str">
        <f>IFERROR(VLOOKUP(C448,MATERIAUX!$C$3:$G$1002,3,FALSE),"")</f>
        <v/>
      </c>
      <c r="G448" s="71" t="str">
        <f>IFERROR(VLOOKUP(C448,MATERIAUX!$C$3:$G$1002,5,FALSE),"")</f>
        <v/>
      </c>
      <c r="H448" s="71" t="str">
        <f t="shared" ref="H448:H501" si="184">IFERROR(ROUND(G448*(1+E448)*D448,2),"")</f>
        <v/>
      </c>
      <c r="I448" s="394"/>
      <c r="J448" s="72"/>
      <c r="K448" s="72"/>
      <c r="L448" s="72" t="str">
        <f>IFERROR(VLOOKUP(J448,'MAIN D OEUVRE'!$A$4:$B$99,2,FALSE)*$N$2,"")</f>
        <v/>
      </c>
      <c r="M448" s="73" t="str">
        <f t="shared" si="182"/>
        <v/>
      </c>
      <c r="N448" s="397"/>
      <c r="O448">
        <f t="shared" si="183"/>
        <v>0</v>
      </c>
      <c r="P448">
        <f t="shared" si="178"/>
        <v>0</v>
      </c>
      <c r="Q448">
        <f t="shared" si="179"/>
        <v>0</v>
      </c>
    </row>
    <row r="449" spans="1:17">
      <c r="A449" s="388"/>
      <c r="B449" s="391"/>
      <c r="C449" s="69"/>
      <c r="D449" s="70"/>
      <c r="E449" s="146"/>
      <c r="F449" s="70" t="str">
        <f>IFERROR(VLOOKUP(C449,MATERIAUX!$C$3:$G$1002,3,FALSE),"")</f>
        <v/>
      </c>
      <c r="G449" s="71" t="str">
        <f>IFERROR(VLOOKUP(C449,MATERIAUX!$C$3:$G$1002,5,FALSE),"")</f>
        <v/>
      </c>
      <c r="H449" s="71" t="str">
        <f t="shared" si="184"/>
        <v/>
      </c>
      <c r="I449" s="394"/>
      <c r="J449" s="72"/>
      <c r="K449" s="72"/>
      <c r="L449" s="72" t="str">
        <f>IFERROR(VLOOKUP(J449,'MAIN D OEUVRE'!$A$4:$B$99,2,FALSE)*$N$2,"")</f>
        <v/>
      </c>
      <c r="M449" s="73" t="str">
        <f t="shared" si="182"/>
        <v/>
      </c>
      <c r="N449" s="397"/>
      <c r="O449">
        <f t="shared" si="183"/>
        <v>0</v>
      </c>
      <c r="P449">
        <f t="shared" si="178"/>
        <v>0</v>
      </c>
      <c r="Q449">
        <f t="shared" si="179"/>
        <v>0</v>
      </c>
    </row>
    <row r="450" spans="1:17">
      <c r="A450" s="388"/>
      <c r="B450" s="391"/>
      <c r="C450" s="69"/>
      <c r="D450" s="70"/>
      <c r="E450" s="146"/>
      <c r="F450" s="70" t="str">
        <f>IFERROR(VLOOKUP(C450,MATERIAUX!$C$3:$G$1002,3,FALSE),"")</f>
        <v/>
      </c>
      <c r="G450" s="71" t="str">
        <f>IFERROR(VLOOKUP(C450,MATERIAUX!$C$3:$G$1002,5,FALSE),"")</f>
        <v/>
      </c>
      <c r="H450" s="71" t="str">
        <f t="shared" si="184"/>
        <v/>
      </c>
      <c r="I450" s="394"/>
      <c r="J450" s="72"/>
      <c r="K450" s="72"/>
      <c r="L450" s="72" t="str">
        <f>IFERROR(VLOOKUP(J450,'MAIN D OEUVRE'!$A$4:$B$99,2,FALSE)*$N$2,"")</f>
        <v/>
      </c>
      <c r="M450" s="73" t="str">
        <f t="shared" si="182"/>
        <v/>
      </c>
      <c r="N450" s="397"/>
      <c r="O450">
        <f t="shared" si="183"/>
        <v>0</v>
      </c>
      <c r="P450">
        <f t="shared" si="178"/>
        <v>0</v>
      </c>
      <c r="Q450">
        <f t="shared" si="179"/>
        <v>0</v>
      </c>
    </row>
    <row r="451" spans="1:17">
      <c r="A451" s="388"/>
      <c r="B451" s="391"/>
      <c r="C451" s="69"/>
      <c r="D451" s="70"/>
      <c r="E451" s="146"/>
      <c r="F451" s="70" t="str">
        <f>IFERROR(VLOOKUP(C451,MATERIAUX!$C$3:$G$1002,3,FALSE),"")</f>
        <v/>
      </c>
      <c r="G451" s="71" t="str">
        <f>IFERROR(VLOOKUP(C451,MATERIAUX!$C$3:$G$1002,5,FALSE),"")</f>
        <v/>
      </c>
      <c r="H451" s="71" t="str">
        <f t="shared" si="184"/>
        <v/>
      </c>
      <c r="I451" s="394"/>
      <c r="J451" s="72"/>
      <c r="K451" s="72"/>
      <c r="L451" s="72"/>
      <c r="M451" s="73"/>
      <c r="N451" s="397"/>
      <c r="O451">
        <f t="shared" si="183"/>
        <v>0</v>
      </c>
      <c r="P451">
        <f t="shared" si="178"/>
        <v>0</v>
      </c>
      <c r="Q451">
        <f t="shared" si="179"/>
        <v>0</v>
      </c>
    </row>
    <row r="452" spans="1:17" ht="15" thickBot="1">
      <c r="A452" s="389"/>
      <c r="B452" s="392"/>
      <c r="C452" s="74"/>
      <c r="D452" s="75"/>
      <c r="E452" s="147"/>
      <c r="F452" s="70" t="str">
        <f>IFERROR(VLOOKUP(C452,MATERIAUX!$C$3:$G$1002,3,FALSE),"")</f>
        <v/>
      </c>
      <c r="G452" s="71" t="str">
        <f>IFERROR(VLOOKUP(C452,MATERIAUX!$C$3:$G$1002,5,FALSE),"")</f>
        <v/>
      </c>
      <c r="H452" s="76" t="str">
        <f t="shared" si="184"/>
        <v/>
      </c>
      <c r="I452" s="395"/>
      <c r="J452" s="77"/>
      <c r="K452" s="77"/>
      <c r="L452" s="77"/>
      <c r="M452" s="78"/>
      <c r="N452" s="398"/>
      <c r="O452">
        <f t="shared" si="183"/>
        <v>0</v>
      </c>
      <c r="P452">
        <f t="shared" si="178"/>
        <v>0</v>
      </c>
      <c r="Q452">
        <f t="shared" si="179"/>
        <v>0</v>
      </c>
    </row>
    <row r="453" spans="1:17">
      <c r="A453" s="387" t="s">
        <v>10</v>
      </c>
      <c r="B453" s="390" t="s">
        <v>21</v>
      </c>
      <c r="C453" s="64" t="s">
        <v>79</v>
      </c>
      <c r="D453" s="65">
        <v>0.03</v>
      </c>
      <c r="E453" s="145">
        <v>0.1</v>
      </c>
      <c r="F453" s="65" t="str">
        <f>IFERROR(VLOOKUP(C453,MATERIAUX!$C$3:$G$1002,3,FALSE),"")</f>
        <v>l</v>
      </c>
      <c r="G453" s="66">
        <f>IFERROR(VLOOKUP(C453,MATERIAUX!$C$3:$G$1002,5,FALSE),"")</f>
        <v>6.804123711340207E-2</v>
      </c>
      <c r="H453" s="66">
        <f t="shared" si="184"/>
        <v>0</v>
      </c>
      <c r="I453" s="393">
        <f>SUM(H453:H462)</f>
        <v>2.34</v>
      </c>
      <c r="J453" s="67" t="s">
        <v>54</v>
      </c>
      <c r="K453" s="67">
        <v>1</v>
      </c>
      <c r="L453" s="67">
        <f>IFERROR(VLOOKUP(J453,'MAIN D OEUVRE'!$A$4:$B$99,2,FALSE)*$N$2,"")</f>
        <v>1.1000000000000001</v>
      </c>
      <c r="M453" s="68">
        <f t="shared" si="176"/>
        <v>1.1000000000000001</v>
      </c>
      <c r="N453" s="396">
        <f>SUM(M453:M462)</f>
        <v>1.87</v>
      </c>
      <c r="O453" s="350">
        <v>0</v>
      </c>
      <c r="P453">
        <f t="shared" si="178"/>
        <v>0</v>
      </c>
      <c r="Q453">
        <f t="shared" si="179"/>
        <v>0</v>
      </c>
    </row>
    <row r="454" spans="1:17">
      <c r="A454" s="388"/>
      <c r="B454" s="391"/>
      <c r="C454" s="69" t="s">
        <v>105</v>
      </c>
      <c r="D454" s="70">
        <v>1.0249999999999999</v>
      </c>
      <c r="E454" s="146">
        <v>0</v>
      </c>
      <c r="F454" s="70" t="str">
        <f>IFERROR(VLOOKUP(C454,MATERIAUX!$C$3:$G$1002,3,FALSE),"")</f>
        <v>m2</v>
      </c>
      <c r="G454" s="71">
        <f>IFERROR(VLOOKUP(C454,MATERIAUX!$C$3:$G$1002,5,FALSE),"")</f>
        <v>0.98969072164948457</v>
      </c>
      <c r="H454" s="71">
        <f t="shared" si="184"/>
        <v>1.01</v>
      </c>
      <c r="I454" s="394"/>
      <c r="J454" s="72" t="s">
        <v>55</v>
      </c>
      <c r="K454" s="72">
        <v>1</v>
      </c>
      <c r="L454" s="72">
        <f>IFERROR(VLOOKUP(J454,'MAIN D OEUVRE'!$A$4:$B$99,2,FALSE)*$N$2,"")</f>
        <v>0.44000000000000006</v>
      </c>
      <c r="M454" s="73">
        <f t="shared" si="176"/>
        <v>0.44</v>
      </c>
      <c r="N454" s="397"/>
      <c r="O454">
        <f>O453</f>
        <v>0</v>
      </c>
      <c r="P454">
        <f t="shared" si="178"/>
        <v>0</v>
      </c>
      <c r="Q454">
        <f t="shared" si="179"/>
        <v>0</v>
      </c>
    </row>
    <row r="455" spans="1:17">
      <c r="A455" s="388"/>
      <c r="B455" s="391"/>
      <c r="C455" s="69" t="s">
        <v>108</v>
      </c>
      <c r="D455" s="70">
        <f>3.5*2</f>
        <v>7</v>
      </c>
      <c r="E455" s="146">
        <v>0</v>
      </c>
      <c r="F455" s="70" t="str">
        <f>IFERROR(VLOOKUP(C455,MATERIAUX!$C$3:$G$1002,3,FALSE),"")</f>
        <v>kg</v>
      </c>
      <c r="G455" s="71">
        <f>IFERROR(VLOOKUP(C455,MATERIAUX!$C$3:$G$1002,5,FALSE),"")</f>
        <v>0.18969072164948456</v>
      </c>
      <c r="H455" s="71">
        <f t="shared" si="184"/>
        <v>1.33</v>
      </c>
      <c r="I455" s="394"/>
      <c r="J455" s="72" t="s">
        <v>56</v>
      </c>
      <c r="K455" s="72">
        <v>1</v>
      </c>
      <c r="L455" s="72">
        <f>IFERROR(VLOOKUP(J455,'MAIN D OEUVRE'!$A$4:$B$99,2,FALSE)*$N$2,"")</f>
        <v>0.33</v>
      </c>
      <c r="M455" s="73">
        <f t="shared" si="176"/>
        <v>0.33</v>
      </c>
      <c r="N455" s="397"/>
      <c r="O455">
        <f t="shared" ref="O455:O462" si="185">O454</f>
        <v>0</v>
      </c>
      <c r="P455">
        <f t="shared" si="178"/>
        <v>0</v>
      </c>
      <c r="Q455">
        <f t="shared" si="179"/>
        <v>0</v>
      </c>
    </row>
    <row r="456" spans="1:17">
      <c r="A456" s="388"/>
      <c r="B456" s="391"/>
      <c r="C456" s="69"/>
      <c r="D456" s="70"/>
      <c r="E456" s="146"/>
      <c r="F456" s="70" t="str">
        <f>IFERROR(VLOOKUP(C456,MATERIAUX!$C$3:$G$1002,3,FALSE),"")</f>
        <v/>
      </c>
      <c r="G456" s="71" t="str">
        <f>IFERROR(VLOOKUP(C456,MATERIAUX!$C$3:$G$1002,5,FALSE),"")</f>
        <v/>
      </c>
      <c r="H456" s="71" t="str">
        <f t="shared" si="184"/>
        <v/>
      </c>
      <c r="I456" s="394"/>
      <c r="J456" s="72"/>
      <c r="K456" s="72"/>
      <c r="L456" s="72" t="str">
        <f>IFERROR(VLOOKUP(J456,'MAIN D OEUVRE'!$A$4:$B$99,2,FALSE)*$N$2,"")</f>
        <v/>
      </c>
      <c r="M456" s="73" t="str">
        <f t="shared" si="176"/>
        <v/>
      </c>
      <c r="N456" s="397"/>
      <c r="O456">
        <f t="shared" si="185"/>
        <v>0</v>
      </c>
      <c r="P456">
        <f t="shared" si="178"/>
        <v>0</v>
      </c>
      <c r="Q456">
        <f t="shared" si="179"/>
        <v>0</v>
      </c>
    </row>
    <row r="457" spans="1:17">
      <c r="A457" s="388"/>
      <c r="B457" s="391"/>
      <c r="C457" s="69"/>
      <c r="D457" s="70"/>
      <c r="E457" s="146"/>
      <c r="F457" s="70" t="str">
        <f>IFERROR(VLOOKUP(C457,MATERIAUX!$C$3:$G$1002,3,FALSE),"")</f>
        <v/>
      </c>
      <c r="G457" s="71" t="str">
        <f>IFERROR(VLOOKUP(C457,MATERIAUX!$C$3:$G$1002,5,FALSE),"")</f>
        <v/>
      </c>
      <c r="H457" s="71" t="str">
        <f t="shared" si="184"/>
        <v/>
      </c>
      <c r="I457" s="394"/>
      <c r="J457" s="72"/>
      <c r="K457" s="72"/>
      <c r="L457" s="72" t="str">
        <f>IFERROR(VLOOKUP(J457,'MAIN D OEUVRE'!$A$4:$B$99,2,FALSE)*$N$2,"")</f>
        <v/>
      </c>
      <c r="M457" s="73" t="str">
        <f t="shared" si="176"/>
        <v/>
      </c>
      <c r="N457" s="397"/>
      <c r="O457">
        <f t="shared" si="185"/>
        <v>0</v>
      </c>
      <c r="P457">
        <f t="shared" si="178"/>
        <v>0</v>
      </c>
      <c r="Q457">
        <f t="shared" si="179"/>
        <v>0</v>
      </c>
    </row>
    <row r="458" spans="1:17">
      <c r="A458" s="388"/>
      <c r="B458" s="391"/>
      <c r="C458" s="69"/>
      <c r="D458" s="70"/>
      <c r="E458" s="146"/>
      <c r="F458" s="70" t="str">
        <f>IFERROR(VLOOKUP(C458,MATERIAUX!$C$3:$G$1002,3,FALSE),"")</f>
        <v/>
      </c>
      <c r="G458" s="71" t="str">
        <f>IFERROR(VLOOKUP(C458,MATERIAUX!$C$3:$G$1002,5,FALSE),"")</f>
        <v/>
      </c>
      <c r="H458" s="71" t="str">
        <f t="shared" si="184"/>
        <v/>
      </c>
      <c r="I458" s="394"/>
      <c r="J458" s="72"/>
      <c r="K458" s="72"/>
      <c r="L458" s="72" t="str">
        <f>IFERROR(VLOOKUP(J458,'MAIN D OEUVRE'!$A$4:$B$99,2,FALSE)*$N$2,"")</f>
        <v/>
      </c>
      <c r="M458" s="73" t="str">
        <f t="shared" si="176"/>
        <v/>
      </c>
      <c r="N458" s="397"/>
      <c r="O458">
        <f t="shared" si="185"/>
        <v>0</v>
      </c>
      <c r="P458">
        <f t="shared" si="178"/>
        <v>0</v>
      </c>
      <c r="Q458">
        <f t="shared" si="179"/>
        <v>0</v>
      </c>
    </row>
    <row r="459" spans="1:17">
      <c r="A459" s="388"/>
      <c r="B459" s="391"/>
      <c r="C459" s="69"/>
      <c r="D459" s="70"/>
      <c r="E459" s="146"/>
      <c r="F459" s="70" t="str">
        <f>IFERROR(VLOOKUP(C459,MATERIAUX!$C$3:$G$1002,3,FALSE),"")</f>
        <v/>
      </c>
      <c r="G459" s="71" t="str">
        <f>IFERROR(VLOOKUP(C459,MATERIAUX!$C$3:$G$1002,5,FALSE),"")</f>
        <v/>
      </c>
      <c r="H459" s="71" t="str">
        <f t="shared" si="184"/>
        <v/>
      </c>
      <c r="I459" s="394"/>
      <c r="J459" s="72"/>
      <c r="K459" s="72"/>
      <c r="L459" s="72" t="str">
        <f>IFERROR(VLOOKUP(J459,'MAIN D OEUVRE'!$A$4:$B$99,2,FALSE)*$N$2,"")</f>
        <v/>
      </c>
      <c r="M459" s="73" t="str">
        <f t="shared" si="176"/>
        <v/>
      </c>
      <c r="N459" s="397"/>
      <c r="O459">
        <f t="shared" si="185"/>
        <v>0</v>
      </c>
      <c r="P459">
        <f t="shared" si="178"/>
        <v>0</v>
      </c>
      <c r="Q459">
        <f t="shared" si="179"/>
        <v>0</v>
      </c>
    </row>
    <row r="460" spans="1:17">
      <c r="A460" s="388"/>
      <c r="B460" s="391"/>
      <c r="C460" s="69"/>
      <c r="D460" s="70"/>
      <c r="E460" s="146"/>
      <c r="F460" s="70" t="str">
        <f>IFERROR(VLOOKUP(C460,MATERIAUX!$C$3:$G$1002,3,FALSE),"")</f>
        <v/>
      </c>
      <c r="G460" s="71" t="str">
        <f>IFERROR(VLOOKUP(C460,MATERIAUX!$C$3:$G$1002,5,FALSE),"")</f>
        <v/>
      </c>
      <c r="H460" s="71" t="str">
        <f t="shared" si="184"/>
        <v/>
      </c>
      <c r="I460" s="394"/>
      <c r="J460" s="72"/>
      <c r="K460" s="72"/>
      <c r="L460" s="72" t="str">
        <f>IFERROR(VLOOKUP(J460,'MAIN D OEUVRE'!$A$4:$B$99,2,FALSE)*$N$2,"")</f>
        <v/>
      </c>
      <c r="M460" s="73" t="str">
        <f t="shared" si="176"/>
        <v/>
      </c>
      <c r="N460" s="397"/>
      <c r="O460">
        <f t="shared" si="185"/>
        <v>0</v>
      </c>
      <c r="P460">
        <f t="shared" si="178"/>
        <v>0</v>
      </c>
      <c r="Q460">
        <f t="shared" si="179"/>
        <v>0</v>
      </c>
    </row>
    <row r="461" spans="1:17">
      <c r="A461" s="388"/>
      <c r="B461" s="391"/>
      <c r="C461" s="69"/>
      <c r="D461" s="70"/>
      <c r="E461" s="146"/>
      <c r="F461" s="70" t="str">
        <f>IFERROR(VLOOKUP(C461,MATERIAUX!$C$3:$G$1002,3,FALSE),"")</f>
        <v/>
      </c>
      <c r="G461" s="71" t="str">
        <f>IFERROR(VLOOKUP(C461,MATERIAUX!$C$3:$G$1002,5,FALSE),"")</f>
        <v/>
      </c>
      <c r="H461" s="71" t="str">
        <f t="shared" si="184"/>
        <v/>
      </c>
      <c r="I461" s="394"/>
      <c r="J461" s="72"/>
      <c r="K461" s="72"/>
      <c r="L461" s="72"/>
      <c r="M461" s="73"/>
      <c r="N461" s="397"/>
      <c r="O461">
        <f t="shared" si="185"/>
        <v>0</v>
      </c>
      <c r="P461">
        <f t="shared" si="178"/>
        <v>0</v>
      </c>
      <c r="Q461">
        <f t="shared" si="179"/>
        <v>0</v>
      </c>
    </row>
    <row r="462" spans="1:17" ht="15" thickBot="1">
      <c r="A462" s="389"/>
      <c r="B462" s="392"/>
      <c r="C462" s="74"/>
      <c r="D462" s="75"/>
      <c r="E462" s="147"/>
      <c r="F462" s="70" t="str">
        <f>IFERROR(VLOOKUP(C462,MATERIAUX!$C$3:$G$1002,3,FALSE),"")</f>
        <v/>
      </c>
      <c r="G462" s="71" t="str">
        <f>IFERROR(VLOOKUP(C462,MATERIAUX!$C$3:$G$1002,5,FALSE),"")</f>
        <v/>
      </c>
      <c r="H462" s="76" t="str">
        <f t="shared" si="184"/>
        <v/>
      </c>
      <c r="I462" s="395"/>
      <c r="J462" s="77"/>
      <c r="K462" s="77"/>
      <c r="L462" s="77"/>
      <c r="M462" s="78"/>
      <c r="N462" s="398"/>
      <c r="O462">
        <f t="shared" si="185"/>
        <v>0</v>
      </c>
      <c r="P462">
        <f t="shared" si="178"/>
        <v>0</v>
      </c>
      <c r="Q462">
        <f t="shared" si="179"/>
        <v>0</v>
      </c>
    </row>
    <row r="463" spans="1:17">
      <c r="A463" s="387" t="s">
        <v>297</v>
      </c>
      <c r="B463" s="390" t="s">
        <v>22</v>
      </c>
      <c r="C463" s="64" t="s">
        <v>9</v>
      </c>
      <c r="D463" s="65">
        <v>1</v>
      </c>
      <c r="E463" s="145">
        <v>0.1</v>
      </c>
      <c r="F463" s="65" t="str">
        <f>IFERROR(VLOOKUP(C463,MATERIAUX!$C$3:$G$1002,3,FALSE),"")</f>
        <v>m3</v>
      </c>
      <c r="G463" s="66">
        <f>IFERROR(VLOOKUP(C463,MATERIAUX!$C$3:$G$1002,5,FALSE),"")</f>
        <v>865.97938144329908</v>
      </c>
      <c r="H463" s="66">
        <f t="shared" si="184"/>
        <v>952.58</v>
      </c>
      <c r="I463" s="393">
        <f>SUM(H463:H472)</f>
        <v>1093.17</v>
      </c>
      <c r="J463" s="67"/>
      <c r="K463" s="67"/>
      <c r="L463" s="67" t="str">
        <f>IFERROR(VLOOKUP(J463,'MAIN D OEUVRE'!$A$4:$B$99,2,FALSE)*$N$2,"")</f>
        <v/>
      </c>
      <c r="M463" s="68" t="str">
        <f t="shared" ref="M463:M470" si="186">IFERROR(ROUND(L463*K463,2),"")</f>
        <v/>
      </c>
      <c r="N463" s="396">
        <f>SUM(M463:M472)</f>
        <v>19.25</v>
      </c>
      <c r="O463" s="350">
        <v>0</v>
      </c>
      <c r="P463">
        <f t="shared" si="178"/>
        <v>0</v>
      </c>
      <c r="Q463">
        <f t="shared" si="179"/>
        <v>0</v>
      </c>
    </row>
    <row r="464" spans="1:17">
      <c r="A464" s="388"/>
      <c r="B464" s="391"/>
      <c r="C464" s="69" t="s">
        <v>278</v>
      </c>
      <c r="D464" s="70">
        <v>1</v>
      </c>
      <c r="E464" s="146">
        <v>0</v>
      </c>
      <c r="F464" s="70" t="str">
        <f>IFERROR(VLOOKUP(C464,MATERIAUX!$C$3:$G$1002,3,FALSE),"")</f>
        <v>m3</v>
      </c>
      <c r="G464" s="71">
        <f>IFERROR(VLOOKUP(C464,MATERIAUX!$C$3:$G$1002,5,FALSE),"")</f>
        <v>132.68041237113403</v>
      </c>
      <c r="H464" s="71">
        <f t="shared" si="184"/>
        <v>132.68</v>
      </c>
      <c r="I464" s="394"/>
      <c r="J464" s="72"/>
      <c r="K464" s="72"/>
      <c r="L464" s="72" t="str">
        <f>IFERROR(VLOOKUP(J464,'MAIN D OEUVRE'!$A$4:$B$99,2,FALSE)*$N$2,"")</f>
        <v/>
      </c>
      <c r="M464" s="73" t="str">
        <f t="shared" si="186"/>
        <v/>
      </c>
      <c r="N464" s="397"/>
      <c r="O464">
        <f>O463</f>
        <v>0</v>
      </c>
      <c r="P464">
        <f t="shared" si="178"/>
        <v>0</v>
      </c>
      <c r="Q464">
        <f t="shared" si="179"/>
        <v>0</v>
      </c>
    </row>
    <row r="465" spans="1:17">
      <c r="A465" s="388"/>
      <c r="B465" s="391"/>
      <c r="C465" s="287" t="s">
        <v>263</v>
      </c>
      <c r="D465" s="288">
        <v>1.06</v>
      </c>
      <c r="E465" s="146">
        <v>0.02</v>
      </c>
      <c r="F465" s="70" t="str">
        <f>IFERROR(VLOOKUP(C465,MATERIAUX!$C$3:$G$1002,3,FALSE),"")</f>
        <v>m2</v>
      </c>
      <c r="G465" s="71">
        <f>IFERROR(VLOOKUP(C465,MATERIAUX!$C$3:$G$1002,5,FALSE),"")</f>
        <v>7.315463917525773</v>
      </c>
      <c r="H465" s="71">
        <f>IFERROR(ROUND(G465*(1+E465)*D465,2)*D463,"")</f>
        <v>7.91</v>
      </c>
      <c r="I465" s="394"/>
      <c r="J465" s="72" t="s">
        <v>438</v>
      </c>
      <c r="K465" s="72">
        <v>1</v>
      </c>
      <c r="L465" s="72">
        <f>IFERROR(VLOOKUP(J465,'MAIN D OEUVRE'!$A$4:$B$99,2,FALSE)*$N$2,"")</f>
        <v>19.25</v>
      </c>
      <c r="M465" s="73">
        <f t="shared" si="186"/>
        <v>19.25</v>
      </c>
      <c r="N465" s="397"/>
      <c r="O465" s="351">
        <f t="shared" ref="O465" si="187">O464</f>
        <v>0</v>
      </c>
      <c r="P465" s="351">
        <f>O465*D465*(D462+D463)*1.02</f>
        <v>0</v>
      </c>
      <c r="Q465" s="351">
        <f t="shared" si="179"/>
        <v>0</v>
      </c>
    </row>
    <row r="466" spans="1:17">
      <c r="A466" s="388"/>
      <c r="B466" s="391"/>
      <c r="C466" s="69"/>
      <c r="D466" s="70"/>
      <c r="E466" s="146"/>
      <c r="F466" s="70" t="str">
        <f>IFERROR(VLOOKUP(C466,MATERIAUX!$C$3:$G$1002,3,FALSE),"")</f>
        <v/>
      </c>
      <c r="G466" s="71" t="str">
        <f>IFERROR(VLOOKUP(C466,MATERIAUX!$C$3:$G$1002,5,FALSE),"")</f>
        <v/>
      </c>
      <c r="H466" s="71" t="str">
        <f t="shared" si="184"/>
        <v/>
      </c>
      <c r="I466" s="394"/>
      <c r="J466" s="72"/>
      <c r="K466" s="72"/>
      <c r="L466" s="72" t="str">
        <f>IFERROR(VLOOKUP(J466,'MAIN D OEUVRE'!$A$4:$B$99,2,FALSE)*$N$2,"")</f>
        <v/>
      </c>
      <c r="M466" s="73" t="str">
        <f t="shared" si="186"/>
        <v/>
      </c>
      <c r="N466" s="397"/>
      <c r="O466">
        <f t="shared" ref="O466:O472" si="188">O465</f>
        <v>0</v>
      </c>
      <c r="P466">
        <f t="shared" si="178"/>
        <v>0</v>
      </c>
      <c r="Q466">
        <f t="shared" si="179"/>
        <v>0</v>
      </c>
    </row>
    <row r="467" spans="1:17">
      <c r="A467" s="388"/>
      <c r="B467" s="391"/>
      <c r="C467" s="69"/>
      <c r="D467" s="70"/>
      <c r="E467" s="146"/>
      <c r="F467" s="70" t="str">
        <f>IFERROR(VLOOKUP(C467,MATERIAUX!$C$3:$G$1002,3,FALSE),"")</f>
        <v/>
      </c>
      <c r="G467" s="71" t="str">
        <f>IFERROR(VLOOKUP(C467,MATERIAUX!$C$3:$G$1002,5,FALSE),"")</f>
        <v/>
      </c>
      <c r="H467" s="71" t="str">
        <f t="shared" si="184"/>
        <v/>
      </c>
      <c r="I467" s="394"/>
      <c r="J467" s="72"/>
      <c r="K467" s="72"/>
      <c r="L467" s="72" t="str">
        <f>IFERROR(VLOOKUP(J467,'MAIN D OEUVRE'!$A$4:$B$99,2,FALSE)*$N$2,"")</f>
        <v/>
      </c>
      <c r="M467" s="73" t="str">
        <f t="shared" si="186"/>
        <v/>
      </c>
      <c r="N467" s="397"/>
      <c r="O467">
        <f t="shared" si="188"/>
        <v>0</v>
      </c>
      <c r="P467">
        <f t="shared" si="178"/>
        <v>0</v>
      </c>
      <c r="Q467">
        <f t="shared" si="179"/>
        <v>0</v>
      </c>
    </row>
    <row r="468" spans="1:17">
      <c r="A468" s="388"/>
      <c r="B468" s="391"/>
      <c r="C468" s="69"/>
      <c r="D468" s="70"/>
      <c r="E468" s="146"/>
      <c r="F468" s="70" t="str">
        <f>IFERROR(VLOOKUP(C468,MATERIAUX!$C$3:$G$1002,3,FALSE),"")</f>
        <v/>
      </c>
      <c r="G468" s="71" t="str">
        <f>IFERROR(VLOOKUP(C468,MATERIAUX!$C$3:$G$1002,5,FALSE),"")</f>
        <v/>
      </c>
      <c r="H468" s="71" t="str">
        <f t="shared" si="184"/>
        <v/>
      </c>
      <c r="I468" s="394"/>
      <c r="J468" s="72"/>
      <c r="K468" s="72"/>
      <c r="L468" s="72" t="str">
        <f>IFERROR(VLOOKUP(J468,'MAIN D OEUVRE'!$A$4:$B$99,2,FALSE)*$N$2,"")</f>
        <v/>
      </c>
      <c r="M468" s="73" t="str">
        <f t="shared" si="186"/>
        <v/>
      </c>
      <c r="N468" s="397"/>
      <c r="O468">
        <f t="shared" si="188"/>
        <v>0</v>
      </c>
      <c r="P468">
        <f t="shared" si="178"/>
        <v>0</v>
      </c>
      <c r="Q468">
        <f t="shared" si="179"/>
        <v>0</v>
      </c>
    </row>
    <row r="469" spans="1:17">
      <c r="A469" s="388"/>
      <c r="B469" s="391"/>
      <c r="C469" s="69"/>
      <c r="D469" s="70"/>
      <c r="E469" s="146"/>
      <c r="F469" s="70" t="str">
        <f>IFERROR(VLOOKUP(C469,MATERIAUX!$C$3:$G$1002,3,FALSE),"")</f>
        <v/>
      </c>
      <c r="G469" s="71" t="str">
        <f>IFERROR(VLOOKUP(C469,MATERIAUX!$C$3:$G$1002,5,FALSE),"")</f>
        <v/>
      </c>
      <c r="H469" s="71" t="str">
        <f t="shared" si="184"/>
        <v/>
      </c>
      <c r="I469" s="394"/>
      <c r="J469" s="72"/>
      <c r="K469" s="72"/>
      <c r="L469" s="72" t="str">
        <f>IFERROR(VLOOKUP(J469,'MAIN D OEUVRE'!$A$4:$B$99,2,FALSE)*$N$2,"")</f>
        <v/>
      </c>
      <c r="M469" s="73" t="str">
        <f t="shared" si="186"/>
        <v/>
      </c>
      <c r="N469" s="397"/>
      <c r="O469">
        <f t="shared" si="188"/>
        <v>0</v>
      </c>
      <c r="P469">
        <f t="shared" si="178"/>
        <v>0</v>
      </c>
      <c r="Q469">
        <f t="shared" si="179"/>
        <v>0</v>
      </c>
    </row>
    <row r="470" spans="1:17">
      <c r="A470" s="388"/>
      <c r="B470" s="391"/>
      <c r="C470" s="69"/>
      <c r="D470" s="70"/>
      <c r="E470" s="146"/>
      <c r="F470" s="70" t="str">
        <f>IFERROR(VLOOKUP(C470,MATERIAUX!$C$3:$G$1002,3,FALSE),"")</f>
        <v/>
      </c>
      <c r="G470" s="71" t="str">
        <f>IFERROR(VLOOKUP(C470,MATERIAUX!$C$3:$G$1002,5,FALSE),"")</f>
        <v/>
      </c>
      <c r="H470" s="71" t="str">
        <f t="shared" si="184"/>
        <v/>
      </c>
      <c r="I470" s="394"/>
      <c r="J470" s="72"/>
      <c r="K470" s="72"/>
      <c r="L470" s="72" t="str">
        <f>IFERROR(VLOOKUP(J470,'MAIN D OEUVRE'!$A$4:$B$99,2,FALSE)*$N$2,"")</f>
        <v/>
      </c>
      <c r="M470" s="73" t="str">
        <f t="shared" si="186"/>
        <v/>
      </c>
      <c r="N470" s="397"/>
      <c r="O470">
        <f t="shared" si="188"/>
        <v>0</v>
      </c>
      <c r="P470">
        <f t="shared" si="178"/>
        <v>0</v>
      </c>
      <c r="Q470">
        <f t="shared" si="179"/>
        <v>0</v>
      </c>
    </row>
    <row r="471" spans="1:17">
      <c r="A471" s="388"/>
      <c r="B471" s="391"/>
      <c r="C471" s="69"/>
      <c r="D471" s="70"/>
      <c r="E471" s="146"/>
      <c r="F471" s="70" t="str">
        <f>IFERROR(VLOOKUP(C471,MATERIAUX!$C$3:$G$1002,3,FALSE),"")</f>
        <v/>
      </c>
      <c r="G471" s="71" t="str">
        <f>IFERROR(VLOOKUP(C471,MATERIAUX!$C$3:$G$1002,5,FALSE),"")</f>
        <v/>
      </c>
      <c r="H471" s="71" t="str">
        <f t="shared" si="184"/>
        <v/>
      </c>
      <c r="I471" s="394"/>
      <c r="J471" s="72"/>
      <c r="K471" s="72"/>
      <c r="L471" s="72"/>
      <c r="M471" s="73"/>
      <c r="N471" s="397"/>
      <c r="O471">
        <f t="shared" si="188"/>
        <v>0</v>
      </c>
      <c r="P471">
        <f t="shared" si="178"/>
        <v>0</v>
      </c>
      <c r="Q471">
        <f t="shared" si="179"/>
        <v>0</v>
      </c>
    </row>
    <row r="472" spans="1:17" ht="15" thickBot="1">
      <c r="A472" s="389"/>
      <c r="B472" s="392"/>
      <c r="C472" s="74"/>
      <c r="D472" s="75"/>
      <c r="E472" s="147"/>
      <c r="F472" s="70" t="str">
        <f>IFERROR(VLOOKUP(C472,MATERIAUX!$C$3:$G$1002,3,FALSE),"")</f>
        <v/>
      </c>
      <c r="G472" s="71" t="str">
        <f>IFERROR(VLOOKUP(C472,MATERIAUX!$C$3:$G$1002,5,FALSE),"")</f>
        <v/>
      </c>
      <c r="H472" s="76" t="str">
        <f t="shared" si="184"/>
        <v/>
      </c>
      <c r="I472" s="395"/>
      <c r="J472" s="77"/>
      <c r="K472" s="77"/>
      <c r="L472" s="77"/>
      <c r="M472" s="78"/>
      <c r="N472" s="398"/>
      <c r="O472">
        <f t="shared" si="188"/>
        <v>0</v>
      </c>
      <c r="P472">
        <f t="shared" si="178"/>
        <v>0</v>
      </c>
      <c r="Q472">
        <f t="shared" si="179"/>
        <v>0</v>
      </c>
    </row>
    <row r="473" spans="1:17">
      <c r="A473" s="387" t="s">
        <v>167</v>
      </c>
      <c r="B473" s="390" t="s">
        <v>23</v>
      </c>
      <c r="C473" s="64" t="s">
        <v>130</v>
      </c>
      <c r="D473" s="65">
        <f>0.26*0.08</f>
        <v>2.0800000000000003E-2</v>
      </c>
      <c r="E473" s="145">
        <v>0.1</v>
      </c>
      <c r="F473" s="65" t="str">
        <f>IFERROR(VLOOKUP(C473,MATERIAUX!$C$3:$G$1002,3,FALSE),"")</f>
        <v>m3</v>
      </c>
      <c r="G473" s="66">
        <f>IFERROR(VLOOKUP(C473,MATERIAUX!$C$3:$G$1002,5,FALSE),"")</f>
        <v>524.74226804123714</v>
      </c>
      <c r="H473" s="66">
        <f t="shared" si="184"/>
        <v>12.01</v>
      </c>
      <c r="I473" s="393">
        <f>SUM(H473:H482)</f>
        <v>12.174528</v>
      </c>
      <c r="J473" s="67" t="s">
        <v>122</v>
      </c>
      <c r="K473" s="67">
        <f>0.26*0.08</f>
        <v>2.0800000000000003E-2</v>
      </c>
      <c r="L473" s="67">
        <f>IFERROR(VLOOKUP(J473,'MAIN D OEUVRE'!$A$4:$B$99,2,FALSE)*$N$2,"")</f>
        <v>121.00000000000001</v>
      </c>
      <c r="M473" s="68">
        <f t="shared" ref="M473:M500" si="189">IFERROR(ROUND(L473*K473,2),"")</f>
        <v>2.52</v>
      </c>
      <c r="N473" s="396">
        <f>SUM(M473:M482)</f>
        <v>2.52</v>
      </c>
      <c r="O473" s="350">
        <v>0</v>
      </c>
      <c r="P473">
        <f t="shared" si="178"/>
        <v>0</v>
      </c>
      <c r="Q473">
        <f t="shared" si="179"/>
        <v>0</v>
      </c>
    </row>
    <row r="474" spans="1:17">
      <c r="A474" s="388"/>
      <c r="B474" s="391"/>
      <c r="C474" s="287" t="s">
        <v>263</v>
      </c>
      <c r="D474" s="288">
        <v>1.06</v>
      </c>
      <c r="E474" s="146">
        <v>0.02</v>
      </c>
      <c r="F474" s="70" t="str">
        <f>IFERROR(VLOOKUP(C474,MATERIAUX!$C$3:$G$1002,3,FALSE),"")</f>
        <v>m2</v>
      </c>
      <c r="G474" s="71">
        <f>IFERROR(VLOOKUP(C474,MATERIAUX!$C$3:$G$1002,5,FALSE),"")</f>
        <v>7.315463917525773</v>
      </c>
      <c r="H474" s="71">
        <f>IFERROR(ROUND(G474*(1+E474)*D474,2)*D473,"")</f>
        <v>0.16452800000000004</v>
      </c>
      <c r="I474" s="394"/>
      <c r="J474" s="72"/>
      <c r="K474" s="72"/>
      <c r="L474" s="72" t="str">
        <f>IFERROR(VLOOKUP(J474,'MAIN D OEUVRE'!$A$4:$B$99,2,FALSE)*$N$2,"")</f>
        <v/>
      </c>
      <c r="M474" s="73" t="str">
        <f t="shared" ref="M474" si="190">IFERROR(ROUND(L474*K474,2),"")</f>
        <v/>
      </c>
      <c r="N474" s="397"/>
      <c r="O474" s="351">
        <f t="shared" ref="O474" si="191">O473</f>
        <v>0</v>
      </c>
      <c r="P474" s="351">
        <f>O474*D474*(D471+D472)*1.02</f>
        <v>0</v>
      </c>
      <c r="Q474" s="351">
        <f t="shared" si="179"/>
        <v>0</v>
      </c>
    </row>
    <row r="475" spans="1:17">
      <c r="A475" s="388"/>
      <c r="B475" s="391"/>
      <c r="C475" s="69"/>
      <c r="D475" s="70"/>
      <c r="E475" s="146"/>
      <c r="F475" s="70" t="str">
        <f>IFERROR(VLOOKUP(C475,MATERIAUX!$C$3:$G$1002,3,FALSE),"")</f>
        <v/>
      </c>
      <c r="G475" s="71" t="str">
        <f>IFERROR(VLOOKUP(C475,MATERIAUX!$C$3:$G$1002,5,FALSE),"")</f>
        <v/>
      </c>
      <c r="H475" s="71" t="str">
        <f t="shared" si="184"/>
        <v/>
      </c>
      <c r="I475" s="394"/>
      <c r="J475" s="72"/>
      <c r="K475" s="72"/>
      <c r="L475" s="72" t="str">
        <f>IFERROR(VLOOKUP(J475,'MAIN D OEUVRE'!$A$4:$B$99,2,FALSE)*$N$2,"")</f>
        <v/>
      </c>
      <c r="M475" s="73" t="str">
        <f t="shared" ref="M475:M476" si="192">IFERROR(ROUND(L475*K475,2),"")</f>
        <v/>
      </c>
      <c r="N475" s="397"/>
      <c r="O475">
        <f t="shared" ref="O475:O482" si="193">O474</f>
        <v>0</v>
      </c>
      <c r="P475">
        <f t="shared" si="178"/>
        <v>0</v>
      </c>
      <c r="Q475">
        <f t="shared" si="179"/>
        <v>0</v>
      </c>
    </row>
    <row r="476" spans="1:17">
      <c r="A476" s="388"/>
      <c r="B476" s="391"/>
      <c r="C476" s="69"/>
      <c r="D476" s="70"/>
      <c r="E476" s="146"/>
      <c r="F476" s="70" t="str">
        <f>IFERROR(VLOOKUP(C476,MATERIAUX!$C$3:$G$1002,3,FALSE),"")</f>
        <v/>
      </c>
      <c r="G476" s="71" t="str">
        <f>IFERROR(VLOOKUP(C476,MATERIAUX!$C$3:$G$1002,5,FALSE),"")</f>
        <v/>
      </c>
      <c r="H476" s="71" t="str">
        <f t="shared" si="184"/>
        <v/>
      </c>
      <c r="I476" s="394"/>
      <c r="J476" s="72"/>
      <c r="K476" s="72"/>
      <c r="L476" s="72" t="str">
        <f>IFERROR(VLOOKUP(J476,'MAIN D OEUVRE'!$A$4:$B$99,2,FALSE)*$N$2,"")</f>
        <v/>
      </c>
      <c r="M476" s="73" t="str">
        <f t="shared" si="192"/>
        <v/>
      </c>
      <c r="N476" s="397"/>
      <c r="O476">
        <f t="shared" si="193"/>
        <v>0</v>
      </c>
      <c r="P476">
        <f t="shared" si="178"/>
        <v>0</v>
      </c>
      <c r="Q476">
        <f t="shared" si="179"/>
        <v>0</v>
      </c>
    </row>
    <row r="477" spans="1:17">
      <c r="A477" s="388"/>
      <c r="B477" s="391"/>
      <c r="C477" s="69"/>
      <c r="D477" s="70"/>
      <c r="E477" s="146"/>
      <c r="F477" s="70" t="str">
        <f>IFERROR(VLOOKUP(C477,MATERIAUX!$C$3:$G$1002,3,FALSE),"")</f>
        <v/>
      </c>
      <c r="G477" s="71" t="str">
        <f>IFERROR(VLOOKUP(C477,MATERIAUX!$C$3:$G$1002,5,FALSE),"")</f>
        <v/>
      </c>
      <c r="H477" s="71" t="str">
        <f t="shared" si="184"/>
        <v/>
      </c>
      <c r="I477" s="394"/>
      <c r="J477" s="72"/>
      <c r="K477" s="72"/>
      <c r="L477" s="72" t="str">
        <f>IFERROR(VLOOKUP(J477,'MAIN D OEUVRE'!$A$4:$B$99,2,FALSE)*$N$2,"")</f>
        <v/>
      </c>
      <c r="M477" s="73" t="str">
        <f t="shared" si="189"/>
        <v/>
      </c>
      <c r="N477" s="397"/>
      <c r="O477">
        <f t="shared" si="193"/>
        <v>0</v>
      </c>
      <c r="P477">
        <f t="shared" si="178"/>
        <v>0</v>
      </c>
      <c r="Q477">
        <f t="shared" si="179"/>
        <v>0</v>
      </c>
    </row>
    <row r="478" spans="1:17">
      <c r="A478" s="388"/>
      <c r="B478" s="391"/>
      <c r="C478" s="69"/>
      <c r="D478" s="70"/>
      <c r="E478" s="146"/>
      <c r="F478" s="70" t="str">
        <f>IFERROR(VLOOKUP(C478,MATERIAUX!$C$3:$G$1002,3,FALSE),"")</f>
        <v/>
      </c>
      <c r="G478" s="71" t="str">
        <f>IFERROR(VLOOKUP(C478,MATERIAUX!$C$3:$G$1002,5,FALSE),"")</f>
        <v/>
      </c>
      <c r="H478" s="71" t="str">
        <f t="shared" si="184"/>
        <v/>
      </c>
      <c r="I478" s="394"/>
      <c r="J478" s="72"/>
      <c r="K478" s="72"/>
      <c r="L478" s="72" t="str">
        <f>IFERROR(VLOOKUP(J478,'MAIN D OEUVRE'!$A$4:$B$99,2,FALSE)*$N$2,"")</f>
        <v/>
      </c>
      <c r="M478" s="73" t="str">
        <f t="shared" si="189"/>
        <v/>
      </c>
      <c r="N478" s="397"/>
      <c r="O478">
        <f t="shared" si="193"/>
        <v>0</v>
      </c>
      <c r="P478">
        <f t="shared" si="178"/>
        <v>0</v>
      </c>
      <c r="Q478">
        <f t="shared" si="179"/>
        <v>0</v>
      </c>
    </row>
    <row r="479" spans="1:17">
      <c r="A479" s="388"/>
      <c r="B479" s="391"/>
      <c r="C479" s="69"/>
      <c r="D479" s="70"/>
      <c r="E479" s="146"/>
      <c r="F479" s="70" t="str">
        <f>IFERROR(VLOOKUP(C479,MATERIAUX!$C$3:$G$1002,3,FALSE),"")</f>
        <v/>
      </c>
      <c r="G479" s="71" t="str">
        <f>IFERROR(VLOOKUP(C479,MATERIAUX!$C$3:$G$1002,5,FALSE),"")</f>
        <v/>
      </c>
      <c r="H479" s="71" t="str">
        <f t="shared" si="184"/>
        <v/>
      </c>
      <c r="I479" s="394"/>
      <c r="J479" s="72"/>
      <c r="K479" s="72"/>
      <c r="L479" s="72" t="str">
        <f>IFERROR(VLOOKUP(J479,'MAIN D OEUVRE'!$A$4:$B$99,2,FALSE)*$N$2,"")</f>
        <v/>
      </c>
      <c r="M479" s="73" t="str">
        <f t="shared" si="189"/>
        <v/>
      </c>
      <c r="N479" s="397"/>
      <c r="O479">
        <f t="shared" si="193"/>
        <v>0</v>
      </c>
      <c r="P479">
        <f t="shared" si="178"/>
        <v>0</v>
      </c>
      <c r="Q479">
        <f t="shared" si="179"/>
        <v>0</v>
      </c>
    </row>
    <row r="480" spans="1:17">
      <c r="A480" s="388"/>
      <c r="B480" s="391"/>
      <c r="C480" s="69"/>
      <c r="D480" s="70"/>
      <c r="E480" s="146"/>
      <c r="F480" s="70" t="str">
        <f>IFERROR(VLOOKUP(C480,MATERIAUX!$C$3:$G$1002,3,FALSE),"")</f>
        <v/>
      </c>
      <c r="G480" s="71" t="str">
        <f>IFERROR(VLOOKUP(C480,MATERIAUX!$C$3:$G$1002,5,FALSE),"")</f>
        <v/>
      </c>
      <c r="H480" s="71" t="str">
        <f t="shared" si="184"/>
        <v/>
      </c>
      <c r="I480" s="394"/>
      <c r="J480" s="72"/>
      <c r="K480" s="72"/>
      <c r="L480" s="72" t="str">
        <f>IFERROR(VLOOKUP(J480,'MAIN D OEUVRE'!$A$4:$B$99,2,FALSE)*$N$2,"")</f>
        <v/>
      </c>
      <c r="M480" s="73" t="str">
        <f t="shared" si="189"/>
        <v/>
      </c>
      <c r="N480" s="397"/>
      <c r="O480">
        <f t="shared" si="193"/>
        <v>0</v>
      </c>
      <c r="P480">
        <f t="shared" si="178"/>
        <v>0</v>
      </c>
      <c r="Q480">
        <f t="shared" si="179"/>
        <v>0</v>
      </c>
    </row>
    <row r="481" spans="1:17">
      <c r="A481" s="388"/>
      <c r="B481" s="391"/>
      <c r="C481" s="69"/>
      <c r="D481" s="70"/>
      <c r="E481" s="146"/>
      <c r="F481" s="70" t="str">
        <f>IFERROR(VLOOKUP(C481,MATERIAUX!$C$3:$G$1002,3,FALSE),"")</f>
        <v/>
      </c>
      <c r="G481" s="71" t="str">
        <f>IFERROR(VLOOKUP(C481,MATERIAUX!$C$3:$G$1002,5,FALSE),"")</f>
        <v/>
      </c>
      <c r="H481" s="71" t="str">
        <f t="shared" si="184"/>
        <v/>
      </c>
      <c r="I481" s="394"/>
      <c r="J481" s="72"/>
      <c r="K481" s="72"/>
      <c r="L481" s="72"/>
      <c r="M481" s="73"/>
      <c r="N481" s="397"/>
      <c r="O481">
        <f t="shared" si="193"/>
        <v>0</v>
      </c>
      <c r="P481">
        <f t="shared" si="178"/>
        <v>0</v>
      </c>
      <c r="Q481">
        <f t="shared" si="179"/>
        <v>0</v>
      </c>
    </row>
    <row r="482" spans="1:17" ht="15" thickBot="1">
      <c r="A482" s="389"/>
      <c r="B482" s="392"/>
      <c r="C482" s="74"/>
      <c r="D482" s="75"/>
      <c r="E482" s="147"/>
      <c r="F482" s="70" t="str">
        <f>IFERROR(VLOOKUP(C482,MATERIAUX!$C$3:$G$1002,3,FALSE),"")</f>
        <v/>
      </c>
      <c r="G482" s="71" t="str">
        <f>IFERROR(VLOOKUP(C482,MATERIAUX!$C$3:$G$1002,5,FALSE),"")</f>
        <v/>
      </c>
      <c r="H482" s="76" t="str">
        <f t="shared" si="184"/>
        <v/>
      </c>
      <c r="I482" s="395"/>
      <c r="J482" s="77"/>
      <c r="K482" s="77"/>
      <c r="L482" s="77"/>
      <c r="M482" s="78"/>
      <c r="N482" s="398"/>
      <c r="O482">
        <f t="shared" si="193"/>
        <v>0</v>
      </c>
      <c r="P482">
        <f t="shared" si="178"/>
        <v>0</v>
      </c>
      <c r="Q482">
        <f t="shared" si="179"/>
        <v>0</v>
      </c>
    </row>
    <row r="483" spans="1:17">
      <c r="A483" s="387" t="s">
        <v>168</v>
      </c>
      <c r="B483" s="390" t="s">
        <v>23</v>
      </c>
      <c r="C483" s="64" t="s">
        <v>129</v>
      </c>
      <c r="D483" s="65">
        <f>0.24*0.08</f>
        <v>1.9199999999999998E-2</v>
      </c>
      <c r="E483" s="145">
        <v>0.1</v>
      </c>
      <c r="F483" s="65" t="str">
        <f>IFERROR(VLOOKUP(C483,MATERIAUX!$C$3:$G$1002,3,FALSE),"")</f>
        <v>m3</v>
      </c>
      <c r="G483" s="66">
        <f>IFERROR(VLOOKUP(C483,MATERIAUX!$C$3:$G$1002,5,FALSE),"")</f>
        <v>524.74226804123714</v>
      </c>
      <c r="H483" s="66">
        <f t="shared" si="184"/>
        <v>11.08</v>
      </c>
      <c r="I483" s="393">
        <f>SUM(H483:H492)</f>
        <v>11.231871999999999</v>
      </c>
      <c r="J483" s="67" t="s">
        <v>122</v>
      </c>
      <c r="K483" s="67">
        <f>0.24*0.08</f>
        <v>1.9199999999999998E-2</v>
      </c>
      <c r="L483" s="67">
        <f>IFERROR(VLOOKUP(J483,'MAIN D OEUVRE'!$A$4:$B$99,2,FALSE)*$N$2,"")</f>
        <v>121.00000000000001</v>
      </c>
      <c r="M483" s="68">
        <f t="shared" ref="M483:M490" si="194">IFERROR(ROUND(L483*K483,2),"")</f>
        <v>2.3199999999999998</v>
      </c>
      <c r="N483" s="396">
        <f>SUM(M483:M492)</f>
        <v>2.3199999999999998</v>
      </c>
      <c r="O483" s="350">
        <v>0</v>
      </c>
      <c r="P483">
        <f t="shared" si="178"/>
        <v>0</v>
      </c>
      <c r="Q483">
        <f t="shared" si="179"/>
        <v>0</v>
      </c>
    </row>
    <row r="484" spans="1:17">
      <c r="A484" s="388"/>
      <c r="B484" s="391"/>
      <c r="C484" s="287" t="s">
        <v>263</v>
      </c>
      <c r="D484" s="288">
        <v>1.06</v>
      </c>
      <c r="E484" s="146">
        <v>0.02</v>
      </c>
      <c r="F484" s="70" t="str">
        <f>IFERROR(VLOOKUP(C484,MATERIAUX!$C$3:$G$1002,3,FALSE),"")</f>
        <v>m2</v>
      </c>
      <c r="G484" s="71">
        <f>IFERROR(VLOOKUP(C484,MATERIAUX!$C$3:$G$1002,5,FALSE),"")</f>
        <v>7.315463917525773</v>
      </c>
      <c r="H484" s="71">
        <f>IFERROR(ROUND(G484*(1+E484)*D484,2)*D483,"")</f>
        <v>0.15187199999999998</v>
      </c>
      <c r="I484" s="394"/>
      <c r="J484" s="72"/>
      <c r="K484" s="72"/>
      <c r="L484" s="72" t="str">
        <f>IFERROR(VLOOKUP(J484,'MAIN D OEUVRE'!$A$4:$B$99,2,FALSE)*$N$2,"")</f>
        <v/>
      </c>
      <c r="M484" s="73" t="str">
        <f t="shared" ref="M484" si="195">IFERROR(ROUND(L484*K484,2),"")</f>
        <v/>
      </c>
      <c r="N484" s="397"/>
      <c r="O484" s="351">
        <f t="shared" ref="O484" si="196">O483</f>
        <v>0</v>
      </c>
      <c r="P484" s="351">
        <f>O484*D484*(D481+D482)*1.02</f>
        <v>0</v>
      </c>
      <c r="Q484" s="351">
        <f t="shared" si="179"/>
        <v>0</v>
      </c>
    </row>
    <row r="485" spans="1:17">
      <c r="A485" s="388"/>
      <c r="B485" s="391"/>
      <c r="C485" s="69"/>
      <c r="D485" s="70"/>
      <c r="E485" s="146"/>
      <c r="F485" s="70" t="str">
        <f>IFERROR(VLOOKUP(C485,MATERIAUX!$C$3:$G$1002,3,FALSE),"")</f>
        <v/>
      </c>
      <c r="G485" s="71" t="str">
        <f>IFERROR(VLOOKUP(C485,MATERIAUX!$C$3:$G$1002,5,FALSE),"")</f>
        <v/>
      </c>
      <c r="H485" s="71" t="str">
        <f t="shared" si="184"/>
        <v/>
      </c>
      <c r="I485" s="394"/>
      <c r="J485" s="72"/>
      <c r="K485" s="72"/>
      <c r="L485" s="72" t="str">
        <f>IFERROR(VLOOKUP(J485,'MAIN D OEUVRE'!$A$4:$B$99,2,FALSE)*$N$2,"")</f>
        <v/>
      </c>
      <c r="M485" s="73" t="str">
        <f t="shared" ref="M485" si="197">IFERROR(ROUND(L485*K485,2),"")</f>
        <v/>
      </c>
      <c r="N485" s="397"/>
      <c r="O485">
        <f t="shared" ref="O485:O492" si="198">O484</f>
        <v>0</v>
      </c>
      <c r="P485">
        <f t="shared" si="178"/>
        <v>0</v>
      </c>
      <c r="Q485">
        <f t="shared" si="179"/>
        <v>0</v>
      </c>
    </row>
    <row r="486" spans="1:17">
      <c r="A486" s="388"/>
      <c r="B486" s="391"/>
      <c r="C486" s="69"/>
      <c r="D486" s="70"/>
      <c r="E486" s="146"/>
      <c r="F486" s="70" t="str">
        <f>IFERROR(VLOOKUP(C486,MATERIAUX!$C$3:$G$1002,3,FALSE),"")</f>
        <v/>
      </c>
      <c r="G486" s="71" t="str">
        <f>IFERROR(VLOOKUP(C486,MATERIAUX!$C$3:$G$1002,5,FALSE),"")</f>
        <v/>
      </c>
      <c r="H486" s="71" t="str">
        <f t="shared" si="184"/>
        <v/>
      </c>
      <c r="I486" s="394"/>
      <c r="J486" s="72"/>
      <c r="K486" s="72"/>
      <c r="L486" s="72" t="str">
        <f>IFERROR(VLOOKUP(J486,'MAIN D OEUVRE'!$A$4:$B$99,2,FALSE)*$N$2,"")</f>
        <v/>
      </c>
      <c r="M486" s="73" t="str">
        <f t="shared" si="194"/>
        <v/>
      </c>
      <c r="N486" s="397"/>
      <c r="O486">
        <f t="shared" si="198"/>
        <v>0</v>
      </c>
      <c r="P486">
        <f t="shared" si="178"/>
        <v>0</v>
      </c>
      <c r="Q486">
        <f t="shared" si="179"/>
        <v>0</v>
      </c>
    </row>
    <row r="487" spans="1:17">
      <c r="A487" s="388"/>
      <c r="B487" s="391"/>
      <c r="C487" s="69"/>
      <c r="D487" s="70"/>
      <c r="E487" s="146"/>
      <c r="F487" s="70" t="str">
        <f>IFERROR(VLOOKUP(C487,MATERIAUX!$C$3:$G$1002,3,FALSE),"")</f>
        <v/>
      </c>
      <c r="G487" s="71" t="str">
        <f>IFERROR(VLOOKUP(C487,MATERIAUX!$C$3:$G$1002,5,FALSE),"")</f>
        <v/>
      </c>
      <c r="H487" s="71" t="str">
        <f t="shared" si="184"/>
        <v/>
      </c>
      <c r="I487" s="394"/>
      <c r="J487" s="72"/>
      <c r="K487" s="72"/>
      <c r="L487" s="72" t="str">
        <f>IFERROR(VLOOKUP(J487,'MAIN D OEUVRE'!$A$4:$B$99,2,FALSE)*$N$2,"")</f>
        <v/>
      </c>
      <c r="M487" s="73" t="str">
        <f t="shared" si="194"/>
        <v/>
      </c>
      <c r="N487" s="397"/>
      <c r="O487">
        <f t="shared" si="198"/>
        <v>0</v>
      </c>
      <c r="P487">
        <f t="shared" si="178"/>
        <v>0</v>
      </c>
      <c r="Q487">
        <f t="shared" si="179"/>
        <v>0</v>
      </c>
    </row>
    <row r="488" spans="1:17">
      <c r="A488" s="388"/>
      <c r="B488" s="391"/>
      <c r="C488" s="69"/>
      <c r="D488" s="70"/>
      <c r="E488" s="146"/>
      <c r="F488" s="70" t="str">
        <f>IFERROR(VLOOKUP(C488,MATERIAUX!$C$3:$G$1002,3,FALSE),"")</f>
        <v/>
      </c>
      <c r="G488" s="71" t="str">
        <f>IFERROR(VLOOKUP(C488,MATERIAUX!$C$3:$G$1002,5,FALSE),"")</f>
        <v/>
      </c>
      <c r="H488" s="71" t="str">
        <f t="shared" si="184"/>
        <v/>
      </c>
      <c r="I488" s="394"/>
      <c r="J488" s="72"/>
      <c r="K488" s="72"/>
      <c r="L488" s="72" t="str">
        <f>IFERROR(VLOOKUP(J488,'MAIN D OEUVRE'!$A$4:$B$99,2,FALSE)*$N$2,"")</f>
        <v/>
      </c>
      <c r="M488" s="73" t="str">
        <f t="shared" si="194"/>
        <v/>
      </c>
      <c r="N488" s="397"/>
      <c r="O488">
        <f t="shared" si="198"/>
        <v>0</v>
      </c>
      <c r="P488">
        <f t="shared" si="178"/>
        <v>0</v>
      </c>
      <c r="Q488">
        <f t="shared" si="179"/>
        <v>0</v>
      </c>
    </row>
    <row r="489" spans="1:17">
      <c r="A489" s="388"/>
      <c r="B489" s="391"/>
      <c r="C489" s="69"/>
      <c r="D489" s="70"/>
      <c r="E489" s="146"/>
      <c r="F489" s="70" t="str">
        <f>IFERROR(VLOOKUP(C489,MATERIAUX!$C$3:$G$1002,3,FALSE),"")</f>
        <v/>
      </c>
      <c r="G489" s="71" t="str">
        <f>IFERROR(VLOOKUP(C489,MATERIAUX!$C$3:$G$1002,5,FALSE),"")</f>
        <v/>
      </c>
      <c r="H489" s="71" t="str">
        <f t="shared" si="184"/>
        <v/>
      </c>
      <c r="I489" s="394"/>
      <c r="J489" s="72"/>
      <c r="K489" s="72"/>
      <c r="L489" s="72" t="str">
        <f>IFERROR(VLOOKUP(J489,'MAIN D OEUVRE'!$A$4:$B$99,2,FALSE)*$N$2,"")</f>
        <v/>
      </c>
      <c r="M489" s="73" t="str">
        <f t="shared" si="194"/>
        <v/>
      </c>
      <c r="N489" s="397"/>
      <c r="O489">
        <f t="shared" si="198"/>
        <v>0</v>
      </c>
      <c r="P489">
        <f t="shared" si="178"/>
        <v>0</v>
      </c>
      <c r="Q489">
        <f t="shared" si="179"/>
        <v>0</v>
      </c>
    </row>
    <row r="490" spans="1:17">
      <c r="A490" s="388"/>
      <c r="B490" s="391"/>
      <c r="C490" s="69"/>
      <c r="D490" s="70"/>
      <c r="E490" s="146"/>
      <c r="F490" s="70" t="str">
        <f>IFERROR(VLOOKUP(C490,MATERIAUX!$C$3:$G$1002,3,FALSE),"")</f>
        <v/>
      </c>
      <c r="G490" s="71" t="str">
        <f>IFERROR(VLOOKUP(C490,MATERIAUX!$C$3:$G$1002,5,FALSE),"")</f>
        <v/>
      </c>
      <c r="H490" s="71" t="str">
        <f t="shared" si="184"/>
        <v/>
      </c>
      <c r="I490" s="394"/>
      <c r="J490" s="72"/>
      <c r="K490" s="72"/>
      <c r="L490" s="72" t="str">
        <f>IFERROR(VLOOKUP(J490,'MAIN D OEUVRE'!$A$4:$B$99,2,FALSE)*$N$2,"")</f>
        <v/>
      </c>
      <c r="M490" s="73" t="str">
        <f t="shared" si="194"/>
        <v/>
      </c>
      <c r="N490" s="397"/>
      <c r="O490">
        <f t="shared" si="198"/>
        <v>0</v>
      </c>
      <c r="P490">
        <f t="shared" si="178"/>
        <v>0</v>
      </c>
      <c r="Q490">
        <f t="shared" si="179"/>
        <v>0</v>
      </c>
    </row>
    <row r="491" spans="1:17">
      <c r="A491" s="388"/>
      <c r="B491" s="391"/>
      <c r="C491" s="69"/>
      <c r="D491" s="70"/>
      <c r="E491" s="146"/>
      <c r="F491" s="70" t="str">
        <f>IFERROR(VLOOKUP(C491,MATERIAUX!$C$3:$G$1002,3,FALSE),"")</f>
        <v/>
      </c>
      <c r="G491" s="71" t="str">
        <f>IFERROR(VLOOKUP(C491,MATERIAUX!$C$3:$G$1002,5,FALSE),"")</f>
        <v/>
      </c>
      <c r="H491" s="71" t="str">
        <f t="shared" si="184"/>
        <v/>
      </c>
      <c r="I491" s="394"/>
      <c r="J491" s="72"/>
      <c r="K491" s="72"/>
      <c r="L491" s="72"/>
      <c r="M491" s="73"/>
      <c r="N491" s="397"/>
      <c r="O491">
        <f t="shared" si="198"/>
        <v>0</v>
      </c>
      <c r="P491">
        <f t="shared" si="178"/>
        <v>0</v>
      </c>
      <c r="Q491">
        <f t="shared" si="179"/>
        <v>0</v>
      </c>
    </row>
    <row r="492" spans="1:17" ht="15" thickBot="1">
      <c r="A492" s="389"/>
      <c r="B492" s="392"/>
      <c r="C492" s="74"/>
      <c r="D492" s="75"/>
      <c r="E492" s="147"/>
      <c r="F492" s="70" t="str">
        <f>IFERROR(VLOOKUP(C492,MATERIAUX!$C$3:$G$1002,3,FALSE),"")</f>
        <v/>
      </c>
      <c r="G492" s="71" t="str">
        <f>IFERROR(VLOOKUP(C492,MATERIAUX!$C$3:$G$1002,5,FALSE),"")</f>
        <v/>
      </c>
      <c r="H492" s="76" t="str">
        <f t="shared" si="184"/>
        <v/>
      </c>
      <c r="I492" s="395"/>
      <c r="J492" s="77"/>
      <c r="K492" s="77"/>
      <c r="L492" s="77"/>
      <c r="M492" s="78"/>
      <c r="N492" s="398"/>
      <c r="O492">
        <f t="shared" si="198"/>
        <v>0</v>
      </c>
      <c r="P492">
        <f t="shared" si="178"/>
        <v>0</v>
      </c>
      <c r="Q492">
        <f t="shared" si="179"/>
        <v>0</v>
      </c>
    </row>
    <row r="493" spans="1:17">
      <c r="A493" s="387" t="s">
        <v>24</v>
      </c>
      <c r="B493" s="390" t="s">
        <v>23</v>
      </c>
      <c r="C493" s="64" t="s">
        <v>93</v>
      </c>
      <c r="D493" s="65">
        <f>ROUND(0.15*0.045,4)</f>
        <v>6.7999999999999996E-3</v>
      </c>
      <c r="E493" s="145">
        <v>0.1</v>
      </c>
      <c r="F493" s="65" t="str">
        <f>IFERROR(VLOOKUP(C493,MATERIAUX!$C$3:$G$1002,3,FALSE),"")</f>
        <v>m3</v>
      </c>
      <c r="G493" s="66">
        <f>IFERROR(VLOOKUP(C493,MATERIAUX!$C$3:$G$1002,5,FALSE),"")</f>
        <v>575.25773195876297</v>
      </c>
      <c r="H493" s="66">
        <f t="shared" si="184"/>
        <v>4.3</v>
      </c>
      <c r="I493" s="393">
        <f>SUM(H493:H502)</f>
        <v>5.7441280000000008</v>
      </c>
      <c r="J493" s="67" t="s">
        <v>122</v>
      </c>
      <c r="K493" s="67">
        <f>D493</f>
        <v>6.7999999999999996E-3</v>
      </c>
      <c r="L493" s="67">
        <f>IFERROR(VLOOKUP(J493,'MAIN D OEUVRE'!$A$4:$B$99,2,FALSE)*$N$2,"")</f>
        <v>121.00000000000001</v>
      </c>
      <c r="M493" s="68">
        <f t="shared" si="189"/>
        <v>0.82</v>
      </c>
      <c r="N493" s="396">
        <f>SUM(M493:M502)</f>
        <v>2.4699999999999998</v>
      </c>
      <c r="O493" s="350">
        <v>0</v>
      </c>
      <c r="P493">
        <f t="shared" si="178"/>
        <v>0</v>
      </c>
      <c r="Q493">
        <f t="shared" si="179"/>
        <v>0</v>
      </c>
    </row>
    <row r="494" spans="1:17">
      <c r="A494" s="388"/>
      <c r="B494" s="391"/>
      <c r="C494" s="69" t="s">
        <v>131</v>
      </c>
      <c r="D494" s="70">
        <f>ROUND(0.15*0.045,4)</f>
        <v>6.7999999999999996E-3</v>
      </c>
      <c r="E494" s="146">
        <v>0.1</v>
      </c>
      <c r="F494" s="70" t="str">
        <f>IFERROR(VLOOKUP(C494,MATERIAUX!$C$3:$G$1002,3,FALSE),"")</f>
        <v>m3</v>
      </c>
      <c r="G494" s="71">
        <f>IFERROR(VLOOKUP(C494,MATERIAUX!$C$3:$G$1002,5,FALSE),"")</f>
        <v>76.701030927835063</v>
      </c>
      <c r="H494" s="71">
        <f t="shared" si="184"/>
        <v>0.56999999999999995</v>
      </c>
      <c r="I494" s="394"/>
      <c r="J494" s="72" t="s">
        <v>123</v>
      </c>
      <c r="K494" s="72">
        <f>D493</f>
        <v>6.7999999999999996E-3</v>
      </c>
      <c r="L494" s="72">
        <f>IFERROR(VLOOKUP(J494,'MAIN D OEUVRE'!$A$4:$B$99,2,FALSE)*$N$2,"")</f>
        <v>242.00000000000003</v>
      </c>
      <c r="M494" s="73">
        <f t="shared" si="189"/>
        <v>1.65</v>
      </c>
      <c r="N494" s="397"/>
      <c r="O494">
        <f>O493</f>
        <v>0</v>
      </c>
      <c r="P494">
        <f t="shared" si="178"/>
        <v>0</v>
      </c>
      <c r="Q494">
        <f t="shared" si="179"/>
        <v>0</v>
      </c>
    </row>
    <row r="495" spans="1:17">
      <c r="A495" s="388"/>
      <c r="B495" s="391"/>
      <c r="C495" s="69" t="s">
        <v>84</v>
      </c>
      <c r="D495" s="70">
        <v>21</v>
      </c>
      <c r="E495" s="146">
        <v>0</v>
      </c>
      <c r="F495" s="70" t="str">
        <f>IFERROR(VLOOKUP(C495,MATERIAUX!$C$3:$G$1002,3,FALSE),"")</f>
        <v>u</v>
      </c>
      <c r="G495" s="71">
        <f>IFERROR(VLOOKUP(C495,MATERIAUX!$C$3:$G$1002,5,FALSE),"")</f>
        <v>3.9175257731958769E-2</v>
      </c>
      <c r="H495" s="71">
        <f t="shared" si="184"/>
        <v>0.82</v>
      </c>
      <c r="I495" s="394"/>
      <c r="J495" s="72"/>
      <c r="K495" s="72"/>
      <c r="L495" s="72" t="str">
        <f>IFERROR(VLOOKUP(J495,'MAIN D OEUVRE'!$A$4:$B$99,2,FALSE)*$N$2,"")</f>
        <v/>
      </c>
      <c r="M495" s="73" t="str">
        <f t="shared" si="189"/>
        <v/>
      </c>
      <c r="N495" s="397"/>
      <c r="O495">
        <f t="shared" ref="O495:O502" si="199">O494</f>
        <v>0</v>
      </c>
      <c r="P495">
        <f t="shared" ref="P495:P558" si="200">(D495+D495*E495)*O495</f>
        <v>0</v>
      </c>
      <c r="Q495">
        <f t="shared" ref="Q495:Q558" si="201">IF(P495=0,0,P495*G495)</f>
        <v>0</v>
      </c>
    </row>
    <row r="496" spans="1:17">
      <c r="A496" s="388"/>
      <c r="B496" s="391"/>
      <c r="C496" s="287" t="s">
        <v>263</v>
      </c>
      <c r="D496" s="288">
        <v>1.06</v>
      </c>
      <c r="E496" s="146">
        <v>0.02</v>
      </c>
      <c r="F496" s="70" t="str">
        <f>IFERROR(VLOOKUP(C496,MATERIAUX!$C$3:$G$1002,3,FALSE),"")</f>
        <v>m2</v>
      </c>
      <c r="G496" s="71">
        <f>IFERROR(VLOOKUP(C496,MATERIAUX!$C$3:$G$1002,5,FALSE),"")</f>
        <v>7.315463917525773</v>
      </c>
      <c r="H496" s="71">
        <f>IFERROR(ROUND(G496*(1+E496)*(D494+D496),2)*D493,"")</f>
        <v>5.4127999999999996E-2</v>
      </c>
      <c r="I496" s="394"/>
      <c r="J496" s="72"/>
      <c r="K496" s="72"/>
      <c r="L496" s="72" t="str">
        <f>IFERROR(VLOOKUP(J496,'MAIN D OEUVRE'!$A$4:$B$99,2,FALSE)*$N$2,"")</f>
        <v/>
      </c>
      <c r="M496" s="73" t="str">
        <f t="shared" si="189"/>
        <v/>
      </c>
      <c r="N496" s="397"/>
      <c r="O496" s="351">
        <f t="shared" si="199"/>
        <v>0</v>
      </c>
      <c r="P496" s="351">
        <f>O496*D496*(D493+D494)*1.02</f>
        <v>0</v>
      </c>
      <c r="Q496" s="351">
        <f t="shared" si="201"/>
        <v>0</v>
      </c>
    </row>
    <row r="497" spans="1:17">
      <c r="A497" s="388"/>
      <c r="B497" s="391"/>
      <c r="C497" s="69"/>
      <c r="D497" s="70"/>
      <c r="E497" s="146"/>
      <c r="F497" s="70" t="str">
        <f>IFERROR(VLOOKUP(C497,MATERIAUX!$C$3:$G$1002,3,FALSE),"")</f>
        <v/>
      </c>
      <c r="G497" s="71" t="str">
        <f>IFERROR(VLOOKUP(C497,MATERIAUX!$C$3:$G$1002,5,FALSE),"")</f>
        <v/>
      </c>
      <c r="H497" s="71" t="str">
        <f t="shared" si="184"/>
        <v/>
      </c>
      <c r="I497" s="394"/>
      <c r="J497" s="72"/>
      <c r="K497" s="72"/>
      <c r="L497" s="72" t="str">
        <f>IFERROR(VLOOKUP(J497,'MAIN D OEUVRE'!$A$4:$B$99,2,FALSE)*$N$2,"")</f>
        <v/>
      </c>
      <c r="M497" s="73" t="str">
        <f t="shared" si="189"/>
        <v/>
      </c>
      <c r="N497" s="397"/>
      <c r="O497">
        <f t="shared" si="199"/>
        <v>0</v>
      </c>
      <c r="P497">
        <f t="shared" si="200"/>
        <v>0</v>
      </c>
      <c r="Q497">
        <f t="shared" si="201"/>
        <v>0</v>
      </c>
    </row>
    <row r="498" spans="1:17">
      <c r="A498" s="388"/>
      <c r="B498" s="391"/>
      <c r="C498" s="69"/>
      <c r="D498" s="70"/>
      <c r="E498" s="146"/>
      <c r="F498" s="70" t="str">
        <f>IFERROR(VLOOKUP(C498,MATERIAUX!$C$3:$G$1002,3,FALSE),"")</f>
        <v/>
      </c>
      <c r="G498" s="71" t="str">
        <f>IFERROR(VLOOKUP(C498,MATERIAUX!$C$3:$G$1002,5,FALSE),"")</f>
        <v/>
      </c>
      <c r="H498" s="71" t="str">
        <f t="shared" si="184"/>
        <v/>
      </c>
      <c r="I498" s="394"/>
      <c r="J498" s="72"/>
      <c r="K498" s="72"/>
      <c r="L498" s="72" t="str">
        <f>IFERROR(VLOOKUP(J498,'MAIN D OEUVRE'!$A$4:$B$99,2,FALSE)*$N$2,"")</f>
        <v/>
      </c>
      <c r="M498" s="73" t="str">
        <f t="shared" si="189"/>
        <v/>
      </c>
      <c r="N498" s="397"/>
      <c r="O498">
        <f t="shared" si="199"/>
        <v>0</v>
      </c>
      <c r="P498">
        <f t="shared" si="200"/>
        <v>0</v>
      </c>
      <c r="Q498">
        <f t="shared" si="201"/>
        <v>0</v>
      </c>
    </row>
    <row r="499" spans="1:17">
      <c r="A499" s="388"/>
      <c r="B499" s="391"/>
      <c r="C499" s="69"/>
      <c r="D499" s="70"/>
      <c r="E499" s="146"/>
      <c r="F499" s="70" t="str">
        <f>IFERROR(VLOOKUP(C499,MATERIAUX!$C$3:$G$1002,3,FALSE),"")</f>
        <v/>
      </c>
      <c r="G499" s="71" t="str">
        <f>IFERROR(VLOOKUP(C499,MATERIAUX!$C$3:$G$1002,5,FALSE),"")</f>
        <v/>
      </c>
      <c r="H499" s="71" t="str">
        <f t="shared" si="184"/>
        <v/>
      </c>
      <c r="I499" s="394"/>
      <c r="J499" s="72"/>
      <c r="K499" s="72"/>
      <c r="L499" s="72" t="str">
        <f>IFERROR(VLOOKUP(J499,'MAIN D OEUVRE'!$A$4:$B$99,2,FALSE)*$N$2,"")</f>
        <v/>
      </c>
      <c r="M499" s="73" t="str">
        <f t="shared" si="189"/>
        <v/>
      </c>
      <c r="N499" s="397"/>
      <c r="O499">
        <f t="shared" si="199"/>
        <v>0</v>
      </c>
      <c r="P499">
        <f t="shared" si="200"/>
        <v>0</v>
      </c>
      <c r="Q499">
        <f t="shared" si="201"/>
        <v>0</v>
      </c>
    </row>
    <row r="500" spans="1:17">
      <c r="A500" s="388"/>
      <c r="B500" s="391"/>
      <c r="C500" s="69"/>
      <c r="D500" s="70"/>
      <c r="E500" s="146"/>
      <c r="F500" s="70" t="str">
        <f>IFERROR(VLOOKUP(C500,MATERIAUX!$C$3:$G$1002,3,FALSE),"")</f>
        <v/>
      </c>
      <c r="G500" s="71" t="str">
        <f>IFERROR(VLOOKUP(C500,MATERIAUX!$C$3:$G$1002,5,FALSE),"")</f>
        <v/>
      </c>
      <c r="H500" s="71" t="str">
        <f t="shared" si="184"/>
        <v/>
      </c>
      <c r="I500" s="394"/>
      <c r="J500" s="72"/>
      <c r="K500" s="72"/>
      <c r="L500" s="72" t="str">
        <f>IFERROR(VLOOKUP(J500,'MAIN D OEUVRE'!$A$4:$B$99,2,FALSE)*$N$2,"")</f>
        <v/>
      </c>
      <c r="M500" s="73" t="str">
        <f t="shared" si="189"/>
        <v/>
      </c>
      <c r="N500" s="397"/>
      <c r="O500">
        <f t="shared" si="199"/>
        <v>0</v>
      </c>
      <c r="P500">
        <f t="shared" si="200"/>
        <v>0</v>
      </c>
      <c r="Q500">
        <f t="shared" si="201"/>
        <v>0</v>
      </c>
    </row>
    <row r="501" spans="1:17">
      <c r="A501" s="388"/>
      <c r="B501" s="391"/>
      <c r="C501" s="69"/>
      <c r="D501" s="70"/>
      <c r="E501" s="146"/>
      <c r="F501" s="70" t="str">
        <f>IFERROR(VLOOKUP(C501,MATERIAUX!$C$3:$G$1002,3,FALSE),"")</f>
        <v/>
      </c>
      <c r="G501" s="71" t="str">
        <f>IFERROR(VLOOKUP(C501,MATERIAUX!$C$3:$G$1002,5,FALSE),"")</f>
        <v/>
      </c>
      <c r="H501" s="71" t="str">
        <f t="shared" si="184"/>
        <v/>
      </c>
      <c r="I501" s="394"/>
      <c r="J501" s="72"/>
      <c r="K501" s="72"/>
      <c r="L501" s="72"/>
      <c r="M501" s="73"/>
      <c r="N501" s="397"/>
      <c r="O501">
        <f t="shared" si="199"/>
        <v>0</v>
      </c>
      <c r="P501">
        <f t="shared" si="200"/>
        <v>0</v>
      </c>
      <c r="Q501">
        <f t="shared" si="201"/>
        <v>0</v>
      </c>
    </row>
    <row r="502" spans="1:17" ht="15" thickBot="1">
      <c r="A502" s="389"/>
      <c r="B502" s="392"/>
      <c r="C502" s="74"/>
      <c r="D502" s="75"/>
      <c r="E502" s="147"/>
      <c r="F502" s="70" t="str">
        <f>IFERROR(VLOOKUP(C502,MATERIAUX!$C$3:$G$1002,3,FALSE),"")</f>
        <v/>
      </c>
      <c r="G502" s="71" t="str">
        <f>IFERROR(VLOOKUP(C502,MATERIAUX!$C$3:$G$1002,5,FALSE),"")</f>
        <v/>
      </c>
      <c r="H502" s="76" t="str">
        <f t="shared" ref="H502:H505" si="202">IFERROR(ROUND(G502*(1+E502)*D502,2),"")</f>
        <v/>
      </c>
      <c r="I502" s="395"/>
      <c r="J502" s="77"/>
      <c r="K502" s="77"/>
      <c r="L502" s="77"/>
      <c r="M502" s="78"/>
      <c r="N502" s="398"/>
      <c r="O502">
        <f t="shared" si="199"/>
        <v>0</v>
      </c>
      <c r="P502">
        <f t="shared" si="200"/>
        <v>0</v>
      </c>
      <c r="Q502">
        <f t="shared" si="201"/>
        <v>0</v>
      </c>
    </row>
    <row r="503" spans="1:17">
      <c r="A503" s="387" t="s">
        <v>541</v>
      </c>
      <c r="B503" s="390" t="s">
        <v>21</v>
      </c>
      <c r="C503" s="69" t="s">
        <v>539</v>
      </c>
      <c r="D503" s="70">
        <v>1</v>
      </c>
      <c r="E503" s="146">
        <v>0.1</v>
      </c>
      <c r="F503" s="65" t="str">
        <f>IFERROR(VLOOKUP(C503,MATERIAUX!$C$3:$G$1002,3,FALSE),"")</f>
        <v>m2</v>
      </c>
      <c r="G503" s="66">
        <f>IFERROR(VLOOKUP(C503,MATERIAUX!$C$3:$G$1002,5,FALSE),"")</f>
        <v>2.8453608247422681</v>
      </c>
      <c r="H503" s="66">
        <f t="shared" si="202"/>
        <v>3.13</v>
      </c>
      <c r="I503" s="393">
        <f>SUM(H503:H512)</f>
        <v>6.0299999999999994</v>
      </c>
      <c r="J503" s="67" t="s">
        <v>55</v>
      </c>
      <c r="K503" s="67">
        <v>1</v>
      </c>
      <c r="L503" s="67">
        <f>IFERROR(VLOOKUP(J503,'MAIN D OEUVRE'!$A$4:$B$99,2,FALSE)*$N$2,"")</f>
        <v>0.44000000000000006</v>
      </c>
      <c r="M503" s="68">
        <f t="shared" ref="M503:M510" si="203">IFERROR(ROUND(L503*K503,2),"")</f>
        <v>0.44</v>
      </c>
      <c r="N503" s="396">
        <f>SUM(M503:M512)</f>
        <v>0.77</v>
      </c>
      <c r="O503" s="350">
        <v>0</v>
      </c>
      <c r="P503">
        <f t="shared" si="200"/>
        <v>0</v>
      </c>
      <c r="Q503">
        <f t="shared" si="201"/>
        <v>0</v>
      </c>
    </row>
    <row r="504" spans="1:17">
      <c r="A504" s="388"/>
      <c r="B504" s="391"/>
      <c r="C504" s="69" t="s">
        <v>105</v>
      </c>
      <c r="D504" s="70">
        <v>1.1000000000000001</v>
      </c>
      <c r="E504" s="146">
        <v>0</v>
      </c>
      <c r="F504" s="70" t="str">
        <f>IFERROR(VLOOKUP(C504,MATERIAUX!$C$3:$G$1002,3,FALSE),"")</f>
        <v>m2</v>
      </c>
      <c r="G504" s="71">
        <f>IFERROR(VLOOKUP(C504,MATERIAUX!$C$3:$G$1002,5,FALSE),"")</f>
        <v>0.98969072164948457</v>
      </c>
      <c r="H504" s="71">
        <f t="shared" si="202"/>
        <v>1.0900000000000001</v>
      </c>
      <c r="I504" s="394"/>
      <c r="J504" s="72" t="s">
        <v>56</v>
      </c>
      <c r="K504" s="72">
        <v>1</v>
      </c>
      <c r="L504" s="72">
        <f>IFERROR(VLOOKUP(J504,'MAIN D OEUVRE'!$A$4:$B$99,2,FALSE)*$N$2,"")</f>
        <v>0.33</v>
      </c>
      <c r="M504" s="73">
        <f t="shared" si="203"/>
        <v>0.33</v>
      </c>
      <c r="N504" s="397"/>
      <c r="O504">
        <f>O503</f>
        <v>0</v>
      </c>
      <c r="P504">
        <f t="shared" si="200"/>
        <v>0</v>
      </c>
      <c r="Q504">
        <f t="shared" si="201"/>
        <v>0</v>
      </c>
    </row>
    <row r="505" spans="1:17">
      <c r="A505" s="388"/>
      <c r="B505" s="391"/>
      <c r="C505" s="69" t="s">
        <v>540</v>
      </c>
      <c r="D505" s="70">
        <v>2</v>
      </c>
      <c r="E505" s="146">
        <f>10%</f>
        <v>0.1</v>
      </c>
      <c r="F505" s="70" t="str">
        <f>IFERROR(VLOOKUP(C505,MATERIAUX!$C$3:$G$1002,3,FALSE),"")</f>
        <v>m2</v>
      </c>
      <c r="G505" s="71">
        <f>IFERROR(VLOOKUP(C505,MATERIAUX!$C$3:$G$1002,5,FALSE),"")</f>
        <v>0.82474226804123718</v>
      </c>
      <c r="H505" s="71">
        <f t="shared" si="202"/>
        <v>1.81</v>
      </c>
      <c r="I505" s="394"/>
      <c r="J505" s="72"/>
      <c r="K505" s="72"/>
      <c r="L505" s="72" t="str">
        <f>IFERROR(VLOOKUP(J505,'MAIN D OEUVRE'!$A$4:$B$99,2,FALSE)*$N$2,"")</f>
        <v/>
      </c>
      <c r="M505" s="73" t="str">
        <f t="shared" si="203"/>
        <v/>
      </c>
      <c r="N505" s="397"/>
      <c r="O505">
        <f t="shared" ref="O505:O512" si="204">O504</f>
        <v>0</v>
      </c>
      <c r="P505">
        <f t="shared" si="200"/>
        <v>0</v>
      </c>
      <c r="Q505">
        <f t="shared" si="201"/>
        <v>0</v>
      </c>
    </row>
    <row r="506" spans="1:17">
      <c r="A506" s="388"/>
      <c r="B506" s="391"/>
      <c r="C506" s="69"/>
      <c r="D506" s="70"/>
      <c r="E506" s="146"/>
      <c r="F506" s="70" t="str">
        <f>IFERROR(VLOOKUP(C506,MATERIAUX!$C$3:$G$1002,3,FALSE),"")</f>
        <v/>
      </c>
      <c r="G506" s="71" t="str">
        <f>IFERROR(VLOOKUP(C506,MATERIAUX!$C$3:$G$1002,5,FALSE),"")</f>
        <v/>
      </c>
      <c r="H506" s="71"/>
      <c r="I506" s="394"/>
      <c r="J506" s="72"/>
      <c r="K506" s="72"/>
      <c r="L506" s="72" t="str">
        <f>IFERROR(VLOOKUP(J506,'MAIN D OEUVRE'!$A$4:$B$99,2,FALSE)*$N$2,"")</f>
        <v/>
      </c>
      <c r="M506" s="73" t="str">
        <f t="shared" si="203"/>
        <v/>
      </c>
      <c r="N506" s="397"/>
      <c r="O506">
        <f t="shared" si="204"/>
        <v>0</v>
      </c>
      <c r="P506">
        <f t="shared" si="200"/>
        <v>0</v>
      </c>
      <c r="Q506">
        <f t="shared" si="201"/>
        <v>0</v>
      </c>
    </row>
    <row r="507" spans="1:17">
      <c r="A507" s="388"/>
      <c r="B507" s="391"/>
      <c r="C507" s="69"/>
      <c r="D507" s="70"/>
      <c r="E507" s="146"/>
      <c r="F507" s="70" t="str">
        <f>IFERROR(VLOOKUP(C507,MATERIAUX!$C$3:$G$1002,3,FALSE),"")</f>
        <v/>
      </c>
      <c r="G507" s="71" t="str">
        <f>IFERROR(VLOOKUP(C507,MATERIAUX!$C$3:$G$1002,5,FALSE),"")</f>
        <v/>
      </c>
      <c r="H507" s="71" t="str">
        <f t="shared" ref="H507:H514" si="205">IFERROR(ROUND(G507*(1+E507)*D507,2),"")</f>
        <v/>
      </c>
      <c r="I507" s="394"/>
      <c r="J507" s="72"/>
      <c r="K507" s="72"/>
      <c r="L507" s="72" t="str">
        <f>IFERROR(VLOOKUP(J507,'MAIN D OEUVRE'!$A$4:$B$99,2,FALSE)*$N$2,"")</f>
        <v/>
      </c>
      <c r="M507" s="73" t="str">
        <f t="shared" si="203"/>
        <v/>
      </c>
      <c r="N507" s="397"/>
      <c r="O507">
        <f t="shared" si="204"/>
        <v>0</v>
      </c>
      <c r="P507">
        <f t="shared" si="200"/>
        <v>0</v>
      </c>
      <c r="Q507">
        <f t="shared" si="201"/>
        <v>0</v>
      </c>
    </row>
    <row r="508" spans="1:17">
      <c r="A508" s="388"/>
      <c r="B508" s="391"/>
      <c r="C508" s="69"/>
      <c r="D508" s="70"/>
      <c r="E508" s="146"/>
      <c r="F508" s="70" t="str">
        <f>IFERROR(VLOOKUP(C508,MATERIAUX!$C$3:$G$1002,3,FALSE),"")</f>
        <v/>
      </c>
      <c r="G508" s="71" t="str">
        <f>IFERROR(VLOOKUP(C508,MATERIAUX!$C$3:$G$1002,5,FALSE),"")</f>
        <v/>
      </c>
      <c r="H508" s="71" t="str">
        <f t="shared" si="205"/>
        <v/>
      </c>
      <c r="I508" s="394"/>
      <c r="J508" s="72"/>
      <c r="K508" s="72"/>
      <c r="L508" s="72" t="str">
        <f>IFERROR(VLOOKUP(J508,'MAIN D OEUVRE'!$A$4:$B$99,2,FALSE)*$N$2,"")</f>
        <v/>
      </c>
      <c r="M508" s="73" t="str">
        <f t="shared" si="203"/>
        <v/>
      </c>
      <c r="N508" s="397"/>
      <c r="O508">
        <f t="shared" si="204"/>
        <v>0</v>
      </c>
      <c r="P508">
        <f t="shared" si="200"/>
        <v>0</v>
      </c>
      <c r="Q508">
        <f t="shared" si="201"/>
        <v>0</v>
      </c>
    </row>
    <row r="509" spans="1:17">
      <c r="A509" s="388"/>
      <c r="B509" s="391"/>
      <c r="C509" s="69"/>
      <c r="D509" s="70"/>
      <c r="E509" s="146"/>
      <c r="F509" s="70" t="str">
        <f>IFERROR(VLOOKUP(C509,MATERIAUX!$C$3:$G$1002,3,FALSE),"")</f>
        <v/>
      </c>
      <c r="G509" s="71" t="str">
        <f>IFERROR(VLOOKUP(C509,MATERIAUX!$C$3:$G$1002,5,FALSE),"")</f>
        <v/>
      </c>
      <c r="H509" s="71" t="str">
        <f t="shared" si="205"/>
        <v/>
      </c>
      <c r="I509" s="394"/>
      <c r="J509" s="72"/>
      <c r="K509" s="72"/>
      <c r="L509" s="72" t="str">
        <f>IFERROR(VLOOKUP(J509,'MAIN D OEUVRE'!$A$4:$B$99,2,FALSE)*$N$2,"")</f>
        <v/>
      </c>
      <c r="M509" s="73" t="str">
        <f t="shared" si="203"/>
        <v/>
      </c>
      <c r="N509" s="397"/>
      <c r="O509">
        <f t="shared" si="204"/>
        <v>0</v>
      </c>
      <c r="P509">
        <f t="shared" si="200"/>
        <v>0</v>
      </c>
      <c r="Q509">
        <f t="shared" si="201"/>
        <v>0</v>
      </c>
    </row>
    <row r="510" spans="1:17">
      <c r="A510" s="388"/>
      <c r="B510" s="391"/>
      <c r="C510" s="69"/>
      <c r="D510" s="70"/>
      <c r="E510" s="146"/>
      <c r="F510" s="70" t="str">
        <f>IFERROR(VLOOKUP(C510,MATERIAUX!$C$3:$G$1002,3,FALSE),"")</f>
        <v/>
      </c>
      <c r="G510" s="71" t="str">
        <f>IFERROR(VLOOKUP(C510,MATERIAUX!$C$3:$G$1002,5,FALSE),"")</f>
        <v/>
      </c>
      <c r="H510" s="71" t="str">
        <f t="shared" si="205"/>
        <v/>
      </c>
      <c r="I510" s="394"/>
      <c r="J510" s="72"/>
      <c r="K510" s="72"/>
      <c r="L510" s="72" t="str">
        <f>IFERROR(VLOOKUP(J510,'MAIN D OEUVRE'!$A$4:$B$99,2,FALSE)*$N$2,"")</f>
        <v/>
      </c>
      <c r="M510" s="73" t="str">
        <f t="shared" si="203"/>
        <v/>
      </c>
      <c r="N510" s="397"/>
      <c r="O510">
        <f t="shared" si="204"/>
        <v>0</v>
      </c>
      <c r="P510">
        <f t="shared" si="200"/>
        <v>0</v>
      </c>
      <c r="Q510">
        <f t="shared" si="201"/>
        <v>0</v>
      </c>
    </row>
    <row r="511" spans="1:17">
      <c r="A511" s="388"/>
      <c r="B511" s="391"/>
      <c r="C511" s="69"/>
      <c r="D511" s="70"/>
      <c r="E511" s="146"/>
      <c r="F511" s="70" t="str">
        <f>IFERROR(VLOOKUP(C511,MATERIAUX!$C$3:$G$1002,3,FALSE),"")</f>
        <v/>
      </c>
      <c r="G511" s="71" t="str">
        <f>IFERROR(VLOOKUP(C511,MATERIAUX!$C$3:$G$1002,5,FALSE),"")</f>
        <v/>
      </c>
      <c r="H511" s="71" t="str">
        <f t="shared" si="205"/>
        <v/>
      </c>
      <c r="I511" s="394"/>
      <c r="J511" s="72"/>
      <c r="K511" s="72"/>
      <c r="L511" s="72"/>
      <c r="M511" s="73"/>
      <c r="N511" s="397"/>
      <c r="O511">
        <f t="shared" si="204"/>
        <v>0</v>
      </c>
      <c r="P511">
        <f t="shared" si="200"/>
        <v>0</v>
      </c>
      <c r="Q511">
        <f t="shared" si="201"/>
        <v>0</v>
      </c>
    </row>
    <row r="512" spans="1:17" ht="15" thickBot="1">
      <c r="A512" s="389"/>
      <c r="B512" s="392"/>
      <c r="C512" s="74"/>
      <c r="D512" s="75"/>
      <c r="E512" s="147"/>
      <c r="F512" s="70" t="str">
        <f>IFERROR(VLOOKUP(C512,MATERIAUX!$C$3:$G$1002,3,FALSE),"")</f>
        <v/>
      </c>
      <c r="G512" s="71" t="str">
        <f>IFERROR(VLOOKUP(C512,MATERIAUX!$C$3:$G$1002,5,FALSE),"")</f>
        <v/>
      </c>
      <c r="H512" s="76" t="str">
        <f t="shared" si="205"/>
        <v/>
      </c>
      <c r="I512" s="395"/>
      <c r="J512" s="77"/>
      <c r="K512" s="77"/>
      <c r="L512" s="77"/>
      <c r="M512" s="78"/>
      <c r="N512" s="398"/>
      <c r="O512">
        <f t="shared" si="204"/>
        <v>0</v>
      </c>
      <c r="P512">
        <f t="shared" si="200"/>
        <v>0</v>
      </c>
      <c r="Q512">
        <f t="shared" si="201"/>
        <v>0</v>
      </c>
    </row>
    <row r="513" spans="1:17">
      <c r="A513" s="405" t="s">
        <v>216</v>
      </c>
      <c r="B513" s="390" t="s">
        <v>21</v>
      </c>
      <c r="C513" s="64" t="s">
        <v>215</v>
      </c>
      <c r="D513" s="65">
        <v>3</v>
      </c>
      <c r="E513" s="145">
        <v>0.1</v>
      </c>
      <c r="F513" s="65" t="str">
        <f>IFERROR(VLOOKUP(C513,MATERIAUX!$C$3:$G$1002,3,FALSE),"")</f>
        <v>ml</v>
      </c>
      <c r="G513" s="66">
        <f>IFERROR(VLOOKUP(C513,MATERIAUX!$C$3:$G$1002,5,FALSE),"")</f>
        <v>0.37938144329896911</v>
      </c>
      <c r="H513" s="66">
        <f t="shared" si="205"/>
        <v>1.25</v>
      </c>
      <c r="I513" s="393">
        <f t="shared" ref="I513" si="206">SUM(H513:H522)</f>
        <v>4.45</v>
      </c>
      <c r="J513" s="67" t="s">
        <v>217</v>
      </c>
      <c r="K513" s="67">
        <v>1</v>
      </c>
      <c r="L513" s="67">
        <f>IFERROR(VLOOKUP(J513,'MAIN D OEUVRE'!$A$4:$B$99,2,FALSE)*$N$2,"")</f>
        <v>2.75</v>
      </c>
      <c r="M513" s="68">
        <f t="shared" ref="M513:M520" si="207">IFERROR(ROUND(L513*K513,2),"")</f>
        <v>2.75</v>
      </c>
      <c r="N513" s="396">
        <f t="shared" ref="N513" si="208">SUM(M513:M522)</f>
        <v>2.75</v>
      </c>
      <c r="O513" s="350">
        <v>0</v>
      </c>
      <c r="P513">
        <f t="shared" si="200"/>
        <v>0</v>
      </c>
      <c r="Q513">
        <f t="shared" si="201"/>
        <v>0</v>
      </c>
    </row>
    <row r="514" spans="1:17">
      <c r="A514" s="406"/>
      <c r="B514" s="391"/>
      <c r="C514" s="69" t="s">
        <v>83</v>
      </c>
      <c r="D514" s="70">
        <v>21</v>
      </c>
      <c r="E514" s="146">
        <v>0</v>
      </c>
      <c r="F514" s="70" t="str">
        <f>IFERROR(VLOOKUP(C514,MATERIAUX!$C$3:$G$1002,3,FALSE),"")</f>
        <v>u</v>
      </c>
      <c r="G514" s="71">
        <f>IFERROR(VLOOKUP(C514,MATERIAUX!$C$3:$G$1002,5,FALSE),"")</f>
        <v>0.15257731958762888</v>
      </c>
      <c r="H514" s="71">
        <f t="shared" si="205"/>
        <v>3.2</v>
      </c>
      <c r="I514" s="394"/>
      <c r="J514" s="72"/>
      <c r="K514" s="72"/>
      <c r="L514" s="72" t="str">
        <f>IFERROR(VLOOKUP(J514,'MAIN D OEUVRE'!$A$4:$B$99,2,FALSE)*$N$2,"")</f>
        <v/>
      </c>
      <c r="M514" s="73" t="str">
        <f t="shared" si="207"/>
        <v/>
      </c>
      <c r="N514" s="397"/>
      <c r="O514">
        <f>O513</f>
        <v>0</v>
      </c>
      <c r="P514">
        <f t="shared" si="200"/>
        <v>0</v>
      </c>
      <c r="Q514">
        <f t="shared" si="201"/>
        <v>0</v>
      </c>
    </row>
    <row r="515" spans="1:17">
      <c r="A515" s="406"/>
      <c r="B515" s="391"/>
      <c r="C515" s="287"/>
      <c r="D515" s="288"/>
      <c r="E515" s="146"/>
      <c r="F515" s="70" t="str">
        <f>IFERROR(VLOOKUP(C515,MATERIAUX!$C$3:$G$1002,3,FALSE),"")</f>
        <v/>
      </c>
      <c r="G515" s="71" t="str">
        <f>IFERROR(VLOOKUP(C515,MATERIAUX!$C$3:$G$1002,5,FALSE),"")</f>
        <v/>
      </c>
      <c r="H515" s="71" t="str">
        <f>IFERROR(ROUND(G515*(1+E515)*D515,2)*D514,"")</f>
        <v/>
      </c>
      <c r="I515" s="394"/>
      <c r="J515" s="72"/>
      <c r="K515" s="72"/>
      <c r="L515" s="72" t="str">
        <f>IFERROR(VLOOKUP(J515,'MAIN D OEUVRE'!$A$4:$B$99,2,FALSE)*$N$2,"")</f>
        <v/>
      </c>
      <c r="M515" s="73" t="str">
        <f t="shared" si="207"/>
        <v/>
      </c>
      <c r="N515" s="397"/>
      <c r="O515">
        <f t="shared" ref="O515:O522" si="209">O514</f>
        <v>0</v>
      </c>
      <c r="P515">
        <f t="shared" si="200"/>
        <v>0</v>
      </c>
      <c r="Q515">
        <f t="shared" si="201"/>
        <v>0</v>
      </c>
    </row>
    <row r="516" spans="1:17">
      <c r="A516" s="406"/>
      <c r="B516" s="391"/>
      <c r="C516" s="69"/>
      <c r="D516" s="70"/>
      <c r="E516" s="146"/>
      <c r="F516" s="70" t="str">
        <f>IFERROR(VLOOKUP(C516,MATERIAUX!$C$3:$G$1002,3,FALSE),"")</f>
        <v/>
      </c>
      <c r="G516" s="71" t="str">
        <f>IFERROR(VLOOKUP(C516,MATERIAUX!$C$3:$G$1002,5,FALSE),"")</f>
        <v/>
      </c>
      <c r="H516" s="71" t="str">
        <f t="shared" ref="H516:H525" si="210">IFERROR(ROUND(G516*(1+E516)*D516,2),"")</f>
        <v/>
      </c>
      <c r="I516" s="394"/>
      <c r="J516" s="72"/>
      <c r="K516" s="72"/>
      <c r="L516" s="72" t="str">
        <f>IFERROR(VLOOKUP(J516,'MAIN D OEUVRE'!$A$4:$B$99,2,FALSE)*$N$2,"")</f>
        <v/>
      </c>
      <c r="M516" s="73" t="str">
        <f t="shared" si="207"/>
        <v/>
      </c>
      <c r="N516" s="397"/>
      <c r="O516">
        <f t="shared" si="209"/>
        <v>0</v>
      </c>
      <c r="P516">
        <f t="shared" si="200"/>
        <v>0</v>
      </c>
      <c r="Q516">
        <f t="shared" si="201"/>
        <v>0</v>
      </c>
    </row>
    <row r="517" spans="1:17">
      <c r="A517" s="406"/>
      <c r="B517" s="391"/>
      <c r="C517" s="69"/>
      <c r="D517" s="70"/>
      <c r="E517" s="146"/>
      <c r="F517" s="70" t="str">
        <f>IFERROR(VLOOKUP(C517,MATERIAUX!$C$3:$G$1002,3,FALSE),"")</f>
        <v/>
      </c>
      <c r="G517" s="71" t="str">
        <f>IFERROR(VLOOKUP(C517,MATERIAUX!$C$3:$G$1002,5,FALSE),"")</f>
        <v/>
      </c>
      <c r="H517" s="71" t="str">
        <f t="shared" si="210"/>
        <v/>
      </c>
      <c r="I517" s="394"/>
      <c r="J517" s="72"/>
      <c r="K517" s="72"/>
      <c r="L517" s="72" t="str">
        <f>IFERROR(VLOOKUP(J517,'MAIN D OEUVRE'!$A$4:$B$99,2,FALSE)*$N$2,"")</f>
        <v/>
      </c>
      <c r="M517" s="73" t="str">
        <f t="shared" si="207"/>
        <v/>
      </c>
      <c r="N517" s="397"/>
      <c r="O517">
        <f t="shared" si="209"/>
        <v>0</v>
      </c>
      <c r="P517">
        <f t="shared" si="200"/>
        <v>0</v>
      </c>
      <c r="Q517">
        <f t="shared" si="201"/>
        <v>0</v>
      </c>
    </row>
    <row r="518" spans="1:17">
      <c r="A518" s="406"/>
      <c r="B518" s="391"/>
      <c r="C518" s="69"/>
      <c r="D518" s="70"/>
      <c r="E518" s="146"/>
      <c r="F518" s="70" t="str">
        <f>IFERROR(VLOOKUP(C518,MATERIAUX!$C$3:$G$1002,3,FALSE),"")</f>
        <v/>
      </c>
      <c r="G518" s="71" t="str">
        <f>IFERROR(VLOOKUP(C518,MATERIAUX!$C$3:$G$1002,5,FALSE),"")</f>
        <v/>
      </c>
      <c r="H518" s="71" t="str">
        <f t="shared" si="210"/>
        <v/>
      </c>
      <c r="I518" s="394"/>
      <c r="J518" s="72"/>
      <c r="K518" s="72"/>
      <c r="L518" s="72" t="str">
        <f>IFERROR(VLOOKUP(J518,'MAIN D OEUVRE'!$A$4:$B$99,2,FALSE)*$N$2,"")</f>
        <v/>
      </c>
      <c r="M518" s="73" t="str">
        <f t="shared" si="207"/>
        <v/>
      </c>
      <c r="N518" s="397"/>
      <c r="O518">
        <f t="shared" si="209"/>
        <v>0</v>
      </c>
      <c r="P518">
        <f t="shared" si="200"/>
        <v>0</v>
      </c>
      <c r="Q518">
        <f t="shared" si="201"/>
        <v>0</v>
      </c>
    </row>
    <row r="519" spans="1:17">
      <c r="A519" s="406"/>
      <c r="B519" s="391"/>
      <c r="C519" s="69"/>
      <c r="D519" s="70"/>
      <c r="E519" s="146"/>
      <c r="F519" s="70" t="str">
        <f>IFERROR(VLOOKUP(C519,MATERIAUX!$C$3:$G$1002,3,FALSE),"")</f>
        <v/>
      </c>
      <c r="G519" s="71" t="str">
        <f>IFERROR(VLOOKUP(C519,MATERIAUX!$C$3:$G$1002,5,FALSE),"")</f>
        <v/>
      </c>
      <c r="H519" s="71" t="str">
        <f t="shared" si="210"/>
        <v/>
      </c>
      <c r="I519" s="394"/>
      <c r="J519" s="72"/>
      <c r="K519" s="72"/>
      <c r="L519" s="72" t="str">
        <f>IFERROR(VLOOKUP(J519,'MAIN D OEUVRE'!$A$4:$B$99,2,FALSE)*$N$2,"")</f>
        <v/>
      </c>
      <c r="M519" s="73" t="str">
        <f t="shared" si="207"/>
        <v/>
      </c>
      <c r="N519" s="397"/>
      <c r="O519">
        <f t="shared" si="209"/>
        <v>0</v>
      </c>
      <c r="P519">
        <f t="shared" si="200"/>
        <v>0</v>
      </c>
      <c r="Q519">
        <f t="shared" si="201"/>
        <v>0</v>
      </c>
    </row>
    <row r="520" spans="1:17">
      <c r="A520" s="406"/>
      <c r="B520" s="391"/>
      <c r="C520" s="69"/>
      <c r="D520" s="70"/>
      <c r="E520" s="146"/>
      <c r="F520" s="70" t="str">
        <f>IFERROR(VLOOKUP(C520,MATERIAUX!$C$3:$G$1002,3,FALSE),"")</f>
        <v/>
      </c>
      <c r="G520" s="71" t="str">
        <f>IFERROR(VLOOKUP(C520,MATERIAUX!$C$3:$G$1002,5,FALSE),"")</f>
        <v/>
      </c>
      <c r="H520" s="71" t="str">
        <f t="shared" si="210"/>
        <v/>
      </c>
      <c r="I520" s="394"/>
      <c r="J520" s="72"/>
      <c r="K520" s="72"/>
      <c r="L520" s="72" t="str">
        <f>IFERROR(VLOOKUP(J520,'MAIN D OEUVRE'!$A$4:$B$99,2,FALSE)*$N$2,"")</f>
        <v/>
      </c>
      <c r="M520" s="73" t="str">
        <f t="shared" si="207"/>
        <v/>
      </c>
      <c r="N520" s="397"/>
      <c r="O520">
        <f t="shared" si="209"/>
        <v>0</v>
      </c>
      <c r="P520">
        <f t="shared" si="200"/>
        <v>0</v>
      </c>
      <c r="Q520">
        <f t="shared" si="201"/>
        <v>0</v>
      </c>
    </row>
    <row r="521" spans="1:17">
      <c r="A521" s="406"/>
      <c r="B521" s="391"/>
      <c r="C521" s="69"/>
      <c r="D521" s="70"/>
      <c r="E521" s="146"/>
      <c r="F521" s="70" t="str">
        <f>IFERROR(VLOOKUP(C521,MATERIAUX!$C$3:$G$1002,3,FALSE),"")</f>
        <v/>
      </c>
      <c r="G521" s="71" t="str">
        <f>IFERROR(VLOOKUP(C521,MATERIAUX!$C$3:$G$1002,5,FALSE),"")</f>
        <v/>
      </c>
      <c r="H521" s="71" t="str">
        <f t="shared" si="210"/>
        <v/>
      </c>
      <c r="I521" s="394"/>
      <c r="J521" s="72"/>
      <c r="K521" s="72"/>
      <c r="L521" s="72"/>
      <c r="M521" s="73"/>
      <c r="N521" s="397"/>
      <c r="O521">
        <f t="shared" si="209"/>
        <v>0</v>
      </c>
      <c r="P521">
        <f t="shared" si="200"/>
        <v>0</v>
      </c>
      <c r="Q521">
        <f t="shared" si="201"/>
        <v>0</v>
      </c>
    </row>
    <row r="522" spans="1:17" ht="15" thickBot="1">
      <c r="A522" s="407"/>
      <c r="B522" s="392"/>
      <c r="C522" s="74"/>
      <c r="D522" s="75"/>
      <c r="E522" s="147"/>
      <c r="F522" s="70" t="str">
        <f>IFERROR(VLOOKUP(C522,MATERIAUX!$C$3:$G$1002,3,FALSE),"")</f>
        <v/>
      </c>
      <c r="G522" s="71" t="str">
        <f>IFERROR(VLOOKUP(C522,MATERIAUX!$C$3:$G$1002,5,FALSE),"")</f>
        <v/>
      </c>
      <c r="H522" s="71" t="str">
        <f t="shared" si="210"/>
        <v/>
      </c>
      <c r="I522" s="395"/>
      <c r="J522" s="77"/>
      <c r="K522" s="77"/>
      <c r="L522" s="77"/>
      <c r="M522" s="78"/>
      <c r="N522" s="398"/>
      <c r="O522">
        <f t="shared" si="209"/>
        <v>0</v>
      </c>
      <c r="P522">
        <f t="shared" si="200"/>
        <v>0</v>
      </c>
      <c r="Q522">
        <f t="shared" si="201"/>
        <v>0</v>
      </c>
    </row>
    <row r="523" spans="1:17">
      <c r="A523" s="387" t="s">
        <v>242</v>
      </c>
      <c r="B523" s="390" t="s">
        <v>22</v>
      </c>
      <c r="C523" s="64" t="s">
        <v>9</v>
      </c>
      <c r="D523" s="65">
        <v>1</v>
      </c>
      <c r="E523" s="145">
        <v>0.1</v>
      </c>
      <c r="F523" s="65" t="str">
        <f>IFERROR(VLOOKUP(C523,MATERIAUX!$C$3:$G$1002,3,FALSE),"")</f>
        <v>m3</v>
      </c>
      <c r="G523" s="66">
        <f>IFERROR(VLOOKUP(C523,MATERIAUX!$C$3:$G$1002,5,FALSE),"")</f>
        <v>865.97938144329908</v>
      </c>
      <c r="H523" s="66">
        <f t="shared" si="210"/>
        <v>952.58</v>
      </c>
      <c r="I523" s="393">
        <f t="shared" ref="I523" si="211">SUM(H523:H532)</f>
        <v>960.49</v>
      </c>
      <c r="J523" s="67" t="s">
        <v>122</v>
      </c>
      <c r="K523" s="67">
        <v>1</v>
      </c>
      <c r="L523" s="67">
        <f>IFERROR(VLOOKUP(J523,'MAIN D OEUVRE'!$A$4:$B$99,2,FALSE)*$N$2,"")</f>
        <v>121.00000000000001</v>
      </c>
      <c r="M523" s="68">
        <f t="shared" ref="M523:M530" si="212">IFERROR(ROUND(L523*K523,2),"")</f>
        <v>121</v>
      </c>
      <c r="N523" s="396">
        <f t="shared" ref="N523" si="213">SUM(M523:M532)</f>
        <v>165</v>
      </c>
      <c r="O523" s="350">
        <v>0</v>
      </c>
      <c r="P523">
        <f t="shared" si="200"/>
        <v>0</v>
      </c>
      <c r="Q523">
        <f t="shared" si="201"/>
        <v>0</v>
      </c>
    </row>
    <row r="524" spans="1:17">
      <c r="A524" s="388"/>
      <c r="B524" s="391"/>
      <c r="C524" s="287" t="s">
        <v>263</v>
      </c>
      <c r="D524" s="288">
        <v>1.06</v>
      </c>
      <c r="E524" s="146">
        <v>0.02</v>
      </c>
      <c r="F524" s="70" t="str">
        <f>IFERROR(VLOOKUP(C524,MATERIAUX!$C$3:$G$1002,3,FALSE),"")</f>
        <v>m2</v>
      </c>
      <c r="G524" s="71">
        <f>IFERROR(VLOOKUP(C524,MATERIAUX!$C$3:$G$1002,5,FALSE),"")</f>
        <v>7.315463917525773</v>
      </c>
      <c r="H524" s="71">
        <f>IFERROR(ROUND(G524*(1+E524)*D524,2)*D523,"")</f>
        <v>7.91</v>
      </c>
      <c r="I524" s="394"/>
      <c r="J524" s="72" t="s">
        <v>241</v>
      </c>
      <c r="K524" s="72">
        <v>20</v>
      </c>
      <c r="L524" s="72">
        <f>IFERROR(VLOOKUP(J524,'MAIN D OEUVRE'!$A$4:$B$99,2,FALSE)*$N$2,"")</f>
        <v>2.2000000000000002</v>
      </c>
      <c r="M524" s="73">
        <f t="shared" si="212"/>
        <v>44</v>
      </c>
      <c r="N524" s="397"/>
      <c r="O524" s="351">
        <f t="shared" ref="O524" si="214">O523</f>
        <v>0</v>
      </c>
      <c r="P524" s="351">
        <f>O524*D524*(D521+D522)*1.02</f>
        <v>0</v>
      </c>
      <c r="Q524" s="351">
        <f t="shared" si="201"/>
        <v>0</v>
      </c>
    </row>
    <row r="525" spans="1:17">
      <c r="A525" s="388"/>
      <c r="B525" s="391"/>
      <c r="C525" s="69"/>
      <c r="D525" s="70"/>
      <c r="E525" s="146"/>
      <c r="F525" s="70" t="str">
        <f>IFERROR(VLOOKUP(C525,MATERIAUX!$C$3:$G$1002,3,FALSE),"")</f>
        <v/>
      </c>
      <c r="G525" s="71" t="str">
        <f>IFERROR(VLOOKUP(C525,MATERIAUX!$C$3:$G$1002,5,FALSE),"")</f>
        <v/>
      </c>
      <c r="H525" s="71" t="str">
        <f t="shared" si="210"/>
        <v/>
      </c>
      <c r="I525" s="394"/>
      <c r="J525" s="72"/>
      <c r="K525" s="72"/>
      <c r="L525" s="72" t="str">
        <f>IFERROR(VLOOKUP(J525,'MAIN D OEUVRE'!$A$4:$B$99,2,FALSE)*$N$2,"")</f>
        <v/>
      </c>
      <c r="M525" s="73" t="str">
        <f t="shared" si="212"/>
        <v/>
      </c>
      <c r="N525" s="397"/>
      <c r="O525">
        <f t="shared" ref="O525:O532" si="215">O524</f>
        <v>0</v>
      </c>
      <c r="P525">
        <f t="shared" si="200"/>
        <v>0</v>
      </c>
      <c r="Q525">
        <f t="shared" si="201"/>
        <v>0</v>
      </c>
    </row>
    <row r="526" spans="1:17">
      <c r="A526" s="388"/>
      <c r="B526" s="391"/>
      <c r="C526" s="69"/>
      <c r="D526" s="70"/>
      <c r="E526" s="146"/>
      <c r="F526" s="70" t="str">
        <f>IFERROR(VLOOKUP(C526,MATERIAUX!$C$3:$G$1002,3,FALSE),"")</f>
        <v/>
      </c>
      <c r="G526" s="71" t="str">
        <f>IFERROR(VLOOKUP(C526,MATERIAUX!$C$3:$G$1002,5,FALSE),"")</f>
        <v/>
      </c>
      <c r="H526" s="71" t="str">
        <f t="shared" ref="H526:H545" si="216">IFERROR(ROUND(G526*(1+E526)*D526,2),"")</f>
        <v/>
      </c>
      <c r="I526" s="394"/>
      <c r="J526" s="72"/>
      <c r="K526" s="72"/>
      <c r="L526" s="72" t="str">
        <f>IFERROR(VLOOKUP(J526,'MAIN D OEUVRE'!$A$4:$B$99,2,FALSE)*$N$2,"")</f>
        <v/>
      </c>
      <c r="M526" s="73" t="str">
        <f t="shared" si="212"/>
        <v/>
      </c>
      <c r="N526" s="397"/>
      <c r="O526">
        <f t="shared" si="215"/>
        <v>0</v>
      </c>
      <c r="P526">
        <f t="shared" si="200"/>
        <v>0</v>
      </c>
      <c r="Q526">
        <f t="shared" si="201"/>
        <v>0</v>
      </c>
    </row>
    <row r="527" spans="1:17">
      <c r="A527" s="388"/>
      <c r="B527" s="391"/>
      <c r="C527" s="69"/>
      <c r="D527" s="70"/>
      <c r="E527" s="146"/>
      <c r="F527" s="70" t="str">
        <f>IFERROR(VLOOKUP(C527,MATERIAUX!$C$3:$G$1002,3,FALSE),"")</f>
        <v/>
      </c>
      <c r="G527" s="71" t="str">
        <f>IFERROR(VLOOKUP(C527,MATERIAUX!$C$3:$G$1002,5,FALSE),"")</f>
        <v/>
      </c>
      <c r="H527" s="71" t="str">
        <f t="shared" si="216"/>
        <v/>
      </c>
      <c r="I527" s="394"/>
      <c r="J527" s="72"/>
      <c r="K527" s="72"/>
      <c r="L527" s="72" t="str">
        <f>IFERROR(VLOOKUP(J527,'MAIN D OEUVRE'!$A$4:$B$99,2,FALSE)*$N$2,"")</f>
        <v/>
      </c>
      <c r="M527" s="73" t="str">
        <f t="shared" si="212"/>
        <v/>
      </c>
      <c r="N527" s="397"/>
      <c r="O527">
        <f t="shared" si="215"/>
        <v>0</v>
      </c>
      <c r="P527">
        <f t="shared" si="200"/>
        <v>0</v>
      </c>
      <c r="Q527">
        <f t="shared" si="201"/>
        <v>0</v>
      </c>
    </row>
    <row r="528" spans="1:17">
      <c r="A528" s="388"/>
      <c r="B528" s="391"/>
      <c r="C528" s="69"/>
      <c r="D528" s="70"/>
      <c r="E528" s="146"/>
      <c r="F528" s="70" t="str">
        <f>IFERROR(VLOOKUP(C528,MATERIAUX!$C$3:$G$1002,3,FALSE),"")</f>
        <v/>
      </c>
      <c r="G528" s="71" t="str">
        <f>IFERROR(VLOOKUP(C528,MATERIAUX!$C$3:$G$1002,5,FALSE),"")</f>
        <v/>
      </c>
      <c r="H528" s="71" t="str">
        <f t="shared" si="216"/>
        <v/>
      </c>
      <c r="I528" s="394"/>
      <c r="J528" s="72"/>
      <c r="K528" s="72"/>
      <c r="L528" s="72" t="str">
        <f>IFERROR(VLOOKUP(J528,'MAIN D OEUVRE'!$A$4:$B$99,2,FALSE)*$N$2,"")</f>
        <v/>
      </c>
      <c r="M528" s="73" t="str">
        <f t="shared" si="212"/>
        <v/>
      </c>
      <c r="N528" s="397"/>
      <c r="O528">
        <f t="shared" si="215"/>
        <v>0</v>
      </c>
      <c r="P528">
        <f t="shared" si="200"/>
        <v>0</v>
      </c>
      <c r="Q528">
        <f t="shared" si="201"/>
        <v>0</v>
      </c>
    </row>
    <row r="529" spans="1:17">
      <c r="A529" s="388"/>
      <c r="B529" s="391"/>
      <c r="C529" s="69"/>
      <c r="D529" s="70"/>
      <c r="E529" s="146"/>
      <c r="F529" s="70" t="str">
        <f>IFERROR(VLOOKUP(C529,MATERIAUX!$C$3:$G$1002,3,FALSE),"")</f>
        <v/>
      </c>
      <c r="G529" s="71" t="str">
        <f>IFERROR(VLOOKUP(C529,MATERIAUX!$C$3:$G$1002,5,FALSE),"")</f>
        <v/>
      </c>
      <c r="H529" s="71" t="str">
        <f t="shared" si="216"/>
        <v/>
      </c>
      <c r="I529" s="394"/>
      <c r="J529" s="72"/>
      <c r="K529" s="72"/>
      <c r="L529" s="72" t="str">
        <f>IFERROR(VLOOKUP(J529,'MAIN D OEUVRE'!$A$4:$B$99,2,FALSE)*$N$2,"")</f>
        <v/>
      </c>
      <c r="M529" s="73" t="str">
        <f t="shared" si="212"/>
        <v/>
      </c>
      <c r="N529" s="397"/>
      <c r="O529">
        <f t="shared" si="215"/>
        <v>0</v>
      </c>
      <c r="P529">
        <f t="shared" si="200"/>
        <v>0</v>
      </c>
      <c r="Q529">
        <f t="shared" si="201"/>
        <v>0</v>
      </c>
    </row>
    <row r="530" spans="1:17">
      <c r="A530" s="388"/>
      <c r="B530" s="391"/>
      <c r="C530" s="69"/>
      <c r="D530" s="70"/>
      <c r="E530" s="146"/>
      <c r="F530" s="70" t="str">
        <f>IFERROR(VLOOKUP(C530,MATERIAUX!$C$3:$G$1002,3,FALSE),"")</f>
        <v/>
      </c>
      <c r="G530" s="71" t="str">
        <f>IFERROR(VLOOKUP(C530,MATERIAUX!$C$3:$G$1002,5,FALSE),"")</f>
        <v/>
      </c>
      <c r="H530" s="71" t="str">
        <f t="shared" si="216"/>
        <v/>
      </c>
      <c r="I530" s="394"/>
      <c r="J530" s="72"/>
      <c r="K530" s="72"/>
      <c r="L530" s="72" t="str">
        <f>IFERROR(VLOOKUP(J530,'MAIN D OEUVRE'!$A$4:$B$99,2,FALSE)*$N$2,"")</f>
        <v/>
      </c>
      <c r="M530" s="73" t="str">
        <f t="shared" si="212"/>
        <v/>
      </c>
      <c r="N530" s="397"/>
      <c r="O530">
        <f t="shared" si="215"/>
        <v>0</v>
      </c>
      <c r="P530">
        <f t="shared" si="200"/>
        <v>0</v>
      </c>
      <c r="Q530">
        <f t="shared" si="201"/>
        <v>0</v>
      </c>
    </row>
    <row r="531" spans="1:17">
      <c r="A531" s="388"/>
      <c r="B531" s="391"/>
      <c r="C531" s="69"/>
      <c r="D531" s="70"/>
      <c r="E531" s="146"/>
      <c r="F531" s="70" t="str">
        <f>IFERROR(VLOOKUP(C531,MATERIAUX!$C$3:$G$1002,3,FALSE),"")</f>
        <v/>
      </c>
      <c r="G531" s="71" t="str">
        <f>IFERROR(VLOOKUP(C531,MATERIAUX!$C$3:$G$1002,5,FALSE),"")</f>
        <v/>
      </c>
      <c r="H531" s="71" t="str">
        <f t="shared" si="216"/>
        <v/>
      </c>
      <c r="I531" s="394"/>
      <c r="J531" s="72"/>
      <c r="K531" s="72"/>
      <c r="L531" s="72"/>
      <c r="M531" s="73"/>
      <c r="N531" s="397"/>
      <c r="O531">
        <f t="shared" si="215"/>
        <v>0</v>
      </c>
      <c r="P531">
        <f t="shared" si="200"/>
        <v>0</v>
      </c>
      <c r="Q531">
        <f t="shared" si="201"/>
        <v>0</v>
      </c>
    </row>
    <row r="532" spans="1:17" ht="15" thickBot="1">
      <c r="A532" s="389"/>
      <c r="B532" s="392"/>
      <c r="C532" s="74"/>
      <c r="D532" s="75"/>
      <c r="E532" s="147"/>
      <c r="F532" s="70" t="str">
        <f>IFERROR(VLOOKUP(C532,MATERIAUX!$C$3:$G$1002,3,FALSE),"")</f>
        <v/>
      </c>
      <c r="G532" s="71" t="str">
        <f>IFERROR(VLOOKUP(C532,MATERIAUX!$C$3:$G$1002,5,FALSE),"")</f>
        <v/>
      </c>
      <c r="H532" s="71" t="str">
        <f t="shared" si="216"/>
        <v/>
      </c>
      <c r="I532" s="395"/>
      <c r="J532" s="77"/>
      <c r="K532" s="77"/>
      <c r="L532" s="77"/>
      <c r="M532" s="78"/>
      <c r="N532" s="398"/>
      <c r="O532">
        <f t="shared" si="215"/>
        <v>0</v>
      </c>
      <c r="P532">
        <f t="shared" si="200"/>
        <v>0</v>
      </c>
      <c r="Q532">
        <f t="shared" si="201"/>
        <v>0</v>
      </c>
    </row>
    <row r="533" spans="1:17">
      <c r="A533" s="387" t="s">
        <v>259</v>
      </c>
      <c r="B533" s="390" t="s">
        <v>21</v>
      </c>
      <c r="C533" s="64" t="s">
        <v>257</v>
      </c>
      <c r="D533" s="65">
        <v>1</v>
      </c>
      <c r="E533" s="145">
        <v>0.2</v>
      </c>
      <c r="F533" s="65" t="str">
        <f>IFERROR(VLOOKUP(C533,MATERIAUX!$C$3:$G$1002,3,FALSE),"")</f>
        <v>m2</v>
      </c>
      <c r="G533" s="66">
        <f>IFERROR(VLOOKUP(C533,MATERIAUX!$C$3:$G$1002,5,FALSE),"")</f>
        <v>36.045739938969071</v>
      </c>
      <c r="H533" s="66">
        <f t="shared" si="216"/>
        <v>43.25</v>
      </c>
      <c r="I533" s="393">
        <f t="shared" ref="I533" si="217">SUM(H533:H542)</f>
        <v>44.32</v>
      </c>
      <c r="J533" s="67" t="s">
        <v>218</v>
      </c>
      <c r="K533" s="67">
        <v>1</v>
      </c>
      <c r="L533" s="67">
        <f>IFERROR(VLOOKUP(J533,'MAIN D OEUVRE'!$A$4:$B$99,2,FALSE)*$N$2,"")</f>
        <v>2.75</v>
      </c>
      <c r="M533" s="68">
        <f t="shared" ref="M533:M540" si="218">IFERROR(ROUND(L533*K533,2),"")</f>
        <v>2.75</v>
      </c>
      <c r="N533" s="396">
        <f t="shared" ref="N533" si="219">SUM(M533:M542)</f>
        <v>6.11</v>
      </c>
      <c r="O533" s="350">
        <v>0</v>
      </c>
      <c r="P533">
        <f t="shared" si="200"/>
        <v>0</v>
      </c>
      <c r="Q533">
        <f t="shared" si="201"/>
        <v>0</v>
      </c>
    </row>
    <row r="534" spans="1:17">
      <c r="A534" s="388"/>
      <c r="B534" s="391"/>
      <c r="C534" s="69" t="s">
        <v>215</v>
      </c>
      <c r="D534" s="70">
        <v>1</v>
      </c>
      <c r="E534" s="146">
        <v>0.1</v>
      </c>
      <c r="F534" s="70" t="str">
        <f>IFERROR(VLOOKUP(C534,MATERIAUX!$C$3:$G$1002,3,FALSE),"")</f>
        <v>ml</v>
      </c>
      <c r="G534" s="71">
        <f>IFERROR(VLOOKUP(C534,MATERIAUX!$C$3:$G$1002,5,FALSE),"")</f>
        <v>0.37938144329896911</v>
      </c>
      <c r="H534" s="71">
        <f t="shared" si="216"/>
        <v>0.42</v>
      </c>
      <c r="I534" s="394"/>
      <c r="J534" s="72" t="s">
        <v>217</v>
      </c>
      <c r="K534" s="72">
        <v>1</v>
      </c>
      <c r="L534" s="72">
        <f>IFERROR(VLOOKUP(J534,'MAIN D OEUVRE'!$A$4:$B$99,2,FALSE)*$N$2,"")</f>
        <v>2.75</v>
      </c>
      <c r="M534" s="73">
        <f t="shared" si="218"/>
        <v>2.75</v>
      </c>
      <c r="N534" s="397"/>
      <c r="O534">
        <f>O533</f>
        <v>0</v>
      </c>
      <c r="P534">
        <f t="shared" si="200"/>
        <v>0</v>
      </c>
      <c r="Q534">
        <f t="shared" si="201"/>
        <v>0</v>
      </c>
    </row>
    <row r="535" spans="1:17">
      <c r="A535" s="388"/>
      <c r="B535" s="391"/>
      <c r="C535" s="69" t="s">
        <v>197</v>
      </c>
      <c r="D535" s="70">
        <v>1</v>
      </c>
      <c r="E535" s="146">
        <v>0.1</v>
      </c>
      <c r="F535" s="70" t="str">
        <f>IFERROR(VLOOKUP(C535,MATERIAUX!$C$3:$G$1002,3,FALSE),"")</f>
        <v>m2</v>
      </c>
      <c r="G535" s="71">
        <f>IFERROR(VLOOKUP(C535,MATERIAUX!$C$3:$G$1002,5,FALSE),"")</f>
        <v>0.58969072164948455</v>
      </c>
      <c r="H535" s="71">
        <f t="shared" si="216"/>
        <v>0.65</v>
      </c>
      <c r="I535" s="394"/>
      <c r="J535" s="72" t="s">
        <v>61</v>
      </c>
      <c r="K535" s="72">
        <v>1</v>
      </c>
      <c r="L535" s="72">
        <f>IFERROR(VLOOKUP(J535,'MAIN D OEUVRE'!$A$4:$B$99,2,FALSE)*$N$2,"")</f>
        <v>0.60500000000000009</v>
      </c>
      <c r="M535" s="73">
        <f t="shared" si="218"/>
        <v>0.61</v>
      </c>
      <c r="N535" s="397"/>
      <c r="O535">
        <f t="shared" ref="O535:O542" si="220">O534</f>
        <v>0</v>
      </c>
      <c r="P535">
        <f t="shared" si="200"/>
        <v>0</v>
      </c>
      <c r="Q535">
        <f t="shared" si="201"/>
        <v>0</v>
      </c>
    </row>
    <row r="536" spans="1:17">
      <c r="A536" s="388"/>
      <c r="B536" s="391"/>
      <c r="C536" s="69"/>
      <c r="D536" s="70"/>
      <c r="E536" s="146"/>
      <c r="F536" s="70" t="str">
        <f>IFERROR(VLOOKUP(C536,MATERIAUX!$C$3:$G$1002,3,FALSE),"")</f>
        <v/>
      </c>
      <c r="G536" s="71" t="str">
        <f>IFERROR(VLOOKUP(C536,MATERIAUX!$C$3:$G$1002,5,FALSE),"")</f>
        <v/>
      </c>
      <c r="H536" s="71" t="str">
        <f t="shared" si="216"/>
        <v/>
      </c>
      <c r="I536" s="394"/>
      <c r="J536" s="72"/>
      <c r="K536" s="72"/>
      <c r="L536" s="72" t="str">
        <f>IFERROR(VLOOKUP(J536,'MAIN D OEUVRE'!$A$4:$B$99,2,FALSE)*$N$2,"")</f>
        <v/>
      </c>
      <c r="M536" s="73" t="str">
        <f t="shared" si="218"/>
        <v/>
      </c>
      <c r="N536" s="397"/>
      <c r="O536">
        <f t="shared" si="220"/>
        <v>0</v>
      </c>
      <c r="P536">
        <f t="shared" si="200"/>
        <v>0</v>
      </c>
      <c r="Q536">
        <f t="shared" si="201"/>
        <v>0</v>
      </c>
    </row>
    <row r="537" spans="1:17">
      <c r="A537" s="388"/>
      <c r="B537" s="391"/>
      <c r="C537" s="69"/>
      <c r="D537" s="70"/>
      <c r="E537" s="146"/>
      <c r="F537" s="70" t="str">
        <f>IFERROR(VLOOKUP(C537,MATERIAUX!$C$3:$G$1002,3,FALSE),"")</f>
        <v/>
      </c>
      <c r="G537" s="71" t="str">
        <f>IFERROR(VLOOKUP(C537,MATERIAUX!$C$3:$G$1002,5,FALSE),"")</f>
        <v/>
      </c>
      <c r="H537" s="71" t="str">
        <f t="shared" si="216"/>
        <v/>
      </c>
      <c r="I537" s="394"/>
      <c r="J537" s="72"/>
      <c r="K537" s="72"/>
      <c r="L537" s="72" t="str">
        <f>IFERROR(VLOOKUP(J537,'MAIN D OEUVRE'!$A$4:$B$99,2,FALSE)*$N$2,"")</f>
        <v/>
      </c>
      <c r="M537" s="73" t="str">
        <f t="shared" si="218"/>
        <v/>
      </c>
      <c r="N537" s="397"/>
      <c r="O537">
        <f t="shared" si="220"/>
        <v>0</v>
      </c>
      <c r="P537">
        <f t="shared" si="200"/>
        <v>0</v>
      </c>
      <c r="Q537">
        <f t="shared" si="201"/>
        <v>0</v>
      </c>
    </row>
    <row r="538" spans="1:17">
      <c r="A538" s="388"/>
      <c r="B538" s="391"/>
      <c r="C538" s="69"/>
      <c r="D538" s="70"/>
      <c r="E538" s="146"/>
      <c r="F538" s="70" t="str">
        <f>IFERROR(VLOOKUP(C538,MATERIAUX!$C$3:$G$1002,3,FALSE),"")</f>
        <v/>
      </c>
      <c r="G538" s="71" t="str">
        <f>IFERROR(VLOOKUP(C538,MATERIAUX!$C$3:$G$1002,5,FALSE),"")</f>
        <v/>
      </c>
      <c r="H538" s="71" t="str">
        <f t="shared" si="216"/>
        <v/>
      </c>
      <c r="I538" s="394"/>
      <c r="J538" s="72"/>
      <c r="K538" s="72"/>
      <c r="L538" s="72" t="str">
        <f>IFERROR(VLOOKUP(J538,'MAIN D OEUVRE'!$A$4:$B$99,2,FALSE)*$N$2,"")</f>
        <v/>
      </c>
      <c r="M538" s="73" t="str">
        <f t="shared" si="218"/>
        <v/>
      </c>
      <c r="N538" s="397"/>
      <c r="O538">
        <f t="shared" si="220"/>
        <v>0</v>
      </c>
      <c r="P538">
        <f t="shared" si="200"/>
        <v>0</v>
      </c>
      <c r="Q538">
        <f t="shared" si="201"/>
        <v>0</v>
      </c>
    </row>
    <row r="539" spans="1:17">
      <c r="A539" s="388"/>
      <c r="B539" s="391"/>
      <c r="C539" s="69"/>
      <c r="D539" s="70"/>
      <c r="E539" s="146"/>
      <c r="F539" s="70" t="str">
        <f>IFERROR(VLOOKUP(C539,MATERIAUX!$C$3:$G$1002,3,FALSE),"")</f>
        <v/>
      </c>
      <c r="G539" s="71" t="str">
        <f>IFERROR(VLOOKUP(C539,MATERIAUX!$C$3:$G$1002,5,FALSE),"")</f>
        <v/>
      </c>
      <c r="H539" s="71" t="str">
        <f t="shared" si="216"/>
        <v/>
      </c>
      <c r="I539" s="394"/>
      <c r="J539" s="72"/>
      <c r="K539" s="72"/>
      <c r="L539" s="72" t="str">
        <f>IFERROR(VLOOKUP(J539,'MAIN D OEUVRE'!$A$4:$B$99,2,FALSE)*$N$2,"")</f>
        <v/>
      </c>
      <c r="M539" s="73" t="str">
        <f t="shared" si="218"/>
        <v/>
      </c>
      <c r="N539" s="397"/>
      <c r="O539">
        <f t="shared" si="220"/>
        <v>0</v>
      </c>
      <c r="P539">
        <f t="shared" si="200"/>
        <v>0</v>
      </c>
      <c r="Q539">
        <f t="shared" si="201"/>
        <v>0</v>
      </c>
    </row>
    <row r="540" spans="1:17">
      <c r="A540" s="388"/>
      <c r="B540" s="391"/>
      <c r="C540" s="69"/>
      <c r="D540" s="70"/>
      <c r="E540" s="146"/>
      <c r="F540" s="70" t="str">
        <f>IFERROR(VLOOKUP(C540,MATERIAUX!$C$3:$G$1002,3,FALSE),"")</f>
        <v/>
      </c>
      <c r="G540" s="71" t="str">
        <f>IFERROR(VLOOKUP(C540,MATERIAUX!$C$3:$G$1002,5,FALSE),"")</f>
        <v/>
      </c>
      <c r="H540" s="71" t="str">
        <f t="shared" si="216"/>
        <v/>
      </c>
      <c r="I540" s="394"/>
      <c r="J540" s="72"/>
      <c r="K540" s="72"/>
      <c r="L540" s="72" t="str">
        <f>IFERROR(VLOOKUP(J540,'MAIN D OEUVRE'!$A$4:$B$99,2,FALSE)*$N$2,"")</f>
        <v/>
      </c>
      <c r="M540" s="73" t="str">
        <f t="shared" si="218"/>
        <v/>
      </c>
      <c r="N540" s="397"/>
      <c r="O540">
        <f t="shared" si="220"/>
        <v>0</v>
      </c>
      <c r="P540">
        <f t="shared" si="200"/>
        <v>0</v>
      </c>
      <c r="Q540">
        <f t="shared" si="201"/>
        <v>0</v>
      </c>
    </row>
    <row r="541" spans="1:17">
      <c r="A541" s="388"/>
      <c r="B541" s="391"/>
      <c r="C541" s="69"/>
      <c r="D541" s="70"/>
      <c r="E541" s="146"/>
      <c r="F541" s="70" t="str">
        <f>IFERROR(VLOOKUP(C541,MATERIAUX!$C$3:$G$1002,3,FALSE),"")</f>
        <v/>
      </c>
      <c r="G541" s="71" t="str">
        <f>IFERROR(VLOOKUP(C541,MATERIAUX!$C$3:$G$1002,5,FALSE),"")</f>
        <v/>
      </c>
      <c r="H541" s="71" t="str">
        <f t="shared" si="216"/>
        <v/>
      </c>
      <c r="I541" s="394"/>
      <c r="J541" s="72"/>
      <c r="K541" s="72"/>
      <c r="L541" s="72"/>
      <c r="M541" s="73"/>
      <c r="N541" s="397"/>
      <c r="O541">
        <f t="shared" si="220"/>
        <v>0</v>
      </c>
      <c r="P541">
        <f t="shared" si="200"/>
        <v>0</v>
      </c>
      <c r="Q541">
        <f t="shared" si="201"/>
        <v>0</v>
      </c>
    </row>
    <row r="542" spans="1:17" ht="15" thickBot="1">
      <c r="A542" s="389"/>
      <c r="B542" s="392"/>
      <c r="C542" s="74"/>
      <c r="D542" s="75"/>
      <c r="E542" s="147"/>
      <c r="F542" s="70" t="str">
        <f>IFERROR(VLOOKUP(C542,MATERIAUX!$C$3:$G$1002,3,FALSE),"")</f>
        <v/>
      </c>
      <c r="G542" s="71" t="str">
        <f>IFERROR(VLOOKUP(C542,MATERIAUX!$C$3:$G$1002,5,FALSE),"")</f>
        <v/>
      </c>
      <c r="H542" s="71" t="str">
        <f t="shared" si="216"/>
        <v/>
      </c>
      <c r="I542" s="395"/>
      <c r="J542" s="77"/>
      <c r="K542" s="77"/>
      <c r="L542" s="77"/>
      <c r="M542" s="78"/>
      <c r="N542" s="398"/>
      <c r="O542">
        <f t="shared" si="220"/>
        <v>0</v>
      </c>
      <c r="P542">
        <f t="shared" si="200"/>
        <v>0</v>
      </c>
      <c r="Q542">
        <f t="shared" si="201"/>
        <v>0</v>
      </c>
    </row>
    <row r="543" spans="1:17">
      <c r="A543" s="387" t="s">
        <v>260</v>
      </c>
      <c r="B543" s="390" t="s">
        <v>23</v>
      </c>
      <c r="C543" s="64" t="s">
        <v>261</v>
      </c>
      <c r="D543" s="65">
        <v>1</v>
      </c>
      <c r="E543" s="145">
        <v>0</v>
      </c>
      <c r="F543" s="65" t="str">
        <f>IFERROR(VLOOKUP(C543,MATERIAUX!$C$3:$G$1002,3,FALSE),"")</f>
        <v>ml</v>
      </c>
      <c r="G543" s="66">
        <f>IFERROR(VLOOKUP(C543,MATERIAUX!$C$3:$G$1002,5,FALSE),"")</f>
        <v>180.33029422680411</v>
      </c>
      <c r="H543" s="66">
        <f t="shared" si="216"/>
        <v>180.33</v>
      </c>
      <c r="I543" s="393">
        <f t="shared" ref="I543" si="221">SUM(H543:H552)</f>
        <v>369.3</v>
      </c>
      <c r="J543" s="67"/>
      <c r="K543" s="67"/>
      <c r="L543" s="67" t="str">
        <f>IFERROR(VLOOKUP(J543,'MAIN D OEUVRE'!$A$4:$B$99,2,FALSE)*$N$2,"")</f>
        <v/>
      </c>
      <c r="M543" s="68" t="str">
        <f t="shared" ref="M543:M550" si="222">IFERROR(ROUND(L543*K543,2),"")</f>
        <v/>
      </c>
      <c r="N543" s="396">
        <f t="shared" ref="N543" si="223">SUM(M543:M552)</f>
        <v>0</v>
      </c>
      <c r="O543" s="350">
        <v>0</v>
      </c>
      <c r="P543">
        <f t="shared" si="200"/>
        <v>0</v>
      </c>
      <c r="Q543">
        <f t="shared" si="201"/>
        <v>0</v>
      </c>
    </row>
    <row r="544" spans="1:17">
      <c r="A544" s="388"/>
      <c r="B544" s="391"/>
      <c r="C544" s="69" t="s">
        <v>256</v>
      </c>
      <c r="D544" s="70">
        <v>1</v>
      </c>
      <c r="E544" s="146">
        <v>0</v>
      </c>
      <c r="F544" s="70" t="str">
        <f>IFERROR(VLOOKUP(C544,MATERIAUX!$C$3:$G$1002,3,FALSE),"")</f>
        <v>u</v>
      </c>
      <c r="G544" s="71">
        <f>IFERROR(VLOOKUP(C544,MATERIAUX!$C$3:$G$1002,5,FALSE),"")</f>
        <v>188.96582944329899</v>
      </c>
      <c r="H544" s="71">
        <f t="shared" si="216"/>
        <v>188.97</v>
      </c>
      <c r="I544" s="394"/>
      <c r="J544" s="72"/>
      <c r="K544" s="72"/>
      <c r="L544" s="72" t="str">
        <f>IFERROR(VLOOKUP(J544,'MAIN D OEUVRE'!$A$4:$B$99,2,FALSE)*$N$2,"")</f>
        <v/>
      </c>
      <c r="M544" s="73" t="str">
        <f t="shared" si="222"/>
        <v/>
      </c>
      <c r="N544" s="397"/>
      <c r="O544">
        <f>O543</f>
        <v>0</v>
      </c>
      <c r="P544">
        <f t="shared" si="200"/>
        <v>0</v>
      </c>
      <c r="Q544">
        <f t="shared" si="201"/>
        <v>0</v>
      </c>
    </row>
    <row r="545" spans="1:17">
      <c r="A545" s="388"/>
      <c r="B545" s="391"/>
      <c r="C545" s="69"/>
      <c r="D545" s="70"/>
      <c r="E545" s="146"/>
      <c r="F545" s="70" t="str">
        <f>IFERROR(VLOOKUP(C545,MATERIAUX!$C$3:$G$1002,3,FALSE),"")</f>
        <v/>
      </c>
      <c r="G545" s="71" t="str">
        <f>IFERROR(VLOOKUP(C545,MATERIAUX!$C$3:$G$1002,5,FALSE),"")</f>
        <v/>
      </c>
      <c r="H545" s="71" t="str">
        <f t="shared" si="216"/>
        <v/>
      </c>
      <c r="I545" s="394"/>
      <c r="J545" s="72"/>
      <c r="K545" s="72"/>
      <c r="L545" s="72" t="str">
        <f>IFERROR(VLOOKUP(J545,'MAIN D OEUVRE'!$A$4:$B$99,2,FALSE)*$N$2,"")</f>
        <v/>
      </c>
      <c r="M545" s="73" t="str">
        <f t="shared" si="222"/>
        <v/>
      </c>
      <c r="N545" s="397"/>
      <c r="O545">
        <f t="shared" ref="O545:O552" si="224">O544</f>
        <v>0</v>
      </c>
      <c r="P545">
        <f t="shared" si="200"/>
        <v>0</v>
      </c>
      <c r="Q545">
        <f t="shared" si="201"/>
        <v>0</v>
      </c>
    </row>
    <row r="546" spans="1:17">
      <c r="A546" s="388"/>
      <c r="B546" s="391"/>
      <c r="C546" s="69"/>
      <c r="D546" s="70"/>
      <c r="E546" s="146"/>
      <c r="F546" s="70" t="str">
        <f>IFERROR(VLOOKUP(C546,MATERIAUX!$C$3:$G$1002,3,FALSE),"")</f>
        <v/>
      </c>
      <c r="G546" s="71" t="str">
        <f>IFERROR(VLOOKUP(C546,MATERIAUX!$C$3:$G$1002,5,FALSE),"")</f>
        <v/>
      </c>
      <c r="H546" s="71" t="str">
        <f t="shared" ref="H546:H609" si="225">IFERROR(ROUND(G546*(1+E546)*D546,2),"")</f>
        <v/>
      </c>
      <c r="I546" s="394"/>
      <c r="J546" s="72"/>
      <c r="K546" s="72"/>
      <c r="L546" s="72" t="str">
        <f>IFERROR(VLOOKUP(J546,'MAIN D OEUVRE'!$A$4:$B$99,2,FALSE)*$N$2,"")</f>
        <v/>
      </c>
      <c r="M546" s="73" t="str">
        <f t="shared" si="222"/>
        <v/>
      </c>
      <c r="N546" s="397"/>
      <c r="O546">
        <f t="shared" si="224"/>
        <v>0</v>
      </c>
      <c r="P546">
        <f t="shared" si="200"/>
        <v>0</v>
      </c>
      <c r="Q546">
        <f t="shared" si="201"/>
        <v>0</v>
      </c>
    </row>
    <row r="547" spans="1:17">
      <c r="A547" s="388"/>
      <c r="B547" s="391"/>
      <c r="C547" s="69"/>
      <c r="D547" s="70"/>
      <c r="E547" s="146"/>
      <c r="F547" s="70" t="str">
        <f>IFERROR(VLOOKUP(C547,MATERIAUX!$C$3:$G$1002,3,FALSE),"")</f>
        <v/>
      </c>
      <c r="G547" s="71" t="str">
        <f>IFERROR(VLOOKUP(C547,MATERIAUX!$C$3:$G$1002,5,FALSE),"")</f>
        <v/>
      </c>
      <c r="H547" s="71" t="str">
        <f t="shared" si="225"/>
        <v/>
      </c>
      <c r="I547" s="394"/>
      <c r="J547" s="72"/>
      <c r="K547" s="72"/>
      <c r="L547" s="72" t="str">
        <f>IFERROR(VLOOKUP(J547,'MAIN D OEUVRE'!$A$4:$B$99,2,FALSE)*$N$2,"")</f>
        <v/>
      </c>
      <c r="M547" s="73" t="str">
        <f t="shared" si="222"/>
        <v/>
      </c>
      <c r="N547" s="397"/>
      <c r="O547">
        <f t="shared" si="224"/>
        <v>0</v>
      </c>
      <c r="P547">
        <f t="shared" si="200"/>
        <v>0</v>
      </c>
      <c r="Q547">
        <f t="shared" si="201"/>
        <v>0</v>
      </c>
    </row>
    <row r="548" spans="1:17">
      <c r="A548" s="388"/>
      <c r="B548" s="391"/>
      <c r="C548" s="69"/>
      <c r="D548" s="70"/>
      <c r="E548" s="146"/>
      <c r="F548" s="70" t="str">
        <f>IFERROR(VLOOKUP(C548,MATERIAUX!$C$3:$G$1002,3,FALSE),"")</f>
        <v/>
      </c>
      <c r="G548" s="71" t="str">
        <f>IFERROR(VLOOKUP(C548,MATERIAUX!$C$3:$G$1002,5,FALSE),"")</f>
        <v/>
      </c>
      <c r="H548" s="71" t="str">
        <f t="shared" si="225"/>
        <v/>
      </c>
      <c r="I548" s="394"/>
      <c r="J548" s="72"/>
      <c r="K548" s="72"/>
      <c r="L548" s="72" t="str">
        <f>IFERROR(VLOOKUP(J548,'MAIN D OEUVRE'!$A$4:$B$99,2,FALSE)*$N$2,"")</f>
        <v/>
      </c>
      <c r="M548" s="73" t="str">
        <f t="shared" si="222"/>
        <v/>
      </c>
      <c r="N548" s="397"/>
      <c r="O548">
        <f t="shared" si="224"/>
        <v>0</v>
      </c>
      <c r="P548">
        <f t="shared" si="200"/>
        <v>0</v>
      </c>
      <c r="Q548">
        <f t="shared" si="201"/>
        <v>0</v>
      </c>
    </row>
    <row r="549" spans="1:17">
      <c r="A549" s="388"/>
      <c r="B549" s="391"/>
      <c r="C549" s="69"/>
      <c r="D549" s="70"/>
      <c r="E549" s="146"/>
      <c r="F549" s="70" t="str">
        <f>IFERROR(VLOOKUP(C549,MATERIAUX!$C$3:$G$1002,3,FALSE),"")</f>
        <v/>
      </c>
      <c r="G549" s="71" t="str">
        <f>IFERROR(VLOOKUP(C549,MATERIAUX!$C$3:$G$1002,5,FALSE),"")</f>
        <v/>
      </c>
      <c r="H549" s="71" t="str">
        <f t="shared" si="225"/>
        <v/>
      </c>
      <c r="I549" s="394"/>
      <c r="J549" s="72"/>
      <c r="K549" s="72"/>
      <c r="L549" s="72" t="str">
        <f>IFERROR(VLOOKUP(J549,'MAIN D OEUVRE'!$A$4:$B$99,2,FALSE)*$N$2,"")</f>
        <v/>
      </c>
      <c r="M549" s="73" t="str">
        <f t="shared" si="222"/>
        <v/>
      </c>
      <c r="N549" s="397"/>
      <c r="O549">
        <f t="shared" si="224"/>
        <v>0</v>
      </c>
      <c r="P549">
        <f t="shared" si="200"/>
        <v>0</v>
      </c>
      <c r="Q549">
        <f t="shared" si="201"/>
        <v>0</v>
      </c>
    </row>
    <row r="550" spans="1:17">
      <c r="A550" s="388"/>
      <c r="B550" s="391"/>
      <c r="C550" s="69"/>
      <c r="D550" s="70"/>
      <c r="E550" s="146"/>
      <c r="F550" s="70" t="str">
        <f>IFERROR(VLOOKUP(C550,MATERIAUX!$C$3:$G$1002,3,FALSE),"")</f>
        <v/>
      </c>
      <c r="G550" s="71" t="str">
        <f>IFERROR(VLOOKUP(C550,MATERIAUX!$C$3:$G$1002,5,FALSE),"")</f>
        <v/>
      </c>
      <c r="H550" s="71" t="str">
        <f t="shared" si="225"/>
        <v/>
      </c>
      <c r="I550" s="394"/>
      <c r="J550" s="72"/>
      <c r="K550" s="72"/>
      <c r="L550" s="72" t="str">
        <f>IFERROR(VLOOKUP(J550,'MAIN D OEUVRE'!$A$4:$B$99,2,FALSE)*$N$2,"")</f>
        <v/>
      </c>
      <c r="M550" s="73" t="str">
        <f t="shared" si="222"/>
        <v/>
      </c>
      <c r="N550" s="397"/>
      <c r="O550">
        <f t="shared" si="224"/>
        <v>0</v>
      </c>
      <c r="P550">
        <f t="shared" si="200"/>
        <v>0</v>
      </c>
      <c r="Q550">
        <f t="shared" si="201"/>
        <v>0</v>
      </c>
    </row>
    <row r="551" spans="1:17">
      <c r="A551" s="388"/>
      <c r="B551" s="391"/>
      <c r="C551" s="69"/>
      <c r="D551" s="70"/>
      <c r="E551" s="146"/>
      <c r="F551" s="70" t="str">
        <f>IFERROR(VLOOKUP(C551,MATERIAUX!$C$3:$G$1002,3,FALSE),"")</f>
        <v/>
      </c>
      <c r="G551" s="71" t="str">
        <f>IFERROR(VLOOKUP(C551,MATERIAUX!$C$3:$G$1002,5,FALSE),"")</f>
        <v/>
      </c>
      <c r="H551" s="71" t="str">
        <f t="shared" si="225"/>
        <v/>
      </c>
      <c r="I551" s="394"/>
      <c r="J551" s="72"/>
      <c r="K551" s="72"/>
      <c r="L551" s="72"/>
      <c r="M551" s="73"/>
      <c r="N551" s="397"/>
      <c r="O551">
        <f t="shared" si="224"/>
        <v>0</v>
      </c>
      <c r="P551">
        <f t="shared" si="200"/>
        <v>0</v>
      </c>
      <c r="Q551">
        <f t="shared" si="201"/>
        <v>0</v>
      </c>
    </row>
    <row r="552" spans="1:17" ht="15" thickBot="1">
      <c r="A552" s="389"/>
      <c r="B552" s="392"/>
      <c r="C552" s="74"/>
      <c r="D552" s="75"/>
      <c r="E552" s="147"/>
      <c r="F552" s="70" t="str">
        <f>IFERROR(VLOOKUP(C552,MATERIAUX!$C$3:$G$1002,3,FALSE),"")</f>
        <v/>
      </c>
      <c r="G552" s="71" t="str">
        <f>IFERROR(VLOOKUP(C552,MATERIAUX!$C$3:$G$1002,5,FALSE),"")</f>
        <v/>
      </c>
      <c r="H552" s="71" t="str">
        <f t="shared" si="225"/>
        <v/>
      </c>
      <c r="I552" s="395"/>
      <c r="J552" s="77"/>
      <c r="K552" s="77"/>
      <c r="L552" s="77"/>
      <c r="M552" s="78"/>
      <c r="N552" s="398"/>
      <c r="O552">
        <f t="shared" si="224"/>
        <v>0</v>
      </c>
      <c r="P552">
        <f t="shared" si="200"/>
        <v>0</v>
      </c>
      <c r="Q552">
        <f t="shared" si="201"/>
        <v>0</v>
      </c>
    </row>
    <row r="553" spans="1:17">
      <c r="A553" s="387" t="s">
        <v>265</v>
      </c>
      <c r="B553" s="390" t="s">
        <v>21</v>
      </c>
      <c r="C553" s="64" t="s">
        <v>215</v>
      </c>
      <c r="D553" s="65">
        <v>3</v>
      </c>
      <c r="E553" s="145">
        <v>0.1</v>
      </c>
      <c r="F553" s="65" t="str">
        <f>IFERROR(VLOOKUP(C553,MATERIAUX!$C$3:$G$1002,3,FALSE),"")</f>
        <v>ml</v>
      </c>
      <c r="G553" s="66">
        <f>IFERROR(VLOOKUP(C553,MATERIAUX!$C$3:$G$1002,5,FALSE),"")</f>
        <v>0.37938144329896911</v>
      </c>
      <c r="H553" s="66">
        <f t="shared" si="225"/>
        <v>1.25</v>
      </c>
      <c r="I553" s="393">
        <f t="shared" ref="I553" si="226">SUM(H553:H562)</f>
        <v>8.9</v>
      </c>
      <c r="J553" s="67" t="s">
        <v>217</v>
      </c>
      <c r="K553" s="67">
        <v>2</v>
      </c>
      <c r="L553" s="67">
        <f>IFERROR(VLOOKUP(J553,'MAIN D OEUVRE'!$A$4:$B$99,2,FALSE)*$N$2,"")</f>
        <v>2.75</v>
      </c>
      <c r="M553" s="68">
        <f t="shared" ref="M553:M560" si="227">IFERROR(ROUND(L553*K553,2),"")</f>
        <v>5.5</v>
      </c>
      <c r="N553" s="396">
        <f t="shared" ref="N553" si="228">SUM(M553:M562)</f>
        <v>5.5</v>
      </c>
      <c r="O553" s="350">
        <v>0</v>
      </c>
      <c r="P553">
        <f t="shared" si="200"/>
        <v>0</v>
      </c>
      <c r="Q553">
        <f t="shared" si="201"/>
        <v>0</v>
      </c>
    </row>
    <row r="554" spans="1:17">
      <c r="A554" s="388"/>
      <c r="B554" s="391"/>
      <c r="C554" s="69" t="s">
        <v>83</v>
      </c>
      <c r="D554" s="70">
        <v>21</v>
      </c>
      <c r="E554" s="146">
        <v>0</v>
      </c>
      <c r="F554" s="70" t="str">
        <f>IFERROR(VLOOKUP(C554,MATERIAUX!$C$3:$G$1002,3,FALSE),"")</f>
        <v>u</v>
      </c>
      <c r="G554" s="71">
        <f>IFERROR(VLOOKUP(C554,MATERIAUX!$C$3:$G$1002,5,FALSE),"")</f>
        <v>0.15257731958762888</v>
      </c>
      <c r="H554" s="71">
        <f t="shared" si="225"/>
        <v>3.2</v>
      </c>
      <c r="I554" s="394"/>
      <c r="J554" s="72"/>
      <c r="K554" s="72"/>
      <c r="L554" s="72" t="str">
        <f>IFERROR(VLOOKUP(J554,'MAIN D OEUVRE'!$A$4:$B$99,2,FALSE)*$N$2,"")</f>
        <v/>
      </c>
      <c r="M554" s="73" t="str">
        <f t="shared" si="227"/>
        <v/>
      </c>
      <c r="N554" s="397"/>
      <c r="O554">
        <f>O553</f>
        <v>0</v>
      </c>
      <c r="P554">
        <f t="shared" si="200"/>
        <v>0</v>
      </c>
      <c r="Q554">
        <f t="shared" si="201"/>
        <v>0</v>
      </c>
    </row>
    <row r="555" spans="1:17">
      <c r="A555" s="388"/>
      <c r="B555" s="391"/>
      <c r="C555" s="69" t="s">
        <v>215</v>
      </c>
      <c r="D555" s="70">
        <v>3</v>
      </c>
      <c r="E555" s="146">
        <v>0.1</v>
      </c>
      <c r="F555" s="70" t="str">
        <f>IFERROR(VLOOKUP(C555,MATERIAUX!$C$3:$G$1002,3,FALSE),"")</f>
        <v>ml</v>
      </c>
      <c r="G555" s="71">
        <f>IFERROR(VLOOKUP(C555,MATERIAUX!$C$3:$G$1002,5,FALSE),"")</f>
        <v>0.37938144329896911</v>
      </c>
      <c r="H555" s="71">
        <f t="shared" si="225"/>
        <v>1.25</v>
      </c>
      <c r="I555" s="394"/>
      <c r="J555" s="72"/>
      <c r="K555" s="72"/>
      <c r="L555" s="72" t="str">
        <f>IFERROR(VLOOKUP(J555,'MAIN D OEUVRE'!$A$4:$B$99,2,FALSE)*$N$2,"")</f>
        <v/>
      </c>
      <c r="M555" s="73" t="str">
        <f t="shared" si="227"/>
        <v/>
      </c>
      <c r="N555" s="397"/>
      <c r="O555">
        <f t="shared" ref="O555:O562" si="229">O554</f>
        <v>0</v>
      </c>
      <c r="P555">
        <f t="shared" si="200"/>
        <v>0</v>
      </c>
      <c r="Q555">
        <f t="shared" si="201"/>
        <v>0</v>
      </c>
    </row>
    <row r="556" spans="1:17">
      <c r="A556" s="388"/>
      <c r="B556" s="391"/>
      <c r="C556" s="69" t="s">
        <v>83</v>
      </c>
      <c r="D556" s="70">
        <v>21</v>
      </c>
      <c r="E556" s="146">
        <v>0</v>
      </c>
      <c r="F556" s="70" t="str">
        <f>IFERROR(VLOOKUP(C556,MATERIAUX!$C$3:$G$1002,3,FALSE),"")</f>
        <v>u</v>
      </c>
      <c r="G556" s="71">
        <f>IFERROR(VLOOKUP(C556,MATERIAUX!$C$3:$G$1002,5,FALSE),"")</f>
        <v>0.15257731958762888</v>
      </c>
      <c r="H556" s="71">
        <f t="shared" si="225"/>
        <v>3.2</v>
      </c>
      <c r="I556" s="394"/>
      <c r="J556" s="72"/>
      <c r="K556" s="72"/>
      <c r="L556" s="72" t="str">
        <f>IFERROR(VLOOKUP(J556,'MAIN D OEUVRE'!$A$4:$B$99,2,FALSE)*$N$2,"")</f>
        <v/>
      </c>
      <c r="M556" s="73" t="str">
        <f t="shared" si="227"/>
        <v/>
      </c>
      <c r="N556" s="397"/>
      <c r="O556">
        <f t="shared" si="229"/>
        <v>0</v>
      </c>
      <c r="P556">
        <f t="shared" si="200"/>
        <v>0</v>
      </c>
      <c r="Q556">
        <f t="shared" si="201"/>
        <v>0</v>
      </c>
    </row>
    <row r="557" spans="1:17">
      <c r="A557" s="388"/>
      <c r="B557" s="391"/>
      <c r="C557" s="69"/>
      <c r="D557" s="70"/>
      <c r="E557" s="146"/>
      <c r="F557" s="70" t="str">
        <f>IFERROR(VLOOKUP(C557,MATERIAUX!$C$3:$G$1002,3,FALSE),"")</f>
        <v/>
      </c>
      <c r="G557" s="71" t="str">
        <f>IFERROR(VLOOKUP(C557,MATERIAUX!$C$3:$G$1002,5,FALSE),"")</f>
        <v/>
      </c>
      <c r="H557" s="71" t="str">
        <f t="shared" si="225"/>
        <v/>
      </c>
      <c r="I557" s="394"/>
      <c r="J557" s="72"/>
      <c r="K557" s="72"/>
      <c r="L557" s="72" t="str">
        <f>IFERROR(VLOOKUP(J557,'MAIN D OEUVRE'!$A$4:$B$99,2,FALSE)*$N$2,"")</f>
        <v/>
      </c>
      <c r="M557" s="73" t="str">
        <f t="shared" si="227"/>
        <v/>
      </c>
      <c r="N557" s="397"/>
      <c r="O557">
        <f t="shared" si="229"/>
        <v>0</v>
      </c>
      <c r="P557">
        <f t="shared" si="200"/>
        <v>0</v>
      </c>
      <c r="Q557">
        <f t="shared" si="201"/>
        <v>0</v>
      </c>
    </row>
    <row r="558" spans="1:17">
      <c r="A558" s="388"/>
      <c r="B558" s="391"/>
      <c r="C558" s="69"/>
      <c r="D558" s="70"/>
      <c r="E558" s="146"/>
      <c r="F558" s="70" t="str">
        <f>IFERROR(VLOOKUP(C558,MATERIAUX!$C$3:$G$1002,3,FALSE),"")</f>
        <v/>
      </c>
      <c r="G558" s="71" t="str">
        <f>IFERROR(VLOOKUP(C558,MATERIAUX!$C$3:$G$1002,5,FALSE),"")</f>
        <v/>
      </c>
      <c r="H558" s="71" t="str">
        <f t="shared" si="225"/>
        <v/>
      </c>
      <c r="I558" s="394"/>
      <c r="J558" s="72"/>
      <c r="K558" s="72"/>
      <c r="L558" s="72" t="str">
        <f>IFERROR(VLOOKUP(J558,'MAIN D OEUVRE'!$A$4:$B$99,2,FALSE)*$N$2,"")</f>
        <v/>
      </c>
      <c r="M558" s="73" t="str">
        <f t="shared" si="227"/>
        <v/>
      </c>
      <c r="N558" s="397"/>
      <c r="O558">
        <f t="shared" si="229"/>
        <v>0</v>
      </c>
      <c r="P558">
        <f t="shared" si="200"/>
        <v>0</v>
      </c>
      <c r="Q558">
        <f t="shared" si="201"/>
        <v>0</v>
      </c>
    </row>
    <row r="559" spans="1:17">
      <c r="A559" s="388"/>
      <c r="B559" s="391"/>
      <c r="C559" s="69"/>
      <c r="D559" s="70"/>
      <c r="E559" s="146"/>
      <c r="F559" s="70" t="str">
        <f>IFERROR(VLOOKUP(C559,MATERIAUX!$C$3:$G$1002,3,FALSE),"")</f>
        <v/>
      </c>
      <c r="G559" s="71" t="str">
        <f>IFERROR(VLOOKUP(C559,MATERIAUX!$C$3:$G$1002,5,FALSE),"")</f>
        <v/>
      </c>
      <c r="H559" s="71" t="str">
        <f t="shared" si="225"/>
        <v/>
      </c>
      <c r="I559" s="394"/>
      <c r="J559" s="72"/>
      <c r="K559" s="72"/>
      <c r="L559" s="72" t="str">
        <f>IFERROR(VLOOKUP(J559,'MAIN D OEUVRE'!$A$4:$B$99,2,FALSE)*$N$2,"")</f>
        <v/>
      </c>
      <c r="M559" s="73" t="str">
        <f t="shared" si="227"/>
        <v/>
      </c>
      <c r="N559" s="397"/>
      <c r="O559">
        <f t="shared" si="229"/>
        <v>0</v>
      </c>
      <c r="P559">
        <f t="shared" ref="P559:P622" si="230">(D559+D559*E559)*O559</f>
        <v>0</v>
      </c>
      <c r="Q559">
        <f t="shared" ref="Q559:Q622" si="231">IF(P559=0,0,P559*G559)</f>
        <v>0</v>
      </c>
    </row>
    <row r="560" spans="1:17">
      <c r="A560" s="388"/>
      <c r="B560" s="391"/>
      <c r="C560" s="69"/>
      <c r="D560" s="70"/>
      <c r="E560" s="146"/>
      <c r="F560" s="70" t="str">
        <f>IFERROR(VLOOKUP(C560,MATERIAUX!$C$3:$G$1002,3,FALSE),"")</f>
        <v/>
      </c>
      <c r="G560" s="71" t="str">
        <f>IFERROR(VLOOKUP(C560,MATERIAUX!$C$3:$G$1002,5,FALSE),"")</f>
        <v/>
      </c>
      <c r="H560" s="71" t="str">
        <f t="shared" si="225"/>
        <v/>
      </c>
      <c r="I560" s="394"/>
      <c r="J560" s="72"/>
      <c r="K560" s="72"/>
      <c r="L560" s="72" t="str">
        <f>IFERROR(VLOOKUP(J560,'MAIN D OEUVRE'!$A$4:$B$99,2,FALSE)*$N$2,"")</f>
        <v/>
      </c>
      <c r="M560" s="73" t="str">
        <f t="shared" si="227"/>
        <v/>
      </c>
      <c r="N560" s="397"/>
      <c r="O560">
        <f t="shared" si="229"/>
        <v>0</v>
      </c>
      <c r="P560">
        <f t="shared" si="230"/>
        <v>0</v>
      </c>
      <c r="Q560">
        <f t="shared" si="231"/>
        <v>0</v>
      </c>
    </row>
    <row r="561" spans="1:17">
      <c r="A561" s="388"/>
      <c r="B561" s="391"/>
      <c r="C561" s="69"/>
      <c r="D561" s="70"/>
      <c r="E561" s="146"/>
      <c r="F561" s="70" t="str">
        <f>IFERROR(VLOOKUP(C561,MATERIAUX!$C$3:$G$1002,3,FALSE),"")</f>
        <v/>
      </c>
      <c r="G561" s="71" t="str">
        <f>IFERROR(VLOOKUP(C561,MATERIAUX!$C$3:$G$1002,5,FALSE),"")</f>
        <v/>
      </c>
      <c r="H561" s="71" t="str">
        <f t="shared" si="225"/>
        <v/>
      </c>
      <c r="I561" s="394"/>
      <c r="J561" s="72"/>
      <c r="K561" s="72"/>
      <c r="L561" s="72"/>
      <c r="M561" s="73"/>
      <c r="N561" s="397"/>
      <c r="O561">
        <f t="shared" si="229"/>
        <v>0</v>
      </c>
      <c r="P561">
        <f t="shared" si="230"/>
        <v>0</v>
      </c>
      <c r="Q561">
        <f t="shared" si="231"/>
        <v>0</v>
      </c>
    </row>
    <row r="562" spans="1:17" ht="15" thickBot="1">
      <c r="A562" s="389"/>
      <c r="B562" s="392"/>
      <c r="C562" s="74"/>
      <c r="D562" s="75"/>
      <c r="E562" s="147"/>
      <c r="F562" s="70" t="str">
        <f>IFERROR(VLOOKUP(C562,MATERIAUX!$C$3:$G$1002,3,FALSE),"")</f>
        <v/>
      </c>
      <c r="G562" s="71" t="str">
        <f>IFERROR(VLOOKUP(C562,MATERIAUX!$C$3:$G$1002,5,FALSE),"")</f>
        <v/>
      </c>
      <c r="H562" s="71" t="str">
        <f t="shared" si="225"/>
        <v/>
      </c>
      <c r="I562" s="395"/>
      <c r="J562" s="77"/>
      <c r="K562" s="77"/>
      <c r="L562" s="77"/>
      <c r="M562" s="78"/>
      <c r="N562" s="398"/>
      <c r="O562">
        <f t="shared" si="229"/>
        <v>0</v>
      </c>
      <c r="P562">
        <f t="shared" si="230"/>
        <v>0</v>
      </c>
      <c r="Q562">
        <f t="shared" si="231"/>
        <v>0</v>
      </c>
    </row>
    <row r="563" spans="1:17">
      <c r="A563" s="387" t="s">
        <v>271</v>
      </c>
      <c r="B563" s="390" t="s">
        <v>127</v>
      </c>
      <c r="C563" s="64" t="s">
        <v>270</v>
      </c>
      <c r="D563" s="65">
        <v>1</v>
      </c>
      <c r="E563" s="145">
        <v>0</v>
      </c>
      <c r="F563" s="65" t="str">
        <f>IFERROR(VLOOKUP(C563,MATERIAUX!$C$3:$G$1002,3,FALSE),"")</f>
        <v>u</v>
      </c>
      <c r="G563" s="66">
        <f>IFERROR(VLOOKUP(C563,MATERIAUX!$C$3:$G$1002,5,FALSE),"")</f>
        <v>12.252300554226805</v>
      </c>
      <c r="H563" s="66">
        <f t="shared" si="225"/>
        <v>12.25</v>
      </c>
      <c r="I563" s="393">
        <f t="shared" ref="I563" si="232">SUM(H563:H572)</f>
        <v>12.25</v>
      </c>
      <c r="J563" s="67" t="s">
        <v>269</v>
      </c>
      <c r="K563" s="67">
        <v>1</v>
      </c>
      <c r="L563" s="67">
        <f>IFERROR(VLOOKUP(J563,'MAIN D OEUVRE'!$A$4:$B$99,2,FALSE)*$N$2,"")</f>
        <v>2.2000000000000002</v>
      </c>
      <c r="M563" s="68">
        <f t="shared" ref="M563:M570" si="233">IFERROR(ROUND(L563*K563,2),"")</f>
        <v>2.2000000000000002</v>
      </c>
      <c r="N563" s="396">
        <f t="shared" ref="N563" si="234">SUM(M563:M572)</f>
        <v>2.2000000000000002</v>
      </c>
      <c r="O563" s="350">
        <v>0</v>
      </c>
      <c r="P563">
        <f t="shared" si="230"/>
        <v>0</v>
      </c>
      <c r="Q563">
        <f t="shared" si="231"/>
        <v>0</v>
      </c>
    </row>
    <row r="564" spans="1:17">
      <c r="A564" s="388"/>
      <c r="B564" s="391"/>
      <c r="C564" s="69"/>
      <c r="D564" s="70"/>
      <c r="E564" s="146"/>
      <c r="F564" s="70" t="str">
        <f>IFERROR(VLOOKUP(C564,MATERIAUX!$C$3:$G$1002,3,FALSE),"")</f>
        <v/>
      </c>
      <c r="G564" s="71" t="str">
        <f>IFERROR(VLOOKUP(C564,MATERIAUX!$C$3:$G$1002,5,FALSE),"")</f>
        <v/>
      </c>
      <c r="H564" s="71" t="str">
        <f t="shared" si="225"/>
        <v/>
      </c>
      <c r="I564" s="394"/>
      <c r="J564" s="72"/>
      <c r="K564" s="72"/>
      <c r="L564" s="72" t="str">
        <f>IFERROR(VLOOKUP(J564,'MAIN D OEUVRE'!$A$4:$B$99,2,FALSE)*$N$2,"")</f>
        <v/>
      </c>
      <c r="M564" s="73" t="str">
        <f t="shared" si="233"/>
        <v/>
      </c>
      <c r="N564" s="397"/>
      <c r="O564">
        <f>O563</f>
        <v>0</v>
      </c>
      <c r="P564">
        <f t="shared" si="230"/>
        <v>0</v>
      </c>
      <c r="Q564">
        <f t="shared" si="231"/>
        <v>0</v>
      </c>
    </row>
    <row r="565" spans="1:17">
      <c r="A565" s="388"/>
      <c r="B565" s="391"/>
      <c r="C565" s="69"/>
      <c r="D565" s="70"/>
      <c r="E565" s="146"/>
      <c r="F565" s="70" t="str">
        <f>IFERROR(VLOOKUP(C565,MATERIAUX!$C$3:$G$1002,3,FALSE),"")</f>
        <v/>
      </c>
      <c r="G565" s="71" t="str">
        <f>IFERROR(VLOOKUP(C565,MATERIAUX!$C$3:$G$1002,5,FALSE),"")</f>
        <v/>
      </c>
      <c r="H565" s="71" t="str">
        <f t="shared" si="225"/>
        <v/>
      </c>
      <c r="I565" s="394"/>
      <c r="J565" s="72"/>
      <c r="K565" s="72"/>
      <c r="L565" s="72" t="str">
        <f>IFERROR(VLOOKUP(J565,'MAIN D OEUVRE'!$A$4:$B$99,2,FALSE)*$N$2,"")</f>
        <v/>
      </c>
      <c r="M565" s="73" t="str">
        <f t="shared" si="233"/>
        <v/>
      </c>
      <c r="N565" s="397"/>
      <c r="O565">
        <f t="shared" ref="O565:O572" si="235">O564</f>
        <v>0</v>
      </c>
      <c r="P565">
        <f t="shared" si="230"/>
        <v>0</v>
      </c>
      <c r="Q565">
        <f t="shared" si="231"/>
        <v>0</v>
      </c>
    </row>
    <row r="566" spans="1:17">
      <c r="A566" s="388"/>
      <c r="B566" s="391"/>
      <c r="C566" s="69"/>
      <c r="D566" s="70"/>
      <c r="E566" s="146"/>
      <c r="F566" s="70" t="str">
        <f>IFERROR(VLOOKUP(C566,MATERIAUX!$C$3:$G$1002,3,FALSE),"")</f>
        <v/>
      </c>
      <c r="G566" s="71" t="str">
        <f>IFERROR(VLOOKUP(C566,MATERIAUX!$C$3:$G$1002,5,FALSE),"")</f>
        <v/>
      </c>
      <c r="H566" s="71" t="str">
        <f t="shared" si="225"/>
        <v/>
      </c>
      <c r="I566" s="394"/>
      <c r="J566" s="72"/>
      <c r="K566" s="72"/>
      <c r="L566" s="72" t="str">
        <f>IFERROR(VLOOKUP(J566,'MAIN D OEUVRE'!$A$4:$B$99,2,FALSE)*$N$2,"")</f>
        <v/>
      </c>
      <c r="M566" s="73" t="str">
        <f t="shared" si="233"/>
        <v/>
      </c>
      <c r="N566" s="397"/>
      <c r="O566">
        <f t="shared" si="235"/>
        <v>0</v>
      </c>
      <c r="P566">
        <f t="shared" si="230"/>
        <v>0</v>
      </c>
      <c r="Q566">
        <f t="shared" si="231"/>
        <v>0</v>
      </c>
    </row>
    <row r="567" spans="1:17">
      <c r="A567" s="388"/>
      <c r="B567" s="391"/>
      <c r="C567" s="69"/>
      <c r="D567" s="70"/>
      <c r="E567" s="146"/>
      <c r="F567" s="70" t="str">
        <f>IFERROR(VLOOKUP(C567,MATERIAUX!$C$3:$G$1002,3,FALSE),"")</f>
        <v/>
      </c>
      <c r="G567" s="71" t="str">
        <f>IFERROR(VLOOKUP(C567,MATERIAUX!$C$3:$G$1002,5,FALSE),"")</f>
        <v/>
      </c>
      <c r="H567" s="71" t="str">
        <f t="shared" si="225"/>
        <v/>
      </c>
      <c r="I567" s="394"/>
      <c r="J567" s="72"/>
      <c r="K567" s="72"/>
      <c r="L567" s="72" t="str">
        <f>IFERROR(VLOOKUP(J567,'MAIN D OEUVRE'!$A$4:$B$99,2,FALSE)*$N$2,"")</f>
        <v/>
      </c>
      <c r="M567" s="73" t="str">
        <f t="shared" si="233"/>
        <v/>
      </c>
      <c r="N567" s="397"/>
      <c r="O567">
        <f t="shared" si="235"/>
        <v>0</v>
      </c>
      <c r="P567">
        <f t="shared" si="230"/>
        <v>0</v>
      </c>
      <c r="Q567">
        <f t="shared" si="231"/>
        <v>0</v>
      </c>
    </row>
    <row r="568" spans="1:17">
      <c r="A568" s="388"/>
      <c r="B568" s="391"/>
      <c r="C568" s="69"/>
      <c r="D568" s="70"/>
      <c r="E568" s="146"/>
      <c r="F568" s="70" t="str">
        <f>IFERROR(VLOOKUP(C568,MATERIAUX!$C$3:$G$1002,3,FALSE),"")</f>
        <v/>
      </c>
      <c r="G568" s="71" t="str">
        <f>IFERROR(VLOOKUP(C568,MATERIAUX!$C$3:$G$1002,5,FALSE),"")</f>
        <v/>
      </c>
      <c r="H568" s="71" t="str">
        <f t="shared" si="225"/>
        <v/>
      </c>
      <c r="I568" s="394"/>
      <c r="J568" s="72"/>
      <c r="K568" s="72"/>
      <c r="L568" s="72" t="str">
        <f>IFERROR(VLOOKUP(J568,'MAIN D OEUVRE'!$A$4:$B$99,2,FALSE)*$N$2,"")</f>
        <v/>
      </c>
      <c r="M568" s="73" t="str">
        <f t="shared" si="233"/>
        <v/>
      </c>
      <c r="N568" s="397"/>
      <c r="O568">
        <f t="shared" si="235"/>
        <v>0</v>
      </c>
      <c r="P568">
        <f t="shared" si="230"/>
        <v>0</v>
      </c>
      <c r="Q568">
        <f t="shared" si="231"/>
        <v>0</v>
      </c>
    </row>
    <row r="569" spans="1:17">
      <c r="A569" s="388"/>
      <c r="B569" s="391"/>
      <c r="C569" s="69"/>
      <c r="D569" s="70"/>
      <c r="E569" s="146"/>
      <c r="F569" s="70" t="str">
        <f>IFERROR(VLOOKUP(C569,MATERIAUX!$C$3:$G$1002,3,FALSE),"")</f>
        <v/>
      </c>
      <c r="G569" s="71" t="str">
        <f>IFERROR(VLOOKUP(C569,MATERIAUX!$C$3:$G$1002,5,FALSE),"")</f>
        <v/>
      </c>
      <c r="H569" s="71" t="str">
        <f t="shared" si="225"/>
        <v/>
      </c>
      <c r="I569" s="394"/>
      <c r="J569" s="72"/>
      <c r="K569" s="72"/>
      <c r="L569" s="72" t="str">
        <f>IFERROR(VLOOKUP(J569,'MAIN D OEUVRE'!$A$4:$B$99,2,FALSE)*$N$2,"")</f>
        <v/>
      </c>
      <c r="M569" s="73" t="str">
        <f t="shared" si="233"/>
        <v/>
      </c>
      <c r="N569" s="397"/>
      <c r="O569">
        <f t="shared" si="235"/>
        <v>0</v>
      </c>
      <c r="P569">
        <f t="shared" si="230"/>
        <v>0</v>
      </c>
      <c r="Q569">
        <f t="shared" si="231"/>
        <v>0</v>
      </c>
    </row>
    <row r="570" spans="1:17">
      <c r="A570" s="388"/>
      <c r="B570" s="391"/>
      <c r="C570" s="69"/>
      <c r="D570" s="70"/>
      <c r="E570" s="146"/>
      <c r="F570" s="70" t="str">
        <f>IFERROR(VLOOKUP(C570,MATERIAUX!$C$3:$G$1002,3,FALSE),"")</f>
        <v/>
      </c>
      <c r="G570" s="71" t="str">
        <f>IFERROR(VLOOKUP(C570,MATERIAUX!$C$3:$G$1002,5,FALSE),"")</f>
        <v/>
      </c>
      <c r="H570" s="71" t="str">
        <f t="shared" si="225"/>
        <v/>
      </c>
      <c r="I570" s="394"/>
      <c r="J570" s="72"/>
      <c r="K570" s="72"/>
      <c r="L570" s="72" t="str">
        <f>IFERROR(VLOOKUP(J570,'MAIN D OEUVRE'!$A$4:$B$99,2,FALSE)*$N$2,"")</f>
        <v/>
      </c>
      <c r="M570" s="73" t="str">
        <f t="shared" si="233"/>
        <v/>
      </c>
      <c r="N570" s="397"/>
      <c r="O570">
        <f t="shared" si="235"/>
        <v>0</v>
      </c>
      <c r="P570">
        <f t="shared" si="230"/>
        <v>0</v>
      </c>
      <c r="Q570">
        <f t="shared" si="231"/>
        <v>0</v>
      </c>
    </row>
    <row r="571" spans="1:17">
      <c r="A571" s="388"/>
      <c r="B571" s="391"/>
      <c r="C571" s="69"/>
      <c r="D571" s="70"/>
      <c r="E571" s="146"/>
      <c r="F571" s="70" t="str">
        <f>IFERROR(VLOOKUP(C571,MATERIAUX!$C$3:$G$1002,3,FALSE),"")</f>
        <v/>
      </c>
      <c r="G571" s="71" t="str">
        <f>IFERROR(VLOOKUP(C571,MATERIAUX!$C$3:$G$1002,5,FALSE),"")</f>
        <v/>
      </c>
      <c r="H571" s="71" t="str">
        <f t="shared" si="225"/>
        <v/>
      </c>
      <c r="I571" s="394"/>
      <c r="J571" s="72"/>
      <c r="K571" s="72"/>
      <c r="L571" s="72"/>
      <c r="M571" s="73"/>
      <c r="N571" s="397"/>
      <c r="O571">
        <f t="shared" si="235"/>
        <v>0</v>
      </c>
      <c r="P571">
        <f t="shared" si="230"/>
        <v>0</v>
      </c>
      <c r="Q571">
        <f t="shared" si="231"/>
        <v>0</v>
      </c>
    </row>
    <row r="572" spans="1:17" ht="15" thickBot="1">
      <c r="A572" s="389"/>
      <c r="B572" s="392"/>
      <c r="C572" s="74"/>
      <c r="D572" s="75"/>
      <c r="E572" s="147"/>
      <c r="F572" s="70" t="str">
        <f>IFERROR(VLOOKUP(C572,MATERIAUX!$C$3:$G$1002,3,FALSE),"")</f>
        <v/>
      </c>
      <c r="G572" s="71" t="str">
        <f>IFERROR(VLOOKUP(C572,MATERIAUX!$C$3:$G$1002,5,FALSE),"")</f>
        <v/>
      </c>
      <c r="H572" s="71" t="str">
        <f t="shared" si="225"/>
        <v/>
      </c>
      <c r="I572" s="395"/>
      <c r="J572" s="77"/>
      <c r="K572" s="77"/>
      <c r="L572" s="77"/>
      <c r="M572" s="78"/>
      <c r="N572" s="398"/>
      <c r="O572">
        <f t="shared" si="235"/>
        <v>0</v>
      </c>
      <c r="P572">
        <f t="shared" si="230"/>
        <v>0</v>
      </c>
      <c r="Q572">
        <f t="shared" si="231"/>
        <v>0</v>
      </c>
    </row>
    <row r="573" spans="1:17">
      <c r="A573" s="387" t="s">
        <v>298</v>
      </c>
      <c r="B573" s="390" t="s">
        <v>22</v>
      </c>
      <c r="C573" s="64" t="s">
        <v>9</v>
      </c>
      <c r="D573" s="65">
        <v>1</v>
      </c>
      <c r="E573" s="145">
        <v>0.1</v>
      </c>
      <c r="F573" s="65" t="str">
        <f>IFERROR(VLOOKUP(C573,MATERIAUX!$C$3:$G$1002,3,FALSE),"")</f>
        <v>m3</v>
      </c>
      <c r="G573" s="66">
        <f>IFERROR(VLOOKUP(C573,MATERIAUX!$C$3:$G$1002,5,FALSE),"")</f>
        <v>865.97938144329908</v>
      </c>
      <c r="H573" s="66">
        <f t="shared" si="225"/>
        <v>952.58</v>
      </c>
      <c r="I573" s="393">
        <f>SUM(H573:H582)</f>
        <v>1169.8700000000001</v>
      </c>
      <c r="J573" s="67" t="s">
        <v>241</v>
      </c>
      <c r="K573" s="67">
        <v>30</v>
      </c>
      <c r="L573" s="67">
        <f>IFERROR(VLOOKUP(J573,'MAIN D OEUVRE'!$A$4:$B$99,2,FALSE)*$N$2,"")</f>
        <v>2.2000000000000002</v>
      </c>
      <c r="M573" s="68">
        <f t="shared" ref="M573:M580" si="236">IFERROR(ROUND(L573*K573,2),"")</f>
        <v>66</v>
      </c>
      <c r="N573" s="396">
        <f>SUM(M573:M582)</f>
        <v>66</v>
      </c>
      <c r="O573" s="350">
        <v>0</v>
      </c>
      <c r="P573">
        <f t="shared" si="230"/>
        <v>0</v>
      </c>
      <c r="Q573">
        <f t="shared" si="231"/>
        <v>0</v>
      </c>
    </row>
    <row r="574" spans="1:17">
      <c r="A574" s="388"/>
      <c r="B574" s="391"/>
      <c r="C574" s="69" t="s">
        <v>278</v>
      </c>
      <c r="D574" s="70">
        <v>1</v>
      </c>
      <c r="E574" s="146">
        <v>0</v>
      </c>
      <c r="F574" s="70" t="str">
        <f>IFERROR(VLOOKUP(C574,MATERIAUX!$C$3:$G$1002,3,FALSE),"")</f>
        <v>m3</v>
      </c>
      <c r="G574" s="71">
        <f>IFERROR(VLOOKUP(C574,MATERIAUX!$C$3:$G$1002,5,FALSE),"")</f>
        <v>132.68041237113403</v>
      </c>
      <c r="H574" s="71">
        <f t="shared" si="225"/>
        <v>132.68</v>
      </c>
      <c r="I574" s="394"/>
      <c r="J574" s="72" t="s">
        <v>438</v>
      </c>
      <c r="K574" s="72"/>
      <c r="L574" s="72">
        <f>IFERROR(VLOOKUP(J574,'MAIN D OEUVRE'!$A$4:$B$99,2,FALSE)*$N$2,"")</f>
        <v>19.25</v>
      </c>
      <c r="M574" s="73">
        <f t="shared" si="236"/>
        <v>0</v>
      </c>
      <c r="N574" s="397"/>
      <c r="O574">
        <f>O573</f>
        <v>0</v>
      </c>
      <c r="P574">
        <f t="shared" si="230"/>
        <v>0</v>
      </c>
      <c r="Q574">
        <f t="shared" si="231"/>
        <v>0</v>
      </c>
    </row>
    <row r="575" spans="1:17">
      <c r="A575" s="388"/>
      <c r="B575" s="391"/>
      <c r="C575" s="69" t="s">
        <v>131</v>
      </c>
      <c r="D575" s="70">
        <v>1</v>
      </c>
      <c r="E575" s="146">
        <v>0</v>
      </c>
      <c r="F575" s="70" t="str">
        <f>IFERROR(VLOOKUP(C575,MATERIAUX!$C$3:$G$1002,3,FALSE),"")</f>
        <v>m3</v>
      </c>
      <c r="G575" s="71">
        <f>IFERROR(VLOOKUP(C575,MATERIAUX!$C$3:$G$1002,5,FALSE),"")</f>
        <v>76.701030927835063</v>
      </c>
      <c r="H575" s="71">
        <f t="shared" si="225"/>
        <v>76.7</v>
      </c>
      <c r="I575" s="394"/>
      <c r="J575" s="72"/>
      <c r="K575" s="72"/>
      <c r="L575" s="72" t="str">
        <f>IFERROR(VLOOKUP(J575,'MAIN D OEUVRE'!$A$4:$B$99,2,FALSE)*$N$2,"")</f>
        <v/>
      </c>
      <c r="M575" s="73" t="str">
        <f t="shared" si="236"/>
        <v/>
      </c>
      <c r="N575" s="397"/>
      <c r="O575">
        <f t="shared" ref="O575:O582" si="237">O574</f>
        <v>0</v>
      </c>
      <c r="P575">
        <f t="shared" si="230"/>
        <v>0</v>
      </c>
      <c r="Q575">
        <f t="shared" si="231"/>
        <v>0</v>
      </c>
    </row>
    <row r="576" spans="1:17">
      <c r="A576" s="388"/>
      <c r="B576" s="391"/>
      <c r="C576" s="287" t="s">
        <v>263</v>
      </c>
      <c r="D576" s="288">
        <v>1.06</v>
      </c>
      <c r="E576" s="146">
        <v>0.02</v>
      </c>
      <c r="F576" s="70" t="str">
        <f>IFERROR(VLOOKUP(C576,MATERIAUX!$C$3:$G$1002,3,FALSE),"")</f>
        <v>m2</v>
      </c>
      <c r="G576" s="71">
        <f>IFERROR(VLOOKUP(C576,MATERIAUX!$C$3:$G$1002,5,FALSE),"")</f>
        <v>7.315463917525773</v>
      </c>
      <c r="H576" s="71">
        <f>IFERROR(ROUND(G576*(1+E576)*D576*D573,2),"")</f>
        <v>7.91</v>
      </c>
      <c r="I576" s="394"/>
      <c r="J576" s="72"/>
      <c r="K576" s="72"/>
      <c r="L576" s="72" t="str">
        <f>IFERROR(VLOOKUP(J576,'MAIN D OEUVRE'!$A$4:$B$99,2,FALSE)*$N$2,"")</f>
        <v/>
      </c>
      <c r="M576" s="73" t="str">
        <f t="shared" si="236"/>
        <v/>
      </c>
      <c r="N576" s="397"/>
      <c r="O576" s="351">
        <f t="shared" si="237"/>
        <v>0</v>
      </c>
      <c r="P576" s="351">
        <f>O576*D576*(D573+D574)*1.02</f>
        <v>0</v>
      </c>
      <c r="Q576" s="351">
        <f t="shared" si="231"/>
        <v>0</v>
      </c>
    </row>
    <row r="577" spans="1:17">
      <c r="A577" s="388"/>
      <c r="B577" s="391"/>
      <c r="C577" s="69"/>
      <c r="D577" s="70"/>
      <c r="E577" s="146"/>
      <c r="F577" s="70" t="str">
        <f>IFERROR(VLOOKUP(C577,MATERIAUX!$C$3:$G$1002,3,FALSE),"")</f>
        <v/>
      </c>
      <c r="G577" s="71" t="str">
        <f>IFERROR(VLOOKUP(C577,MATERIAUX!$C$3:$G$1002,5,FALSE),"")</f>
        <v/>
      </c>
      <c r="H577" s="71" t="str">
        <f t="shared" si="225"/>
        <v/>
      </c>
      <c r="I577" s="394"/>
      <c r="J577" s="72"/>
      <c r="K577" s="72"/>
      <c r="L577" s="72" t="str">
        <f>IFERROR(VLOOKUP(J577,'MAIN D OEUVRE'!$A$4:$B$99,2,FALSE)*$N$2,"")</f>
        <v/>
      </c>
      <c r="M577" s="73" t="str">
        <f t="shared" si="236"/>
        <v/>
      </c>
      <c r="N577" s="397"/>
      <c r="O577">
        <f t="shared" si="237"/>
        <v>0</v>
      </c>
      <c r="P577">
        <f t="shared" si="230"/>
        <v>0</v>
      </c>
      <c r="Q577">
        <f t="shared" si="231"/>
        <v>0</v>
      </c>
    </row>
    <row r="578" spans="1:17">
      <c r="A578" s="388"/>
      <c r="B578" s="391"/>
      <c r="C578" s="69"/>
      <c r="D578" s="70"/>
      <c r="E578" s="146"/>
      <c r="F578" s="70" t="str">
        <f>IFERROR(VLOOKUP(C578,MATERIAUX!$C$3:$G$1002,3,FALSE),"")</f>
        <v/>
      </c>
      <c r="G578" s="71" t="str">
        <f>IFERROR(VLOOKUP(C578,MATERIAUX!$C$3:$G$1002,5,FALSE),"")</f>
        <v/>
      </c>
      <c r="H578" s="71" t="str">
        <f t="shared" si="225"/>
        <v/>
      </c>
      <c r="I578" s="394"/>
      <c r="J578" s="72"/>
      <c r="K578" s="72"/>
      <c r="L578" s="72" t="str">
        <f>IFERROR(VLOOKUP(J578,'MAIN D OEUVRE'!$A$4:$B$99,2,FALSE)*$N$2,"")</f>
        <v/>
      </c>
      <c r="M578" s="73" t="str">
        <f t="shared" si="236"/>
        <v/>
      </c>
      <c r="N578" s="397"/>
      <c r="O578">
        <f t="shared" si="237"/>
        <v>0</v>
      </c>
      <c r="P578">
        <f t="shared" si="230"/>
        <v>0</v>
      </c>
      <c r="Q578">
        <f t="shared" si="231"/>
        <v>0</v>
      </c>
    </row>
    <row r="579" spans="1:17">
      <c r="A579" s="388"/>
      <c r="B579" s="391"/>
      <c r="C579" s="69"/>
      <c r="D579" s="70"/>
      <c r="E579" s="146"/>
      <c r="F579" s="70" t="str">
        <f>IFERROR(VLOOKUP(C579,MATERIAUX!$C$3:$G$1002,3,FALSE),"")</f>
        <v/>
      </c>
      <c r="G579" s="71" t="str">
        <f>IFERROR(VLOOKUP(C579,MATERIAUX!$C$3:$G$1002,5,FALSE),"")</f>
        <v/>
      </c>
      <c r="H579" s="71" t="str">
        <f t="shared" si="225"/>
        <v/>
      </c>
      <c r="I579" s="394"/>
      <c r="J579" s="72"/>
      <c r="K579" s="72"/>
      <c r="L579" s="72" t="str">
        <f>IFERROR(VLOOKUP(J579,'MAIN D OEUVRE'!$A$4:$B$99,2,FALSE)*$N$2,"")</f>
        <v/>
      </c>
      <c r="M579" s="73" t="str">
        <f t="shared" si="236"/>
        <v/>
      </c>
      <c r="N579" s="397"/>
      <c r="O579">
        <f t="shared" si="237"/>
        <v>0</v>
      </c>
      <c r="P579">
        <f t="shared" si="230"/>
        <v>0</v>
      </c>
      <c r="Q579">
        <f t="shared" si="231"/>
        <v>0</v>
      </c>
    </row>
    <row r="580" spans="1:17">
      <c r="A580" s="388"/>
      <c r="B580" s="391"/>
      <c r="C580" s="69"/>
      <c r="D580" s="70"/>
      <c r="E580" s="146"/>
      <c r="F580" s="70" t="str">
        <f>IFERROR(VLOOKUP(C580,MATERIAUX!$C$3:$G$1002,3,FALSE),"")</f>
        <v/>
      </c>
      <c r="G580" s="71" t="str">
        <f>IFERROR(VLOOKUP(C580,MATERIAUX!$C$3:$G$1002,5,FALSE),"")</f>
        <v/>
      </c>
      <c r="H580" s="71" t="str">
        <f t="shared" si="225"/>
        <v/>
      </c>
      <c r="I580" s="394"/>
      <c r="J580" s="72"/>
      <c r="K580" s="72"/>
      <c r="L580" s="72" t="str">
        <f>IFERROR(VLOOKUP(J580,'MAIN D OEUVRE'!$A$4:$B$99,2,FALSE)*$N$2,"")</f>
        <v/>
      </c>
      <c r="M580" s="73" t="str">
        <f t="shared" si="236"/>
        <v/>
      </c>
      <c r="N580" s="397"/>
      <c r="O580">
        <f t="shared" si="237"/>
        <v>0</v>
      </c>
      <c r="P580">
        <f t="shared" si="230"/>
        <v>0</v>
      </c>
      <c r="Q580">
        <f t="shared" si="231"/>
        <v>0</v>
      </c>
    </row>
    <row r="581" spans="1:17">
      <c r="A581" s="388"/>
      <c r="B581" s="391"/>
      <c r="C581" s="69"/>
      <c r="D581" s="70"/>
      <c r="E581" s="146"/>
      <c r="F581" s="70" t="str">
        <f>IFERROR(VLOOKUP(C581,MATERIAUX!$C$3:$G$1002,3,FALSE),"")</f>
        <v/>
      </c>
      <c r="G581" s="71" t="str">
        <f>IFERROR(VLOOKUP(C581,MATERIAUX!$C$3:$G$1002,5,FALSE),"")</f>
        <v/>
      </c>
      <c r="H581" s="71" t="str">
        <f t="shared" si="225"/>
        <v/>
      </c>
      <c r="I581" s="394"/>
      <c r="J581" s="72"/>
      <c r="K581" s="72"/>
      <c r="L581" s="72"/>
      <c r="M581" s="73"/>
      <c r="N581" s="397"/>
      <c r="O581">
        <f t="shared" si="237"/>
        <v>0</v>
      </c>
      <c r="P581">
        <f t="shared" si="230"/>
        <v>0</v>
      </c>
      <c r="Q581">
        <f t="shared" si="231"/>
        <v>0</v>
      </c>
    </row>
    <row r="582" spans="1:17" ht="15" thickBot="1">
      <c r="A582" s="389"/>
      <c r="B582" s="392"/>
      <c r="C582" s="74"/>
      <c r="D582" s="75"/>
      <c r="E582" s="147"/>
      <c r="F582" s="70" t="str">
        <f>IFERROR(VLOOKUP(C582,MATERIAUX!$C$3:$G$1002,3,FALSE),"")</f>
        <v/>
      </c>
      <c r="G582" s="71" t="str">
        <f>IFERROR(VLOOKUP(C582,MATERIAUX!$C$3:$G$1002,5,FALSE),"")</f>
        <v/>
      </c>
      <c r="H582" s="76" t="str">
        <f t="shared" si="225"/>
        <v/>
      </c>
      <c r="I582" s="395"/>
      <c r="J582" s="77"/>
      <c r="K582" s="77"/>
      <c r="L582" s="77"/>
      <c r="M582" s="78"/>
      <c r="N582" s="398"/>
      <c r="O582">
        <f t="shared" si="237"/>
        <v>0</v>
      </c>
      <c r="P582">
        <f t="shared" si="230"/>
        <v>0</v>
      </c>
      <c r="Q582">
        <f t="shared" si="231"/>
        <v>0</v>
      </c>
    </row>
    <row r="583" spans="1:17">
      <c r="A583" s="387" t="s">
        <v>290</v>
      </c>
      <c r="B583" s="390" t="s">
        <v>21</v>
      </c>
      <c r="C583" s="64" t="s">
        <v>284</v>
      </c>
      <c r="D583" s="65">
        <v>1</v>
      </c>
      <c r="E583" s="187">
        <v>0.1</v>
      </c>
      <c r="F583" s="65" t="str">
        <f>IFERROR(VLOOKUP(C583,MATERIAUX!$C$3:$G$1002,3,FALSE),"")</f>
        <v>m2</v>
      </c>
      <c r="G583" s="66">
        <f>IFERROR(VLOOKUP(C583,MATERIAUX!$C$3:$G$1002,5,FALSE),"")</f>
        <v>29.484536082474229</v>
      </c>
      <c r="H583" s="66">
        <f t="shared" si="225"/>
        <v>32.43</v>
      </c>
      <c r="I583" s="393">
        <f>SUM(H583:H592)</f>
        <v>55.179999999999993</v>
      </c>
      <c r="J583" s="67" t="s">
        <v>52</v>
      </c>
      <c r="K583" s="67">
        <v>1</v>
      </c>
      <c r="L583" s="67">
        <f>IFERROR(VLOOKUP(J583,'MAIN D OEUVRE'!$A$4:$B$99,2,FALSE)*$N$2,"")</f>
        <v>2.75</v>
      </c>
      <c r="M583" s="68">
        <f t="shared" ref="M583:M590" si="238">IFERROR(ROUND(L583*K583,2),"")</f>
        <v>2.75</v>
      </c>
      <c r="N583" s="396">
        <f>SUM(M583:M592)</f>
        <v>16.5</v>
      </c>
      <c r="O583" s="350">
        <v>0</v>
      </c>
      <c r="P583">
        <f t="shared" si="230"/>
        <v>0</v>
      </c>
      <c r="Q583">
        <f t="shared" si="231"/>
        <v>0</v>
      </c>
    </row>
    <row r="584" spans="1:17">
      <c r="A584" s="388"/>
      <c r="B584" s="391"/>
      <c r="C584" s="69" t="s">
        <v>92</v>
      </c>
      <c r="D584" s="70">
        <f>3*0.045*0.2</f>
        <v>2.7000000000000003E-2</v>
      </c>
      <c r="E584" s="188">
        <v>0.1</v>
      </c>
      <c r="F584" s="70" t="str">
        <f>IFERROR(VLOOKUP(C584,MATERIAUX!$C$3:$G$1002,3,FALSE),"")</f>
        <v>m3</v>
      </c>
      <c r="G584" s="71">
        <f>IFERROR(VLOOKUP(C584,MATERIAUX!$C$3:$G$1002,5,FALSE),"")</f>
        <v>575.25773195876297</v>
      </c>
      <c r="H584" s="71">
        <f t="shared" si="225"/>
        <v>17.09</v>
      </c>
      <c r="I584" s="394"/>
      <c r="J584" s="72" t="s">
        <v>218</v>
      </c>
      <c r="K584" s="72">
        <v>1</v>
      </c>
      <c r="L584" s="72">
        <f>IFERROR(VLOOKUP(J584,'MAIN D OEUVRE'!$A$4:$B$99,2,FALSE)*$N$2,"")</f>
        <v>2.75</v>
      </c>
      <c r="M584" s="73">
        <f t="shared" si="238"/>
        <v>2.75</v>
      </c>
      <c r="N584" s="397"/>
      <c r="O584">
        <f>O583</f>
        <v>0</v>
      </c>
      <c r="P584">
        <f t="shared" si="230"/>
        <v>0</v>
      </c>
      <c r="Q584">
        <f t="shared" si="231"/>
        <v>0</v>
      </c>
    </row>
    <row r="585" spans="1:17">
      <c r="A585" s="388"/>
      <c r="B585" s="391"/>
      <c r="C585" s="69" t="s">
        <v>285</v>
      </c>
      <c r="D585" s="70">
        <v>44</v>
      </c>
      <c r="E585" s="188">
        <v>0</v>
      </c>
      <c r="F585" s="70" t="str">
        <f>IFERROR(VLOOKUP(C585,MATERIAUX!$C$3:$G$1002,3,FALSE),"")</f>
        <v>u</v>
      </c>
      <c r="G585" s="71">
        <f>IFERROR(VLOOKUP(C585,MATERIAUX!$C$3:$G$1002,5,FALSE),"")</f>
        <v>0.1</v>
      </c>
      <c r="H585" s="71">
        <f t="shared" si="225"/>
        <v>4.4000000000000004</v>
      </c>
      <c r="I585" s="394"/>
      <c r="J585" s="72" t="s">
        <v>241</v>
      </c>
      <c r="K585" s="72">
        <v>5</v>
      </c>
      <c r="L585" s="72">
        <f>IFERROR(VLOOKUP(J585,'MAIN D OEUVRE'!$A$4:$B$99,2,FALSE)*$N$2,"")</f>
        <v>2.2000000000000002</v>
      </c>
      <c r="M585" s="73">
        <f t="shared" si="238"/>
        <v>11</v>
      </c>
      <c r="N585" s="397"/>
      <c r="O585">
        <f t="shared" ref="O585:O592" si="239">O584</f>
        <v>0</v>
      </c>
      <c r="P585">
        <f t="shared" si="230"/>
        <v>0</v>
      </c>
      <c r="Q585">
        <f t="shared" si="231"/>
        <v>0</v>
      </c>
    </row>
    <row r="586" spans="1:17">
      <c r="A586" s="388"/>
      <c r="B586" s="391"/>
      <c r="C586" s="69" t="s">
        <v>286</v>
      </c>
      <c r="D586" s="70">
        <v>4</v>
      </c>
      <c r="E586" s="188">
        <v>0</v>
      </c>
      <c r="F586" s="70" t="str">
        <f>IFERROR(VLOOKUP(C586,MATERIAUX!$C$3:$G$1002,3,FALSE),"")</f>
        <v>u</v>
      </c>
      <c r="G586" s="71">
        <f>IFERROR(VLOOKUP(C586,MATERIAUX!$C$3:$G$1002,5,FALSE),"")</f>
        <v>0.12</v>
      </c>
      <c r="H586" s="71">
        <f t="shared" si="225"/>
        <v>0.48</v>
      </c>
      <c r="I586" s="394"/>
      <c r="J586" s="72"/>
      <c r="K586" s="72"/>
      <c r="L586" s="72" t="str">
        <f>IFERROR(VLOOKUP(J586,'MAIN D OEUVRE'!$A$4:$B$99,2,FALSE)*$N$2,"")</f>
        <v/>
      </c>
      <c r="M586" s="73" t="str">
        <f t="shared" si="238"/>
        <v/>
      </c>
      <c r="N586" s="397"/>
      <c r="O586">
        <f t="shared" si="239"/>
        <v>0</v>
      </c>
      <c r="P586">
        <f t="shared" si="230"/>
        <v>0</v>
      </c>
      <c r="Q586">
        <f t="shared" si="231"/>
        <v>0</v>
      </c>
    </row>
    <row r="587" spans="1:17">
      <c r="A587" s="388"/>
      <c r="B587" s="391"/>
      <c r="C587" s="69" t="s">
        <v>287</v>
      </c>
      <c r="D587" s="70">
        <v>0.3</v>
      </c>
      <c r="E587" s="188">
        <v>0</v>
      </c>
      <c r="F587" s="70" t="str">
        <f>IFERROR(VLOOKUP(C587,MATERIAUX!$C$3:$G$1002,3,FALSE),"")</f>
        <v>ml</v>
      </c>
      <c r="G587" s="71">
        <f>IFERROR(VLOOKUP(C587,MATERIAUX!$C$3:$G$1002,5,FALSE),"")</f>
        <v>2.5933333333333333</v>
      </c>
      <c r="H587" s="71">
        <f t="shared" si="225"/>
        <v>0.78</v>
      </c>
      <c r="I587" s="394"/>
      <c r="J587" s="72"/>
      <c r="K587" s="72"/>
      <c r="L587" s="72" t="str">
        <f>IFERROR(VLOOKUP(J587,'MAIN D OEUVRE'!$A$4:$B$99,2,FALSE)*$N$2,"")</f>
        <v/>
      </c>
      <c r="M587" s="73" t="str">
        <f t="shared" si="238"/>
        <v/>
      </c>
      <c r="N587" s="397"/>
      <c r="O587">
        <f t="shared" si="239"/>
        <v>0</v>
      </c>
      <c r="P587">
        <f t="shared" si="230"/>
        <v>0</v>
      </c>
      <c r="Q587">
        <f t="shared" si="231"/>
        <v>0</v>
      </c>
    </row>
    <row r="588" spans="1:17">
      <c r="A588" s="388"/>
      <c r="B588" s="391"/>
      <c r="C588" s="69"/>
      <c r="D588" s="70"/>
      <c r="E588" s="188"/>
      <c r="F588" s="70" t="str">
        <f>IFERROR(VLOOKUP(C588,MATERIAUX!$C$3:$G$1002,3,FALSE),"")</f>
        <v/>
      </c>
      <c r="G588" s="71" t="str">
        <f>IFERROR(VLOOKUP(C588,MATERIAUX!$C$3:$G$1002,5,FALSE),"")</f>
        <v/>
      </c>
      <c r="H588" s="71" t="str">
        <f t="shared" si="225"/>
        <v/>
      </c>
      <c r="I588" s="394"/>
      <c r="J588" s="72"/>
      <c r="K588" s="72"/>
      <c r="L588" s="72" t="str">
        <f>IFERROR(VLOOKUP(J588,'MAIN D OEUVRE'!$A$4:$B$99,2,FALSE)*$N$2,"")</f>
        <v/>
      </c>
      <c r="M588" s="73" t="str">
        <f t="shared" si="238"/>
        <v/>
      </c>
      <c r="N588" s="397"/>
      <c r="O588">
        <f t="shared" si="239"/>
        <v>0</v>
      </c>
      <c r="P588">
        <f t="shared" si="230"/>
        <v>0</v>
      </c>
      <c r="Q588">
        <f t="shared" si="231"/>
        <v>0</v>
      </c>
    </row>
    <row r="589" spans="1:17">
      <c r="A589" s="388"/>
      <c r="B589" s="391"/>
      <c r="C589" s="69"/>
      <c r="D589" s="70"/>
      <c r="E589" s="188"/>
      <c r="F589" s="70" t="str">
        <f>IFERROR(VLOOKUP(C589,MATERIAUX!$C$3:$G$1002,3,FALSE),"")</f>
        <v/>
      </c>
      <c r="G589" s="71" t="str">
        <f>IFERROR(VLOOKUP(C589,MATERIAUX!$C$3:$G$1002,5,FALSE),"")</f>
        <v/>
      </c>
      <c r="H589" s="71" t="str">
        <f t="shared" si="225"/>
        <v/>
      </c>
      <c r="I589" s="394"/>
      <c r="J589" s="72"/>
      <c r="K589" s="72"/>
      <c r="L589" s="72" t="str">
        <f>IFERROR(VLOOKUP(J589,'MAIN D OEUVRE'!$A$4:$B$99,2,FALSE)*$N$2,"")</f>
        <v/>
      </c>
      <c r="M589" s="73" t="str">
        <f t="shared" si="238"/>
        <v/>
      </c>
      <c r="N589" s="397"/>
      <c r="O589">
        <f t="shared" si="239"/>
        <v>0</v>
      </c>
      <c r="P589">
        <f t="shared" si="230"/>
        <v>0</v>
      </c>
      <c r="Q589">
        <f t="shared" si="231"/>
        <v>0</v>
      </c>
    </row>
    <row r="590" spans="1:17">
      <c r="A590" s="388"/>
      <c r="B590" s="391"/>
      <c r="C590" s="69"/>
      <c r="D590" s="70"/>
      <c r="E590" s="188"/>
      <c r="F590" s="70" t="str">
        <f>IFERROR(VLOOKUP(C590,MATERIAUX!$C$3:$G$1002,3,FALSE),"")</f>
        <v/>
      </c>
      <c r="G590" s="71" t="str">
        <f>IFERROR(VLOOKUP(C590,MATERIAUX!$C$3:$G$1002,5,FALSE),"")</f>
        <v/>
      </c>
      <c r="H590" s="71" t="str">
        <f t="shared" si="225"/>
        <v/>
      </c>
      <c r="I590" s="394"/>
      <c r="J590" s="72"/>
      <c r="K590" s="72"/>
      <c r="L590" s="72" t="str">
        <f>IFERROR(VLOOKUP(J590,'MAIN D OEUVRE'!$A$4:$B$99,2,FALSE)*$N$2,"")</f>
        <v/>
      </c>
      <c r="M590" s="73" t="str">
        <f t="shared" si="238"/>
        <v/>
      </c>
      <c r="N590" s="397"/>
      <c r="O590">
        <f t="shared" si="239"/>
        <v>0</v>
      </c>
      <c r="P590">
        <f t="shared" si="230"/>
        <v>0</v>
      </c>
      <c r="Q590">
        <f t="shared" si="231"/>
        <v>0</v>
      </c>
    </row>
    <row r="591" spans="1:17">
      <c r="A591" s="388"/>
      <c r="B591" s="391"/>
      <c r="C591" s="69"/>
      <c r="D591" s="70"/>
      <c r="E591" s="188"/>
      <c r="F591" s="70" t="str">
        <f>IFERROR(VLOOKUP(C591,MATERIAUX!$C$3:$G$1002,3,FALSE),"")</f>
        <v/>
      </c>
      <c r="G591" s="71" t="str">
        <f>IFERROR(VLOOKUP(C591,MATERIAUX!$C$3:$G$1002,5,FALSE),"")</f>
        <v/>
      </c>
      <c r="H591" s="71" t="str">
        <f t="shared" si="225"/>
        <v/>
      </c>
      <c r="I591" s="394"/>
      <c r="J591" s="72"/>
      <c r="K591" s="72"/>
      <c r="L591" s="72"/>
      <c r="M591" s="73"/>
      <c r="N591" s="397"/>
      <c r="O591">
        <f t="shared" si="239"/>
        <v>0</v>
      </c>
      <c r="P591">
        <f t="shared" si="230"/>
        <v>0</v>
      </c>
      <c r="Q591">
        <f t="shared" si="231"/>
        <v>0</v>
      </c>
    </row>
    <row r="592" spans="1:17" ht="15" thickBot="1">
      <c r="A592" s="389"/>
      <c r="B592" s="392"/>
      <c r="C592" s="74"/>
      <c r="D592" s="75"/>
      <c r="E592" s="189"/>
      <c r="F592" s="70" t="str">
        <f>IFERROR(VLOOKUP(C592,MATERIAUX!$C$3:$G$1002,3,FALSE),"")</f>
        <v/>
      </c>
      <c r="G592" s="71" t="str">
        <f>IFERROR(VLOOKUP(C592,MATERIAUX!$C$3:$G$1002,5,FALSE),"")</f>
        <v/>
      </c>
      <c r="H592" s="76" t="str">
        <f t="shared" si="225"/>
        <v/>
      </c>
      <c r="I592" s="395"/>
      <c r="J592" s="77"/>
      <c r="K592" s="77"/>
      <c r="L592" s="77"/>
      <c r="M592" s="78"/>
      <c r="N592" s="398"/>
      <c r="O592">
        <f t="shared" si="239"/>
        <v>0</v>
      </c>
      <c r="P592">
        <f t="shared" si="230"/>
        <v>0</v>
      </c>
      <c r="Q592">
        <f t="shared" si="231"/>
        <v>0</v>
      </c>
    </row>
    <row r="593" spans="1:17">
      <c r="A593" s="387" t="s">
        <v>291</v>
      </c>
      <c r="B593" s="390" t="s">
        <v>21</v>
      </c>
      <c r="C593" s="64" t="s">
        <v>280</v>
      </c>
      <c r="D593" s="65">
        <v>1</v>
      </c>
      <c r="E593" s="187">
        <v>0</v>
      </c>
      <c r="F593" s="65" t="str">
        <f>IFERROR(VLOOKUP(C593,MATERIAUX!$C$3:$G$1002,3,FALSE),"")</f>
        <v>m2</v>
      </c>
      <c r="G593" s="66">
        <f>IFERROR(VLOOKUP(C593,MATERIAUX!$C$3:$G$1002,5,FALSE),"")</f>
        <v>14</v>
      </c>
      <c r="H593" s="66">
        <f t="shared" ref="H593:H602" si="240">IFERROR(ROUND(G593*(1+E593)*D593,2),"")</f>
        <v>14</v>
      </c>
      <c r="I593" s="393">
        <f>SUM(H593:H602)</f>
        <v>14</v>
      </c>
      <c r="J593" s="67"/>
      <c r="K593" s="67"/>
      <c r="L593" s="67" t="str">
        <f>IFERROR(VLOOKUP(J593,'MAIN D OEUVRE'!$A$4:$B$99,2,FALSE)*$N$2,"")</f>
        <v/>
      </c>
      <c r="M593" s="68" t="str">
        <f t="shared" ref="M593:M600" si="241">IFERROR(ROUND(L593*K593,2),"")</f>
        <v/>
      </c>
      <c r="N593" s="396">
        <f>SUM(M593:M602)</f>
        <v>0</v>
      </c>
      <c r="O593" s="350">
        <v>0</v>
      </c>
      <c r="P593">
        <f t="shared" si="230"/>
        <v>0</v>
      </c>
      <c r="Q593">
        <f t="shared" si="231"/>
        <v>0</v>
      </c>
    </row>
    <row r="594" spans="1:17">
      <c r="A594" s="388"/>
      <c r="B594" s="391"/>
      <c r="C594" s="69"/>
      <c r="D594" s="70"/>
      <c r="E594" s="188"/>
      <c r="F594" s="70" t="str">
        <f>IFERROR(VLOOKUP(C594,MATERIAUX!$C$3:$G$1002,3,FALSE),"")</f>
        <v/>
      </c>
      <c r="G594" s="71" t="str">
        <f>IFERROR(VLOOKUP(C594,MATERIAUX!$C$3:$G$1002,5,FALSE),"")</f>
        <v/>
      </c>
      <c r="H594" s="71" t="str">
        <f t="shared" si="240"/>
        <v/>
      </c>
      <c r="I594" s="394"/>
      <c r="J594" s="72"/>
      <c r="K594" s="72"/>
      <c r="L594" s="72" t="str">
        <f>IFERROR(VLOOKUP(J594,'MAIN D OEUVRE'!$A$4:$B$99,2,FALSE)*$N$2,"")</f>
        <v/>
      </c>
      <c r="M594" s="73" t="str">
        <f t="shared" si="241"/>
        <v/>
      </c>
      <c r="N594" s="397"/>
      <c r="O594">
        <f>O593</f>
        <v>0</v>
      </c>
      <c r="P594">
        <f t="shared" si="230"/>
        <v>0</v>
      </c>
      <c r="Q594">
        <f t="shared" si="231"/>
        <v>0</v>
      </c>
    </row>
    <row r="595" spans="1:17">
      <c r="A595" s="388"/>
      <c r="B595" s="391"/>
      <c r="C595" s="69"/>
      <c r="D595" s="70"/>
      <c r="E595" s="188"/>
      <c r="F595" s="70" t="str">
        <f>IFERROR(VLOOKUP(C595,MATERIAUX!$C$3:$G$1002,3,FALSE),"")</f>
        <v/>
      </c>
      <c r="G595" s="71" t="str">
        <f>IFERROR(VLOOKUP(C595,MATERIAUX!$C$3:$G$1002,5,FALSE),"")</f>
        <v/>
      </c>
      <c r="H595" s="71" t="str">
        <f t="shared" si="240"/>
        <v/>
      </c>
      <c r="I595" s="394"/>
      <c r="J595" s="72"/>
      <c r="K595" s="72"/>
      <c r="L595" s="72" t="str">
        <f>IFERROR(VLOOKUP(J595,'MAIN D OEUVRE'!$A$4:$B$99,2,FALSE)*$N$2,"")</f>
        <v/>
      </c>
      <c r="M595" s="73" t="str">
        <f t="shared" si="241"/>
        <v/>
      </c>
      <c r="N595" s="397"/>
      <c r="O595">
        <f t="shared" ref="O595:O602" si="242">O594</f>
        <v>0</v>
      </c>
      <c r="P595">
        <f t="shared" si="230"/>
        <v>0</v>
      </c>
      <c r="Q595">
        <f t="shared" si="231"/>
        <v>0</v>
      </c>
    </row>
    <row r="596" spans="1:17">
      <c r="A596" s="388"/>
      <c r="B596" s="391"/>
      <c r="C596" s="69"/>
      <c r="D596" s="70"/>
      <c r="E596" s="188"/>
      <c r="F596" s="70" t="str">
        <f>IFERROR(VLOOKUP(C596,MATERIAUX!$C$3:$G$1002,3,FALSE),"")</f>
        <v/>
      </c>
      <c r="G596" s="71" t="str">
        <f>IFERROR(VLOOKUP(C596,MATERIAUX!$C$3:$G$1002,5,FALSE),"")</f>
        <v/>
      </c>
      <c r="H596" s="71" t="str">
        <f t="shared" si="240"/>
        <v/>
      </c>
      <c r="I596" s="394"/>
      <c r="J596" s="72"/>
      <c r="K596" s="72"/>
      <c r="L596" s="72" t="str">
        <f>IFERROR(VLOOKUP(J596,'MAIN D OEUVRE'!$A$4:$B$99,2,FALSE)*$N$2,"")</f>
        <v/>
      </c>
      <c r="M596" s="73" t="str">
        <f t="shared" si="241"/>
        <v/>
      </c>
      <c r="N596" s="397"/>
      <c r="O596">
        <f t="shared" si="242"/>
        <v>0</v>
      </c>
      <c r="P596">
        <f t="shared" si="230"/>
        <v>0</v>
      </c>
      <c r="Q596">
        <f t="shared" si="231"/>
        <v>0</v>
      </c>
    </row>
    <row r="597" spans="1:17">
      <c r="A597" s="388"/>
      <c r="B597" s="391"/>
      <c r="C597" s="69"/>
      <c r="D597" s="70"/>
      <c r="E597" s="188"/>
      <c r="F597" s="70" t="str">
        <f>IFERROR(VLOOKUP(C597,MATERIAUX!$C$3:$G$1002,3,FALSE),"")</f>
        <v/>
      </c>
      <c r="G597" s="71" t="str">
        <f>IFERROR(VLOOKUP(C597,MATERIAUX!$C$3:$G$1002,5,FALSE),"")</f>
        <v/>
      </c>
      <c r="H597" s="71" t="str">
        <f t="shared" si="240"/>
        <v/>
      </c>
      <c r="I597" s="394"/>
      <c r="J597" s="72"/>
      <c r="K597" s="72"/>
      <c r="L597" s="72" t="str">
        <f>IFERROR(VLOOKUP(J597,'MAIN D OEUVRE'!$A$4:$B$99,2,FALSE)*$N$2,"")</f>
        <v/>
      </c>
      <c r="M597" s="73" t="str">
        <f t="shared" si="241"/>
        <v/>
      </c>
      <c r="N597" s="397"/>
      <c r="O597">
        <f t="shared" si="242"/>
        <v>0</v>
      </c>
      <c r="P597">
        <f t="shared" si="230"/>
        <v>0</v>
      </c>
      <c r="Q597">
        <f t="shared" si="231"/>
        <v>0</v>
      </c>
    </row>
    <row r="598" spans="1:17">
      <c r="A598" s="388"/>
      <c r="B598" s="391"/>
      <c r="C598" s="69"/>
      <c r="D598" s="70"/>
      <c r="E598" s="188"/>
      <c r="F598" s="70" t="str">
        <f>IFERROR(VLOOKUP(C598,MATERIAUX!$C$3:$G$1002,3,FALSE),"")</f>
        <v/>
      </c>
      <c r="G598" s="71" t="str">
        <f>IFERROR(VLOOKUP(C598,MATERIAUX!$C$3:$G$1002,5,FALSE),"")</f>
        <v/>
      </c>
      <c r="H598" s="71" t="str">
        <f t="shared" si="240"/>
        <v/>
      </c>
      <c r="I598" s="394"/>
      <c r="J598" s="72"/>
      <c r="K598" s="72"/>
      <c r="L598" s="72" t="str">
        <f>IFERROR(VLOOKUP(J598,'MAIN D OEUVRE'!$A$4:$B$99,2,FALSE)*$N$2,"")</f>
        <v/>
      </c>
      <c r="M598" s="73" t="str">
        <f t="shared" si="241"/>
        <v/>
      </c>
      <c r="N598" s="397"/>
      <c r="O598">
        <f t="shared" si="242"/>
        <v>0</v>
      </c>
      <c r="P598">
        <f t="shared" si="230"/>
        <v>0</v>
      </c>
      <c r="Q598">
        <f t="shared" si="231"/>
        <v>0</v>
      </c>
    </row>
    <row r="599" spans="1:17">
      <c r="A599" s="388"/>
      <c r="B599" s="391"/>
      <c r="C599" s="69"/>
      <c r="D599" s="70"/>
      <c r="E599" s="188"/>
      <c r="F599" s="70" t="str">
        <f>IFERROR(VLOOKUP(C599,MATERIAUX!$C$3:$G$1002,3,FALSE),"")</f>
        <v/>
      </c>
      <c r="G599" s="71" t="str">
        <f>IFERROR(VLOOKUP(C599,MATERIAUX!$C$3:$G$1002,5,FALSE),"")</f>
        <v/>
      </c>
      <c r="H599" s="71" t="str">
        <f t="shared" si="240"/>
        <v/>
      </c>
      <c r="I599" s="394"/>
      <c r="J599" s="72"/>
      <c r="K599" s="72"/>
      <c r="L599" s="72" t="str">
        <f>IFERROR(VLOOKUP(J599,'MAIN D OEUVRE'!$A$4:$B$99,2,FALSE)*$N$2,"")</f>
        <v/>
      </c>
      <c r="M599" s="73" t="str">
        <f t="shared" si="241"/>
        <v/>
      </c>
      <c r="N599" s="397"/>
      <c r="O599">
        <f t="shared" si="242"/>
        <v>0</v>
      </c>
      <c r="P599">
        <f t="shared" si="230"/>
        <v>0</v>
      </c>
      <c r="Q599">
        <f t="shared" si="231"/>
        <v>0</v>
      </c>
    </row>
    <row r="600" spans="1:17">
      <c r="A600" s="388"/>
      <c r="B600" s="391"/>
      <c r="C600" s="69"/>
      <c r="D600" s="70"/>
      <c r="E600" s="188"/>
      <c r="F600" s="70" t="str">
        <f>IFERROR(VLOOKUP(C600,MATERIAUX!$C$3:$G$1002,3,FALSE),"")</f>
        <v/>
      </c>
      <c r="G600" s="71" t="str">
        <f>IFERROR(VLOOKUP(C600,MATERIAUX!$C$3:$G$1002,5,FALSE),"")</f>
        <v/>
      </c>
      <c r="H600" s="71" t="str">
        <f t="shared" si="240"/>
        <v/>
      </c>
      <c r="I600" s="394"/>
      <c r="J600" s="72"/>
      <c r="K600" s="72"/>
      <c r="L600" s="72" t="str">
        <f>IFERROR(VLOOKUP(J600,'MAIN D OEUVRE'!$A$4:$B$99,2,FALSE)*$N$2,"")</f>
        <v/>
      </c>
      <c r="M600" s="73" t="str">
        <f t="shared" si="241"/>
        <v/>
      </c>
      <c r="N600" s="397"/>
      <c r="O600">
        <f t="shared" si="242"/>
        <v>0</v>
      </c>
      <c r="P600">
        <f t="shared" si="230"/>
        <v>0</v>
      </c>
      <c r="Q600">
        <f t="shared" si="231"/>
        <v>0</v>
      </c>
    </row>
    <row r="601" spans="1:17">
      <c r="A601" s="388"/>
      <c r="B601" s="391"/>
      <c r="C601" s="69"/>
      <c r="D601" s="70"/>
      <c r="E601" s="188"/>
      <c r="F601" s="70" t="str">
        <f>IFERROR(VLOOKUP(C601,MATERIAUX!$C$3:$G$1002,3,FALSE),"")</f>
        <v/>
      </c>
      <c r="G601" s="71" t="str">
        <f>IFERROR(VLOOKUP(C601,MATERIAUX!$C$3:$G$1002,5,FALSE),"")</f>
        <v/>
      </c>
      <c r="H601" s="71" t="str">
        <f t="shared" si="240"/>
        <v/>
      </c>
      <c r="I601" s="394"/>
      <c r="J601" s="72"/>
      <c r="K601" s="72"/>
      <c r="L601" s="72"/>
      <c r="M601" s="73"/>
      <c r="N601" s="397"/>
      <c r="O601">
        <f t="shared" si="242"/>
        <v>0</v>
      </c>
      <c r="P601">
        <f t="shared" si="230"/>
        <v>0</v>
      </c>
      <c r="Q601">
        <f t="shared" si="231"/>
        <v>0</v>
      </c>
    </row>
    <row r="602" spans="1:17" ht="15" thickBot="1">
      <c r="A602" s="389"/>
      <c r="B602" s="392"/>
      <c r="C602" s="74"/>
      <c r="D602" s="75"/>
      <c r="E602" s="189"/>
      <c r="F602" s="70" t="str">
        <f>IFERROR(VLOOKUP(C602,MATERIAUX!$C$3:$G$1002,3,FALSE),"")</f>
        <v/>
      </c>
      <c r="G602" s="71" t="str">
        <f>IFERROR(VLOOKUP(C602,MATERIAUX!$C$3:$G$1002,5,FALSE),"")</f>
        <v/>
      </c>
      <c r="H602" s="76" t="str">
        <f t="shared" si="240"/>
        <v/>
      </c>
      <c r="I602" s="395"/>
      <c r="J602" s="77"/>
      <c r="K602" s="77"/>
      <c r="L602" s="77"/>
      <c r="M602" s="78"/>
      <c r="N602" s="398"/>
      <c r="O602">
        <f t="shared" si="242"/>
        <v>0</v>
      </c>
      <c r="P602">
        <f t="shared" si="230"/>
        <v>0</v>
      </c>
      <c r="Q602">
        <f t="shared" si="231"/>
        <v>0</v>
      </c>
    </row>
    <row r="603" spans="1:17">
      <c r="A603" s="387" t="s">
        <v>292</v>
      </c>
      <c r="B603" s="390" t="s">
        <v>21</v>
      </c>
      <c r="C603" s="64" t="s">
        <v>280</v>
      </c>
      <c r="D603" s="65">
        <f>24/15</f>
        <v>1.6</v>
      </c>
      <c r="E603" s="187">
        <v>0</v>
      </c>
      <c r="F603" s="65" t="str">
        <f>IFERROR(VLOOKUP(C603,MATERIAUX!$C$3:$G$1002,3,FALSE),"")</f>
        <v>m2</v>
      </c>
      <c r="G603" s="66">
        <f>IFERROR(VLOOKUP(C603,MATERIAUX!$C$3:$G$1002,5,FALSE),"")</f>
        <v>14</v>
      </c>
      <c r="H603" s="66">
        <f t="shared" si="225"/>
        <v>22.4</v>
      </c>
      <c r="I603" s="393">
        <f t="shared" ref="I603" si="243">SUM(H603:H612)</f>
        <v>22.4</v>
      </c>
      <c r="J603" s="67"/>
      <c r="K603" s="67"/>
      <c r="L603" s="67" t="str">
        <f>IFERROR(VLOOKUP(J603,'MAIN D OEUVRE'!$A$4:$B$99,2,FALSE)*$N$2,"")</f>
        <v/>
      </c>
      <c r="M603" s="68" t="str">
        <f t="shared" ref="M603:M610" si="244">IFERROR(ROUND(L603*K603,2),"")</f>
        <v/>
      </c>
      <c r="N603" s="396">
        <f t="shared" ref="N603" si="245">SUM(M603:M612)</f>
        <v>0</v>
      </c>
      <c r="O603" s="350">
        <v>0</v>
      </c>
      <c r="P603">
        <f t="shared" si="230"/>
        <v>0</v>
      </c>
      <c r="Q603">
        <f t="shared" si="231"/>
        <v>0</v>
      </c>
    </row>
    <row r="604" spans="1:17">
      <c r="A604" s="388"/>
      <c r="B604" s="391"/>
      <c r="C604" s="69"/>
      <c r="D604" s="70"/>
      <c r="E604" s="188"/>
      <c r="F604" s="70" t="str">
        <f>IFERROR(VLOOKUP(C604,MATERIAUX!$C$3:$G$1002,3,FALSE),"")</f>
        <v/>
      </c>
      <c r="G604" s="71" t="str">
        <f>IFERROR(VLOOKUP(C604,MATERIAUX!$C$3:$G$1002,5,FALSE),"")</f>
        <v/>
      </c>
      <c r="H604" s="71" t="str">
        <f t="shared" si="225"/>
        <v/>
      </c>
      <c r="I604" s="394"/>
      <c r="J604" s="72"/>
      <c r="K604" s="72"/>
      <c r="L604" s="72" t="str">
        <f>IFERROR(VLOOKUP(J604,'MAIN D OEUVRE'!$A$4:$B$99,2,FALSE)*$N$2,"")</f>
        <v/>
      </c>
      <c r="M604" s="73" t="str">
        <f t="shared" si="244"/>
        <v/>
      </c>
      <c r="N604" s="397"/>
      <c r="O604">
        <f>O603</f>
        <v>0</v>
      </c>
      <c r="P604">
        <f t="shared" si="230"/>
        <v>0</v>
      </c>
      <c r="Q604">
        <f t="shared" si="231"/>
        <v>0</v>
      </c>
    </row>
    <row r="605" spans="1:17">
      <c r="A605" s="388"/>
      <c r="B605" s="391"/>
      <c r="C605" s="69"/>
      <c r="D605" s="70"/>
      <c r="E605" s="188"/>
      <c r="F605" s="70" t="str">
        <f>IFERROR(VLOOKUP(C605,MATERIAUX!$C$3:$G$1002,3,FALSE),"")</f>
        <v/>
      </c>
      <c r="G605" s="71" t="str">
        <f>IFERROR(VLOOKUP(C605,MATERIAUX!$C$3:$G$1002,5,FALSE),"")</f>
        <v/>
      </c>
      <c r="H605" s="71" t="str">
        <f t="shared" si="225"/>
        <v/>
      </c>
      <c r="I605" s="394"/>
      <c r="J605" s="72"/>
      <c r="K605" s="72"/>
      <c r="L605" s="72" t="str">
        <f>IFERROR(VLOOKUP(J605,'MAIN D OEUVRE'!$A$4:$B$99,2,FALSE)*$N$2,"")</f>
        <v/>
      </c>
      <c r="M605" s="73" t="str">
        <f t="shared" si="244"/>
        <v/>
      </c>
      <c r="N605" s="397"/>
      <c r="O605">
        <f t="shared" ref="O605:O612" si="246">O604</f>
        <v>0</v>
      </c>
      <c r="P605">
        <f t="shared" si="230"/>
        <v>0</v>
      </c>
      <c r="Q605">
        <f t="shared" si="231"/>
        <v>0</v>
      </c>
    </row>
    <row r="606" spans="1:17">
      <c r="A606" s="388"/>
      <c r="B606" s="391"/>
      <c r="C606" s="69"/>
      <c r="D606" s="70"/>
      <c r="E606" s="188"/>
      <c r="F606" s="70" t="str">
        <f>IFERROR(VLOOKUP(C606,MATERIAUX!$C$3:$G$1002,3,FALSE),"")</f>
        <v/>
      </c>
      <c r="G606" s="71" t="str">
        <f>IFERROR(VLOOKUP(C606,MATERIAUX!$C$3:$G$1002,5,FALSE),"")</f>
        <v/>
      </c>
      <c r="H606" s="71" t="str">
        <f t="shared" si="225"/>
        <v/>
      </c>
      <c r="I606" s="394"/>
      <c r="J606" s="72"/>
      <c r="K606" s="72"/>
      <c r="L606" s="72" t="str">
        <f>IFERROR(VLOOKUP(J606,'MAIN D OEUVRE'!$A$4:$B$99,2,FALSE)*$N$2,"")</f>
        <v/>
      </c>
      <c r="M606" s="73" t="str">
        <f t="shared" si="244"/>
        <v/>
      </c>
      <c r="N606" s="397"/>
      <c r="O606">
        <f t="shared" si="246"/>
        <v>0</v>
      </c>
      <c r="P606">
        <f t="shared" si="230"/>
        <v>0</v>
      </c>
      <c r="Q606">
        <f t="shared" si="231"/>
        <v>0</v>
      </c>
    </row>
    <row r="607" spans="1:17">
      <c r="A607" s="388"/>
      <c r="B607" s="391"/>
      <c r="C607" s="69"/>
      <c r="D607" s="70"/>
      <c r="E607" s="188"/>
      <c r="F607" s="70" t="str">
        <f>IFERROR(VLOOKUP(C607,MATERIAUX!$C$3:$G$1002,3,FALSE),"")</f>
        <v/>
      </c>
      <c r="G607" s="71" t="str">
        <f>IFERROR(VLOOKUP(C607,MATERIAUX!$C$3:$G$1002,5,FALSE),"")</f>
        <v/>
      </c>
      <c r="H607" s="71" t="str">
        <f t="shared" si="225"/>
        <v/>
      </c>
      <c r="I607" s="394"/>
      <c r="J607" s="72"/>
      <c r="K607" s="72"/>
      <c r="L607" s="72" t="str">
        <f>IFERROR(VLOOKUP(J607,'MAIN D OEUVRE'!$A$4:$B$99,2,FALSE)*$N$2,"")</f>
        <v/>
      </c>
      <c r="M607" s="73" t="str">
        <f t="shared" si="244"/>
        <v/>
      </c>
      <c r="N607" s="397"/>
      <c r="O607">
        <f t="shared" si="246"/>
        <v>0</v>
      </c>
      <c r="P607">
        <f t="shared" si="230"/>
        <v>0</v>
      </c>
      <c r="Q607">
        <f t="shared" si="231"/>
        <v>0</v>
      </c>
    </row>
    <row r="608" spans="1:17">
      <c r="A608" s="388"/>
      <c r="B608" s="391"/>
      <c r="C608" s="69"/>
      <c r="D608" s="70"/>
      <c r="E608" s="188"/>
      <c r="F608" s="70" t="str">
        <f>IFERROR(VLOOKUP(C608,MATERIAUX!$C$3:$G$1002,3,FALSE),"")</f>
        <v/>
      </c>
      <c r="G608" s="71" t="str">
        <f>IFERROR(VLOOKUP(C608,MATERIAUX!$C$3:$G$1002,5,FALSE),"")</f>
        <v/>
      </c>
      <c r="H608" s="71" t="str">
        <f t="shared" si="225"/>
        <v/>
      </c>
      <c r="I608" s="394"/>
      <c r="J608" s="72"/>
      <c r="K608" s="72"/>
      <c r="L608" s="72" t="str">
        <f>IFERROR(VLOOKUP(J608,'MAIN D OEUVRE'!$A$4:$B$99,2,FALSE)*$N$2,"")</f>
        <v/>
      </c>
      <c r="M608" s="73" t="str">
        <f t="shared" si="244"/>
        <v/>
      </c>
      <c r="N608" s="397"/>
      <c r="O608">
        <f t="shared" si="246"/>
        <v>0</v>
      </c>
      <c r="P608">
        <f t="shared" si="230"/>
        <v>0</v>
      </c>
      <c r="Q608">
        <f t="shared" si="231"/>
        <v>0</v>
      </c>
    </row>
    <row r="609" spans="1:17">
      <c r="A609" s="388"/>
      <c r="B609" s="391"/>
      <c r="C609" s="69"/>
      <c r="D609" s="70"/>
      <c r="E609" s="188"/>
      <c r="F609" s="70" t="str">
        <f>IFERROR(VLOOKUP(C609,MATERIAUX!$C$3:$G$1002,3,FALSE),"")</f>
        <v/>
      </c>
      <c r="G609" s="71" t="str">
        <f>IFERROR(VLOOKUP(C609,MATERIAUX!$C$3:$G$1002,5,FALSE),"")</f>
        <v/>
      </c>
      <c r="H609" s="71" t="str">
        <f t="shared" si="225"/>
        <v/>
      </c>
      <c r="I609" s="394"/>
      <c r="J609" s="72"/>
      <c r="K609" s="72"/>
      <c r="L609" s="72" t="str">
        <f>IFERROR(VLOOKUP(J609,'MAIN D OEUVRE'!$A$4:$B$99,2,FALSE)*$N$2,"")</f>
        <v/>
      </c>
      <c r="M609" s="73" t="str">
        <f t="shared" si="244"/>
        <v/>
      </c>
      <c r="N609" s="397"/>
      <c r="O609">
        <f t="shared" si="246"/>
        <v>0</v>
      </c>
      <c r="P609">
        <f t="shared" si="230"/>
        <v>0</v>
      </c>
      <c r="Q609">
        <f t="shared" si="231"/>
        <v>0</v>
      </c>
    </row>
    <row r="610" spans="1:17">
      <c r="A610" s="388"/>
      <c r="B610" s="391"/>
      <c r="C610" s="69"/>
      <c r="D610" s="70"/>
      <c r="E610" s="188"/>
      <c r="F610" s="70" t="str">
        <f>IFERROR(VLOOKUP(C610,MATERIAUX!$C$3:$G$1002,3,FALSE),"")</f>
        <v/>
      </c>
      <c r="G610" s="71" t="str">
        <f>IFERROR(VLOOKUP(C610,MATERIAUX!$C$3:$G$1002,5,FALSE),"")</f>
        <v/>
      </c>
      <c r="H610" s="71" t="str">
        <f t="shared" ref="H610:H673" si="247">IFERROR(ROUND(G610*(1+E610)*D610,2),"")</f>
        <v/>
      </c>
      <c r="I610" s="394"/>
      <c r="J610" s="72"/>
      <c r="K610" s="72"/>
      <c r="L610" s="72" t="str">
        <f>IFERROR(VLOOKUP(J610,'MAIN D OEUVRE'!$A$4:$B$99,2,FALSE)*$N$2,"")</f>
        <v/>
      </c>
      <c r="M610" s="73" t="str">
        <f t="shared" si="244"/>
        <v/>
      </c>
      <c r="N610" s="397"/>
      <c r="O610">
        <f t="shared" si="246"/>
        <v>0</v>
      </c>
      <c r="P610">
        <f t="shared" si="230"/>
        <v>0</v>
      </c>
      <c r="Q610">
        <f t="shared" si="231"/>
        <v>0</v>
      </c>
    </row>
    <row r="611" spans="1:17">
      <c r="A611" s="388"/>
      <c r="B611" s="391"/>
      <c r="C611" s="69"/>
      <c r="D611" s="70"/>
      <c r="E611" s="188"/>
      <c r="F611" s="70" t="str">
        <f>IFERROR(VLOOKUP(C611,MATERIAUX!$C$3:$G$1002,3,FALSE),"")</f>
        <v/>
      </c>
      <c r="G611" s="71" t="str">
        <f>IFERROR(VLOOKUP(C611,MATERIAUX!$C$3:$G$1002,5,FALSE),"")</f>
        <v/>
      </c>
      <c r="H611" s="71" t="str">
        <f t="shared" si="247"/>
        <v/>
      </c>
      <c r="I611" s="394"/>
      <c r="J611" s="72"/>
      <c r="K611" s="72"/>
      <c r="L611" s="72"/>
      <c r="M611" s="73"/>
      <c r="N611" s="397"/>
      <c r="O611">
        <f t="shared" si="246"/>
        <v>0</v>
      </c>
      <c r="P611">
        <f t="shared" si="230"/>
        <v>0</v>
      </c>
      <c r="Q611">
        <f t="shared" si="231"/>
        <v>0</v>
      </c>
    </row>
    <row r="612" spans="1:17" ht="15" thickBot="1">
      <c r="A612" s="389"/>
      <c r="B612" s="392"/>
      <c r="C612" s="74"/>
      <c r="D612" s="75"/>
      <c r="E612" s="189"/>
      <c r="F612" s="70" t="str">
        <f>IFERROR(VLOOKUP(C612,MATERIAUX!$C$3:$G$1002,3,FALSE),"")</f>
        <v/>
      </c>
      <c r="G612" s="71" t="str">
        <f>IFERROR(VLOOKUP(C612,MATERIAUX!$C$3:$G$1002,5,FALSE),"")</f>
        <v/>
      </c>
      <c r="H612" s="71" t="str">
        <f t="shared" si="247"/>
        <v/>
      </c>
      <c r="I612" s="395"/>
      <c r="J612" s="77"/>
      <c r="K612" s="77"/>
      <c r="L612" s="77"/>
      <c r="M612" s="78"/>
      <c r="N612" s="398"/>
      <c r="O612">
        <f t="shared" si="246"/>
        <v>0</v>
      </c>
      <c r="P612">
        <f t="shared" si="230"/>
        <v>0</v>
      </c>
      <c r="Q612">
        <f t="shared" si="231"/>
        <v>0</v>
      </c>
    </row>
    <row r="613" spans="1:17">
      <c r="A613" s="387" t="s">
        <v>293</v>
      </c>
      <c r="B613" s="390" t="s">
        <v>21</v>
      </c>
      <c r="C613" s="64" t="s">
        <v>280</v>
      </c>
      <c r="D613" s="65">
        <f>26/15</f>
        <v>1.7333333333333334</v>
      </c>
      <c r="E613" s="187">
        <v>0</v>
      </c>
      <c r="F613" s="65" t="str">
        <f>IFERROR(VLOOKUP(C613,MATERIAUX!$C$3:$G$1002,3,FALSE),"")</f>
        <v>m2</v>
      </c>
      <c r="G613" s="66">
        <f>IFERROR(VLOOKUP(C613,MATERIAUX!$C$3:$G$1002,5,FALSE),"")</f>
        <v>14</v>
      </c>
      <c r="H613" s="66">
        <f t="shared" si="247"/>
        <v>24.27</v>
      </c>
      <c r="I613" s="393">
        <f t="shared" ref="I613" si="248">SUM(H613:H622)</f>
        <v>24.27</v>
      </c>
      <c r="J613" s="67"/>
      <c r="K613" s="67"/>
      <c r="L613" s="67" t="str">
        <f>IFERROR(VLOOKUP(J613,'MAIN D OEUVRE'!$A$4:$B$99,2,FALSE)*$N$2,"")</f>
        <v/>
      </c>
      <c r="M613" s="68" t="str">
        <f t="shared" ref="M613:M620" si="249">IFERROR(ROUND(L613*K613,2),"")</f>
        <v/>
      </c>
      <c r="N613" s="396">
        <f t="shared" ref="N613" si="250">SUM(M613:M622)</f>
        <v>0</v>
      </c>
      <c r="O613" s="350">
        <v>0</v>
      </c>
      <c r="P613">
        <f t="shared" si="230"/>
        <v>0</v>
      </c>
      <c r="Q613">
        <f t="shared" si="231"/>
        <v>0</v>
      </c>
    </row>
    <row r="614" spans="1:17">
      <c r="A614" s="388"/>
      <c r="B614" s="391"/>
      <c r="C614" s="69"/>
      <c r="D614" s="70"/>
      <c r="E614" s="188"/>
      <c r="F614" s="70" t="str">
        <f>IFERROR(VLOOKUP(C614,MATERIAUX!$C$3:$G$1002,3,FALSE),"")</f>
        <v/>
      </c>
      <c r="G614" s="71" t="str">
        <f>IFERROR(VLOOKUP(C614,MATERIAUX!$C$3:$G$1002,5,FALSE),"")</f>
        <v/>
      </c>
      <c r="H614" s="71" t="str">
        <f t="shared" si="247"/>
        <v/>
      </c>
      <c r="I614" s="394"/>
      <c r="J614" s="72"/>
      <c r="K614" s="72"/>
      <c r="L614" s="72" t="str">
        <f>IFERROR(VLOOKUP(J614,'MAIN D OEUVRE'!$A$4:$B$99,2,FALSE)*$N$2,"")</f>
        <v/>
      </c>
      <c r="M614" s="73" t="str">
        <f t="shared" si="249"/>
        <v/>
      </c>
      <c r="N614" s="397"/>
      <c r="O614">
        <f>O613</f>
        <v>0</v>
      </c>
      <c r="P614">
        <f t="shared" si="230"/>
        <v>0</v>
      </c>
      <c r="Q614">
        <f t="shared" si="231"/>
        <v>0</v>
      </c>
    </row>
    <row r="615" spans="1:17">
      <c r="A615" s="388"/>
      <c r="B615" s="391"/>
      <c r="C615" s="69"/>
      <c r="D615" s="70"/>
      <c r="E615" s="188"/>
      <c r="F615" s="70" t="str">
        <f>IFERROR(VLOOKUP(C615,MATERIAUX!$C$3:$G$1002,3,FALSE),"")</f>
        <v/>
      </c>
      <c r="G615" s="71" t="str">
        <f>IFERROR(VLOOKUP(C615,MATERIAUX!$C$3:$G$1002,5,FALSE),"")</f>
        <v/>
      </c>
      <c r="H615" s="71" t="str">
        <f t="shared" si="247"/>
        <v/>
      </c>
      <c r="I615" s="394"/>
      <c r="J615" s="72"/>
      <c r="K615" s="72"/>
      <c r="L615" s="72" t="str">
        <f>IFERROR(VLOOKUP(J615,'MAIN D OEUVRE'!$A$4:$B$99,2,FALSE)*$N$2,"")</f>
        <v/>
      </c>
      <c r="M615" s="73" t="str">
        <f t="shared" si="249"/>
        <v/>
      </c>
      <c r="N615" s="397"/>
      <c r="O615">
        <f t="shared" ref="O615:O622" si="251">O614</f>
        <v>0</v>
      </c>
      <c r="P615">
        <f t="shared" si="230"/>
        <v>0</v>
      </c>
      <c r="Q615">
        <f t="shared" si="231"/>
        <v>0</v>
      </c>
    </row>
    <row r="616" spans="1:17">
      <c r="A616" s="388"/>
      <c r="B616" s="391"/>
      <c r="C616" s="69"/>
      <c r="D616" s="70"/>
      <c r="E616" s="188"/>
      <c r="F616" s="70" t="str">
        <f>IFERROR(VLOOKUP(C616,MATERIAUX!$C$3:$G$1002,3,FALSE),"")</f>
        <v/>
      </c>
      <c r="G616" s="71" t="str">
        <f>IFERROR(VLOOKUP(C616,MATERIAUX!$C$3:$G$1002,5,FALSE),"")</f>
        <v/>
      </c>
      <c r="H616" s="71" t="str">
        <f t="shared" si="247"/>
        <v/>
      </c>
      <c r="I616" s="394"/>
      <c r="J616" s="72"/>
      <c r="K616" s="72"/>
      <c r="L616" s="72" t="str">
        <f>IFERROR(VLOOKUP(J616,'MAIN D OEUVRE'!$A$4:$B$99,2,FALSE)*$N$2,"")</f>
        <v/>
      </c>
      <c r="M616" s="73" t="str">
        <f t="shared" si="249"/>
        <v/>
      </c>
      <c r="N616" s="397"/>
      <c r="O616">
        <f t="shared" si="251"/>
        <v>0</v>
      </c>
      <c r="P616">
        <f t="shared" si="230"/>
        <v>0</v>
      </c>
      <c r="Q616">
        <f t="shared" si="231"/>
        <v>0</v>
      </c>
    </row>
    <row r="617" spans="1:17">
      <c r="A617" s="388"/>
      <c r="B617" s="391"/>
      <c r="C617" s="69"/>
      <c r="D617" s="70"/>
      <c r="E617" s="188"/>
      <c r="F617" s="70" t="str">
        <f>IFERROR(VLOOKUP(C617,MATERIAUX!$C$3:$G$1002,3,FALSE),"")</f>
        <v/>
      </c>
      <c r="G617" s="71" t="str">
        <f>IFERROR(VLOOKUP(C617,MATERIAUX!$C$3:$G$1002,5,FALSE),"")</f>
        <v/>
      </c>
      <c r="H617" s="71" t="str">
        <f t="shared" si="247"/>
        <v/>
      </c>
      <c r="I617" s="394"/>
      <c r="J617" s="72"/>
      <c r="K617" s="72"/>
      <c r="L617" s="72" t="str">
        <f>IFERROR(VLOOKUP(J617,'MAIN D OEUVRE'!$A$4:$B$99,2,FALSE)*$N$2,"")</f>
        <v/>
      </c>
      <c r="M617" s="73" t="str">
        <f t="shared" si="249"/>
        <v/>
      </c>
      <c r="N617" s="397"/>
      <c r="O617">
        <f t="shared" si="251"/>
        <v>0</v>
      </c>
      <c r="P617">
        <f t="shared" si="230"/>
        <v>0</v>
      </c>
      <c r="Q617">
        <f t="shared" si="231"/>
        <v>0</v>
      </c>
    </row>
    <row r="618" spans="1:17">
      <c r="A618" s="388"/>
      <c r="B618" s="391"/>
      <c r="C618" s="69"/>
      <c r="D618" s="70"/>
      <c r="E618" s="188"/>
      <c r="F618" s="70" t="str">
        <f>IFERROR(VLOOKUP(C618,MATERIAUX!$C$3:$G$1002,3,FALSE),"")</f>
        <v/>
      </c>
      <c r="G618" s="71" t="str">
        <f>IFERROR(VLOOKUP(C618,MATERIAUX!$C$3:$G$1002,5,FALSE),"")</f>
        <v/>
      </c>
      <c r="H618" s="71" t="str">
        <f t="shared" si="247"/>
        <v/>
      </c>
      <c r="I618" s="394"/>
      <c r="J618" s="72"/>
      <c r="K618" s="72"/>
      <c r="L618" s="72" t="str">
        <f>IFERROR(VLOOKUP(J618,'MAIN D OEUVRE'!$A$4:$B$99,2,FALSE)*$N$2,"")</f>
        <v/>
      </c>
      <c r="M618" s="73" t="str">
        <f t="shared" si="249"/>
        <v/>
      </c>
      <c r="N618" s="397"/>
      <c r="O618">
        <f t="shared" si="251"/>
        <v>0</v>
      </c>
      <c r="P618">
        <f t="shared" si="230"/>
        <v>0</v>
      </c>
      <c r="Q618">
        <f t="shared" si="231"/>
        <v>0</v>
      </c>
    </row>
    <row r="619" spans="1:17">
      <c r="A619" s="388"/>
      <c r="B619" s="391"/>
      <c r="C619" s="69"/>
      <c r="D619" s="70"/>
      <c r="E619" s="188"/>
      <c r="F619" s="70" t="str">
        <f>IFERROR(VLOOKUP(C619,MATERIAUX!$C$3:$G$1002,3,FALSE),"")</f>
        <v/>
      </c>
      <c r="G619" s="71" t="str">
        <f>IFERROR(VLOOKUP(C619,MATERIAUX!$C$3:$G$1002,5,FALSE),"")</f>
        <v/>
      </c>
      <c r="H619" s="71" t="str">
        <f t="shared" si="247"/>
        <v/>
      </c>
      <c r="I619" s="394"/>
      <c r="J619" s="72"/>
      <c r="K619" s="72"/>
      <c r="L619" s="72" t="str">
        <f>IFERROR(VLOOKUP(J619,'MAIN D OEUVRE'!$A$4:$B$99,2,FALSE)*$N$2,"")</f>
        <v/>
      </c>
      <c r="M619" s="73" t="str">
        <f t="shared" si="249"/>
        <v/>
      </c>
      <c r="N619" s="397"/>
      <c r="O619">
        <f t="shared" si="251"/>
        <v>0</v>
      </c>
      <c r="P619">
        <f t="shared" si="230"/>
        <v>0</v>
      </c>
      <c r="Q619">
        <f t="shared" si="231"/>
        <v>0</v>
      </c>
    </row>
    <row r="620" spans="1:17">
      <c r="A620" s="388"/>
      <c r="B620" s="391"/>
      <c r="C620" s="69"/>
      <c r="D620" s="70"/>
      <c r="E620" s="188"/>
      <c r="F620" s="70" t="str">
        <f>IFERROR(VLOOKUP(C620,MATERIAUX!$C$3:$G$1002,3,FALSE),"")</f>
        <v/>
      </c>
      <c r="G620" s="71" t="str">
        <f>IFERROR(VLOOKUP(C620,MATERIAUX!$C$3:$G$1002,5,FALSE),"")</f>
        <v/>
      </c>
      <c r="H620" s="71" t="str">
        <f t="shared" si="247"/>
        <v/>
      </c>
      <c r="I620" s="394"/>
      <c r="J620" s="72"/>
      <c r="K620" s="72"/>
      <c r="L620" s="72" t="str">
        <f>IFERROR(VLOOKUP(J620,'MAIN D OEUVRE'!$A$4:$B$99,2,FALSE)*$N$2,"")</f>
        <v/>
      </c>
      <c r="M620" s="73" t="str">
        <f t="shared" si="249"/>
        <v/>
      </c>
      <c r="N620" s="397"/>
      <c r="O620">
        <f t="shared" si="251"/>
        <v>0</v>
      </c>
      <c r="P620">
        <f t="shared" si="230"/>
        <v>0</v>
      </c>
      <c r="Q620">
        <f t="shared" si="231"/>
        <v>0</v>
      </c>
    </row>
    <row r="621" spans="1:17">
      <c r="A621" s="388"/>
      <c r="B621" s="391"/>
      <c r="C621" s="69"/>
      <c r="D621" s="70"/>
      <c r="E621" s="188"/>
      <c r="F621" s="70" t="str">
        <f>IFERROR(VLOOKUP(C621,MATERIAUX!$C$3:$G$1002,3,FALSE),"")</f>
        <v/>
      </c>
      <c r="G621" s="71" t="str">
        <f>IFERROR(VLOOKUP(C621,MATERIAUX!$C$3:$G$1002,5,FALSE),"")</f>
        <v/>
      </c>
      <c r="H621" s="71" t="str">
        <f t="shared" si="247"/>
        <v/>
      </c>
      <c r="I621" s="394"/>
      <c r="J621" s="72"/>
      <c r="K621" s="72"/>
      <c r="L621" s="72"/>
      <c r="M621" s="73"/>
      <c r="N621" s="397"/>
      <c r="O621">
        <f t="shared" si="251"/>
        <v>0</v>
      </c>
      <c r="P621">
        <f t="shared" si="230"/>
        <v>0</v>
      </c>
      <c r="Q621">
        <f t="shared" si="231"/>
        <v>0</v>
      </c>
    </row>
    <row r="622" spans="1:17" ht="15" thickBot="1">
      <c r="A622" s="389"/>
      <c r="B622" s="392"/>
      <c r="C622" s="74"/>
      <c r="D622" s="75"/>
      <c r="E622" s="189"/>
      <c r="F622" s="70" t="str">
        <f>IFERROR(VLOOKUP(C622,MATERIAUX!$C$3:$G$1002,3,FALSE),"")</f>
        <v/>
      </c>
      <c r="G622" s="71" t="str">
        <f>IFERROR(VLOOKUP(C622,MATERIAUX!$C$3:$G$1002,5,FALSE),"")</f>
        <v/>
      </c>
      <c r="H622" s="71" t="str">
        <f t="shared" si="247"/>
        <v/>
      </c>
      <c r="I622" s="395"/>
      <c r="J622" s="77"/>
      <c r="K622" s="77"/>
      <c r="L622" s="77"/>
      <c r="M622" s="78"/>
      <c r="N622" s="398"/>
      <c r="O622">
        <f t="shared" si="251"/>
        <v>0</v>
      </c>
      <c r="P622">
        <f t="shared" si="230"/>
        <v>0</v>
      </c>
      <c r="Q622">
        <f t="shared" si="231"/>
        <v>0</v>
      </c>
    </row>
    <row r="623" spans="1:17">
      <c r="A623" s="387" t="s">
        <v>294</v>
      </c>
      <c r="B623" s="390" t="s">
        <v>21</v>
      </c>
      <c r="C623" s="64" t="s">
        <v>279</v>
      </c>
      <c r="D623" s="65">
        <v>1.0249999999999999</v>
      </c>
      <c r="E623" s="187">
        <v>0.1</v>
      </c>
      <c r="F623" s="65" t="str">
        <f>IFERROR(VLOOKUP(C623,MATERIAUX!$C$3:$G$1002,3,FALSE),"")</f>
        <v>m2</v>
      </c>
      <c r="G623" s="66">
        <f>IFERROR(VLOOKUP(C623,MATERIAUX!$C$3:$G$1002,5,FALSE),"")</f>
        <v>24.336082474226806</v>
      </c>
      <c r="H623" s="66">
        <f t="shared" si="247"/>
        <v>27.44</v>
      </c>
      <c r="I623" s="393">
        <f t="shared" ref="I623" si="252">SUM(H623:H632)</f>
        <v>32.44</v>
      </c>
      <c r="J623" s="67" t="s">
        <v>54</v>
      </c>
      <c r="K623" s="67">
        <v>1</v>
      </c>
      <c r="L623" s="67">
        <f>IFERROR(VLOOKUP(J623,'MAIN D OEUVRE'!$A$4:$B$99,2,FALSE)*$N$2,"")</f>
        <v>1.1000000000000001</v>
      </c>
      <c r="M623" s="68">
        <f t="shared" ref="M623:M630" si="253">IFERROR(ROUND(L623*K623,2),"")</f>
        <v>1.1000000000000001</v>
      </c>
      <c r="N623" s="396">
        <f t="shared" ref="N623" si="254">SUM(M623:M632)</f>
        <v>1.1000000000000001</v>
      </c>
      <c r="O623" s="350">
        <v>0</v>
      </c>
      <c r="P623">
        <f t="shared" ref="P623:P696" si="255">(D623+D623*E623)*O623</f>
        <v>0</v>
      </c>
      <c r="Q623">
        <f t="shared" ref="Q623:Q696" si="256">IF(P623=0,0,P623*G623)</f>
        <v>0</v>
      </c>
    </row>
    <row r="624" spans="1:17">
      <c r="A624" s="388"/>
      <c r="B624" s="391"/>
      <c r="C624" s="69" t="s">
        <v>106</v>
      </c>
      <c r="D624" s="70">
        <v>1</v>
      </c>
      <c r="E624" s="188">
        <v>0</v>
      </c>
      <c r="F624" s="70" t="str">
        <f>IFERROR(VLOOKUP(C624,MATERIAUX!$C$3:$G$1002,3,FALSE),"")</f>
        <v>ml</v>
      </c>
      <c r="G624" s="71">
        <f>IFERROR(VLOOKUP(C624,MATERIAUX!$C$3:$G$1002,5,FALSE),"")</f>
        <v>3.2659793814432994</v>
      </c>
      <c r="H624" s="71">
        <f t="shared" si="247"/>
        <v>3.27</v>
      </c>
      <c r="I624" s="394"/>
      <c r="J624" s="72"/>
      <c r="K624" s="72"/>
      <c r="L624" s="72" t="str">
        <f>IFERROR(VLOOKUP(J624,'MAIN D OEUVRE'!$A$4:$B$99,2,FALSE)*$N$2,"")</f>
        <v/>
      </c>
      <c r="M624" s="73" t="str">
        <f t="shared" si="253"/>
        <v/>
      </c>
      <c r="N624" s="397"/>
      <c r="O624">
        <f>O623</f>
        <v>0</v>
      </c>
      <c r="P624">
        <f t="shared" si="255"/>
        <v>0</v>
      </c>
      <c r="Q624">
        <f t="shared" si="256"/>
        <v>0</v>
      </c>
    </row>
    <row r="625" spans="1:17">
      <c r="A625" s="388"/>
      <c r="B625" s="391"/>
      <c r="C625" s="69" t="s">
        <v>136</v>
      </c>
      <c r="D625" s="70">
        <v>70</v>
      </c>
      <c r="E625" s="188">
        <v>0</v>
      </c>
      <c r="F625" s="70" t="str">
        <f>IFERROR(VLOOKUP(C625,MATERIAUX!$C$3:$G$1002,3,FALSE),"")</f>
        <v>u</v>
      </c>
      <c r="G625" s="71">
        <f>IFERROR(VLOOKUP(C625,MATERIAUX!$C$3:$G$1002,5,FALSE),"")</f>
        <v>2.4742268041237116E-2</v>
      </c>
      <c r="H625" s="71">
        <f t="shared" si="247"/>
        <v>1.73</v>
      </c>
      <c r="I625" s="394"/>
      <c r="J625" s="72"/>
      <c r="K625" s="72"/>
      <c r="L625" s="72" t="str">
        <f>IFERROR(VLOOKUP(J625,'MAIN D OEUVRE'!$A$4:$B$99,2,FALSE)*$N$2,"")</f>
        <v/>
      </c>
      <c r="M625" s="73" t="str">
        <f t="shared" si="253"/>
        <v/>
      </c>
      <c r="N625" s="397"/>
      <c r="O625">
        <f t="shared" ref="O625:O632" si="257">O624</f>
        <v>0</v>
      </c>
      <c r="P625">
        <f t="shared" si="255"/>
        <v>0</v>
      </c>
      <c r="Q625">
        <f t="shared" si="256"/>
        <v>0</v>
      </c>
    </row>
    <row r="626" spans="1:17">
      <c r="A626" s="388"/>
      <c r="B626" s="391"/>
      <c r="C626" s="69"/>
      <c r="D626" s="70"/>
      <c r="E626" s="188"/>
      <c r="F626" s="70" t="str">
        <f>IFERROR(VLOOKUP(C626,MATERIAUX!$C$3:$G$1002,3,FALSE),"")</f>
        <v/>
      </c>
      <c r="G626" s="71" t="str">
        <f>IFERROR(VLOOKUP(C626,MATERIAUX!$C$3:$G$1002,5,FALSE),"")</f>
        <v/>
      </c>
      <c r="H626" s="71" t="str">
        <f t="shared" si="247"/>
        <v/>
      </c>
      <c r="I626" s="394"/>
      <c r="J626" s="72"/>
      <c r="K626" s="72"/>
      <c r="L626" s="72" t="str">
        <f>IFERROR(VLOOKUP(J626,'MAIN D OEUVRE'!$A$4:$B$99,2,FALSE)*$N$2,"")</f>
        <v/>
      </c>
      <c r="M626" s="73" t="str">
        <f t="shared" si="253"/>
        <v/>
      </c>
      <c r="N626" s="397"/>
      <c r="O626">
        <f t="shared" si="257"/>
        <v>0</v>
      </c>
      <c r="P626">
        <f t="shared" si="255"/>
        <v>0</v>
      </c>
      <c r="Q626">
        <f t="shared" si="256"/>
        <v>0</v>
      </c>
    </row>
    <row r="627" spans="1:17">
      <c r="A627" s="388"/>
      <c r="B627" s="391"/>
      <c r="C627" s="69"/>
      <c r="D627" s="70"/>
      <c r="E627" s="188"/>
      <c r="F627" s="70" t="str">
        <f>IFERROR(VLOOKUP(C627,MATERIAUX!$C$3:$G$1002,3,FALSE),"")</f>
        <v/>
      </c>
      <c r="G627" s="71" t="str">
        <f>IFERROR(VLOOKUP(C627,MATERIAUX!$C$3:$G$1002,5,FALSE),"")</f>
        <v/>
      </c>
      <c r="H627" s="71" t="str">
        <f t="shared" si="247"/>
        <v/>
      </c>
      <c r="I627" s="394"/>
      <c r="J627" s="72"/>
      <c r="K627" s="72"/>
      <c r="L627" s="72" t="str">
        <f>IFERROR(VLOOKUP(J627,'MAIN D OEUVRE'!$A$4:$B$99,2,FALSE)*$N$2,"")</f>
        <v/>
      </c>
      <c r="M627" s="73" t="str">
        <f t="shared" si="253"/>
        <v/>
      </c>
      <c r="N627" s="397"/>
      <c r="O627">
        <f t="shared" si="257"/>
        <v>0</v>
      </c>
      <c r="P627">
        <f t="shared" si="255"/>
        <v>0</v>
      </c>
      <c r="Q627">
        <f t="shared" si="256"/>
        <v>0</v>
      </c>
    </row>
    <row r="628" spans="1:17">
      <c r="A628" s="388"/>
      <c r="B628" s="391"/>
      <c r="C628" s="69"/>
      <c r="D628" s="70"/>
      <c r="E628" s="188"/>
      <c r="F628" s="70" t="str">
        <f>IFERROR(VLOOKUP(C628,MATERIAUX!$C$3:$G$1002,3,FALSE),"")</f>
        <v/>
      </c>
      <c r="G628" s="71" t="str">
        <f>IFERROR(VLOOKUP(C628,MATERIAUX!$C$3:$G$1002,5,FALSE),"")</f>
        <v/>
      </c>
      <c r="H628" s="71" t="str">
        <f t="shared" si="247"/>
        <v/>
      </c>
      <c r="I628" s="394"/>
      <c r="J628" s="72"/>
      <c r="K628" s="72"/>
      <c r="L628" s="72" t="str">
        <f>IFERROR(VLOOKUP(J628,'MAIN D OEUVRE'!$A$4:$B$99,2,FALSE)*$N$2,"")</f>
        <v/>
      </c>
      <c r="M628" s="73" t="str">
        <f t="shared" si="253"/>
        <v/>
      </c>
      <c r="N628" s="397"/>
      <c r="O628">
        <f t="shared" si="257"/>
        <v>0</v>
      </c>
      <c r="P628">
        <f t="shared" si="255"/>
        <v>0</v>
      </c>
      <c r="Q628">
        <f t="shared" si="256"/>
        <v>0</v>
      </c>
    </row>
    <row r="629" spans="1:17">
      <c r="A629" s="388"/>
      <c r="B629" s="391"/>
      <c r="C629" s="69"/>
      <c r="D629" s="70"/>
      <c r="E629" s="188"/>
      <c r="F629" s="70" t="str">
        <f>IFERROR(VLOOKUP(C629,MATERIAUX!$C$3:$G$1002,3,FALSE),"")</f>
        <v/>
      </c>
      <c r="G629" s="71" t="str">
        <f>IFERROR(VLOOKUP(C629,MATERIAUX!$C$3:$G$1002,5,FALSE),"")</f>
        <v/>
      </c>
      <c r="H629" s="71" t="str">
        <f t="shared" si="247"/>
        <v/>
      </c>
      <c r="I629" s="394"/>
      <c r="J629" s="72"/>
      <c r="K629" s="72"/>
      <c r="L629" s="72" t="str">
        <f>IFERROR(VLOOKUP(J629,'MAIN D OEUVRE'!$A$4:$B$99,2,FALSE)*$N$2,"")</f>
        <v/>
      </c>
      <c r="M629" s="73" t="str">
        <f t="shared" si="253"/>
        <v/>
      </c>
      <c r="N629" s="397"/>
      <c r="O629">
        <f t="shared" si="257"/>
        <v>0</v>
      </c>
      <c r="P629">
        <f t="shared" si="255"/>
        <v>0</v>
      </c>
      <c r="Q629">
        <f t="shared" si="256"/>
        <v>0</v>
      </c>
    </row>
    <row r="630" spans="1:17">
      <c r="A630" s="388"/>
      <c r="B630" s="391"/>
      <c r="C630" s="69"/>
      <c r="D630" s="70"/>
      <c r="E630" s="188"/>
      <c r="F630" s="70" t="str">
        <f>IFERROR(VLOOKUP(C630,MATERIAUX!$C$3:$G$1002,3,FALSE),"")</f>
        <v/>
      </c>
      <c r="G630" s="71" t="str">
        <f>IFERROR(VLOOKUP(C630,MATERIAUX!$C$3:$G$1002,5,FALSE),"")</f>
        <v/>
      </c>
      <c r="H630" s="71" t="str">
        <f t="shared" si="247"/>
        <v/>
      </c>
      <c r="I630" s="394"/>
      <c r="J630" s="72"/>
      <c r="K630" s="72"/>
      <c r="L630" s="72" t="str">
        <f>IFERROR(VLOOKUP(J630,'MAIN D OEUVRE'!$A$4:$B$99,2,FALSE)*$N$2,"")</f>
        <v/>
      </c>
      <c r="M630" s="73" t="str">
        <f t="shared" si="253"/>
        <v/>
      </c>
      <c r="N630" s="397"/>
      <c r="O630">
        <f t="shared" si="257"/>
        <v>0</v>
      </c>
      <c r="P630">
        <f t="shared" si="255"/>
        <v>0</v>
      </c>
      <c r="Q630">
        <f t="shared" si="256"/>
        <v>0</v>
      </c>
    </row>
    <row r="631" spans="1:17">
      <c r="A631" s="388"/>
      <c r="B631" s="391"/>
      <c r="C631" s="69"/>
      <c r="D631" s="70"/>
      <c r="E631" s="188"/>
      <c r="F631" s="70" t="str">
        <f>IFERROR(VLOOKUP(C631,MATERIAUX!$C$3:$G$1002,3,FALSE),"")</f>
        <v/>
      </c>
      <c r="G631" s="71" t="str">
        <f>IFERROR(VLOOKUP(C631,MATERIAUX!$C$3:$G$1002,5,FALSE),"")</f>
        <v/>
      </c>
      <c r="H631" s="71" t="str">
        <f t="shared" si="247"/>
        <v/>
      </c>
      <c r="I631" s="394"/>
      <c r="J631" s="72"/>
      <c r="K631" s="72"/>
      <c r="L631" s="72"/>
      <c r="M631" s="73"/>
      <c r="N631" s="397"/>
      <c r="O631">
        <f t="shared" si="257"/>
        <v>0</v>
      </c>
      <c r="P631">
        <f t="shared" si="255"/>
        <v>0</v>
      </c>
      <c r="Q631">
        <f t="shared" si="256"/>
        <v>0</v>
      </c>
    </row>
    <row r="632" spans="1:17" ht="15" thickBot="1">
      <c r="A632" s="389"/>
      <c r="B632" s="392"/>
      <c r="C632" s="74"/>
      <c r="D632" s="75"/>
      <c r="E632" s="189"/>
      <c r="F632" s="70" t="str">
        <f>IFERROR(VLOOKUP(C632,MATERIAUX!$C$3:$G$1002,3,FALSE),"")</f>
        <v/>
      </c>
      <c r="G632" s="71" t="str">
        <f>IFERROR(VLOOKUP(C632,MATERIAUX!$C$3:$G$1002,5,FALSE),"")</f>
        <v/>
      </c>
      <c r="H632" s="71" t="str">
        <f t="shared" si="247"/>
        <v/>
      </c>
      <c r="I632" s="395"/>
      <c r="J632" s="77"/>
      <c r="K632" s="77"/>
      <c r="L632" s="77"/>
      <c r="M632" s="78"/>
      <c r="N632" s="398"/>
      <c r="O632">
        <f t="shared" si="257"/>
        <v>0</v>
      </c>
      <c r="P632">
        <f t="shared" si="255"/>
        <v>0</v>
      </c>
      <c r="Q632">
        <f t="shared" si="256"/>
        <v>0</v>
      </c>
    </row>
    <row r="633" spans="1:17">
      <c r="A633" s="387" t="s">
        <v>301</v>
      </c>
      <c r="B633" s="390" t="s">
        <v>21</v>
      </c>
      <c r="C633" s="64" t="s">
        <v>215</v>
      </c>
      <c r="D633" s="65">
        <f>3*2</f>
        <v>6</v>
      </c>
      <c r="E633" s="187">
        <v>0.1</v>
      </c>
      <c r="F633" s="65" t="str">
        <f>IFERROR(VLOOKUP(C633,MATERIAUX!$C$3:$G$1002,3,FALSE),"")</f>
        <v>ml</v>
      </c>
      <c r="G633" s="66">
        <f>IFERROR(VLOOKUP(C633,MATERIAUX!$C$3:$G$1002,5,FALSE),"")</f>
        <v>0.37938144329896911</v>
      </c>
      <c r="H633" s="66">
        <f t="shared" si="247"/>
        <v>2.5</v>
      </c>
      <c r="I633" s="393">
        <f t="shared" ref="I633" si="258">SUM(H633:H642)</f>
        <v>11.330000000000002</v>
      </c>
      <c r="J633" s="67" t="s">
        <v>217</v>
      </c>
      <c r="K633" s="67">
        <v>1</v>
      </c>
      <c r="L633" s="67">
        <f>IFERROR(VLOOKUP(J633,'MAIN D OEUVRE'!$A$4:$B$99,2,FALSE)*$N$2,"")</f>
        <v>2.75</v>
      </c>
      <c r="M633" s="68">
        <f t="shared" ref="M633:M640" si="259">IFERROR(ROUND(L633*K633,2),"")</f>
        <v>2.75</v>
      </c>
      <c r="N633" s="396">
        <f t="shared" ref="N633" si="260">SUM(M633:M642)</f>
        <v>3.36</v>
      </c>
      <c r="O633" s="350">
        <v>0</v>
      </c>
      <c r="P633">
        <f t="shared" si="255"/>
        <v>0</v>
      </c>
      <c r="Q633">
        <f t="shared" si="256"/>
        <v>0</v>
      </c>
    </row>
    <row r="634" spans="1:17">
      <c r="A634" s="388"/>
      <c r="B634" s="391"/>
      <c r="C634" s="69" t="s">
        <v>83</v>
      </c>
      <c r="D634" s="70">
        <v>21</v>
      </c>
      <c r="E634" s="188">
        <v>0</v>
      </c>
      <c r="F634" s="70" t="str">
        <f>IFERROR(VLOOKUP(C634,MATERIAUX!$C$3:$G$1002,3,FALSE),"")</f>
        <v>u</v>
      </c>
      <c r="G634" s="71">
        <f>IFERROR(VLOOKUP(C634,MATERIAUX!$C$3:$G$1002,5,FALSE),"")</f>
        <v>0.15257731958762888</v>
      </c>
      <c r="H634" s="71">
        <f t="shared" si="247"/>
        <v>3.2</v>
      </c>
      <c r="I634" s="394"/>
      <c r="J634" s="72" t="s">
        <v>61</v>
      </c>
      <c r="K634" s="72">
        <v>1</v>
      </c>
      <c r="L634" s="72">
        <f>IFERROR(VLOOKUP(J634,'MAIN D OEUVRE'!$A$4:$B$99,2,FALSE)*$N$2,"")</f>
        <v>0.60500000000000009</v>
      </c>
      <c r="M634" s="73">
        <f t="shared" si="259"/>
        <v>0.61</v>
      </c>
      <c r="N634" s="397"/>
      <c r="O634">
        <f>O633</f>
        <v>0</v>
      </c>
      <c r="P634">
        <f t="shared" si="255"/>
        <v>0</v>
      </c>
      <c r="Q634">
        <f t="shared" si="256"/>
        <v>0</v>
      </c>
    </row>
    <row r="635" spans="1:17">
      <c r="A635" s="388"/>
      <c r="B635" s="391"/>
      <c r="C635" s="69" t="s">
        <v>299</v>
      </c>
      <c r="D635" s="70">
        <v>3</v>
      </c>
      <c r="E635" s="146">
        <v>0.1</v>
      </c>
      <c r="F635" s="70" t="str">
        <f>IFERROR(VLOOKUP(C635,MATERIAUX!$C$3:$G$1002,3,FALSE),"")</f>
        <v>ml</v>
      </c>
      <c r="G635" s="71">
        <f>IFERROR(VLOOKUP(C635,MATERIAUX!$C$3:$G$1002,5,FALSE),"")</f>
        <v>1.613938144329897</v>
      </c>
      <c r="H635" s="71">
        <f t="shared" si="247"/>
        <v>5.33</v>
      </c>
      <c r="I635" s="394"/>
      <c r="J635" s="72"/>
      <c r="K635" s="72"/>
      <c r="L635" s="72" t="str">
        <f>IFERROR(VLOOKUP(J635,'MAIN D OEUVRE'!$A$4:$B$99,2,FALSE)*$N$2,"")</f>
        <v/>
      </c>
      <c r="M635" s="73" t="str">
        <f t="shared" si="259"/>
        <v/>
      </c>
      <c r="N635" s="397"/>
      <c r="O635">
        <f t="shared" ref="O635:O642" si="261">O634</f>
        <v>0</v>
      </c>
      <c r="P635">
        <f t="shared" si="255"/>
        <v>0</v>
      </c>
      <c r="Q635">
        <f t="shared" si="256"/>
        <v>0</v>
      </c>
    </row>
    <row r="636" spans="1:17">
      <c r="A636" s="388"/>
      <c r="B636" s="391"/>
      <c r="C636" s="69" t="s">
        <v>81</v>
      </c>
      <c r="D636" s="70">
        <v>21</v>
      </c>
      <c r="E636" s="146">
        <v>0</v>
      </c>
      <c r="F636" s="70" t="str">
        <f>IFERROR(VLOOKUP(C636,MATERIAUX!$C$3:$G$1002,3,FALSE),"")</f>
        <v>u</v>
      </c>
      <c r="G636" s="71">
        <f>IFERROR(VLOOKUP(C636,MATERIAUX!$C$3:$G$1002,5,FALSE),"")</f>
        <v>1.4432989690721652E-2</v>
      </c>
      <c r="H636" s="71">
        <f t="shared" si="247"/>
        <v>0.3</v>
      </c>
      <c r="I636" s="394"/>
      <c r="J636" s="72"/>
      <c r="K636" s="72"/>
      <c r="L636" s="72" t="str">
        <f>IFERROR(VLOOKUP(J636,'MAIN D OEUVRE'!$A$4:$B$99,2,FALSE)*$N$2,"")</f>
        <v/>
      </c>
      <c r="M636" s="73" t="str">
        <f t="shared" si="259"/>
        <v/>
      </c>
      <c r="N636" s="397"/>
      <c r="O636">
        <f t="shared" si="261"/>
        <v>0</v>
      </c>
      <c r="P636">
        <f t="shared" si="255"/>
        <v>0</v>
      </c>
      <c r="Q636">
        <f t="shared" si="256"/>
        <v>0</v>
      </c>
    </row>
    <row r="637" spans="1:17">
      <c r="A637" s="388"/>
      <c r="B637" s="391"/>
      <c r="C637" s="69"/>
      <c r="D637" s="70"/>
      <c r="E637" s="146"/>
      <c r="F637" s="70" t="str">
        <f>IFERROR(VLOOKUP(C637,MATERIAUX!$C$3:$G$1002,3,FALSE),"")</f>
        <v/>
      </c>
      <c r="G637" s="71" t="str">
        <f>IFERROR(VLOOKUP(C637,MATERIAUX!$C$3:$G$1002,5,FALSE),"")</f>
        <v/>
      </c>
      <c r="H637" s="71" t="str">
        <f t="shared" si="247"/>
        <v/>
      </c>
      <c r="I637" s="394"/>
      <c r="J637" s="72"/>
      <c r="K637" s="72"/>
      <c r="L637" s="72" t="str">
        <f>IFERROR(VLOOKUP(J637,'MAIN D OEUVRE'!$A$4:$B$99,2,FALSE)*$N$2,"")</f>
        <v/>
      </c>
      <c r="M637" s="73" t="str">
        <f t="shared" si="259"/>
        <v/>
      </c>
      <c r="N637" s="397"/>
      <c r="O637">
        <f t="shared" si="261"/>
        <v>0</v>
      </c>
      <c r="P637">
        <f t="shared" si="255"/>
        <v>0</v>
      </c>
      <c r="Q637">
        <f t="shared" si="256"/>
        <v>0</v>
      </c>
    </row>
    <row r="638" spans="1:17">
      <c r="A638" s="388"/>
      <c r="B638" s="391"/>
      <c r="C638" s="69"/>
      <c r="D638" s="70"/>
      <c r="E638" s="146"/>
      <c r="F638" s="70" t="str">
        <f>IFERROR(VLOOKUP(C638,MATERIAUX!$C$3:$G$1002,3,FALSE),"")</f>
        <v/>
      </c>
      <c r="G638" s="71" t="str">
        <f>IFERROR(VLOOKUP(C638,MATERIAUX!$C$3:$G$1002,5,FALSE),"")</f>
        <v/>
      </c>
      <c r="H638" s="71" t="str">
        <f t="shared" si="247"/>
        <v/>
      </c>
      <c r="I638" s="394"/>
      <c r="J638" s="72"/>
      <c r="K638" s="72"/>
      <c r="L638" s="72" t="str">
        <f>IFERROR(VLOOKUP(J638,'MAIN D OEUVRE'!$A$4:$B$99,2,FALSE)*$N$2,"")</f>
        <v/>
      </c>
      <c r="M638" s="73" t="str">
        <f t="shared" si="259"/>
        <v/>
      </c>
      <c r="N638" s="397"/>
      <c r="O638">
        <f t="shared" si="261"/>
        <v>0</v>
      </c>
      <c r="P638">
        <f t="shared" si="255"/>
        <v>0</v>
      </c>
      <c r="Q638">
        <f t="shared" si="256"/>
        <v>0</v>
      </c>
    </row>
    <row r="639" spans="1:17">
      <c r="A639" s="388"/>
      <c r="B639" s="391"/>
      <c r="C639" s="69"/>
      <c r="D639" s="70"/>
      <c r="E639" s="146"/>
      <c r="F639" s="70" t="str">
        <f>IFERROR(VLOOKUP(C639,MATERIAUX!$C$3:$G$1002,3,FALSE),"")</f>
        <v/>
      </c>
      <c r="G639" s="71" t="str">
        <f>IFERROR(VLOOKUP(C639,MATERIAUX!$C$3:$G$1002,5,FALSE),"")</f>
        <v/>
      </c>
      <c r="H639" s="71" t="str">
        <f t="shared" si="247"/>
        <v/>
      </c>
      <c r="I639" s="394"/>
      <c r="J639" s="72"/>
      <c r="K639" s="72"/>
      <c r="L639" s="72" t="str">
        <f>IFERROR(VLOOKUP(J639,'MAIN D OEUVRE'!$A$4:$B$99,2,FALSE)*$N$2,"")</f>
        <v/>
      </c>
      <c r="M639" s="73" t="str">
        <f t="shared" si="259"/>
        <v/>
      </c>
      <c r="N639" s="397"/>
      <c r="O639">
        <f t="shared" si="261"/>
        <v>0</v>
      </c>
      <c r="P639">
        <f t="shared" si="255"/>
        <v>0</v>
      </c>
      <c r="Q639">
        <f t="shared" si="256"/>
        <v>0</v>
      </c>
    </row>
    <row r="640" spans="1:17">
      <c r="A640" s="388"/>
      <c r="B640" s="391"/>
      <c r="C640" s="69"/>
      <c r="D640" s="70"/>
      <c r="E640" s="146"/>
      <c r="F640" s="70" t="str">
        <f>IFERROR(VLOOKUP(C640,MATERIAUX!$C$3:$G$1002,3,FALSE),"")</f>
        <v/>
      </c>
      <c r="G640" s="71" t="str">
        <f>IFERROR(VLOOKUP(C640,MATERIAUX!$C$3:$G$1002,5,FALSE),"")</f>
        <v/>
      </c>
      <c r="H640" s="71" t="str">
        <f t="shared" si="247"/>
        <v/>
      </c>
      <c r="I640" s="394"/>
      <c r="J640" s="72"/>
      <c r="K640" s="72"/>
      <c r="L640" s="72" t="str">
        <f>IFERROR(VLOOKUP(J640,'MAIN D OEUVRE'!$A$4:$B$99,2,FALSE)*$N$2,"")</f>
        <v/>
      </c>
      <c r="M640" s="73" t="str">
        <f t="shared" si="259"/>
        <v/>
      </c>
      <c r="N640" s="397"/>
      <c r="O640">
        <f t="shared" si="261"/>
        <v>0</v>
      </c>
      <c r="P640">
        <f t="shared" si="255"/>
        <v>0</v>
      </c>
      <c r="Q640">
        <f t="shared" si="256"/>
        <v>0</v>
      </c>
    </row>
    <row r="641" spans="1:17">
      <c r="A641" s="388"/>
      <c r="B641" s="391"/>
      <c r="C641" s="69"/>
      <c r="D641" s="70"/>
      <c r="E641" s="146"/>
      <c r="F641" s="70" t="str">
        <f>IFERROR(VLOOKUP(C641,MATERIAUX!$C$3:$G$1002,3,FALSE),"")</f>
        <v/>
      </c>
      <c r="G641" s="71" t="str">
        <f>IFERROR(VLOOKUP(C641,MATERIAUX!$C$3:$G$1002,5,FALSE),"")</f>
        <v/>
      </c>
      <c r="H641" s="71" t="str">
        <f t="shared" si="247"/>
        <v/>
      </c>
      <c r="I641" s="394"/>
      <c r="J641" s="72"/>
      <c r="K641" s="72"/>
      <c r="L641" s="72"/>
      <c r="M641" s="73"/>
      <c r="N641" s="397"/>
      <c r="O641">
        <f t="shared" si="261"/>
        <v>0</v>
      </c>
      <c r="P641">
        <f t="shared" si="255"/>
        <v>0</v>
      </c>
      <c r="Q641">
        <f t="shared" si="256"/>
        <v>0</v>
      </c>
    </row>
    <row r="642" spans="1:17" ht="15" thickBot="1">
      <c r="A642" s="389"/>
      <c r="B642" s="392"/>
      <c r="C642" s="74"/>
      <c r="D642" s="75"/>
      <c r="E642" s="147"/>
      <c r="F642" s="70" t="str">
        <f>IFERROR(VLOOKUP(C642,MATERIAUX!$C$3:$G$1002,3,FALSE),"")</f>
        <v/>
      </c>
      <c r="G642" s="71" t="str">
        <f>IFERROR(VLOOKUP(C642,MATERIAUX!$C$3:$G$1002,5,FALSE),"")</f>
        <v/>
      </c>
      <c r="H642" s="71" t="str">
        <f t="shared" si="247"/>
        <v/>
      </c>
      <c r="I642" s="395"/>
      <c r="J642" s="77"/>
      <c r="K642" s="77"/>
      <c r="L642" s="77"/>
      <c r="M642" s="78"/>
      <c r="N642" s="398"/>
      <c r="O642">
        <f t="shared" si="261"/>
        <v>0</v>
      </c>
      <c r="P642">
        <f t="shared" si="255"/>
        <v>0</v>
      </c>
      <c r="Q642">
        <f t="shared" si="256"/>
        <v>0</v>
      </c>
    </row>
    <row r="643" spans="1:17">
      <c r="A643" s="387" t="s">
        <v>302</v>
      </c>
      <c r="B643" s="390" t="s">
        <v>21</v>
      </c>
      <c r="C643" s="64" t="s">
        <v>94</v>
      </c>
      <c r="D643" s="65">
        <f>6*0.045*0.15</f>
        <v>4.0500000000000001E-2</v>
      </c>
      <c r="E643" s="187">
        <v>0.1</v>
      </c>
      <c r="F643" s="65" t="str">
        <f>IFERROR(VLOOKUP(C643,MATERIAUX!$C$3:$G$1002,3,FALSE),"")</f>
        <v>m3</v>
      </c>
      <c r="G643" s="66">
        <f>IFERROR(VLOOKUP(C643,MATERIAUX!$C$3:$G$1002,5,FALSE),"")</f>
        <v>575.25773195876297</v>
      </c>
      <c r="H643" s="66">
        <f t="shared" si="247"/>
        <v>25.63</v>
      </c>
      <c r="I643" s="393">
        <f t="shared" ref="I643" si="262">SUM(H643:H652)</f>
        <v>31.290000000000003</v>
      </c>
      <c r="J643" s="67" t="s">
        <v>52</v>
      </c>
      <c r="K643" s="67">
        <v>1</v>
      </c>
      <c r="L643" s="67">
        <f>IFERROR(VLOOKUP(J643,'MAIN D OEUVRE'!$A$4:$B$99,2,FALSE)*$N$2,"")</f>
        <v>2.75</v>
      </c>
      <c r="M643" s="68">
        <f t="shared" ref="M643:M650" si="263">IFERROR(ROUND(L643*K643,2),"")</f>
        <v>2.75</v>
      </c>
      <c r="N643" s="396">
        <f t="shared" ref="N643" si="264">SUM(M643:M652)</f>
        <v>2.75</v>
      </c>
      <c r="O643" s="350">
        <v>0</v>
      </c>
      <c r="P643">
        <f t="shared" si="255"/>
        <v>0</v>
      </c>
      <c r="Q643">
        <f t="shared" si="256"/>
        <v>0</v>
      </c>
    </row>
    <row r="644" spans="1:17">
      <c r="A644" s="388"/>
      <c r="B644" s="391"/>
      <c r="C644" s="69" t="s">
        <v>285</v>
      </c>
      <c r="D644" s="70">
        <v>44</v>
      </c>
      <c r="E644" s="188">
        <v>0</v>
      </c>
      <c r="F644" s="70" t="str">
        <f>IFERROR(VLOOKUP(C644,MATERIAUX!$C$3:$G$1002,3,FALSE),"")</f>
        <v>u</v>
      </c>
      <c r="G644" s="71">
        <f>IFERROR(VLOOKUP(C644,MATERIAUX!$C$3:$G$1002,5,FALSE),"")</f>
        <v>0.1</v>
      </c>
      <c r="H644" s="71">
        <f t="shared" si="247"/>
        <v>4.4000000000000004</v>
      </c>
      <c r="I644" s="394"/>
      <c r="J644" s="72"/>
      <c r="K644" s="72"/>
      <c r="L644" s="72" t="str">
        <f>IFERROR(VLOOKUP(J644,'MAIN D OEUVRE'!$A$4:$B$99,2,FALSE)*$N$2,"")</f>
        <v/>
      </c>
      <c r="M644" s="73" t="str">
        <f t="shared" si="263"/>
        <v/>
      </c>
      <c r="N644" s="397"/>
      <c r="O644">
        <f>O643</f>
        <v>0</v>
      </c>
      <c r="P644">
        <f t="shared" si="255"/>
        <v>0</v>
      </c>
      <c r="Q644">
        <f t="shared" si="256"/>
        <v>0</v>
      </c>
    </row>
    <row r="645" spans="1:17">
      <c r="A645" s="388"/>
      <c r="B645" s="391"/>
      <c r="C645" s="69" t="s">
        <v>286</v>
      </c>
      <c r="D645" s="70">
        <v>4</v>
      </c>
      <c r="E645" s="188">
        <v>0</v>
      </c>
      <c r="F645" s="70" t="str">
        <f>IFERROR(VLOOKUP(C645,MATERIAUX!$C$3:$G$1002,3,FALSE),"")</f>
        <v>u</v>
      </c>
      <c r="G645" s="71">
        <f>IFERROR(VLOOKUP(C645,MATERIAUX!$C$3:$G$1002,5,FALSE),"")</f>
        <v>0.12</v>
      </c>
      <c r="H645" s="71">
        <f t="shared" si="247"/>
        <v>0.48</v>
      </c>
      <c r="I645" s="394"/>
      <c r="J645" s="72"/>
      <c r="K645" s="72"/>
      <c r="L645" s="72" t="str">
        <f>IFERROR(VLOOKUP(J645,'MAIN D OEUVRE'!$A$4:$B$99,2,FALSE)*$N$2,"")</f>
        <v/>
      </c>
      <c r="M645" s="73" t="str">
        <f t="shared" si="263"/>
        <v/>
      </c>
      <c r="N645" s="397"/>
      <c r="O645">
        <f t="shared" ref="O645:O652" si="265">O644</f>
        <v>0</v>
      </c>
      <c r="P645">
        <f t="shared" si="255"/>
        <v>0</v>
      </c>
      <c r="Q645">
        <f t="shared" si="256"/>
        <v>0</v>
      </c>
    </row>
    <row r="646" spans="1:17">
      <c r="A646" s="388"/>
      <c r="B646" s="391"/>
      <c r="C646" s="69" t="s">
        <v>287</v>
      </c>
      <c r="D646" s="70">
        <v>0.3</v>
      </c>
      <c r="E646" s="188">
        <v>0</v>
      </c>
      <c r="F646" s="70" t="str">
        <f>IFERROR(VLOOKUP(C646,MATERIAUX!$C$3:$G$1002,3,FALSE),"")</f>
        <v>ml</v>
      </c>
      <c r="G646" s="71">
        <f>IFERROR(VLOOKUP(C646,MATERIAUX!$C$3:$G$1002,5,FALSE),"")</f>
        <v>2.5933333333333333</v>
      </c>
      <c r="H646" s="71">
        <f t="shared" si="247"/>
        <v>0.78</v>
      </c>
      <c r="I646" s="394"/>
      <c r="J646" s="72"/>
      <c r="K646" s="72"/>
      <c r="L646" s="72" t="str">
        <f>IFERROR(VLOOKUP(J646,'MAIN D OEUVRE'!$A$4:$B$99,2,FALSE)*$N$2,"")</f>
        <v/>
      </c>
      <c r="M646" s="73" t="str">
        <f t="shared" si="263"/>
        <v/>
      </c>
      <c r="N646" s="397"/>
      <c r="O646">
        <f t="shared" si="265"/>
        <v>0</v>
      </c>
      <c r="P646">
        <f t="shared" si="255"/>
        <v>0</v>
      </c>
      <c r="Q646">
        <f t="shared" si="256"/>
        <v>0</v>
      </c>
    </row>
    <row r="647" spans="1:17">
      <c r="A647" s="388"/>
      <c r="B647" s="391"/>
      <c r="C647" s="69"/>
      <c r="D647" s="70"/>
      <c r="E647" s="188"/>
      <c r="F647" s="70" t="str">
        <f>IFERROR(VLOOKUP(C647,MATERIAUX!$C$3:$G$1002,3,FALSE),"")</f>
        <v/>
      </c>
      <c r="G647" s="71" t="str">
        <f>IFERROR(VLOOKUP(C647,MATERIAUX!$C$3:$G$1002,5,FALSE),"")</f>
        <v/>
      </c>
      <c r="H647" s="71" t="str">
        <f t="shared" si="247"/>
        <v/>
      </c>
      <c r="I647" s="394"/>
      <c r="J647" s="72"/>
      <c r="K647" s="72"/>
      <c r="L647" s="72" t="str">
        <f>IFERROR(VLOOKUP(J647,'MAIN D OEUVRE'!$A$4:$B$99,2,FALSE)*$N$2,"")</f>
        <v/>
      </c>
      <c r="M647" s="73" t="str">
        <f t="shared" si="263"/>
        <v/>
      </c>
      <c r="N647" s="397"/>
      <c r="O647">
        <f t="shared" si="265"/>
        <v>0</v>
      </c>
      <c r="P647">
        <f t="shared" si="255"/>
        <v>0</v>
      </c>
      <c r="Q647">
        <f t="shared" si="256"/>
        <v>0</v>
      </c>
    </row>
    <row r="648" spans="1:17">
      <c r="A648" s="388"/>
      <c r="B648" s="391"/>
      <c r="C648" s="69"/>
      <c r="D648" s="70"/>
      <c r="E648" s="188"/>
      <c r="F648" s="70" t="str">
        <f>IFERROR(VLOOKUP(C648,MATERIAUX!$C$3:$G$1002,3,FALSE),"")</f>
        <v/>
      </c>
      <c r="G648" s="71" t="str">
        <f>IFERROR(VLOOKUP(C648,MATERIAUX!$C$3:$G$1002,5,FALSE),"")</f>
        <v/>
      </c>
      <c r="H648" s="71" t="str">
        <f t="shared" si="247"/>
        <v/>
      </c>
      <c r="I648" s="394"/>
      <c r="J648" s="72"/>
      <c r="K648" s="72"/>
      <c r="L648" s="72" t="str">
        <f>IFERROR(VLOOKUP(J648,'MAIN D OEUVRE'!$A$4:$B$99,2,FALSE)*$N$2,"")</f>
        <v/>
      </c>
      <c r="M648" s="73" t="str">
        <f t="shared" si="263"/>
        <v/>
      </c>
      <c r="N648" s="397"/>
      <c r="O648">
        <f t="shared" si="265"/>
        <v>0</v>
      </c>
      <c r="P648">
        <f t="shared" si="255"/>
        <v>0</v>
      </c>
      <c r="Q648">
        <f t="shared" si="256"/>
        <v>0</v>
      </c>
    </row>
    <row r="649" spans="1:17">
      <c r="A649" s="388"/>
      <c r="B649" s="391"/>
      <c r="C649" s="69"/>
      <c r="D649" s="70"/>
      <c r="E649" s="188"/>
      <c r="F649" s="70" t="str">
        <f>IFERROR(VLOOKUP(C649,MATERIAUX!$C$3:$G$1002,3,FALSE),"")</f>
        <v/>
      </c>
      <c r="G649" s="71" t="str">
        <f>IFERROR(VLOOKUP(C649,MATERIAUX!$C$3:$G$1002,5,FALSE),"")</f>
        <v/>
      </c>
      <c r="H649" s="71" t="str">
        <f t="shared" si="247"/>
        <v/>
      </c>
      <c r="I649" s="394"/>
      <c r="J649" s="72"/>
      <c r="K649" s="72"/>
      <c r="L649" s="72" t="str">
        <f>IFERROR(VLOOKUP(J649,'MAIN D OEUVRE'!$A$4:$B$99,2,FALSE)*$N$2,"")</f>
        <v/>
      </c>
      <c r="M649" s="73" t="str">
        <f t="shared" si="263"/>
        <v/>
      </c>
      <c r="N649" s="397"/>
      <c r="O649">
        <f t="shared" si="265"/>
        <v>0</v>
      </c>
      <c r="P649">
        <f t="shared" si="255"/>
        <v>0</v>
      </c>
      <c r="Q649">
        <f t="shared" si="256"/>
        <v>0</v>
      </c>
    </row>
    <row r="650" spans="1:17">
      <c r="A650" s="388"/>
      <c r="B650" s="391"/>
      <c r="C650" s="69"/>
      <c r="D650" s="70"/>
      <c r="E650" s="188"/>
      <c r="F650" s="70" t="str">
        <f>IFERROR(VLOOKUP(C650,MATERIAUX!$C$3:$G$1002,3,FALSE),"")</f>
        <v/>
      </c>
      <c r="G650" s="71" t="str">
        <f>IFERROR(VLOOKUP(C650,MATERIAUX!$C$3:$G$1002,5,FALSE),"")</f>
        <v/>
      </c>
      <c r="H650" s="71" t="str">
        <f t="shared" si="247"/>
        <v/>
      </c>
      <c r="I650" s="394"/>
      <c r="J650" s="72"/>
      <c r="K650" s="72"/>
      <c r="L650" s="72" t="str">
        <f>IFERROR(VLOOKUP(J650,'MAIN D OEUVRE'!$A$4:$B$99,2,FALSE)*$N$2,"")</f>
        <v/>
      </c>
      <c r="M650" s="73" t="str">
        <f t="shared" si="263"/>
        <v/>
      </c>
      <c r="N650" s="397"/>
      <c r="O650">
        <f t="shared" si="265"/>
        <v>0</v>
      </c>
      <c r="P650">
        <f t="shared" si="255"/>
        <v>0</v>
      </c>
      <c r="Q650">
        <f t="shared" si="256"/>
        <v>0</v>
      </c>
    </row>
    <row r="651" spans="1:17">
      <c r="A651" s="388"/>
      <c r="B651" s="391"/>
      <c r="C651" s="69"/>
      <c r="D651" s="70"/>
      <c r="E651" s="188"/>
      <c r="F651" s="70" t="str">
        <f>IFERROR(VLOOKUP(C651,MATERIAUX!$C$3:$G$1002,3,FALSE),"")</f>
        <v/>
      </c>
      <c r="G651" s="71" t="str">
        <f>IFERROR(VLOOKUP(C651,MATERIAUX!$C$3:$G$1002,5,FALSE),"")</f>
        <v/>
      </c>
      <c r="H651" s="71" t="str">
        <f t="shared" si="247"/>
        <v/>
      </c>
      <c r="I651" s="394"/>
      <c r="J651" s="72"/>
      <c r="K651" s="72"/>
      <c r="L651" s="72"/>
      <c r="M651" s="73"/>
      <c r="N651" s="397"/>
      <c r="O651">
        <f t="shared" si="265"/>
        <v>0</v>
      </c>
      <c r="P651">
        <f t="shared" si="255"/>
        <v>0</v>
      </c>
      <c r="Q651">
        <f t="shared" si="256"/>
        <v>0</v>
      </c>
    </row>
    <row r="652" spans="1:17" ht="15" thickBot="1">
      <c r="A652" s="389"/>
      <c r="B652" s="392"/>
      <c r="C652" s="74"/>
      <c r="D652" s="75"/>
      <c r="E652" s="189"/>
      <c r="F652" s="70" t="str">
        <f>IFERROR(VLOOKUP(C652,MATERIAUX!$C$3:$G$1002,3,FALSE),"")</f>
        <v/>
      </c>
      <c r="G652" s="71" t="str">
        <f>IFERROR(VLOOKUP(C652,MATERIAUX!$C$3:$G$1002,5,FALSE),"")</f>
        <v/>
      </c>
      <c r="H652" s="71" t="str">
        <f t="shared" si="247"/>
        <v/>
      </c>
      <c r="I652" s="395"/>
      <c r="J652" s="77"/>
      <c r="K652" s="77"/>
      <c r="L652" s="77"/>
      <c r="M652" s="78"/>
      <c r="N652" s="398"/>
      <c r="O652">
        <f t="shared" si="265"/>
        <v>0</v>
      </c>
      <c r="P652">
        <f t="shared" si="255"/>
        <v>0</v>
      </c>
      <c r="Q652">
        <f t="shared" si="256"/>
        <v>0</v>
      </c>
    </row>
    <row r="653" spans="1:17">
      <c r="A653" s="387" t="s">
        <v>303</v>
      </c>
      <c r="B653" s="390" t="s">
        <v>21</v>
      </c>
      <c r="C653" s="64" t="s">
        <v>93</v>
      </c>
      <c r="D653" s="65">
        <f>ROUND(4*0.15*0.045,4)</f>
        <v>2.7E-2</v>
      </c>
      <c r="E653" s="187">
        <v>0.1</v>
      </c>
      <c r="F653" s="65" t="str">
        <f>IFERROR(VLOOKUP(C653,MATERIAUX!$C$3:$G$1002,3,FALSE),"")</f>
        <v>m3</v>
      </c>
      <c r="G653" s="66">
        <f>IFERROR(VLOOKUP(C653,MATERIAUX!$C$3:$G$1002,5,FALSE),"")</f>
        <v>575.25773195876297</v>
      </c>
      <c r="H653" s="66">
        <f t="shared" si="247"/>
        <v>17.09</v>
      </c>
      <c r="I653" s="393">
        <f t="shared" ref="I653" si="266">SUM(H653:H662)</f>
        <v>20.810000000000002</v>
      </c>
      <c r="J653" s="67" t="s">
        <v>122</v>
      </c>
      <c r="K653" s="67">
        <f>D653</f>
        <v>2.7E-2</v>
      </c>
      <c r="L653" s="67">
        <f>IFERROR(VLOOKUP(J653,'MAIN D OEUVRE'!$A$4:$B$99,2,FALSE)*$N$2,"")</f>
        <v>121.00000000000001</v>
      </c>
      <c r="M653" s="68">
        <f t="shared" ref="M653:M660" si="267">IFERROR(ROUND(L653*K653,2),"")</f>
        <v>3.27</v>
      </c>
      <c r="N653" s="396">
        <f t="shared" ref="N653" si="268">SUM(M653:M662)</f>
        <v>9.8000000000000007</v>
      </c>
      <c r="O653" s="350">
        <v>0</v>
      </c>
      <c r="P653">
        <f t="shared" si="255"/>
        <v>0</v>
      </c>
      <c r="Q653">
        <f t="shared" si="256"/>
        <v>0</v>
      </c>
    </row>
    <row r="654" spans="1:17">
      <c r="A654" s="388"/>
      <c r="B654" s="391"/>
      <c r="C654" s="69" t="s">
        <v>131</v>
      </c>
      <c r="D654" s="70">
        <f>ROUND(4*0.15*0.045,4)</f>
        <v>2.7E-2</v>
      </c>
      <c r="E654" s="188">
        <v>0.1</v>
      </c>
      <c r="F654" s="70" t="str">
        <f>IFERROR(VLOOKUP(C654,MATERIAUX!$C$3:$G$1002,3,FALSE),"")</f>
        <v>m3</v>
      </c>
      <c r="G654" s="71">
        <f>IFERROR(VLOOKUP(C654,MATERIAUX!$C$3:$G$1002,5,FALSE),"")</f>
        <v>76.701030927835063</v>
      </c>
      <c r="H654" s="71">
        <f t="shared" si="247"/>
        <v>2.2799999999999998</v>
      </c>
      <c r="I654" s="394"/>
      <c r="J654" s="72" t="s">
        <v>123</v>
      </c>
      <c r="K654" s="72">
        <f>D653</f>
        <v>2.7E-2</v>
      </c>
      <c r="L654" s="72">
        <f>IFERROR(VLOOKUP(J654,'MAIN D OEUVRE'!$A$4:$B$99,2,FALSE)*$N$2,"")</f>
        <v>242.00000000000003</v>
      </c>
      <c r="M654" s="73">
        <f t="shared" si="267"/>
        <v>6.53</v>
      </c>
      <c r="N654" s="397"/>
      <c r="O654">
        <f>O653</f>
        <v>0</v>
      </c>
      <c r="P654">
        <f t="shared" si="255"/>
        <v>0</v>
      </c>
      <c r="Q654">
        <f t="shared" si="256"/>
        <v>0</v>
      </c>
    </row>
    <row r="655" spans="1:17">
      <c r="A655" s="388"/>
      <c r="B655" s="391"/>
      <c r="C655" s="69" t="s">
        <v>286</v>
      </c>
      <c r="D655" s="70">
        <f>4*3</f>
        <v>12</v>
      </c>
      <c r="E655" s="188">
        <v>0</v>
      </c>
      <c r="F655" s="70" t="str">
        <f>IFERROR(VLOOKUP(C655,MATERIAUX!$C$3:$G$1002,3,FALSE),"")</f>
        <v>u</v>
      </c>
      <c r="G655" s="71">
        <f>IFERROR(VLOOKUP(C655,MATERIAUX!$C$3:$G$1002,5,FALSE),"")</f>
        <v>0.12</v>
      </c>
      <c r="H655" s="71">
        <f t="shared" si="247"/>
        <v>1.44</v>
      </c>
      <c r="I655" s="394"/>
      <c r="J655" s="72"/>
      <c r="K655" s="72"/>
      <c r="L655" s="72" t="str">
        <f>IFERROR(VLOOKUP(J655,'MAIN D OEUVRE'!$A$4:$B$99,2,FALSE)*$N$2,"")</f>
        <v/>
      </c>
      <c r="M655" s="73" t="str">
        <f t="shared" si="267"/>
        <v/>
      </c>
      <c r="N655" s="397"/>
      <c r="O655">
        <f t="shared" ref="O655:O662" si="269">O654</f>
        <v>0</v>
      </c>
      <c r="P655">
        <f t="shared" si="255"/>
        <v>0</v>
      </c>
      <c r="Q655">
        <f t="shared" si="256"/>
        <v>0</v>
      </c>
    </row>
    <row r="656" spans="1:17">
      <c r="A656" s="388"/>
      <c r="B656" s="391"/>
      <c r="C656" s="69"/>
      <c r="D656" s="70"/>
      <c r="E656" s="188"/>
      <c r="F656" s="70" t="str">
        <f>IFERROR(VLOOKUP(C656,MATERIAUX!$C$3:$G$1002,3,FALSE),"")</f>
        <v/>
      </c>
      <c r="G656" s="71" t="str">
        <f>IFERROR(VLOOKUP(C656,MATERIAUX!$C$3:$G$1002,5,FALSE),"")</f>
        <v/>
      </c>
      <c r="H656" s="71" t="str">
        <f t="shared" si="247"/>
        <v/>
      </c>
      <c r="I656" s="394"/>
      <c r="J656" s="72"/>
      <c r="K656" s="72"/>
      <c r="L656" s="72" t="str">
        <f>IFERROR(VLOOKUP(J656,'MAIN D OEUVRE'!$A$4:$B$99,2,FALSE)*$N$2,"")</f>
        <v/>
      </c>
      <c r="M656" s="73" t="str">
        <f t="shared" si="267"/>
        <v/>
      </c>
      <c r="N656" s="397"/>
      <c r="O656">
        <f t="shared" si="269"/>
        <v>0</v>
      </c>
      <c r="P656">
        <f t="shared" si="255"/>
        <v>0</v>
      </c>
      <c r="Q656">
        <f t="shared" si="256"/>
        <v>0</v>
      </c>
    </row>
    <row r="657" spans="1:17">
      <c r="A657" s="388"/>
      <c r="B657" s="391"/>
      <c r="C657" s="69"/>
      <c r="D657" s="70"/>
      <c r="E657" s="188"/>
      <c r="F657" s="70" t="str">
        <f>IFERROR(VLOOKUP(C657,MATERIAUX!$C$3:$G$1002,3,FALSE),"")</f>
        <v/>
      </c>
      <c r="G657" s="71" t="str">
        <f>IFERROR(VLOOKUP(C657,MATERIAUX!$C$3:$G$1002,5,FALSE),"")</f>
        <v/>
      </c>
      <c r="H657" s="71" t="str">
        <f t="shared" si="247"/>
        <v/>
      </c>
      <c r="I657" s="394"/>
      <c r="J657" s="72"/>
      <c r="K657" s="72"/>
      <c r="L657" s="72" t="str">
        <f>IFERROR(VLOOKUP(J657,'MAIN D OEUVRE'!$A$4:$B$99,2,FALSE)*$N$2,"")</f>
        <v/>
      </c>
      <c r="M657" s="73" t="str">
        <f t="shared" si="267"/>
        <v/>
      </c>
      <c r="N657" s="397"/>
      <c r="O657">
        <f t="shared" si="269"/>
        <v>0</v>
      </c>
      <c r="P657">
        <f t="shared" si="255"/>
        <v>0</v>
      </c>
      <c r="Q657">
        <f t="shared" si="256"/>
        <v>0</v>
      </c>
    </row>
    <row r="658" spans="1:17">
      <c r="A658" s="388"/>
      <c r="B658" s="391"/>
      <c r="C658" s="69"/>
      <c r="D658" s="70"/>
      <c r="E658" s="188"/>
      <c r="F658" s="70" t="str">
        <f>IFERROR(VLOOKUP(C658,MATERIAUX!$C$3:$G$1002,3,FALSE),"")</f>
        <v/>
      </c>
      <c r="G658" s="71" t="str">
        <f>IFERROR(VLOOKUP(C658,MATERIAUX!$C$3:$G$1002,5,FALSE),"")</f>
        <v/>
      </c>
      <c r="H658" s="71" t="str">
        <f t="shared" si="247"/>
        <v/>
      </c>
      <c r="I658" s="394"/>
      <c r="J658" s="72"/>
      <c r="K658" s="72"/>
      <c r="L658" s="72" t="str">
        <f>IFERROR(VLOOKUP(J658,'MAIN D OEUVRE'!$A$4:$B$99,2,FALSE)*$N$2,"")</f>
        <v/>
      </c>
      <c r="M658" s="73" t="str">
        <f t="shared" si="267"/>
        <v/>
      </c>
      <c r="N658" s="397"/>
      <c r="O658">
        <f t="shared" si="269"/>
        <v>0</v>
      </c>
      <c r="P658">
        <f t="shared" si="255"/>
        <v>0</v>
      </c>
      <c r="Q658">
        <f t="shared" si="256"/>
        <v>0</v>
      </c>
    </row>
    <row r="659" spans="1:17">
      <c r="A659" s="388"/>
      <c r="B659" s="391"/>
      <c r="C659" s="69"/>
      <c r="D659" s="70"/>
      <c r="E659" s="188"/>
      <c r="F659" s="70" t="str">
        <f>IFERROR(VLOOKUP(C659,MATERIAUX!$C$3:$G$1002,3,FALSE),"")</f>
        <v/>
      </c>
      <c r="G659" s="71" t="str">
        <f>IFERROR(VLOOKUP(C659,MATERIAUX!$C$3:$G$1002,5,FALSE),"")</f>
        <v/>
      </c>
      <c r="H659" s="71" t="str">
        <f t="shared" si="247"/>
        <v/>
      </c>
      <c r="I659" s="394"/>
      <c r="J659" s="72"/>
      <c r="K659" s="72"/>
      <c r="L659" s="72" t="str">
        <f>IFERROR(VLOOKUP(J659,'MAIN D OEUVRE'!$A$4:$B$99,2,FALSE)*$N$2,"")</f>
        <v/>
      </c>
      <c r="M659" s="73" t="str">
        <f t="shared" si="267"/>
        <v/>
      </c>
      <c r="N659" s="397"/>
      <c r="O659">
        <f t="shared" si="269"/>
        <v>0</v>
      </c>
      <c r="P659">
        <f t="shared" si="255"/>
        <v>0</v>
      </c>
      <c r="Q659">
        <f t="shared" si="256"/>
        <v>0</v>
      </c>
    </row>
    <row r="660" spans="1:17">
      <c r="A660" s="388"/>
      <c r="B660" s="391"/>
      <c r="C660" s="69"/>
      <c r="D660" s="70"/>
      <c r="E660" s="188"/>
      <c r="F660" s="70" t="str">
        <f>IFERROR(VLOOKUP(C660,MATERIAUX!$C$3:$G$1002,3,FALSE),"")</f>
        <v/>
      </c>
      <c r="G660" s="71" t="str">
        <f>IFERROR(VLOOKUP(C660,MATERIAUX!$C$3:$G$1002,5,FALSE),"")</f>
        <v/>
      </c>
      <c r="H660" s="71" t="str">
        <f t="shared" si="247"/>
        <v/>
      </c>
      <c r="I660" s="394"/>
      <c r="J660" s="72"/>
      <c r="K660" s="72"/>
      <c r="L660" s="72" t="str">
        <f>IFERROR(VLOOKUP(J660,'MAIN D OEUVRE'!$A$4:$B$99,2,FALSE)*$N$2,"")</f>
        <v/>
      </c>
      <c r="M660" s="73" t="str">
        <f t="shared" si="267"/>
        <v/>
      </c>
      <c r="N660" s="397"/>
      <c r="O660">
        <f t="shared" si="269"/>
        <v>0</v>
      </c>
      <c r="P660">
        <f t="shared" si="255"/>
        <v>0</v>
      </c>
      <c r="Q660">
        <f t="shared" si="256"/>
        <v>0</v>
      </c>
    </row>
    <row r="661" spans="1:17">
      <c r="A661" s="388"/>
      <c r="B661" s="391"/>
      <c r="C661" s="69"/>
      <c r="D661" s="70"/>
      <c r="E661" s="188"/>
      <c r="F661" s="70" t="str">
        <f>IFERROR(VLOOKUP(C661,MATERIAUX!$C$3:$G$1002,3,FALSE),"")</f>
        <v/>
      </c>
      <c r="G661" s="71" t="str">
        <f>IFERROR(VLOOKUP(C661,MATERIAUX!$C$3:$G$1002,5,FALSE),"")</f>
        <v/>
      </c>
      <c r="H661" s="71" t="str">
        <f t="shared" si="247"/>
        <v/>
      </c>
      <c r="I661" s="394"/>
      <c r="J661" s="72"/>
      <c r="K661" s="72"/>
      <c r="L661" s="72"/>
      <c r="M661" s="73"/>
      <c r="N661" s="397"/>
      <c r="O661">
        <f t="shared" si="269"/>
        <v>0</v>
      </c>
      <c r="P661">
        <f t="shared" si="255"/>
        <v>0</v>
      </c>
      <c r="Q661">
        <f t="shared" si="256"/>
        <v>0</v>
      </c>
    </row>
    <row r="662" spans="1:17" ht="15" thickBot="1">
      <c r="A662" s="389"/>
      <c r="B662" s="392"/>
      <c r="C662" s="74"/>
      <c r="D662" s="75"/>
      <c r="E662" s="189"/>
      <c r="F662" s="70" t="str">
        <f>IFERROR(VLOOKUP(C662,MATERIAUX!$C$3:$G$1002,3,FALSE),"")</f>
        <v/>
      </c>
      <c r="G662" s="71" t="str">
        <f>IFERROR(VLOOKUP(C662,MATERIAUX!$C$3:$G$1002,5,FALSE),"")</f>
        <v/>
      </c>
      <c r="H662" s="71" t="str">
        <f t="shared" si="247"/>
        <v/>
      </c>
      <c r="I662" s="395"/>
      <c r="J662" s="77"/>
      <c r="K662" s="77"/>
      <c r="L662" s="77"/>
      <c r="M662" s="78"/>
      <c r="N662" s="398"/>
      <c r="O662">
        <f t="shared" si="269"/>
        <v>0</v>
      </c>
      <c r="P662">
        <f t="shared" si="255"/>
        <v>0</v>
      </c>
      <c r="Q662">
        <f t="shared" si="256"/>
        <v>0</v>
      </c>
    </row>
    <row r="663" spans="1:17">
      <c r="A663" s="387" t="s">
        <v>304</v>
      </c>
      <c r="B663" s="390" t="s">
        <v>23</v>
      </c>
      <c r="C663" s="64" t="s">
        <v>305</v>
      </c>
      <c r="D663" s="65">
        <v>1</v>
      </c>
      <c r="E663" s="145">
        <v>0.1</v>
      </c>
      <c r="F663" s="65" t="str">
        <f>IFERROR(VLOOKUP(C663,MATERIAUX!$C$3:$G$1002,3,FALSE),"")</f>
        <v>ml</v>
      </c>
      <c r="G663" s="66">
        <f>IFERROR(VLOOKUP(C663,MATERIAUX!$C$3:$G$1002,5,FALSE),"")</f>
        <v>6.2783505154639174</v>
      </c>
      <c r="H663" s="66">
        <f t="shared" si="247"/>
        <v>6.91</v>
      </c>
      <c r="I663" s="393">
        <f t="shared" ref="I663" si="270">SUM(H663:H672)</f>
        <v>7.68</v>
      </c>
      <c r="J663" s="67" t="s">
        <v>122</v>
      </c>
      <c r="K663" s="67">
        <f>0.1*0.1</f>
        <v>1.0000000000000002E-2</v>
      </c>
      <c r="L663" s="67">
        <f>IFERROR(VLOOKUP(J663,'MAIN D OEUVRE'!$A$4:$B$99,2,FALSE)*$N$2,"")</f>
        <v>121.00000000000001</v>
      </c>
      <c r="M663" s="68">
        <f t="shared" ref="M663:M670" si="271">IFERROR(ROUND(L663*K663,2),"")</f>
        <v>1.21</v>
      </c>
      <c r="N663" s="396">
        <f t="shared" ref="N663" si="272">SUM(M663:M672)</f>
        <v>1.87</v>
      </c>
      <c r="O663" s="350">
        <v>0</v>
      </c>
      <c r="P663">
        <f t="shared" si="255"/>
        <v>0</v>
      </c>
      <c r="Q663">
        <f t="shared" si="256"/>
        <v>0</v>
      </c>
    </row>
    <row r="664" spans="1:17">
      <c r="A664" s="388"/>
      <c r="B664" s="391"/>
      <c r="C664" s="69" t="s">
        <v>131</v>
      </c>
      <c r="D664" s="70">
        <f>0.01</f>
        <v>0.01</v>
      </c>
      <c r="E664" s="146">
        <v>0</v>
      </c>
      <c r="F664" s="70" t="str">
        <f>IFERROR(VLOOKUP(C664,MATERIAUX!$C$3:$G$1002,3,FALSE),"")</f>
        <v>m3</v>
      </c>
      <c r="G664" s="71">
        <f>IFERROR(VLOOKUP(C664,MATERIAUX!$C$3:$G$1002,5,FALSE),"")</f>
        <v>76.701030927835063</v>
      </c>
      <c r="H664" s="71">
        <f t="shared" si="247"/>
        <v>0.77</v>
      </c>
      <c r="I664" s="394"/>
      <c r="J664" s="72" t="s">
        <v>241</v>
      </c>
      <c r="K664" s="72">
        <f>K663*30</f>
        <v>0.30000000000000004</v>
      </c>
      <c r="L664" s="72">
        <f>IFERROR(VLOOKUP(J664,'MAIN D OEUVRE'!$A$4:$B$99,2,FALSE)*$N$2,"")</f>
        <v>2.2000000000000002</v>
      </c>
      <c r="M664" s="73">
        <f t="shared" si="271"/>
        <v>0.66</v>
      </c>
      <c r="N664" s="397"/>
      <c r="O664">
        <f>O663</f>
        <v>0</v>
      </c>
      <c r="P664">
        <f t="shared" si="255"/>
        <v>0</v>
      </c>
      <c r="Q664">
        <f t="shared" si="256"/>
        <v>0</v>
      </c>
    </row>
    <row r="665" spans="1:17">
      <c r="A665" s="388"/>
      <c r="B665" s="391"/>
      <c r="C665" s="69"/>
      <c r="D665" s="70"/>
      <c r="E665" s="146"/>
      <c r="F665" s="70" t="str">
        <f>IFERROR(VLOOKUP(C665,MATERIAUX!$C$3:$G$1002,3,FALSE),"")</f>
        <v/>
      </c>
      <c r="G665" s="71" t="str">
        <f>IFERROR(VLOOKUP(C665,MATERIAUX!$C$3:$G$1002,5,FALSE),"")</f>
        <v/>
      </c>
      <c r="H665" s="71" t="str">
        <f t="shared" si="247"/>
        <v/>
      </c>
      <c r="I665" s="394"/>
      <c r="J665" s="72"/>
      <c r="K665" s="72"/>
      <c r="L665" s="72" t="str">
        <f>IFERROR(VLOOKUP(J665,'MAIN D OEUVRE'!$A$4:$B$99,2,FALSE)*$N$2,"")</f>
        <v/>
      </c>
      <c r="M665" s="73" t="str">
        <f t="shared" si="271"/>
        <v/>
      </c>
      <c r="N665" s="397"/>
      <c r="O665">
        <f t="shared" ref="O665:O672" si="273">O664</f>
        <v>0</v>
      </c>
      <c r="P665">
        <f t="shared" si="255"/>
        <v>0</v>
      </c>
      <c r="Q665">
        <f t="shared" si="256"/>
        <v>0</v>
      </c>
    </row>
    <row r="666" spans="1:17">
      <c r="A666" s="388"/>
      <c r="B666" s="391"/>
      <c r="C666" s="69"/>
      <c r="D666" s="70"/>
      <c r="E666" s="146"/>
      <c r="F666" s="70" t="str">
        <f>IFERROR(VLOOKUP(C666,MATERIAUX!$C$3:$G$1002,3,FALSE),"")</f>
        <v/>
      </c>
      <c r="G666" s="71" t="str">
        <f>IFERROR(VLOOKUP(C666,MATERIAUX!$C$3:$G$1002,5,FALSE),"")</f>
        <v/>
      </c>
      <c r="H666" s="71" t="str">
        <f t="shared" si="247"/>
        <v/>
      </c>
      <c r="I666" s="394"/>
      <c r="J666" s="72"/>
      <c r="K666" s="72"/>
      <c r="L666" s="72" t="str">
        <f>IFERROR(VLOOKUP(J666,'MAIN D OEUVRE'!$A$4:$B$99,2,FALSE)*$N$2,"")</f>
        <v/>
      </c>
      <c r="M666" s="73" t="str">
        <f t="shared" si="271"/>
        <v/>
      </c>
      <c r="N666" s="397"/>
      <c r="O666">
        <f t="shared" si="273"/>
        <v>0</v>
      </c>
      <c r="P666">
        <f t="shared" si="255"/>
        <v>0</v>
      </c>
      <c r="Q666">
        <f t="shared" si="256"/>
        <v>0</v>
      </c>
    </row>
    <row r="667" spans="1:17">
      <c r="A667" s="388"/>
      <c r="B667" s="391"/>
      <c r="C667" s="69"/>
      <c r="D667" s="70"/>
      <c r="E667" s="146"/>
      <c r="F667" s="70" t="str">
        <f>IFERROR(VLOOKUP(C667,MATERIAUX!$C$3:$G$1002,3,FALSE),"")</f>
        <v/>
      </c>
      <c r="G667" s="71" t="str">
        <f>IFERROR(VLOOKUP(C667,MATERIAUX!$C$3:$G$1002,5,FALSE),"")</f>
        <v/>
      </c>
      <c r="H667" s="71" t="str">
        <f t="shared" si="247"/>
        <v/>
      </c>
      <c r="I667" s="394"/>
      <c r="J667" s="72"/>
      <c r="K667" s="72"/>
      <c r="L667" s="72" t="str">
        <f>IFERROR(VLOOKUP(J667,'MAIN D OEUVRE'!$A$4:$B$99,2,FALSE)*$N$2,"")</f>
        <v/>
      </c>
      <c r="M667" s="73" t="str">
        <f t="shared" si="271"/>
        <v/>
      </c>
      <c r="N667" s="397"/>
      <c r="O667">
        <f t="shared" si="273"/>
        <v>0</v>
      </c>
      <c r="P667">
        <f t="shared" si="255"/>
        <v>0</v>
      </c>
      <c r="Q667">
        <f t="shared" si="256"/>
        <v>0</v>
      </c>
    </row>
    <row r="668" spans="1:17">
      <c r="A668" s="388"/>
      <c r="B668" s="391"/>
      <c r="C668" s="69"/>
      <c r="D668" s="70"/>
      <c r="E668" s="146"/>
      <c r="F668" s="70" t="str">
        <f>IFERROR(VLOOKUP(C668,MATERIAUX!$C$3:$G$1002,3,FALSE),"")</f>
        <v/>
      </c>
      <c r="G668" s="71" t="str">
        <f>IFERROR(VLOOKUP(C668,MATERIAUX!$C$3:$G$1002,5,FALSE),"")</f>
        <v/>
      </c>
      <c r="H668" s="71" t="str">
        <f t="shared" si="247"/>
        <v/>
      </c>
      <c r="I668" s="394"/>
      <c r="J668" s="72"/>
      <c r="K668" s="72"/>
      <c r="L668" s="72" t="str">
        <f>IFERROR(VLOOKUP(J668,'MAIN D OEUVRE'!$A$4:$B$99,2,FALSE)*$N$2,"")</f>
        <v/>
      </c>
      <c r="M668" s="73" t="str">
        <f t="shared" si="271"/>
        <v/>
      </c>
      <c r="N668" s="397"/>
      <c r="O668">
        <f t="shared" si="273"/>
        <v>0</v>
      </c>
      <c r="P668">
        <f t="shared" si="255"/>
        <v>0</v>
      </c>
      <c r="Q668">
        <f t="shared" si="256"/>
        <v>0</v>
      </c>
    </row>
    <row r="669" spans="1:17">
      <c r="A669" s="388"/>
      <c r="B669" s="391"/>
      <c r="C669" s="69"/>
      <c r="D669" s="70"/>
      <c r="E669" s="146"/>
      <c r="F669" s="70" t="str">
        <f>IFERROR(VLOOKUP(C669,MATERIAUX!$C$3:$G$1002,3,FALSE),"")</f>
        <v/>
      </c>
      <c r="G669" s="71" t="str">
        <f>IFERROR(VLOOKUP(C669,MATERIAUX!$C$3:$G$1002,5,FALSE),"")</f>
        <v/>
      </c>
      <c r="H669" s="71" t="str">
        <f t="shared" si="247"/>
        <v/>
      </c>
      <c r="I669" s="394"/>
      <c r="J669" s="72"/>
      <c r="K669" s="72"/>
      <c r="L669" s="72" t="str">
        <f>IFERROR(VLOOKUP(J669,'MAIN D OEUVRE'!$A$4:$B$99,2,FALSE)*$N$2,"")</f>
        <v/>
      </c>
      <c r="M669" s="73" t="str">
        <f t="shared" si="271"/>
        <v/>
      </c>
      <c r="N669" s="397"/>
      <c r="O669">
        <f t="shared" si="273"/>
        <v>0</v>
      </c>
      <c r="P669">
        <f t="shared" si="255"/>
        <v>0</v>
      </c>
      <c r="Q669">
        <f t="shared" si="256"/>
        <v>0</v>
      </c>
    </row>
    <row r="670" spans="1:17">
      <c r="A670" s="388"/>
      <c r="B670" s="391"/>
      <c r="C670" s="69"/>
      <c r="D670" s="70"/>
      <c r="E670" s="146"/>
      <c r="F670" s="70" t="str">
        <f>IFERROR(VLOOKUP(C670,MATERIAUX!$C$3:$G$1002,3,FALSE),"")</f>
        <v/>
      </c>
      <c r="G670" s="71" t="str">
        <f>IFERROR(VLOOKUP(C670,MATERIAUX!$C$3:$G$1002,5,FALSE),"")</f>
        <v/>
      </c>
      <c r="H670" s="71" t="str">
        <f t="shared" si="247"/>
        <v/>
      </c>
      <c r="I670" s="394"/>
      <c r="J670" s="72"/>
      <c r="K670" s="72"/>
      <c r="L670" s="72" t="str">
        <f>IFERROR(VLOOKUP(J670,'MAIN D OEUVRE'!$A$4:$B$99,2,FALSE)*$N$2,"")</f>
        <v/>
      </c>
      <c r="M670" s="73" t="str">
        <f t="shared" si="271"/>
        <v/>
      </c>
      <c r="N670" s="397"/>
      <c r="O670">
        <f t="shared" si="273"/>
        <v>0</v>
      </c>
      <c r="P670">
        <f t="shared" si="255"/>
        <v>0</v>
      </c>
      <c r="Q670">
        <f t="shared" si="256"/>
        <v>0</v>
      </c>
    </row>
    <row r="671" spans="1:17">
      <c r="A671" s="388"/>
      <c r="B671" s="391"/>
      <c r="C671" s="69"/>
      <c r="D671" s="70"/>
      <c r="E671" s="146"/>
      <c r="F671" s="70" t="str">
        <f>IFERROR(VLOOKUP(C671,MATERIAUX!$C$3:$G$1002,3,FALSE),"")</f>
        <v/>
      </c>
      <c r="G671" s="71" t="str">
        <f>IFERROR(VLOOKUP(C671,MATERIAUX!$C$3:$G$1002,5,FALSE),"")</f>
        <v/>
      </c>
      <c r="H671" s="71" t="str">
        <f t="shared" si="247"/>
        <v/>
      </c>
      <c r="I671" s="394"/>
      <c r="J671" s="72"/>
      <c r="K671" s="72"/>
      <c r="L671" s="72"/>
      <c r="M671" s="73"/>
      <c r="N671" s="397"/>
      <c r="O671">
        <f t="shared" si="273"/>
        <v>0</v>
      </c>
      <c r="P671">
        <f t="shared" si="255"/>
        <v>0</v>
      </c>
      <c r="Q671">
        <f t="shared" si="256"/>
        <v>0</v>
      </c>
    </row>
    <row r="672" spans="1:17" ht="15" thickBot="1">
      <c r="A672" s="389"/>
      <c r="B672" s="392"/>
      <c r="C672" s="74"/>
      <c r="D672" s="75"/>
      <c r="E672" s="147"/>
      <c r="F672" s="70" t="str">
        <f>IFERROR(VLOOKUP(C672,MATERIAUX!$C$3:$G$1002,3,FALSE),"")</f>
        <v/>
      </c>
      <c r="G672" s="71" t="str">
        <f>IFERROR(VLOOKUP(C672,MATERIAUX!$C$3:$G$1002,5,FALSE),"")</f>
        <v/>
      </c>
      <c r="H672" s="71" t="str">
        <f t="shared" si="247"/>
        <v/>
      </c>
      <c r="I672" s="395"/>
      <c r="J672" s="77"/>
      <c r="K672" s="77"/>
      <c r="L672" s="77"/>
      <c r="M672" s="78"/>
      <c r="N672" s="398"/>
      <c r="O672">
        <f t="shared" si="273"/>
        <v>0</v>
      </c>
      <c r="P672">
        <f t="shared" si="255"/>
        <v>0</v>
      </c>
      <c r="Q672">
        <f t="shared" si="256"/>
        <v>0</v>
      </c>
    </row>
    <row r="673" spans="1:17">
      <c r="A673" s="387" t="s">
        <v>315</v>
      </c>
      <c r="B673" s="390" t="s">
        <v>23</v>
      </c>
      <c r="C673" s="64" t="s">
        <v>316</v>
      </c>
      <c r="D673" s="65">
        <v>1</v>
      </c>
      <c r="E673" s="145">
        <v>0.1</v>
      </c>
      <c r="F673" s="65" t="str">
        <f>IFERROR(VLOOKUP(C673,MATERIAUX!$C$3:$G$1002,3,FALSE),"")</f>
        <v>ml</v>
      </c>
      <c r="G673" s="66">
        <f>IFERROR(VLOOKUP(C673,MATERIAUX!$C$3:$G$1002,5,FALSE),"")</f>
        <v>5.0226804123711339</v>
      </c>
      <c r="H673" s="66">
        <f t="shared" si="247"/>
        <v>5.52</v>
      </c>
      <c r="I673" s="393">
        <f t="shared" ref="I673" si="274">SUM(H673:H682)</f>
        <v>6.2899999999999991</v>
      </c>
      <c r="J673" s="67" t="s">
        <v>122</v>
      </c>
      <c r="K673" s="67">
        <v>1.0000000000000002E-2</v>
      </c>
      <c r="L673" s="67">
        <f>IFERROR(VLOOKUP(J673,'MAIN D OEUVRE'!$A$4:$B$99,2,FALSE)*$N$2,"")</f>
        <v>121.00000000000001</v>
      </c>
      <c r="M673" s="68">
        <f t="shared" ref="M673:M680" si="275">IFERROR(ROUND(L673*K673,2),"")</f>
        <v>1.21</v>
      </c>
      <c r="N673" s="396">
        <f t="shared" ref="N673" si="276">SUM(M673:M682)</f>
        <v>1.87</v>
      </c>
      <c r="O673" s="350">
        <v>0</v>
      </c>
      <c r="P673">
        <f t="shared" si="255"/>
        <v>0</v>
      </c>
      <c r="Q673">
        <f t="shared" si="256"/>
        <v>0</v>
      </c>
    </row>
    <row r="674" spans="1:17">
      <c r="A674" s="388"/>
      <c r="B674" s="391"/>
      <c r="C674" s="69" t="s">
        <v>131</v>
      </c>
      <c r="D674" s="70">
        <f>0.01</f>
        <v>0.01</v>
      </c>
      <c r="E674" s="146">
        <v>0</v>
      </c>
      <c r="F674" s="70" t="str">
        <f>IFERROR(VLOOKUP(C674,MATERIAUX!$C$3:$G$1002,3,FALSE),"")</f>
        <v>m3</v>
      </c>
      <c r="G674" s="71">
        <f>IFERROR(VLOOKUP(C674,MATERIAUX!$C$3:$G$1002,5,FALSE),"")</f>
        <v>76.701030927835063</v>
      </c>
      <c r="H674" s="71">
        <f t="shared" ref="H674:H742" si="277">IFERROR(ROUND(G674*(1+E674)*D674,2),"")</f>
        <v>0.77</v>
      </c>
      <c r="I674" s="394"/>
      <c r="J674" s="72" t="s">
        <v>241</v>
      </c>
      <c r="K674" s="72">
        <v>0.30000000000000004</v>
      </c>
      <c r="L674" s="72">
        <f>IFERROR(VLOOKUP(J674,'MAIN D OEUVRE'!$A$4:$B$99,2,FALSE)*$N$2,"")</f>
        <v>2.2000000000000002</v>
      </c>
      <c r="M674" s="73">
        <f t="shared" si="275"/>
        <v>0.66</v>
      </c>
      <c r="N674" s="397"/>
      <c r="O674">
        <f>O673</f>
        <v>0</v>
      </c>
      <c r="P674">
        <f t="shared" si="255"/>
        <v>0</v>
      </c>
      <c r="Q674">
        <f t="shared" si="256"/>
        <v>0</v>
      </c>
    </row>
    <row r="675" spans="1:17">
      <c r="A675" s="388"/>
      <c r="B675" s="391"/>
      <c r="C675" s="69"/>
      <c r="D675" s="70"/>
      <c r="E675" s="146"/>
      <c r="F675" s="70" t="str">
        <f>IFERROR(VLOOKUP(C675,MATERIAUX!$C$3:$G$1002,3,FALSE),"")</f>
        <v/>
      </c>
      <c r="G675" s="71" t="str">
        <f>IFERROR(VLOOKUP(C675,MATERIAUX!$C$3:$G$1002,5,FALSE),"")</f>
        <v/>
      </c>
      <c r="H675" s="71" t="str">
        <f t="shared" si="277"/>
        <v/>
      </c>
      <c r="I675" s="394"/>
      <c r="J675" s="72"/>
      <c r="K675" s="72"/>
      <c r="L675" s="72" t="str">
        <f>IFERROR(VLOOKUP(J675,'MAIN D OEUVRE'!$A$4:$B$99,2,FALSE)*$N$2,"")</f>
        <v/>
      </c>
      <c r="M675" s="73" t="str">
        <f t="shared" si="275"/>
        <v/>
      </c>
      <c r="N675" s="397"/>
      <c r="O675">
        <f t="shared" ref="O675:O682" si="278">O674</f>
        <v>0</v>
      </c>
      <c r="P675">
        <f t="shared" si="255"/>
        <v>0</v>
      </c>
      <c r="Q675">
        <f t="shared" si="256"/>
        <v>0</v>
      </c>
    </row>
    <row r="676" spans="1:17">
      <c r="A676" s="388"/>
      <c r="B676" s="391"/>
      <c r="C676" s="69"/>
      <c r="D676" s="70"/>
      <c r="E676" s="146"/>
      <c r="F676" s="70" t="str">
        <f>IFERROR(VLOOKUP(C676,MATERIAUX!$C$3:$G$1002,3,FALSE),"")</f>
        <v/>
      </c>
      <c r="G676" s="71" t="str">
        <f>IFERROR(VLOOKUP(C676,MATERIAUX!$C$3:$G$1002,5,FALSE),"")</f>
        <v/>
      </c>
      <c r="H676" s="71" t="str">
        <f t="shared" si="277"/>
        <v/>
      </c>
      <c r="I676" s="394"/>
      <c r="J676" s="72"/>
      <c r="K676" s="72"/>
      <c r="L676" s="72" t="str">
        <f>IFERROR(VLOOKUP(J676,'MAIN D OEUVRE'!$A$4:$B$99,2,FALSE)*$N$2,"")</f>
        <v/>
      </c>
      <c r="M676" s="73" t="str">
        <f t="shared" si="275"/>
        <v/>
      </c>
      <c r="N676" s="397"/>
      <c r="O676">
        <f t="shared" si="278"/>
        <v>0</v>
      </c>
      <c r="P676">
        <f t="shared" si="255"/>
        <v>0</v>
      </c>
      <c r="Q676">
        <f t="shared" si="256"/>
        <v>0</v>
      </c>
    </row>
    <row r="677" spans="1:17">
      <c r="A677" s="388"/>
      <c r="B677" s="391"/>
      <c r="C677" s="69"/>
      <c r="D677" s="70"/>
      <c r="E677" s="146"/>
      <c r="F677" s="70" t="str">
        <f>IFERROR(VLOOKUP(C677,MATERIAUX!$C$3:$G$1002,3,FALSE),"")</f>
        <v/>
      </c>
      <c r="G677" s="71" t="str">
        <f>IFERROR(VLOOKUP(C677,MATERIAUX!$C$3:$G$1002,5,FALSE),"")</f>
        <v/>
      </c>
      <c r="H677" s="71" t="str">
        <f t="shared" si="277"/>
        <v/>
      </c>
      <c r="I677" s="394"/>
      <c r="J677" s="72"/>
      <c r="K677" s="72"/>
      <c r="L677" s="72" t="str">
        <f>IFERROR(VLOOKUP(J677,'MAIN D OEUVRE'!$A$4:$B$99,2,FALSE)*$N$2,"")</f>
        <v/>
      </c>
      <c r="M677" s="73" t="str">
        <f t="shared" si="275"/>
        <v/>
      </c>
      <c r="N677" s="397"/>
      <c r="O677">
        <f t="shared" si="278"/>
        <v>0</v>
      </c>
      <c r="P677">
        <f t="shared" si="255"/>
        <v>0</v>
      </c>
      <c r="Q677">
        <f t="shared" si="256"/>
        <v>0</v>
      </c>
    </row>
    <row r="678" spans="1:17">
      <c r="A678" s="388"/>
      <c r="B678" s="391"/>
      <c r="C678" s="69"/>
      <c r="D678" s="70"/>
      <c r="E678" s="146"/>
      <c r="F678" s="70" t="str">
        <f>IFERROR(VLOOKUP(C678,MATERIAUX!$C$3:$G$1002,3,FALSE),"")</f>
        <v/>
      </c>
      <c r="G678" s="71" t="str">
        <f>IFERROR(VLOOKUP(C678,MATERIAUX!$C$3:$G$1002,5,FALSE),"")</f>
        <v/>
      </c>
      <c r="H678" s="71" t="str">
        <f t="shared" si="277"/>
        <v/>
      </c>
      <c r="I678" s="394"/>
      <c r="J678" s="72"/>
      <c r="K678" s="72"/>
      <c r="L678" s="72" t="str">
        <f>IFERROR(VLOOKUP(J678,'MAIN D OEUVRE'!$A$4:$B$99,2,FALSE)*$N$2,"")</f>
        <v/>
      </c>
      <c r="M678" s="73" t="str">
        <f t="shared" si="275"/>
        <v/>
      </c>
      <c r="N678" s="397"/>
      <c r="O678">
        <f t="shared" si="278"/>
        <v>0</v>
      </c>
      <c r="P678">
        <f t="shared" si="255"/>
        <v>0</v>
      </c>
      <c r="Q678">
        <f t="shared" si="256"/>
        <v>0</v>
      </c>
    </row>
    <row r="679" spans="1:17">
      <c r="A679" s="388"/>
      <c r="B679" s="391"/>
      <c r="C679" s="69"/>
      <c r="D679" s="70"/>
      <c r="E679" s="146"/>
      <c r="F679" s="70" t="str">
        <f>IFERROR(VLOOKUP(C679,MATERIAUX!$C$3:$G$1002,3,FALSE),"")</f>
        <v/>
      </c>
      <c r="G679" s="71" t="str">
        <f>IFERROR(VLOOKUP(C679,MATERIAUX!$C$3:$G$1002,5,FALSE),"")</f>
        <v/>
      </c>
      <c r="H679" s="71" t="str">
        <f t="shared" si="277"/>
        <v/>
      </c>
      <c r="I679" s="394"/>
      <c r="J679" s="72"/>
      <c r="K679" s="72"/>
      <c r="L679" s="72" t="str">
        <f>IFERROR(VLOOKUP(J679,'MAIN D OEUVRE'!$A$4:$B$99,2,FALSE)*$N$2,"")</f>
        <v/>
      </c>
      <c r="M679" s="73" t="str">
        <f t="shared" si="275"/>
        <v/>
      </c>
      <c r="N679" s="397"/>
      <c r="O679">
        <f t="shared" si="278"/>
        <v>0</v>
      </c>
      <c r="P679">
        <f t="shared" si="255"/>
        <v>0</v>
      </c>
      <c r="Q679">
        <f t="shared" si="256"/>
        <v>0</v>
      </c>
    </row>
    <row r="680" spans="1:17">
      <c r="A680" s="388"/>
      <c r="B680" s="391"/>
      <c r="C680" s="69"/>
      <c r="D680" s="70"/>
      <c r="E680" s="146"/>
      <c r="F680" s="70" t="str">
        <f>IFERROR(VLOOKUP(C680,MATERIAUX!$C$3:$G$1002,3,FALSE),"")</f>
        <v/>
      </c>
      <c r="G680" s="71" t="str">
        <f>IFERROR(VLOOKUP(C680,MATERIAUX!$C$3:$G$1002,5,FALSE),"")</f>
        <v/>
      </c>
      <c r="H680" s="71" t="str">
        <f t="shared" si="277"/>
        <v/>
      </c>
      <c r="I680" s="394"/>
      <c r="J680" s="72"/>
      <c r="K680" s="72"/>
      <c r="L680" s="72" t="str">
        <f>IFERROR(VLOOKUP(J680,'MAIN D OEUVRE'!$A$4:$B$99,2,FALSE)*$N$2,"")</f>
        <v/>
      </c>
      <c r="M680" s="73" t="str">
        <f t="shared" si="275"/>
        <v/>
      </c>
      <c r="N680" s="397"/>
      <c r="O680">
        <f t="shared" si="278"/>
        <v>0</v>
      </c>
      <c r="P680">
        <f t="shared" si="255"/>
        <v>0</v>
      </c>
      <c r="Q680">
        <f t="shared" si="256"/>
        <v>0</v>
      </c>
    </row>
    <row r="681" spans="1:17">
      <c r="A681" s="388"/>
      <c r="B681" s="391"/>
      <c r="C681" s="69"/>
      <c r="D681" s="70"/>
      <c r="E681" s="146"/>
      <c r="F681" s="70" t="str">
        <f>IFERROR(VLOOKUP(C681,MATERIAUX!$C$3:$G$1002,3,FALSE),"")</f>
        <v/>
      </c>
      <c r="G681" s="71" t="str">
        <f>IFERROR(VLOOKUP(C681,MATERIAUX!$C$3:$G$1002,5,FALSE),"")</f>
        <v/>
      </c>
      <c r="H681" s="71" t="str">
        <f t="shared" si="277"/>
        <v/>
      </c>
      <c r="I681" s="394"/>
      <c r="J681" s="72"/>
      <c r="K681" s="72"/>
      <c r="L681" s="72"/>
      <c r="M681" s="73"/>
      <c r="N681" s="397"/>
      <c r="O681">
        <f t="shared" si="278"/>
        <v>0</v>
      </c>
      <c r="P681">
        <f t="shared" si="255"/>
        <v>0</v>
      </c>
      <c r="Q681">
        <f t="shared" si="256"/>
        <v>0</v>
      </c>
    </row>
    <row r="682" spans="1:17" ht="15" thickBot="1">
      <c r="A682" s="389"/>
      <c r="B682" s="392"/>
      <c r="C682" s="74"/>
      <c r="D682" s="75"/>
      <c r="E682" s="147"/>
      <c r="F682" s="70" t="str">
        <f>IFERROR(VLOOKUP(C682,MATERIAUX!$C$3:$G$1002,3,FALSE),"")</f>
        <v/>
      </c>
      <c r="G682" s="71" t="str">
        <f>IFERROR(VLOOKUP(C682,MATERIAUX!$C$3:$G$1002,5,FALSE),"")</f>
        <v/>
      </c>
      <c r="H682" s="71" t="str">
        <f t="shared" si="277"/>
        <v/>
      </c>
      <c r="I682" s="395"/>
      <c r="J682" s="77"/>
      <c r="K682" s="77"/>
      <c r="L682" s="77"/>
      <c r="M682" s="78"/>
      <c r="N682" s="398"/>
      <c r="O682">
        <f t="shared" si="278"/>
        <v>0</v>
      </c>
      <c r="P682">
        <f t="shared" si="255"/>
        <v>0</v>
      </c>
      <c r="Q682">
        <f t="shared" si="256"/>
        <v>0</v>
      </c>
    </row>
    <row r="683" spans="1:17">
      <c r="A683" s="387" t="s">
        <v>633</v>
      </c>
      <c r="B683" s="390" t="s">
        <v>23</v>
      </c>
      <c r="C683" s="64" t="s">
        <v>634</v>
      </c>
      <c r="D683" s="65">
        <v>1</v>
      </c>
      <c r="E683" s="145">
        <v>0.1</v>
      </c>
      <c r="F683" s="65" t="str">
        <f>IFERROR(VLOOKUP(C683,MATERIAUX!$C$3:$G$1002,3,FALSE),"")</f>
        <v>ml</v>
      </c>
      <c r="G683" s="66">
        <f>IFERROR(VLOOKUP(C683,MATERIAUX!$C$3:$G$1002,5,FALSE),"")</f>
        <v>2.6369072164948455</v>
      </c>
      <c r="H683" s="66">
        <f t="shared" si="277"/>
        <v>2.9</v>
      </c>
      <c r="I683" s="393">
        <f t="shared" ref="I683" si="279">SUM(H683:H692)</f>
        <v>3.67</v>
      </c>
      <c r="J683" s="67" t="s">
        <v>122</v>
      </c>
      <c r="K683" s="67">
        <v>1.0000000000000002E-2</v>
      </c>
      <c r="L683" s="67">
        <f>IFERROR(VLOOKUP(J683,'MAIN D OEUVRE'!$A$4:$B$99,2,FALSE)*$N$2,"")</f>
        <v>121.00000000000001</v>
      </c>
      <c r="M683" s="68">
        <f t="shared" ref="M683:M690" si="280">IFERROR(ROUND(L683*K683,2),"")</f>
        <v>1.21</v>
      </c>
      <c r="N683" s="396">
        <f t="shared" ref="N683" si="281">SUM(M683:M692)</f>
        <v>1.87</v>
      </c>
      <c r="O683" s="350">
        <v>0</v>
      </c>
      <c r="P683">
        <f t="shared" ref="P683:P692" si="282">(D683+D683*E683)*O683</f>
        <v>0</v>
      </c>
      <c r="Q683">
        <f t="shared" ref="Q683:Q692" si="283">IF(P683=0,0,P683*G683)</f>
        <v>0</v>
      </c>
    </row>
    <row r="684" spans="1:17">
      <c r="A684" s="388"/>
      <c r="B684" s="391"/>
      <c r="C684" s="69" t="s">
        <v>131</v>
      </c>
      <c r="D684" s="70">
        <f>0.01</f>
        <v>0.01</v>
      </c>
      <c r="E684" s="146">
        <v>0</v>
      </c>
      <c r="F684" s="70" t="str">
        <f>IFERROR(VLOOKUP(C684,MATERIAUX!$C$3:$G$1002,3,FALSE),"")</f>
        <v>m3</v>
      </c>
      <c r="G684" s="71">
        <f>IFERROR(VLOOKUP(C684,MATERIAUX!$C$3:$G$1002,5,FALSE),"")</f>
        <v>76.701030927835063</v>
      </c>
      <c r="H684" s="71">
        <f t="shared" ref="H684:H692" si="284">IFERROR(ROUND(G684*(1+E684)*D684,2),"")</f>
        <v>0.77</v>
      </c>
      <c r="I684" s="394"/>
      <c r="J684" s="72" t="s">
        <v>241</v>
      </c>
      <c r="K684" s="72">
        <v>0.30000000000000004</v>
      </c>
      <c r="L684" s="72">
        <f>IFERROR(VLOOKUP(J684,'MAIN D OEUVRE'!$A$4:$B$99,2,FALSE)*$N$2,"")</f>
        <v>2.2000000000000002</v>
      </c>
      <c r="M684" s="73">
        <f t="shared" si="280"/>
        <v>0.66</v>
      </c>
      <c r="N684" s="397"/>
      <c r="O684">
        <f>O683</f>
        <v>0</v>
      </c>
      <c r="P684">
        <f t="shared" si="282"/>
        <v>0</v>
      </c>
      <c r="Q684">
        <f t="shared" si="283"/>
        <v>0</v>
      </c>
    </row>
    <row r="685" spans="1:17">
      <c r="A685" s="388"/>
      <c r="B685" s="391"/>
      <c r="C685" s="69"/>
      <c r="D685" s="70"/>
      <c r="E685" s="146"/>
      <c r="F685" s="70" t="str">
        <f>IFERROR(VLOOKUP(C685,MATERIAUX!$C$3:$G$1002,3,FALSE),"")</f>
        <v/>
      </c>
      <c r="G685" s="71" t="str">
        <f>IFERROR(VLOOKUP(C685,MATERIAUX!$C$3:$G$1002,5,FALSE),"")</f>
        <v/>
      </c>
      <c r="H685" s="71" t="str">
        <f t="shared" si="284"/>
        <v/>
      </c>
      <c r="I685" s="394"/>
      <c r="J685" s="72"/>
      <c r="K685" s="72"/>
      <c r="L685" s="72" t="str">
        <f>IFERROR(VLOOKUP(J685,'MAIN D OEUVRE'!$A$4:$B$99,2,FALSE)*$N$2,"")</f>
        <v/>
      </c>
      <c r="M685" s="73" t="str">
        <f t="shared" si="280"/>
        <v/>
      </c>
      <c r="N685" s="397"/>
      <c r="O685">
        <f t="shared" ref="O685:O692" si="285">O684</f>
        <v>0</v>
      </c>
      <c r="P685">
        <f t="shared" si="282"/>
        <v>0</v>
      </c>
      <c r="Q685">
        <f t="shared" si="283"/>
        <v>0</v>
      </c>
    </row>
    <row r="686" spans="1:17">
      <c r="A686" s="388"/>
      <c r="B686" s="391"/>
      <c r="C686" s="69"/>
      <c r="D686" s="70"/>
      <c r="E686" s="146"/>
      <c r="F686" s="70" t="str">
        <f>IFERROR(VLOOKUP(C686,MATERIAUX!$C$3:$G$1002,3,FALSE),"")</f>
        <v/>
      </c>
      <c r="G686" s="71" t="str">
        <f>IFERROR(VLOOKUP(C686,MATERIAUX!$C$3:$G$1002,5,FALSE),"")</f>
        <v/>
      </c>
      <c r="H686" s="71" t="str">
        <f t="shared" si="284"/>
        <v/>
      </c>
      <c r="I686" s="394"/>
      <c r="J686" s="72"/>
      <c r="K686" s="72"/>
      <c r="L686" s="72" t="str">
        <f>IFERROR(VLOOKUP(J686,'MAIN D OEUVRE'!$A$4:$B$99,2,FALSE)*$N$2,"")</f>
        <v/>
      </c>
      <c r="M686" s="73" t="str">
        <f t="shared" si="280"/>
        <v/>
      </c>
      <c r="N686" s="397"/>
      <c r="O686">
        <f t="shared" si="285"/>
        <v>0</v>
      </c>
      <c r="P686">
        <f t="shared" si="282"/>
        <v>0</v>
      </c>
      <c r="Q686">
        <f t="shared" si="283"/>
        <v>0</v>
      </c>
    </row>
    <row r="687" spans="1:17">
      <c r="A687" s="388"/>
      <c r="B687" s="391"/>
      <c r="C687" s="69"/>
      <c r="D687" s="70"/>
      <c r="E687" s="146"/>
      <c r="F687" s="70" t="str">
        <f>IFERROR(VLOOKUP(C687,MATERIAUX!$C$3:$G$1002,3,FALSE),"")</f>
        <v/>
      </c>
      <c r="G687" s="71" t="str">
        <f>IFERROR(VLOOKUP(C687,MATERIAUX!$C$3:$G$1002,5,FALSE),"")</f>
        <v/>
      </c>
      <c r="H687" s="71" t="str">
        <f t="shared" si="284"/>
        <v/>
      </c>
      <c r="I687" s="394"/>
      <c r="J687" s="72"/>
      <c r="K687" s="72"/>
      <c r="L687" s="72" t="str">
        <f>IFERROR(VLOOKUP(J687,'MAIN D OEUVRE'!$A$4:$B$99,2,FALSE)*$N$2,"")</f>
        <v/>
      </c>
      <c r="M687" s="73" t="str">
        <f t="shared" si="280"/>
        <v/>
      </c>
      <c r="N687" s="397"/>
      <c r="O687">
        <f t="shared" si="285"/>
        <v>0</v>
      </c>
      <c r="P687">
        <f t="shared" si="282"/>
        <v>0</v>
      </c>
      <c r="Q687">
        <f t="shared" si="283"/>
        <v>0</v>
      </c>
    </row>
    <row r="688" spans="1:17">
      <c r="A688" s="388"/>
      <c r="B688" s="391"/>
      <c r="C688" s="69"/>
      <c r="D688" s="70"/>
      <c r="E688" s="146"/>
      <c r="F688" s="70" t="str">
        <f>IFERROR(VLOOKUP(C688,MATERIAUX!$C$3:$G$1002,3,FALSE),"")</f>
        <v/>
      </c>
      <c r="G688" s="71" t="str">
        <f>IFERROR(VLOOKUP(C688,MATERIAUX!$C$3:$G$1002,5,FALSE),"")</f>
        <v/>
      </c>
      <c r="H688" s="71" t="str">
        <f t="shared" si="284"/>
        <v/>
      </c>
      <c r="I688" s="394"/>
      <c r="J688" s="72"/>
      <c r="K688" s="72"/>
      <c r="L688" s="72" t="str">
        <f>IFERROR(VLOOKUP(J688,'MAIN D OEUVRE'!$A$4:$B$99,2,FALSE)*$N$2,"")</f>
        <v/>
      </c>
      <c r="M688" s="73" t="str">
        <f t="shared" si="280"/>
        <v/>
      </c>
      <c r="N688" s="397"/>
      <c r="O688">
        <f t="shared" si="285"/>
        <v>0</v>
      </c>
      <c r="P688">
        <f t="shared" si="282"/>
        <v>0</v>
      </c>
      <c r="Q688">
        <f t="shared" si="283"/>
        <v>0</v>
      </c>
    </row>
    <row r="689" spans="1:17">
      <c r="A689" s="388"/>
      <c r="B689" s="391"/>
      <c r="C689" s="69"/>
      <c r="D689" s="70"/>
      <c r="E689" s="146"/>
      <c r="F689" s="70" t="str">
        <f>IFERROR(VLOOKUP(C689,MATERIAUX!$C$3:$G$1002,3,FALSE),"")</f>
        <v/>
      </c>
      <c r="G689" s="71" t="str">
        <f>IFERROR(VLOOKUP(C689,MATERIAUX!$C$3:$G$1002,5,FALSE),"")</f>
        <v/>
      </c>
      <c r="H689" s="71" t="str">
        <f t="shared" si="284"/>
        <v/>
      </c>
      <c r="I689" s="394"/>
      <c r="J689" s="72"/>
      <c r="K689" s="72"/>
      <c r="L689" s="72" t="str">
        <f>IFERROR(VLOOKUP(J689,'MAIN D OEUVRE'!$A$4:$B$99,2,FALSE)*$N$2,"")</f>
        <v/>
      </c>
      <c r="M689" s="73" t="str">
        <f t="shared" si="280"/>
        <v/>
      </c>
      <c r="N689" s="397"/>
      <c r="O689">
        <f t="shared" si="285"/>
        <v>0</v>
      </c>
      <c r="P689">
        <f t="shared" si="282"/>
        <v>0</v>
      </c>
      <c r="Q689">
        <f t="shared" si="283"/>
        <v>0</v>
      </c>
    </row>
    <row r="690" spans="1:17">
      <c r="A690" s="388"/>
      <c r="B690" s="391"/>
      <c r="C690" s="69"/>
      <c r="D690" s="70"/>
      <c r="E690" s="146"/>
      <c r="F690" s="70" t="str">
        <f>IFERROR(VLOOKUP(C690,MATERIAUX!$C$3:$G$1002,3,FALSE),"")</f>
        <v/>
      </c>
      <c r="G690" s="71" t="str">
        <f>IFERROR(VLOOKUP(C690,MATERIAUX!$C$3:$G$1002,5,FALSE),"")</f>
        <v/>
      </c>
      <c r="H690" s="71" t="str">
        <f t="shared" si="284"/>
        <v/>
      </c>
      <c r="I690" s="394"/>
      <c r="J690" s="72"/>
      <c r="K690" s="72"/>
      <c r="L690" s="72" t="str">
        <f>IFERROR(VLOOKUP(J690,'MAIN D OEUVRE'!$A$4:$B$99,2,FALSE)*$N$2,"")</f>
        <v/>
      </c>
      <c r="M690" s="73" t="str">
        <f t="shared" si="280"/>
        <v/>
      </c>
      <c r="N690" s="397"/>
      <c r="O690">
        <f t="shared" si="285"/>
        <v>0</v>
      </c>
      <c r="P690">
        <f t="shared" si="282"/>
        <v>0</v>
      </c>
      <c r="Q690">
        <f t="shared" si="283"/>
        <v>0</v>
      </c>
    </row>
    <row r="691" spans="1:17">
      <c r="A691" s="388"/>
      <c r="B691" s="391"/>
      <c r="C691" s="69"/>
      <c r="D691" s="70"/>
      <c r="E691" s="146"/>
      <c r="F691" s="70" t="str">
        <f>IFERROR(VLOOKUP(C691,MATERIAUX!$C$3:$G$1002,3,FALSE),"")</f>
        <v/>
      </c>
      <c r="G691" s="71" t="str">
        <f>IFERROR(VLOOKUP(C691,MATERIAUX!$C$3:$G$1002,5,FALSE),"")</f>
        <v/>
      </c>
      <c r="H691" s="71" t="str">
        <f t="shared" si="284"/>
        <v/>
      </c>
      <c r="I691" s="394"/>
      <c r="J691" s="72"/>
      <c r="K691" s="72"/>
      <c r="L691" s="72"/>
      <c r="M691" s="73"/>
      <c r="N691" s="397"/>
      <c r="O691">
        <f t="shared" si="285"/>
        <v>0</v>
      </c>
      <c r="P691">
        <f t="shared" si="282"/>
        <v>0</v>
      </c>
      <c r="Q691">
        <f t="shared" si="283"/>
        <v>0</v>
      </c>
    </row>
    <row r="692" spans="1:17" ht="15" thickBot="1">
      <c r="A692" s="389"/>
      <c r="B692" s="392"/>
      <c r="C692" s="74"/>
      <c r="D692" s="75"/>
      <c r="E692" s="147"/>
      <c r="F692" s="70" t="str">
        <f>IFERROR(VLOOKUP(C692,MATERIAUX!$C$3:$G$1002,3,FALSE),"")</f>
        <v/>
      </c>
      <c r="G692" s="71" t="str">
        <f>IFERROR(VLOOKUP(C692,MATERIAUX!$C$3:$G$1002,5,FALSE),"")</f>
        <v/>
      </c>
      <c r="H692" s="71" t="str">
        <f t="shared" si="284"/>
        <v/>
      </c>
      <c r="I692" s="395"/>
      <c r="J692" s="77"/>
      <c r="K692" s="77"/>
      <c r="L692" s="77"/>
      <c r="M692" s="78"/>
      <c r="N692" s="398"/>
      <c r="O692">
        <f t="shared" si="285"/>
        <v>0</v>
      </c>
      <c r="P692">
        <f t="shared" si="282"/>
        <v>0</v>
      </c>
      <c r="Q692">
        <f t="shared" si="283"/>
        <v>0</v>
      </c>
    </row>
    <row r="693" spans="1:17">
      <c r="A693" s="387" t="s">
        <v>346</v>
      </c>
      <c r="B693" s="390" t="s">
        <v>21</v>
      </c>
      <c r="C693" s="64" t="s">
        <v>344</v>
      </c>
      <c r="D693" s="65">
        <v>1</v>
      </c>
      <c r="E693" s="145">
        <v>0.05</v>
      </c>
      <c r="F693" s="65" t="str">
        <f>IFERROR(VLOOKUP(C693,MATERIAUX!$C$3:$G$1002,3,FALSE),"")</f>
        <v>m2</v>
      </c>
      <c r="G693" s="66">
        <f>IFERROR(VLOOKUP(C693,MATERIAUX!$C$3:$G$1002,5,FALSE),"")</f>
        <v>18.041237113402062</v>
      </c>
      <c r="H693" s="66">
        <f t="shared" si="277"/>
        <v>18.940000000000001</v>
      </c>
      <c r="I693" s="393">
        <f t="shared" ref="I693" si="286">SUM(H693:H702)</f>
        <v>20.12</v>
      </c>
      <c r="J693" s="67" t="s">
        <v>218</v>
      </c>
      <c r="K693" s="67">
        <v>2.5</v>
      </c>
      <c r="L693" s="67">
        <f>IFERROR(VLOOKUP(J693,'MAIN D OEUVRE'!$A$4:$B$99,2,FALSE)*$N$2,"")</f>
        <v>2.75</v>
      </c>
      <c r="M693" s="68">
        <f t="shared" ref="M693:M700" si="287">IFERROR(ROUND(L693*K693,2),"")</f>
        <v>6.88</v>
      </c>
      <c r="N693" s="396">
        <f t="shared" ref="N693" si="288">SUM(M693:M702)</f>
        <v>6.88</v>
      </c>
      <c r="O693" s="350">
        <v>0</v>
      </c>
      <c r="P693">
        <f t="shared" si="255"/>
        <v>0</v>
      </c>
      <c r="Q693">
        <f t="shared" si="256"/>
        <v>0</v>
      </c>
    </row>
    <row r="694" spans="1:17">
      <c r="A694" s="388"/>
      <c r="B694" s="391"/>
      <c r="C694" s="69" t="s">
        <v>84</v>
      </c>
      <c r="D694" s="70">
        <v>30</v>
      </c>
      <c r="E694" s="146">
        <v>0</v>
      </c>
      <c r="F694" s="70" t="str">
        <f>IFERROR(VLOOKUP(C694,MATERIAUX!$C$3:$G$1002,3,FALSE),"")</f>
        <v>u</v>
      </c>
      <c r="G694" s="71">
        <f>IFERROR(VLOOKUP(C694,MATERIAUX!$C$3:$G$1002,5,FALSE),"")</f>
        <v>3.9175257731958769E-2</v>
      </c>
      <c r="H694" s="71">
        <f t="shared" si="277"/>
        <v>1.18</v>
      </c>
      <c r="I694" s="394"/>
      <c r="J694" s="72"/>
      <c r="K694" s="72"/>
      <c r="L694" s="72" t="str">
        <f>IFERROR(VLOOKUP(J694,'MAIN D OEUVRE'!$A$4:$B$99,2,FALSE)*$N$2,"")</f>
        <v/>
      </c>
      <c r="M694" s="73" t="str">
        <f t="shared" si="287"/>
        <v/>
      </c>
      <c r="N694" s="397"/>
      <c r="O694">
        <f>O693</f>
        <v>0</v>
      </c>
      <c r="P694">
        <f t="shared" si="255"/>
        <v>0</v>
      </c>
      <c r="Q694">
        <f t="shared" si="256"/>
        <v>0</v>
      </c>
    </row>
    <row r="695" spans="1:17">
      <c r="A695" s="388"/>
      <c r="B695" s="391"/>
      <c r="C695" s="69"/>
      <c r="D695" s="70"/>
      <c r="E695" s="146"/>
      <c r="F695" s="70" t="str">
        <f>IFERROR(VLOOKUP(C695,MATERIAUX!$C$3:$G$1002,3,FALSE),"")</f>
        <v/>
      </c>
      <c r="G695" s="71" t="str">
        <f>IFERROR(VLOOKUP(C695,MATERIAUX!$C$3:$G$1002,5,FALSE),"")</f>
        <v/>
      </c>
      <c r="H695" s="71" t="str">
        <f t="shared" si="277"/>
        <v/>
      </c>
      <c r="I695" s="394"/>
      <c r="J695" s="72"/>
      <c r="K695" s="72"/>
      <c r="L695" s="72" t="str">
        <f>IFERROR(VLOOKUP(J695,'MAIN D OEUVRE'!$A$4:$B$99,2,FALSE)*$N$2,"")</f>
        <v/>
      </c>
      <c r="M695" s="73" t="str">
        <f t="shared" si="287"/>
        <v/>
      </c>
      <c r="N695" s="397"/>
      <c r="O695">
        <f t="shared" ref="O695:O702" si="289">O694</f>
        <v>0</v>
      </c>
      <c r="P695">
        <f t="shared" si="255"/>
        <v>0</v>
      </c>
      <c r="Q695">
        <f t="shared" si="256"/>
        <v>0</v>
      </c>
    </row>
    <row r="696" spans="1:17">
      <c r="A696" s="388"/>
      <c r="B696" s="391"/>
      <c r="C696" s="69"/>
      <c r="D696" s="70"/>
      <c r="E696" s="146"/>
      <c r="F696" s="70" t="str">
        <f>IFERROR(VLOOKUP(C696,MATERIAUX!$C$3:$G$1002,3,FALSE),"")</f>
        <v/>
      </c>
      <c r="G696" s="71" t="str">
        <f>IFERROR(VLOOKUP(C696,MATERIAUX!$C$3:$G$1002,5,FALSE),"")</f>
        <v/>
      </c>
      <c r="H696" s="71" t="str">
        <f t="shared" si="277"/>
        <v/>
      </c>
      <c r="I696" s="394"/>
      <c r="J696" s="72"/>
      <c r="K696" s="72"/>
      <c r="L696" s="72" t="str">
        <f>IFERROR(VLOOKUP(J696,'MAIN D OEUVRE'!$A$4:$B$99,2,FALSE)*$N$2,"")</f>
        <v/>
      </c>
      <c r="M696" s="73" t="str">
        <f t="shared" si="287"/>
        <v/>
      </c>
      <c r="N696" s="397"/>
      <c r="O696">
        <f t="shared" si="289"/>
        <v>0</v>
      </c>
      <c r="P696">
        <f t="shared" si="255"/>
        <v>0</v>
      </c>
      <c r="Q696">
        <f t="shared" si="256"/>
        <v>0</v>
      </c>
    </row>
    <row r="697" spans="1:17">
      <c r="A697" s="388"/>
      <c r="B697" s="391"/>
      <c r="C697" s="69"/>
      <c r="D697" s="70"/>
      <c r="E697" s="146"/>
      <c r="F697" s="70" t="str">
        <f>IFERROR(VLOOKUP(C697,MATERIAUX!$C$3:$G$1002,3,FALSE),"")</f>
        <v/>
      </c>
      <c r="G697" s="71" t="str">
        <f>IFERROR(VLOOKUP(C697,MATERIAUX!$C$3:$G$1002,5,FALSE),"")</f>
        <v/>
      </c>
      <c r="H697" s="71" t="str">
        <f t="shared" si="277"/>
        <v/>
      </c>
      <c r="I697" s="394"/>
      <c r="J697" s="72"/>
      <c r="K697" s="72"/>
      <c r="L697" s="72" t="str">
        <f>IFERROR(VLOOKUP(J697,'MAIN D OEUVRE'!$A$4:$B$99,2,FALSE)*$N$2,"")</f>
        <v/>
      </c>
      <c r="M697" s="73" t="str">
        <f t="shared" si="287"/>
        <v/>
      </c>
      <c r="N697" s="397"/>
      <c r="O697">
        <f t="shared" si="289"/>
        <v>0</v>
      </c>
      <c r="P697">
        <f t="shared" ref="P697:P760" si="290">(D697+D697*E697)*O697</f>
        <v>0</v>
      </c>
      <c r="Q697">
        <f t="shared" ref="Q697:Q760" si="291">IF(P697=0,0,P697*G697)</f>
        <v>0</v>
      </c>
    </row>
    <row r="698" spans="1:17">
      <c r="A698" s="388"/>
      <c r="B698" s="391"/>
      <c r="C698" s="69"/>
      <c r="D698" s="70"/>
      <c r="E698" s="146"/>
      <c r="F698" s="70" t="str">
        <f>IFERROR(VLOOKUP(C698,MATERIAUX!$C$3:$G$1002,3,FALSE),"")</f>
        <v/>
      </c>
      <c r="G698" s="71" t="str">
        <f>IFERROR(VLOOKUP(C698,MATERIAUX!$C$3:$G$1002,5,FALSE),"")</f>
        <v/>
      </c>
      <c r="H698" s="71" t="str">
        <f t="shared" si="277"/>
        <v/>
      </c>
      <c r="I698" s="394"/>
      <c r="J698" s="72"/>
      <c r="K698" s="72"/>
      <c r="L698" s="72" t="str">
        <f>IFERROR(VLOOKUP(J698,'MAIN D OEUVRE'!$A$4:$B$99,2,FALSE)*$N$2,"")</f>
        <v/>
      </c>
      <c r="M698" s="73" t="str">
        <f t="shared" si="287"/>
        <v/>
      </c>
      <c r="N698" s="397"/>
      <c r="O698">
        <f t="shared" si="289"/>
        <v>0</v>
      </c>
      <c r="P698">
        <f t="shared" si="290"/>
        <v>0</v>
      </c>
      <c r="Q698">
        <f t="shared" si="291"/>
        <v>0</v>
      </c>
    </row>
    <row r="699" spans="1:17">
      <c r="A699" s="388"/>
      <c r="B699" s="391"/>
      <c r="C699" s="69"/>
      <c r="D699" s="70"/>
      <c r="E699" s="146"/>
      <c r="F699" s="70" t="str">
        <f>IFERROR(VLOOKUP(C699,MATERIAUX!$C$3:$G$1002,3,FALSE),"")</f>
        <v/>
      </c>
      <c r="G699" s="71" t="str">
        <f>IFERROR(VLOOKUP(C699,MATERIAUX!$C$3:$G$1002,5,FALSE),"")</f>
        <v/>
      </c>
      <c r="H699" s="71" t="str">
        <f t="shared" si="277"/>
        <v/>
      </c>
      <c r="I699" s="394"/>
      <c r="J699" s="72"/>
      <c r="K699" s="72"/>
      <c r="L699" s="72" t="str">
        <f>IFERROR(VLOOKUP(J699,'MAIN D OEUVRE'!$A$4:$B$99,2,FALSE)*$N$2,"")</f>
        <v/>
      </c>
      <c r="M699" s="73" t="str">
        <f t="shared" si="287"/>
        <v/>
      </c>
      <c r="N699" s="397"/>
      <c r="O699">
        <f t="shared" si="289"/>
        <v>0</v>
      </c>
      <c r="P699">
        <f t="shared" si="290"/>
        <v>0</v>
      </c>
      <c r="Q699">
        <f t="shared" si="291"/>
        <v>0</v>
      </c>
    </row>
    <row r="700" spans="1:17">
      <c r="A700" s="388"/>
      <c r="B700" s="391"/>
      <c r="C700" s="69"/>
      <c r="D700" s="70"/>
      <c r="E700" s="146"/>
      <c r="F700" s="70" t="str">
        <f>IFERROR(VLOOKUP(C700,MATERIAUX!$C$3:$G$1002,3,FALSE),"")</f>
        <v/>
      </c>
      <c r="G700" s="71" t="str">
        <f>IFERROR(VLOOKUP(C700,MATERIAUX!$C$3:$G$1002,5,FALSE),"")</f>
        <v/>
      </c>
      <c r="H700" s="71" t="str">
        <f t="shared" si="277"/>
        <v/>
      </c>
      <c r="I700" s="394"/>
      <c r="J700" s="72"/>
      <c r="K700" s="72"/>
      <c r="L700" s="72" t="str">
        <f>IFERROR(VLOOKUP(J700,'MAIN D OEUVRE'!$A$4:$B$99,2,FALSE)*$N$2,"")</f>
        <v/>
      </c>
      <c r="M700" s="73" t="str">
        <f t="shared" si="287"/>
        <v/>
      </c>
      <c r="N700" s="397"/>
      <c r="O700">
        <f t="shared" si="289"/>
        <v>0</v>
      </c>
      <c r="P700">
        <f t="shared" si="290"/>
        <v>0</v>
      </c>
      <c r="Q700">
        <f t="shared" si="291"/>
        <v>0</v>
      </c>
    </row>
    <row r="701" spans="1:17">
      <c r="A701" s="388"/>
      <c r="B701" s="391"/>
      <c r="C701" s="69"/>
      <c r="D701" s="70"/>
      <c r="E701" s="146"/>
      <c r="F701" s="70" t="str">
        <f>IFERROR(VLOOKUP(C701,MATERIAUX!$C$3:$G$1002,3,FALSE),"")</f>
        <v/>
      </c>
      <c r="G701" s="71" t="str">
        <f>IFERROR(VLOOKUP(C701,MATERIAUX!$C$3:$G$1002,5,FALSE),"")</f>
        <v/>
      </c>
      <c r="H701" s="71" t="str">
        <f t="shared" si="277"/>
        <v/>
      </c>
      <c r="I701" s="394"/>
      <c r="J701" s="72"/>
      <c r="K701" s="72"/>
      <c r="L701" s="72"/>
      <c r="M701" s="73"/>
      <c r="N701" s="397"/>
      <c r="O701">
        <f t="shared" si="289"/>
        <v>0</v>
      </c>
      <c r="P701">
        <f t="shared" si="290"/>
        <v>0</v>
      </c>
      <c r="Q701">
        <f t="shared" si="291"/>
        <v>0</v>
      </c>
    </row>
    <row r="702" spans="1:17" ht="15" thickBot="1">
      <c r="A702" s="389"/>
      <c r="B702" s="392"/>
      <c r="C702" s="74"/>
      <c r="D702" s="75"/>
      <c r="E702" s="147"/>
      <c r="F702" s="70" t="str">
        <f>IFERROR(VLOOKUP(C702,MATERIAUX!$C$3:$G$1002,3,FALSE),"")</f>
        <v/>
      </c>
      <c r="G702" s="71" t="str">
        <f>IFERROR(VLOOKUP(C702,MATERIAUX!$C$3:$G$1002,5,FALSE),"")</f>
        <v/>
      </c>
      <c r="H702" s="71" t="str">
        <f t="shared" si="277"/>
        <v/>
      </c>
      <c r="I702" s="395"/>
      <c r="J702" s="77"/>
      <c r="K702" s="77"/>
      <c r="L702" s="77"/>
      <c r="M702" s="78"/>
      <c r="N702" s="398"/>
      <c r="O702">
        <f t="shared" si="289"/>
        <v>0</v>
      </c>
      <c r="P702">
        <f t="shared" si="290"/>
        <v>0</v>
      </c>
      <c r="Q702">
        <f t="shared" si="291"/>
        <v>0</v>
      </c>
    </row>
    <row r="703" spans="1:17">
      <c r="A703" s="387" t="s">
        <v>378</v>
      </c>
      <c r="B703" s="390" t="s">
        <v>21</v>
      </c>
      <c r="C703" s="64" t="s">
        <v>378</v>
      </c>
      <c r="D703" s="65">
        <v>1</v>
      </c>
      <c r="E703" s="145">
        <v>0.1</v>
      </c>
      <c r="F703" s="65" t="str">
        <f>IFERROR(VLOOKUP(C703,MATERIAUX!$C$3:$G$1002,3,FALSE),"")</f>
        <v>m2</v>
      </c>
      <c r="G703" s="66">
        <f>IFERROR(VLOOKUP(C703,MATERIAUX!$C$3:$G$1002,5,FALSE),"")</f>
        <v>2.7814432989690725</v>
      </c>
      <c r="H703" s="66">
        <f t="shared" si="277"/>
        <v>3.06</v>
      </c>
      <c r="I703" s="393">
        <f t="shared" ref="I703" si="292">SUM(H703:H712)</f>
        <v>8.31</v>
      </c>
      <c r="J703" s="67" t="s">
        <v>54</v>
      </c>
      <c r="K703" s="67">
        <v>1</v>
      </c>
      <c r="L703" s="67">
        <f>IFERROR(VLOOKUP(J703,'MAIN D OEUVRE'!$A$4:$B$99,2,FALSE)*$N$2,"")</f>
        <v>1.1000000000000001</v>
      </c>
      <c r="M703" s="68">
        <f t="shared" ref="M703:M710" si="293">IFERROR(ROUND(L703*K703,2),"")</f>
        <v>1.1000000000000001</v>
      </c>
      <c r="N703" s="396">
        <f t="shared" ref="N703" si="294">SUM(M703:M712)</f>
        <v>1.4300000000000002</v>
      </c>
      <c r="O703" s="350">
        <v>0</v>
      </c>
      <c r="P703">
        <f t="shared" si="290"/>
        <v>0</v>
      </c>
      <c r="Q703">
        <f t="shared" si="291"/>
        <v>0</v>
      </c>
    </row>
    <row r="704" spans="1:17">
      <c r="A704" s="388"/>
      <c r="B704" s="391"/>
      <c r="C704" s="69" t="s">
        <v>379</v>
      </c>
      <c r="D704" s="70">
        <v>1</v>
      </c>
      <c r="E704" s="146">
        <v>0</v>
      </c>
      <c r="F704" s="70" t="str">
        <f>IFERROR(VLOOKUP(C704,MATERIAUX!$C$3:$G$1002,3,FALSE),"")</f>
        <v>m2</v>
      </c>
      <c r="G704" s="71">
        <f>IFERROR(VLOOKUP(C704,MATERIAUX!$C$3:$G$1002,5,FALSE),"")</f>
        <v>3.9443298969072167</v>
      </c>
      <c r="H704" s="71">
        <f t="shared" si="277"/>
        <v>3.94</v>
      </c>
      <c r="I704" s="394"/>
      <c r="J704" s="72" t="s">
        <v>53</v>
      </c>
      <c r="K704" s="72">
        <v>1</v>
      </c>
      <c r="L704" s="72">
        <f>IFERROR(VLOOKUP(J704,'MAIN D OEUVRE'!$A$4:$B$99,2,FALSE)*$N$2,"")</f>
        <v>0.33</v>
      </c>
      <c r="M704" s="73">
        <f t="shared" si="293"/>
        <v>0.33</v>
      </c>
      <c r="N704" s="397"/>
      <c r="O704">
        <f>O703</f>
        <v>0</v>
      </c>
      <c r="P704">
        <f t="shared" si="290"/>
        <v>0</v>
      </c>
      <c r="Q704">
        <f t="shared" si="291"/>
        <v>0</v>
      </c>
    </row>
    <row r="705" spans="1:17">
      <c r="A705" s="388"/>
      <c r="B705" s="391"/>
      <c r="C705" s="69" t="s">
        <v>106</v>
      </c>
      <c r="D705" s="70">
        <v>0.4</v>
      </c>
      <c r="E705" s="188">
        <v>0</v>
      </c>
      <c r="F705" s="70" t="str">
        <f>IFERROR(VLOOKUP(C705,MATERIAUX!$C$3:$G$1002,3,FALSE),"")</f>
        <v>ml</v>
      </c>
      <c r="G705" s="71">
        <f>IFERROR(VLOOKUP(C705,MATERIAUX!$C$3:$G$1002,5,FALSE),"")</f>
        <v>3.2659793814432994</v>
      </c>
      <c r="H705" s="71">
        <f t="shared" si="277"/>
        <v>1.31</v>
      </c>
      <c r="I705" s="394"/>
      <c r="J705" s="72"/>
      <c r="K705" s="72"/>
      <c r="L705" s="72" t="str">
        <f>IFERROR(VLOOKUP(J705,'MAIN D OEUVRE'!$A$4:$B$99,2,FALSE)*$N$2,"")</f>
        <v/>
      </c>
      <c r="M705" s="73" t="str">
        <f t="shared" si="293"/>
        <v/>
      </c>
      <c r="N705" s="397"/>
      <c r="O705">
        <f t="shared" ref="O705:O712" si="295">O704</f>
        <v>0</v>
      </c>
      <c r="P705">
        <f t="shared" si="290"/>
        <v>0</v>
      </c>
      <c r="Q705">
        <f t="shared" si="291"/>
        <v>0</v>
      </c>
    </row>
    <row r="706" spans="1:17">
      <c r="A706" s="388"/>
      <c r="B706" s="391"/>
      <c r="C706" s="69"/>
      <c r="D706" s="70"/>
      <c r="E706" s="188"/>
      <c r="F706" s="70" t="str">
        <f>IFERROR(VLOOKUP(C706,MATERIAUX!$C$3:$G$1002,3,FALSE),"")</f>
        <v/>
      </c>
      <c r="G706" s="71" t="str">
        <f>IFERROR(VLOOKUP(C706,MATERIAUX!$C$3:$G$1002,5,FALSE),"")</f>
        <v/>
      </c>
      <c r="H706" s="71" t="str">
        <f t="shared" si="277"/>
        <v/>
      </c>
      <c r="I706" s="394"/>
      <c r="J706" s="72"/>
      <c r="K706" s="72"/>
      <c r="L706" s="72" t="str">
        <f>IFERROR(VLOOKUP(J706,'MAIN D OEUVRE'!$A$4:$B$99,2,FALSE)*$N$2,"")</f>
        <v/>
      </c>
      <c r="M706" s="73" t="str">
        <f t="shared" si="293"/>
        <v/>
      </c>
      <c r="N706" s="397"/>
      <c r="O706">
        <f t="shared" si="295"/>
        <v>0</v>
      </c>
      <c r="P706">
        <f t="shared" si="290"/>
        <v>0</v>
      </c>
      <c r="Q706">
        <f t="shared" si="291"/>
        <v>0</v>
      </c>
    </row>
    <row r="707" spans="1:17">
      <c r="A707" s="388"/>
      <c r="B707" s="391"/>
      <c r="C707" s="69"/>
      <c r="D707" s="70"/>
      <c r="E707" s="146"/>
      <c r="F707" s="70" t="str">
        <f>IFERROR(VLOOKUP(C707,MATERIAUX!$C$3:$G$1002,3,FALSE),"")</f>
        <v/>
      </c>
      <c r="G707" s="71" t="str">
        <f>IFERROR(VLOOKUP(C707,MATERIAUX!$C$3:$G$1002,5,FALSE),"")</f>
        <v/>
      </c>
      <c r="H707" s="71" t="str">
        <f t="shared" si="277"/>
        <v/>
      </c>
      <c r="I707" s="394"/>
      <c r="J707" s="72"/>
      <c r="K707" s="72"/>
      <c r="L707" s="72" t="str">
        <f>IFERROR(VLOOKUP(J707,'MAIN D OEUVRE'!$A$4:$B$99,2,FALSE)*$N$2,"")</f>
        <v/>
      </c>
      <c r="M707" s="73" t="str">
        <f t="shared" si="293"/>
        <v/>
      </c>
      <c r="N707" s="397"/>
      <c r="O707">
        <f t="shared" si="295"/>
        <v>0</v>
      </c>
      <c r="P707">
        <f t="shared" si="290"/>
        <v>0</v>
      </c>
      <c r="Q707">
        <f t="shared" si="291"/>
        <v>0</v>
      </c>
    </row>
    <row r="708" spans="1:17">
      <c r="A708" s="388"/>
      <c r="B708" s="391"/>
      <c r="C708" s="69"/>
      <c r="D708" s="70"/>
      <c r="E708" s="146"/>
      <c r="F708" s="70" t="str">
        <f>IFERROR(VLOOKUP(C708,MATERIAUX!$C$3:$G$1002,3,FALSE),"")</f>
        <v/>
      </c>
      <c r="G708" s="71" t="str">
        <f>IFERROR(VLOOKUP(C708,MATERIAUX!$C$3:$G$1002,5,FALSE),"")</f>
        <v/>
      </c>
      <c r="H708" s="71" t="str">
        <f t="shared" si="277"/>
        <v/>
      </c>
      <c r="I708" s="394"/>
      <c r="J708" s="72"/>
      <c r="K708" s="72"/>
      <c r="L708" s="72" t="str">
        <f>IFERROR(VLOOKUP(J708,'MAIN D OEUVRE'!$A$4:$B$99,2,FALSE)*$N$2,"")</f>
        <v/>
      </c>
      <c r="M708" s="73" t="str">
        <f t="shared" si="293"/>
        <v/>
      </c>
      <c r="N708" s="397"/>
      <c r="O708">
        <f t="shared" si="295"/>
        <v>0</v>
      </c>
      <c r="P708">
        <f t="shared" si="290"/>
        <v>0</v>
      </c>
      <c r="Q708">
        <f t="shared" si="291"/>
        <v>0</v>
      </c>
    </row>
    <row r="709" spans="1:17">
      <c r="A709" s="388"/>
      <c r="B709" s="391"/>
      <c r="C709" s="69"/>
      <c r="D709" s="70"/>
      <c r="E709" s="146"/>
      <c r="F709" s="70" t="str">
        <f>IFERROR(VLOOKUP(C709,MATERIAUX!$C$3:$G$1002,3,FALSE),"")</f>
        <v/>
      </c>
      <c r="G709" s="71" t="str">
        <f>IFERROR(VLOOKUP(C709,MATERIAUX!$C$3:$G$1002,5,FALSE),"")</f>
        <v/>
      </c>
      <c r="H709" s="71" t="str">
        <f t="shared" si="277"/>
        <v/>
      </c>
      <c r="I709" s="394"/>
      <c r="J709" s="72"/>
      <c r="K709" s="72"/>
      <c r="L709" s="72" t="str">
        <f>IFERROR(VLOOKUP(J709,'MAIN D OEUVRE'!$A$4:$B$99,2,FALSE)*$N$2,"")</f>
        <v/>
      </c>
      <c r="M709" s="73" t="str">
        <f t="shared" si="293"/>
        <v/>
      </c>
      <c r="N709" s="397"/>
      <c r="O709">
        <f t="shared" si="295"/>
        <v>0</v>
      </c>
      <c r="P709">
        <f t="shared" si="290"/>
        <v>0</v>
      </c>
      <c r="Q709">
        <f t="shared" si="291"/>
        <v>0</v>
      </c>
    </row>
    <row r="710" spans="1:17">
      <c r="A710" s="388"/>
      <c r="B710" s="391"/>
      <c r="C710" s="69"/>
      <c r="D710" s="70"/>
      <c r="E710" s="146"/>
      <c r="F710" s="70" t="str">
        <f>IFERROR(VLOOKUP(C710,MATERIAUX!$C$3:$G$1002,3,FALSE),"")</f>
        <v/>
      </c>
      <c r="G710" s="71" t="str">
        <f>IFERROR(VLOOKUP(C710,MATERIAUX!$C$3:$G$1002,5,FALSE),"")</f>
        <v/>
      </c>
      <c r="H710" s="71" t="str">
        <f t="shared" si="277"/>
        <v/>
      </c>
      <c r="I710" s="394"/>
      <c r="J710" s="72"/>
      <c r="K710" s="72"/>
      <c r="L710" s="72" t="str">
        <f>IFERROR(VLOOKUP(J710,'MAIN D OEUVRE'!$A$4:$B$99,2,FALSE)*$N$2,"")</f>
        <v/>
      </c>
      <c r="M710" s="73" t="str">
        <f t="shared" si="293"/>
        <v/>
      </c>
      <c r="N710" s="397"/>
      <c r="O710">
        <f t="shared" si="295"/>
        <v>0</v>
      </c>
      <c r="P710">
        <f t="shared" si="290"/>
        <v>0</v>
      </c>
      <c r="Q710">
        <f t="shared" si="291"/>
        <v>0</v>
      </c>
    </row>
    <row r="711" spans="1:17">
      <c r="A711" s="388"/>
      <c r="B711" s="391"/>
      <c r="C711" s="69"/>
      <c r="D711" s="70"/>
      <c r="E711" s="146"/>
      <c r="F711" s="70" t="str">
        <f>IFERROR(VLOOKUP(C711,MATERIAUX!$C$3:$G$1002,3,FALSE),"")</f>
        <v/>
      </c>
      <c r="G711" s="71" t="str">
        <f>IFERROR(VLOOKUP(C711,MATERIAUX!$C$3:$G$1002,5,FALSE),"")</f>
        <v/>
      </c>
      <c r="H711" s="71" t="str">
        <f t="shared" si="277"/>
        <v/>
      </c>
      <c r="I711" s="394"/>
      <c r="J711" s="72"/>
      <c r="K711" s="72"/>
      <c r="L711" s="72"/>
      <c r="M711" s="73"/>
      <c r="N711" s="397"/>
      <c r="O711">
        <f t="shared" si="295"/>
        <v>0</v>
      </c>
      <c r="P711">
        <f t="shared" si="290"/>
        <v>0</v>
      </c>
      <c r="Q711">
        <f t="shared" si="291"/>
        <v>0</v>
      </c>
    </row>
    <row r="712" spans="1:17" ht="15" thickBot="1">
      <c r="A712" s="389"/>
      <c r="B712" s="392"/>
      <c r="C712" s="74"/>
      <c r="D712" s="75"/>
      <c r="E712" s="147"/>
      <c r="F712" s="70" t="str">
        <f>IFERROR(VLOOKUP(C712,MATERIAUX!$C$3:$G$1002,3,FALSE),"")</f>
        <v/>
      </c>
      <c r="G712" s="71" t="str">
        <f>IFERROR(VLOOKUP(C712,MATERIAUX!$C$3:$G$1002,5,FALSE),"")</f>
        <v/>
      </c>
      <c r="H712" s="71" t="str">
        <f t="shared" si="277"/>
        <v/>
      </c>
      <c r="I712" s="395"/>
      <c r="J712" s="77"/>
      <c r="K712" s="77"/>
      <c r="L712" s="77"/>
      <c r="M712" s="78"/>
      <c r="N712" s="398"/>
      <c r="O712">
        <f t="shared" si="295"/>
        <v>0</v>
      </c>
      <c r="P712">
        <f t="shared" si="290"/>
        <v>0</v>
      </c>
      <c r="Q712">
        <f t="shared" si="291"/>
        <v>0</v>
      </c>
    </row>
    <row r="713" spans="1:17">
      <c r="A713" s="402" t="s">
        <v>402</v>
      </c>
      <c r="B713" s="390" t="s">
        <v>21</v>
      </c>
      <c r="C713" s="64" t="s">
        <v>400</v>
      </c>
      <c r="D713" s="65">
        <v>1</v>
      </c>
      <c r="E713" s="145">
        <v>0.15</v>
      </c>
      <c r="F713" s="65" t="str">
        <f>IFERROR(VLOOKUP(C713,MATERIAUX!$C$3:$G$1002,3,FALSE),"")</f>
        <v>m2</v>
      </c>
      <c r="G713" s="66">
        <f>IFERROR(VLOOKUP(C713,MATERIAUX!$C$3:$G$1002,5,FALSE),"")</f>
        <v>0.71065292096219934</v>
      </c>
      <c r="H713" s="66">
        <f t="shared" si="277"/>
        <v>0.82</v>
      </c>
      <c r="I713" s="393">
        <f>SUM(H713:H722)</f>
        <v>2.0599999999999996</v>
      </c>
      <c r="J713" s="67" t="s">
        <v>61</v>
      </c>
      <c r="K713" s="67">
        <v>1</v>
      </c>
      <c r="L713" s="67">
        <f>IFERROR(VLOOKUP(J713,'MAIN D OEUVRE'!$A$4:$B$99,2,FALSE)*$N$2,"")</f>
        <v>0.60500000000000009</v>
      </c>
      <c r="M713" s="68">
        <f t="shared" ref="M713:M720" si="296">IFERROR(ROUND(L713*K713,2),"")</f>
        <v>0.61</v>
      </c>
      <c r="N713" s="396">
        <f>SUM(M713:M722)</f>
        <v>0.61</v>
      </c>
      <c r="O713" s="350">
        <v>415</v>
      </c>
      <c r="P713">
        <f t="shared" si="290"/>
        <v>477.24999999999994</v>
      </c>
      <c r="Q713">
        <f t="shared" si="291"/>
        <v>339.15910652920962</v>
      </c>
    </row>
    <row r="714" spans="1:17">
      <c r="A714" s="403"/>
      <c r="B714" s="391"/>
      <c r="C714" s="69" t="s">
        <v>85</v>
      </c>
      <c r="D714" s="70">
        <v>2</v>
      </c>
      <c r="E714" s="146">
        <v>0.05</v>
      </c>
      <c r="F714" s="70" t="str">
        <f>IFERROR(VLOOKUP(C714,MATERIAUX!$C$3:$G$1002,3,FALSE),"")</f>
        <v>ml</v>
      </c>
      <c r="G714" s="71">
        <f>IFERROR(VLOOKUP(C714,MATERIAUX!$C$3:$G$1002,5,FALSE),"")</f>
        <v>0.47422680412371132</v>
      </c>
      <c r="H714" s="71">
        <f t="shared" si="277"/>
        <v>1</v>
      </c>
      <c r="I714" s="394"/>
      <c r="J714" s="72"/>
      <c r="K714" s="72"/>
      <c r="L714" s="72" t="str">
        <f>IFERROR(VLOOKUP(J714,'MAIN D OEUVRE'!$A$4:$B$99,2,FALSE)*$N$2,"")</f>
        <v/>
      </c>
      <c r="M714" s="73" t="str">
        <f t="shared" si="296"/>
        <v/>
      </c>
      <c r="N714" s="397"/>
      <c r="O714">
        <f>O713</f>
        <v>415</v>
      </c>
      <c r="P714">
        <f t="shared" si="290"/>
        <v>871.5</v>
      </c>
      <c r="Q714">
        <f t="shared" si="291"/>
        <v>413.28865979381442</v>
      </c>
    </row>
    <row r="715" spans="1:17">
      <c r="A715" s="403"/>
      <c r="B715" s="391"/>
      <c r="C715" s="69" t="s">
        <v>81</v>
      </c>
      <c r="D715" s="70">
        <v>15</v>
      </c>
      <c r="E715" s="146">
        <v>0.1</v>
      </c>
      <c r="F715" s="70" t="str">
        <f>IFERROR(VLOOKUP(C715,MATERIAUX!$C$3:$G$1002,3,FALSE),"")</f>
        <v>u</v>
      </c>
      <c r="G715" s="71">
        <f>IFERROR(VLOOKUP(C715,MATERIAUX!$C$3:$G$1002,5,FALSE),"")</f>
        <v>1.4432989690721652E-2</v>
      </c>
      <c r="H715" s="71">
        <f t="shared" si="277"/>
        <v>0.24</v>
      </c>
      <c r="I715" s="394"/>
      <c r="J715" s="72"/>
      <c r="K715" s="72"/>
      <c r="L715" s="72" t="str">
        <f>IFERROR(VLOOKUP(J715,'MAIN D OEUVRE'!$A$4:$B$99,2,FALSE)*$N$2,"")</f>
        <v/>
      </c>
      <c r="M715" s="73" t="str">
        <f t="shared" si="296"/>
        <v/>
      </c>
      <c r="N715" s="397"/>
      <c r="O715">
        <f t="shared" ref="O715:O722" si="297">O714</f>
        <v>415</v>
      </c>
      <c r="P715">
        <f t="shared" si="290"/>
        <v>6847.5</v>
      </c>
      <c r="Q715">
        <f t="shared" si="291"/>
        <v>98.829896907216508</v>
      </c>
    </row>
    <row r="716" spans="1:17">
      <c r="A716" s="403"/>
      <c r="B716" s="391"/>
      <c r="C716" s="69"/>
      <c r="D716" s="70"/>
      <c r="E716" s="146"/>
      <c r="F716" s="70" t="str">
        <f>IFERROR(VLOOKUP(C716,MATERIAUX!$C$3:$G$1002,3,FALSE),"")</f>
        <v/>
      </c>
      <c r="G716" s="71" t="str">
        <f>IFERROR(VLOOKUP(C716,MATERIAUX!$C$3:$G$1002,5,FALSE),"")</f>
        <v/>
      </c>
      <c r="H716" s="71" t="str">
        <f t="shared" si="277"/>
        <v/>
      </c>
      <c r="I716" s="394"/>
      <c r="J716" s="72"/>
      <c r="K716" s="72"/>
      <c r="L716" s="72" t="str">
        <f>IFERROR(VLOOKUP(J716,'MAIN D OEUVRE'!$A$4:$B$99,2,FALSE)*$N$2,"")</f>
        <v/>
      </c>
      <c r="M716" s="73" t="str">
        <f t="shared" si="296"/>
        <v/>
      </c>
      <c r="N716" s="397"/>
      <c r="O716">
        <f t="shared" si="297"/>
        <v>415</v>
      </c>
      <c r="P716">
        <f t="shared" si="290"/>
        <v>0</v>
      </c>
      <c r="Q716">
        <f t="shared" si="291"/>
        <v>0</v>
      </c>
    </row>
    <row r="717" spans="1:17">
      <c r="A717" s="403"/>
      <c r="B717" s="391"/>
      <c r="C717" s="69"/>
      <c r="D717" s="70"/>
      <c r="E717" s="146"/>
      <c r="F717" s="70" t="str">
        <f>IFERROR(VLOOKUP(C717,MATERIAUX!$C$3:$G$1002,3,FALSE),"")</f>
        <v/>
      </c>
      <c r="G717" s="71" t="str">
        <f>IFERROR(VLOOKUP(C717,MATERIAUX!$C$3:$G$1002,5,FALSE),"")</f>
        <v/>
      </c>
      <c r="H717" s="71" t="str">
        <f t="shared" si="277"/>
        <v/>
      </c>
      <c r="I717" s="394"/>
      <c r="J717" s="72"/>
      <c r="K717" s="72"/>
      <c r="L717" s="72" t="str">
        <f>IFERROR(VLOOKUP(J717,'MAIN D OEUVRE'!$A$4:$B$99,2,FALSE)*$N$2,"")</f>
        <v/>
      </c>
      <c r="M717" s="73" t="str">
        <f t="shared" si="296"/>
        <v/>
      </c>
      <c r="N717" s="397"/>
      <c r="O717">
        <f t="shared" si="297"/>
        <v>415</v>
      </c>
      <c r="P717">
        <f t="shared" si="290"/>
        <v>0</v>
      </c>
      <c r="Q717">
        <f t="shared" si="291"/>
        <v>0</v>
      </c>
    </row>
    <row r="718" spans="1:17">
      <c r="A718" s="403"/>
      <c r="B718" s="391"/>
      <c r="C718" s="69"/>
      <c r="D718" s="70"/>
      <c r="E718" s="146"/>
      <c r="F718" s="70" t="str">
        <f>IFERROR(VLOOKUP(C718,MATERIAUX!$C$3:$G$1002,3,FALSE),"")</f>
        <v/>
      </c>
      <c r="G718" s="71" t="str">
        <f>IFERROR(VLOOKUP(C718,MATERIAUX!$C$3:$G$1002,5,FALSE),"")</f>
        <v/>
      </c>
      <c r="H718" s="71" t="str">
        <f t="shared" si="277"/>
        <v/>
      </c>
      <c r="I718" s="394"/>
      <c r="J718" s="72"/>
      <c r="K718" s="72"/>
      <c r="L718" s="72" t="str">
        <f>IFERROR(VLOOKUP(J718,'MAIN D OEUVRE'!$A$4:$B$99,2,FALSE)*$N$2,"")</f>
        <v/>
      </c>
      <c r="M718" s="73" t="str">
        <f t="shared" si="296"/>
        <v/>
      </c>
      <c r="N718" s="397"/>
      <c r="O718">
        <f t="shared" si="297"/>
        <v>415</v>
      </c>
      <c r="P718">
        <f t="shared" si="290"/>
        <v>0</v>
      </c>
      <c r="Q718">
        <f t="shared" si="291"/>
        <v>0</v>
      </c>
    </row>
    <row r="719" spans="1:17">
      <c r="A719" s="403"/>
      <c r="B719" s="391"/>
      <c r="C719" s="69"/>
      <c r="D719" s="70"/>
      <c r="E719" s="146"/>
      <c r="F719" s="70" t="str">
        <f>IFERROR(VLOOKUP(C719,MATERIAUX!$C$3:$G$1002,3,FALSE),"")</f>
        <v/>
      </c>
      <c r="G719" s="71" t="str">
        <f>IFERROR(VLOOKUP(C719,MATERIAUX!$C$3:$G$1002,5,FALSE),"")</f>
        <v/>
      </c>
      <c r="H719" s="71" t="str">
        <f t="shared" si="277"/>
        <v/>
      </c>
      <c r="I719" s="394"/>
      <c r="J719" s="72"/>
      <c r="K719" s="72"/>
      <c r="L719" s="72" t="str">
        <f>IFERROR(VLOOKUP(J719,'MAIN D OEUVRE'!$A$4:$B$99,2,FALSE)*$N$2,"")</f>
        <v/>
      </c>
      <c r="M719" s="73" t="str">
        <f t="shared" si="296"/>
        <v/>
      </c>
      <c r="N719" s="397"/>
      <c r="O719">
        <f t="shared" si="297"/>
        <v>415</v>
      </c>
      <c r="P719">
        <f t="shared" si="290"/>
        <v>0</v>
      </c>
      <c r="Q719">
        <f t="shared" si="291"/>
        <v>0</v>
      </c>
    </row>
    <row r="720" spans="1:17">
      <c r="A720" s="403"/>
      <c r="B720" s="391"/>
      <c r="C720" s="69"/>
      <c r="D720" s="70"/>
      <c r="E720" s="146"/>
      <c r="F720" s="70" t="str">
        <f>IFERROR(VLOOKUP(C720,MATERIAUX!$C$3:$G$1002,3,FALSE),"")</f>
        <v/>
      </c>
      <c r="G720" s="71" t="str">
        <f>IFERROR(VLOOKUP(C720,MATERIAUX!$C$3:$G$1002,5,FALSE),"")</f>
        <v/>
      </c>
      <c r="H720" s="71" t="str">
        <f t="shared" si="277"/>
        <v/>
      </c>
      <c r="I720" s="394"/>
      <c r="J720" s="72"/>
      <c r="K720" s="72"/>
      <c r="L720" s="72" t="str">
        <f>IFERROR(VLOOKUP(J720,'MAIN D OEUVRE'!$A$4:$B$99,2,FALSE)*$N$2,"")</f>
        <v/>
      </c>
      <c r="M720" s="73" t="str">
        <f t="shared" si="296"/>
        <v/>
      </c>
      <c r="N720" s="397"/>
      <c r="O720">
        <f t="shared" si="297"/>
        <v>415</v>
      </c>
      <c r="P720">
        <f t="shared" si="290"/>
        <v>0</v>
      </c>
      <c r="Q720">
        <f t="shared" si="291"/>
        <v>0</v>
      </c>
    </row>
    <row r="721" spans="1:17">
      <c r="A721" s="403"/>
      <c r="B721" s="391"/>
      <c r="C721" s="69"/>
      <c r="D721" s="70"/>
      <c r="E721" s="146"/>
      <c r="F721" s="70" t="str">
        <f>IFERROR(VLOOKUP(C721,MATERIAUX!$C$3:$G$1002,3,FALSE),"")</f>
        <v/>
      </c>
      <c r="G721" s="71" t="str">
        <f>IFERROR(VLOOKUP(C721,MATERIAUX!$C$3:$G$1002,5,FALSE),"")</f>
        <v/>
      </c>
      <c r="H721" s="71" t="str">
        <f t="shared" si="277"/>
        <v/>
      </c>
      <c r="I721" s="394"/>
      <c r="J721" s="72"/>
      <c r="K721" s="72"/>
      <c r="L721" s="72"/>
      <c r="M721" s="73"/>
      <c r="N721" s="397"/>
      <c r="O721">
        <f t="shared" si="297"/>
        <v>415</v>
      </c>
      <c r="P721">
        <f t="shared" si="290"/>
        <v>0</v>
      </c>
      <c r="Q721">
        <f t="shared" si="291"/>
        <v>0</v>
      </c>
    </row>
    <row r="722" spans="1:17" ht="15" thickBot="1">
      <c r="A722" s="404"/>
      <c r="B722" s="392"/>
      <c r="C722" s="74"/>
      <c r="D722" s="75"/>
      <c r="E722" s="147"/>
      <c r="F722" s="70" t="str">
        <f>IFERROR(VLOOKUP(C722,MATERIAUX!$C$3:$G$1002,3,FALSE),"")</f>
        <v/>
      </c>
      <c r="G722" s="71" t="str">
        <f>IFERROR(VLOOKUP(C722,MATERIAUX!$C$3:$G$1002,5,FALSE),"")</f>
        <v/>
      </c>
      <c r="H722" s="76" t="str">
        <f t="shared" si="277"/>
        <v/>
      </c>
      <c r="I722" s="395"/>
      <c r="J722" s="77"/>
      <c r="K722" s="77"/>
      <c r="L722" s="77"/>
      <c r="M722" s="78"/>
      <c r="N722" s="398"/>
      <c r="O722">
        <f t="shared" si="297"/>
        <v>415</v>
      </c>
      <c r="P722">
        <f t="shared" si="290"/>
        <v>0</v>
      </c>
      <c r="Q722">
        <f t="shared" si="291"/>
        <v>0</v>
      </c>
    </row>
    <row r="723" spans="1:17">
      <c r="A723" s="402" t="s">
        <v>403</v>
      </c>
      <c r="B723" s="390" t="s">
        <v>21</v>
      </c>
      <c r="C723" s="64" t="s">
        <v>399</v>
      </c>
      <c r="D723" s="65">
        <v>1</v>
      </c>
      <c r="E723" s="145">
        <v>0.05</v>
      </c>
      <c r="F723" s="65" t="str">
        <f>IFERROR(VLOOKUP(C723,MATERIAUX!$C$3:$G$1002,3,FALSE),"")</f>
        <v>m2</v>
      </c>
      <c r="G723" s="66">
        <f>IFERROR(VLOOKUP(C723,MATERIAUX!$C$3:$G$1002,5,FALSE),"")</f>
        <v>0.41237113402061859</v>
      </c>
      <c r="H723" s="66">
        <f t="shared" si="277"/>
        <v>0.43</v>
      </c>
      <c r="I723" s="393">
        <f t="shared" ref="I723" si="298">SUM(H723:H732)</f>
        <v>0.73000000000000009</v>
      </c>
      <c r="J723" s="67" t="s">
        <v>61</v>
      </c>
      <c r="K723" s="67">
        <v>1</v>
      </c>
      <c r="L723" s="67">
        <f>IFERROR(VLOOKUP(J723,'MAIN D OEUVRE'!$A$4:$B$99,2,FALSE)*$N$2,"")</f>
        <v>0.60500000000000009</v>
      </c>
      <c r="M723" s="68">
        <f t="shared" ref="M723:M730" si="299">IFERROR(ROUND(L723*K723,2),"")</f>
        <v>0.61</v>
      </c>
      <c r="N723" s="396">
        <f t="shared" ref="N723" si="300">SUM(M723:M732)</f>
        <v>0.61</v>
      </c>
      <c r="O723" s="350">
        <v>455</v>
      </c>
      <c r="P723">
        <f t="shared" si="290"/>
        <v>477.75</v>
      </c>
      <c r="Q723">
        <f t="shared" si="291"/>
        <v>197.01030927835052</v>
      </c>
    </row>
    <row r="724" spans="1:17">
      <c r="A724" s="403"/>
      <c r="B724" s="391"/>
      <c r="C724" s="69" t="s">
        <v>81</v>
      </c>
      <c r="D724" s="70">
        <v>8</v>
      </c>
      <c r="E724" s="146">
        <v>0.1</v>
      </c>
      <c r="F724" s="70" t="str">
        <f>IFERROR(VLOOKUP(C724,MATERIAUX!$C$3:$G$1002,3,FALSE),"")</f>
        <v>u</v>
      </c>
      <c r="G724" s="71">
        <f>IFERROR(VLOOKUP(C724,MATERIAUX!$C$3:$G$1002,5,FALSE),"")</f>
        <v>1.4432989690721652E-2</v>
      </c>
      <c r="H724" s="71">
        <f t="shared" si="277"/>
        <v>0.13</v>
      </c>
      <c r="I724" s="394"/>
      <c r="J724" s="72"/>
      <c r="K724" s="72"/>
      <c r="L724" s="72" t="str">
        <f>IFERROR(VLOOKUP(J724,'MAIN D OEUVRE'!$A$4:$B$99,2,FALSE)*$N$2,"")</f>
        <v/>
      </c>
      <c r="M724" s="73" t="str">
        <f t="shared" si="299"/>
        <v/>
      </c>
      <c r="N724" s="397"/>
      <c r="O724">
        <f>O723</f>
        <v>455</v>
      </c>
      <c r="P724">
        <f t="shared" si="290"/>
        <v>4004.0000000000005</v>
      </c>
      <c r="Q724">
        <f t="shared" si="291"/>
        <v>57.789690721649499</v>
      </c>
    </row>
    <row r="725" spans="1:17">
      <c r="A725" s="403"/>
      <c r="B725" s="391"/>
      <c r="C725" s="69" t="s">
        <v>85</v>
      </c>
      <c r="D725" s="70">
        <v>0.35</v>
      </c>
      <c r="E725" s="146">
        <v>0.05</v>
      </c>
      <c r="F725" s="70" t="str">
        <f>IFERROR(VLOOKUP(C725,MATERIAUX!$C$3:$G$1002,3,FALSE),"")</f>
        <v>ml</v>
      </c>
      <c r="G725" s="71">
        <f>IFERROR(VLOOKUP(C725,MATERIAUX!$C$3:$G$1002,5,FALSE),"")</f>
        <v>0.47422680412371132</v>
      </c>
      <c r="H725" s="71">
        <f>IFERROR(ROUND(G725*(1+E725)*D725,2),"")</f>
        <v>0.17</v>
      </c>
      <c r="I725" s="394"/>
      <c r="J725" s="72"/>
      <c r="K725" s="72"/>
      <c r="L725" s="72" t="str">
        <f>IFERROR(VLOOKUP(J725,'MAIN D OEUVRE'!$A$4:$B$99,2,FALSE)*$N$2,"")</f>
        <v/>
      </c>
      <c r="M725" s="73" t="str">
        <f t="shared" si="299"/>
        <v/>
      </c>
      <c r="N725" s="397"/>
      <c r="O725">
        <f t="shared" ref="O725:O732" si="301">O724</f>
        <v>455</v>
      </c>
      <c r="P725">
        <f t="shared" si="290"/>
        <v>167.21250000000001</v>
      </c>
      <c r="Q725">
        <f t="shared" si="291"/>
        <v>79.296649484536076</v>
      </c>
    </row>
    <row r="726" spans="1:17">
      <c r="A726" s="403"/>
      <c r="B726" s="391"/>
      <c r="C726" s="69"/>
      <c r="D726" s="70"/>
      <c r="E726" s="146"/>
      <c r="F726" s="70" t="str">
        <f>IFERROR(VLOOKUP(C726,MATERIAUX!$C$3:$G$1002,3,FALSE),"")</f>
        <v/>
      </c>
      <c r="G726" s="71" t="str">
        <f>IFERROR(VLOOKUP(C726,MATERIAUX!$C$3:$G$1002,5,FALSE),"")</f>
        <v/>
      </c>
      <c r="H726" s="71" t="str">
        <f>IFERROR(ROUND(G726*(1+E726)*D726,2),"")</f>
        <v/>
      </c>
      <c r="I726" s="394"/>
      <c r="J726" s="72"/>
      <c r="K726" s="72"/>
      <c r="L726" s="72" t="str">
        <f>IFERROR(VLOOKUP(J726,'MAIN D OEUVRE'!$A$4:$B$99,2,FALSE)*$N$2,"")</f>
        <v/>
      </c>
      <c r="M726" s="73" t="str">
        <f t="shared" si="299"/>
        <v/>
      </c>
      <c r="N726" s="397"/>
      <c r="O726">
        <f t="shared" si="301"/>
        <v>455</v>
      </c>
      <c r="P726">
        <f t="shared" si="290"/>
        <v>0</v>
      </c>
      <c r="Q726">
        <f t="shared" si="291"/>
        <v>0</v>
      </c>
    </row>
    <row r="727" spans="1:17">
      <c r="A727" s="403"/>
      <c r="B727" s="391"/>
      <c r="C727" s="69"/>
      <c r="D727" s="70"/>
      <c r="E727" s="146"/>
      <c r="F727" s="70" t="str">
        <f>IFERROR(VLOOKUP(C727,MATERIAUX!$C$3:$G$1002,3,FALSE),"")</f>
        <v/>
      </c>
      <c r="G727" s="71" t="str">
        <f>IFERROR(VLOOKUP(C727,MATERIAUX!$C$3:$G$1002,5,FALSE),"")</f>
        <v/>
      </c>
      <c r="H727" s="71" t="str">
        <f t="shared" si="277"/>
        <v/>
      </c>
      <c r="I727" s="394"/>
      <c r="J727" s="72"/>
      <c r="K727" s="72"/>
      <c r="L727" s="72" t="str">
        <f>IFERROR(VLOOKUP(J727,'MAIN D OEUVRE'!$A$4:$B$99,2,FALSE)*$N$2,"")</f>
        <v/>
      </c>
      <c r="M727" s="73" t="str">
        <f t="shared" si="299"/>
        <v/>
      </c>
      <c r="N727" s="397"/>
      <c r="O727">
        <f t="shared" si="301"/>
        <v>455</v>
      </c>
      <c r="P727">
        <f t="shared" si="290"/>
        <v>0</v>
      </c>
      <c r="Q727">
        <f t="shared" si="291"/>
        <v>0</v>
      </c>
    </row>
    <row r="728" spans="1:17">
      <c r="A728" s="403"/>
      <c r="B728" s="391"/>
      <c r="C728" s="69"/>
      <c r="D728" s="70"/>
      <c r="E728" s="146"/>
      <c r="F728" s="70" t="str">
        <f>IFERROR(VLOOKUP(C728,MATERIAUX!$C$3:$G$1002,3,FALSE),"")</f>
        <v/>
      </c>
      <c r="G728" s="71" t="str">
        <f>IFERROR(VLOOKUP(C728,MATERIAUX!$C$3:$G$1002,5,FALSE),"")</f>
        <v/>
      </c>
      <c r="H728" s="71" t="str">
        <f t="shared" si="277"/>
        <v/>
      </c>
      <c r="I728" s="394"/>
      <c r="J728" s="72"/>
      <c r="K728" s="72"/>
      <c r="L728" s="72" t="str">
        <f>IFERROR(VLOOKUP(J728,'MAIN D OEUVRE'!$A$4:$B$99,2,FALSE)*$N$2,"")</f>
        <v/>
      </c>
      <c r="M728" s="73" t="str">
        <f t="shared" si="299"/>
        <v/>
      </c>
      <c r="N728" s="397"/>
      <c r="O728">
        <f t="shared" si="301"/>
        <v>455</v>
      </c>
      <c r="P728">
        <f t="shared" si="290"/>
        <v>0</v>
      </c>
      <c r="Q728">
        <f t="shared" si="291"/>
        <v>0</v>
      </c>
    </row>
    <row r="729" spans="1:17">
      <c r="A729" s="403"/>
      <c r="B729" s="391"/>
      <c r="C729" s="69"/>
      <c r="D729" s="70"/>
      <c r="E729" s="146"/>
      <c r="F729" s="70" t="str">
        <f>IFERROR(VLOOKUP(C729,MATERIAUX!$C$3:$G$1002,3,FALSE),"")</f>
        <v/>
      </c>
      <c r="G729" s="71" t="str">
        <f>IFERROR(VLOOKUP(C729,MATERIAUX!$C$3:$G$1002,5,FALSE),"")</f>
        <v/>
      </c>
      <c r="H729" s="71" t="str">
        <f t="shared" si="277"/>
        <v/>
      </c>
      <c r="I729" s="394"/>
      <c r="J729" s="72"/>
      <c r="K729" s="72"/>
      <c r="L729" s="72" t="str">
        <f>IFERROR(VLOOKUP(J729,'MAIN D OEUVRE'!$A$4:$B$99,2,FALSE)*$N$2,"")</f>
        <v/>
      </c>
      <c r="M729" s="73" t="str">
        <f t="shared" si="299"/>
        <v/>
      </c>
      <c r="N729" s="397"/>
      <c r="O729">
        <f t="shared" si="301"/>
        <v>455</v>
      </c>
      <c r="P729">
        <f t="shared" si="290"/>
        <v>0</v>
      </c>
      <c r="Q729">
        <f t="shared" si="291"/>
        <v>0</v>
      </c>
    </row>
    <row r="730" spans="1:17">
      <c r="A730" s="403"/>
      <c r="B730" s="391"/>
      <c r="C730" s="69"/>
      <c r="D730" s="70"/>
      <c r="E730" s="146"/>
      <c r="F730" s="70" t="str">
        <f>IFERROR(VLOOKUP(C730,MATERIAUX!$C$3:$G$1002,3,FALSE),"")</f>
        <v/>
      </c>
      <c r="G730" s="71" t="str">
        <f>IFERROR(VLOOKUP(C730,MATERIAUX!$C$3:$G$1002,5,FALSE),"")</f>
        <v/>
      </c>
      <c r="H730" s="71" t="str">
        <f t="shared" si="277"/>
        <v/>
      </c>
      <c r="I730" s="394"/>
      <c r="J730" s="72"/>
      <c r="K730" s="72"/>
      <c r="L730" s="72" t="str">
        <f>IFERROR(VLOOKUP(J730,'MAIN D OEUVRE'!$A$4:$B$99,2,FALSE)*$N$2,"")</f>
        <v/>
      </c>
      <c r="M730" s="73" t="str">
        <f t="shared" si="299"/>
        <v/>
      </c>
      <c r="N730" s="397"/>
      <c r="O730">
        <f t="shared" si="301"/>
        <v>455</v>
      </c>
      <c r="P730">
        <f t="shared" si="290"/>
        <v>0</v>
      </c>
      <c r="Q730">
        <f t="shared" si="291"/>
        <v>0</v>
      </c>
    </row>
    <row r="731" spans="1:17">
      <c r="A731" s="403"/>
      <c r="B731" s="391"/>
      <c r="C731" s="69"/>
      <c r="D731" s="70"/>
      <c r="E731" s="146"/>
      <c r="F731" s="70" t="str">
        <f>IFERROR(VLOOKUP(C731,MATERIAUX!$C$3:$G$1002,3,FALSE),"")</f>
        <v/>
      </c>
      <c r="G731" s="71" t="str">
        <f>IFERROR(VLOOKUP(C731,MATERIAUX!$C$3:$G$1002,5,FALSE),"")</f>
        <v/>
      </c>
      <c r="H731" s="71" t="str">
        <f t="shared" si="277"/>
        <v/>
      </c>
      <c r="I731" s="394"/>
      <c r="J731" s="72"/>
      <c r="K731" s="72"/>
      <c r="L731" s="72"/>
      <c r="M731" s="73"/>
      <c r="N731" s="397"/>
      <c r="O731">
        <f t="shared" si="301"/>
        <v>455</v>
      </c>
      <c r="P731">
        <f t="shared" si="290"/>
        <v>0</v>
      </c>
      <c r="Q731">
        <f t="shared" si="291"/>
        <v>0</v>
      </c>
    </row>
    <row r="732" spans="1:17" ht="15" thickBot="1">
      <c r="A732" s="404"/>
      <c r="B732" s="392"/>
      <c r="C732" s="74"/>
      <c r="D732" s="75"/>
      <c r="E732" s="147"/>
      <c r="F732" s="70" t="str">
        <f>IFERROR(VLOOKUP(C732,MATERIAUX!$C$3:$G$1002,3,FALSE),"")</f>
        <v/>
      </c>
      <c r="G732" s="71" t="str">
        <f>IFERROR(VLOOKUP(C732,MATERIAUX!$C$3:$G$1002,5,FALSE),"")</f>
        <v/>
      </c>
      <c r="H732" s="71" t="str">
        <f t="shared" si="277"/>
        <v/>
      </c>
      <c r="I732" s="395"/>
      <c r="J732" s="77"/>
      <c r="K732" s="77"/>
      <c r="L732" s="77"/>
      <c r="M732" s="78"/>
      <c r="N732" s="398"/>
      <c r="O732">
        <f t="shared" si="301"/>
        <v>455</v>
      </c>
      <c r="P732">
        <f t="shared" si="290"/>
        <v>0</v>
      </c>
      <c r="Q732">
        <f t="shared" si="291"/>
        <v>0</v>
      </c>
    </row>
    <row r="733" spans="1:17">
      <c r="A733" s="387" t="s">
        <v>405</v>
      </c>
      <c r="B733" s="390" t="s">
        <v>21</v>
      </c>
      <c r="C733" s="64" t="s">
        <v>404</v>
      </c>
      <c r="D733" s="65">
        <v>3</v>
      </c>
      <c r="E733" s="145">
        <v>0.1</v>
      </c>
      <c r="F733" s="65" t="str">
        <f>IFERROR(VLOOKUP(C733,MATERIAUX!$C$3:$G$1002,3,FALSE),"")</f>
        <v>ml</v>
      </c>
      <c r="G733" s="66">
        <f>IFERROR(VLOOKUP(C733,MATERIAUX!$C$3:$G$1002,5,FALSE),"")</f>
        <v>2.0090721649484538</v>
      </c>
      <c r="H733" s="66">
        <f t="shared" si="277"/>
        <v>6.63</v>
      </c>
      <c r="I733" s="393">
        <f t="shared" ref="I733" si="302">SUM(H733:H742)</f>
        <v>9.83</v>
      </c>
      <c r="J733" s="282" t="s">
        <v>217</v>
      </c>
      <c r="K733" s="282">
        <v>2</v>
      </c>
      <c r="L733" s="282">
        <f>IFERROR(VLOOKUP(J733,'MAIN D OEUVRE'!$A$4:$B$99,2,FALSE)*$N$2,"")</f>
        <v>2.75</v>
      </c>
      <c r="M733" s="283">
        <f t="shared" ref="M733:M740" si="303">IFERROR(ROUND(L733*K733,2),"")</f>
        <v>5.5</v>
      </c>
      <c r="N733" s="396">
        <f t="shared" ref="N733" si="304">SUM(M733:M742)</f>
        <v>5.5</v>
      </c>
      <c r="O733" s="350">
        <v>0</v>
      </c>
      <c r="P733">
        <f t="shared" si="290"/>
        <v>0</v>
      </c>
      <c r="Q733">
        <f t="shared" si="291"/>
        <v>0</v>
      </c>
    </row>
    <row r="734" spans="1:17">
      <c r="A734" s="388"/>
      <c r="B734" s="391"/>
      <c r="C734" s="69" t="s">
        <v>83</v>
      </c>
      <c r="D734" s="70">
        <v>21</v>
      </c>
      <c r="E734" s="146">
        <v>0</v>
      </c>
      <c r="F734" s="70" t="str">
        <f>IFERROR(VLOOKUP(C734,MATERIAUX!$C$3:$G$1002,3,FALSE),"")</f>
        <v>u</v>
      </c>
      <c r="G734" s="71">
        <f>IFERROR(VLOOKUP(C734,MATERIAUX!$C$3:$G$1002,5,FALSE),"")</f>
        <v>0.15257731958762888</v>
      </c>
      <c r="H734" s="71">
        <f t="shared" si="277"/>
        <v>3.2</v>
      </c>
      <c r="I734" s="394"/>
      <c r="J734" s="72"/>
      <c r="K734" s="72"/>
      <c r="L734" s="72" t="str">
        <f>IFERROR(VLOOKUP(J734,'MAIN D OEUVRE'!$A$4:$B$99,2,FALSE)*$N$2,"")</f>
        <v/>
      </c>
      <c r="M734" s="73" t="str">
        <f t="shared" si="303"/>
        <v/>
      </c>
      <c r="N734" s="397"/>
      <c r="O734">
        <f>O733</f>
        <v>0</v>
      </c>
      <c r="P734">
        <f t="shared" si="290"/>
        <v>0</v>
      </c>
      <c r="Q734">
        <f t="shared" si="291"/>
        <v>0</v>
      </c>
    </row>
    <row r="735" spans="1:17">
      <c r="A735" s="388"/>
      <c r="B735" s="391"/>
      <c r="C735" s="69"/>
      <c r="D735" s="70"/>
      <c r="E735" s="146"/>
      <c r="F735" s="70" t="str">
        <f>IFERROR(VLOOKUP(C735,MATERIAUX!$C$3:$G$1002,3,FALSE),"")</f>
        <v/>
      </c>
      <c r="G735" s="71" t="str">
        <f>IFERROR(VLOOKUP(C735,MATERIAUX!$C$3:$G$1002,5,FALSE),"")</f>
        <v/>
      </c>
      <c r="H735" s="71" t="str">
        <f t="shared" si="277"/>
        <v/>
      </c>
      <c r="I735" s="394"/>
      <c r="J735" s="72"/>
      <c r="K735" s="72"/>
      <c r="L735" s="72" t="str">
        <f>IFERROR(VLOOKUP(J735,'MAIN D OEUVRE'!$A$4:$B$99,2,FALSE)*$N$2,"")</f>
        <v/>
      </c>
      <c r="M735" s="73" t="str">
        <f t="shared" si="303"/>
        <v/>
      </c>
      <c r="N735" s="397"/>
      <c r="O735">
        <f t="shared" ref="O735:O742" si="305">O734</f>
        <v>0</v>
      </c>
      <c r="P735">
        <f t="shared" si="290"/>
        <v>0</v>
      </c>
      <c r="Q735">
        <f t="shared" si="291"/>
        <v>0</v>
      </c>
    </row>
    <row r="736" spans="1:17">
      <c r="A736" s="388"/>
      <c r="B736" s="391"/>
      <c r="C736" s="69"/>
      <c r="D736" s="70"/>
      <c r="E736" s="146"/>
      <c r="F736" s="70" t="str">
        <f>IFERROR(VLOOKUP(C736,MATERIAUX!$C$3:$G$1002,3,FALSE),"")</f>
        <v/>
      </c>
      <c r="G736" s="71" t="str">
        <f>IFERROR(VLOOKUP(C736,MATERIAUX!$C$3:$G$1002,5,FALSE),"")</f>
        <v/>
      </c>
      <c r="H736" s="71" t="str">
        <f t="shared" si="277"/>
        <v/>
      </c>
      <c r="I736" s="394"/>
      <c r="J736" s="72"/>
      <c r="K736" s="72"/>
      <c r="L736" s="72" t="str">
        <f>IFERROR(VLOOKUP(J736,'MAIN D OEUVRE'!$A$4:$B$99,2,FALSE)*$N$2,"")</f>
        <v/>
      </c>
      <c r="M736" s="73" t="str">
        <f t="shared" si="303"/>
        <v/>
      </c>
      <c r="N736" s="397"/>
      <c r="O736">
        <f t="shared" si="305"/>
        <v>0</v>
      </c>
      <c r="P736">
        <f t="shared" si="290"/>
        <v>0</v>
      </c>
      <c r="Q736">
        <f t="shared" si="291"/>
        <v>0</v>
      </c>
    </row>
    <row r="737" spans="1:17">
      <c r="A737" s="388"/>
      <c r="B737" s="391"/>
      <c r="C737" s="69"/>
      <c r="D737" s="70"/>
      <c r="E737" s="146"/>
      <c r="F737" s="70" t="str">
        <f>IFERROR(VLOOKUP(C737,MATERIAUX!$C$3:$G$1002,3,FALSE),"")</f>
        <v/>
      </c>
      <c r="G737" s="71" t="str">
        <f>IFERROR(VLOOKUP(C737,MATERIAUX!$C$3:$G$1002,5,FALSE),"")</f>
        <v/>
      </c>
      <c r="H737" s="71" t="str">
        <f t="shared" si="277"/>
        <v/>
      </c>
      <c r="I737" s="394"/>
      <c r="J737" s="72"/>
      <c r="K737" s="72"/>
      <c r="L737" s="72" t="str">
        <f>IFERROR(VLOOKUP(J737,'MAIN D OEUVRE'!$A$4:$B$99,2,FALSE)*$N$2,"")</f>
        <v/>
      </c>
      <c r="M737" s="73" t="str">
        <f t="shared" si="303"/>
        <v/>
      </c>
      <c r="N737" s="397"/>
      <c r="O737">
        <f t="shared" si="305"/>
        <v>0</v>
      </c>
      <c r="P737">
        <f t="shared" si="290"/>
        <v>0</v>
      </c>
      <c r="Q737">
        <f t="shared" si="291"/>
        <v>0</v>
      </c>
    </row>
    <row r="738" spans="1:17">
      <c r="A738" s="388"/>
      <c r="B738" s="391"/>
      <c r="C738" s="69"/>
      <c r="D738" s="70"/>
      <c r="E738" s="146"/>
      <c r="F738" s="70" t="str">
        <f>IFERROR(VLOOKUP(C738,MATERIAUX!$C$3:$G$1002,3,FALSE),"")</f>
        <v/>
      </c>
      <c r="G738" s="71" t="str">
        <f>IFERROR(VLOOKUP(C738,MATERIAUX!$C$3:$G$1002,5,FALSE),"")</f>
        <v/>
      </c>
      <c r="H738" s="71" t="str">
        <f t="shared" si="277"/>
        <v/>
      </c>
      <c r="I738" s="394"/>
      <c r="J738" s="72"/>
      <c r="K738" s="72"/>
      <c r="L738" s="72" t="str">
        <f>IFERROR(VLOOKUP(J738,'MAIN D OEUVRE'!$A$4:$B$99,2,FALSE)*$N$2,"")</f>
        <v/>
      </c>
      <c r="M738" s="73" t="str">
        <f t="shared" si="303"/>
        <v/>
      </c>
      <c r="N738" s="397"/>
      <c r="O738">
        <f t="shared" si="305"/>
        <v>0</v>
      </c>
      <c r="P738">
        <f t="shared" si="290"/>
        <v>0</v>
      </c>
      <c r="Q738">
        <f t="shared" si="291"/>
        <v>0</v>
      </c>
    </row>
    <row r="739" spans="1:17">
      <c r="A739" s="388"/>
      <c r="B739" s="391"/>
      <c r="C739" s="69"/>
      <c r="D739" s="70"/>
      <c r="E739" s="146"/>
      <c r="F739" s="70" t="str">
        <f>IFERROR(VLOOKUP(C739,MATERIAUX!$C$3:$G$1002,3,FALSE),"")</f>
        <v/>
      </c>
      <c r="G739" s="71" t="str">
        <f>IFERROR(VLOOKUP(C739,MATERIAUX!$C$3:$G$1002,5,FALSE),"")</f>
        <v/>
      </c>
      <c r="H739" s="71" t="str">
        <f t="shared" si="277"/>
        <v/>
      </c>
      <c r="I739" s="394"/>
      <c r="J739" s="72"/>
      <c r="K739" s="72"/>
      <c r="L739" s="72" t="str">
        <f>IFERROR(VLOOKUP(J739,'MAIN D OEUVRE'!$A$4:$B$99,2,FALSE)*$N$2,"")</f>
        <v/>
      </c>
      <c r="M739" s="73" t="str">
        <f t="shared" si="303"/>
        <v/>
      </c>
      <c r="N739" s="397"/>
      <c r="O739">
        <f t="shared" si="305"/>
        <v>0</v>
      </c>
      <c r="P739">
        <f t="shared" si="290"/>
        <v>0</v>
      </c>
      <c r="Q739">
        <f t="shared" si="291"/>
        <v>0</v>
      </c>
    </row>
    <row r="740" spans="1:17">
      <c r="A740" s="388"/>
      <c r="B740" s="391"/>
      <c r="C740" s="69"/>
      <c r="D740" s="70"/>
      <c r="E740" s="146"/>
      <c r="F740" s="70" t="str">
        <f>IFERROR(VLOOKUP(C740,MATERIAUX!$C$3:$G$1002,3,FALSE),"")</f>
        <v/>
      </c>
      <c r="G740" s="71" t="str">
        <f>IFERROR(VLOOKUP(C740,MATERIAUX!$C$3:$G$1002,5,FALSE),"")</f>
        <v/>
      </c>
      <c r="H740" s="71" t="str">
        <f t="shared" si="277"/>
        <v/>
      </c>
      <c r="I740" s="394"/>
      <c r="J740" s="72"/>
      <c r="K740" s="72"/>
      <c r="L740" s="72" t="str">
        <f>IFERROR(VLOOKUP(J740,'MAIN D OEUVRE'!$A$4:$B$99,2,FALSE)*$N$2,"")</f>
        <v/>
      </c>
      <c r="M740" s="73" t="str">
        <f t="shared" si="303"/>
        <v/>
      </c>
      <c r="N740" s="397"/>
      <c r="O740">
        <f t="shared" si="305"/>
        <v>0</v>
      </c>
      <c r="P740">
        <f t="shared" si="290"/>
        <v>0</v>
      </c>
      <c r="Q740">
        <f t="shared" si="291"/>
        <v>0</v>
      </c>
    </row>
    <row r="741" spans="1:17">
      <c r="A741" s="388"/>
      <c r="B741" s="391"/>
      <c r="C741" s="69"/>
      <c r="D741" s="70"/>
      <c r="E741" s="146"/>
      <c r="F741" s="70" t="str">
        <f>IFERROR(VLOOKUP(C741,MATERIAUX!$C$3:$G$1002,3,FALSE),"")</f>
        <v/>
      </c>
      <c r="G741" s="71" t="str">
        <f>IFERROR(VLOOKUP(C741,MATERIAUX!$C$3:$G$1002,5,FALSE),"")</f>
        <v/>
      </c>
      <c r="H741" s="71" t="str">
        <f t="shared" si="277"/>
        <v/>
      </c>
      <c r="I741" s="394"/>
      <c r="J741" s="72"/>
      <c r="K741" s="72"/>
      <c r="L741" s="72"/>
      <c r="M741" s="73"/>
      <c r="N741" s="397"/>
      <c r="O741">
        <f t="shared" si="305"/>
        <v>0</v>
      </c>
      <c r="P741">
        <f t="shared" si="290"/>
        <v>0</v>
      </c>
      <c r="Q741">
        <f t="shared" si="291"/>
        <v>0</v>
      </c>
    </row>
    <row r="742" spans="1:17" ht="15" thickBot="1">
      <c r="A742" s="389"/>
      <c r="B742" s="392"/>
      <c r="C742" s="74"/>
      <c r="D742" s="75"/>
      <c r="E742" s="147"/>
      <c r="F742" s="70" t="str">
        <f>IFERROR(VLOOKUP(C742,MATERIAUX!$C$3:$G$1002,3,FALSE),"")</f>
        <v/>
      </c>
      <c r="G742" s="71" t="str">
        <f>IFERROR(VLOOKUP(C742,MATERIAUX!$C$3:$G$1002,5,FALSE),"")</f>
        <v/>
      </c>
      <c r="H742" s="71" t="str">
        <f t="shared" si="277"/>
        <v/>
      </c>
      <c r="I742" s="395"/>
      <c r="J742" s="77"/>
      <c r="K742" s="77"/>
      <c r="L742" s="77"/>
      <c r="M742" s="78"/>
      <c r="N742" s="398"/>
      <c r="O742">
        <f t="shared" si="305"/>
        <v>0</v>
      </c>
      <c r="P742">
        <f t="shared" si="290"/>
        <v>0</v>
      </c>
      <c r="Q742">
        <f t="shared" si="291"/>
        <v>0</v>
      </c>
    </row>
    <row r="743" spans="1:17">
      <c r="A743" s="387" t="s">
        <v>407</v>
      </c>
      <c r="B743" s="390" t="s">
        <v>21</v>
      </c>
      <c r="C743" s="69" t="s">
        <v>406</v>
      </c>
      <c r="D743" s="70">
        <v>1</v>
      </c>
      <c r="E743" s="146">
        <v>0.1</v>
      </c>
      <c r="F743" s="65" t="str">
        <f>IFERROR(VLOOKUP(C743,MATERIAUX!$C$3:$G$1002,3,FALSE),"")</f>
        <v>ml</v>
      </c>
      <c r="G743" s="66">
        <f>IFERROR(VLOOKUP(C743,MATERIAUX!$C$3:$G$1002,5,FALSE),"")</f>
        <v>1.2412371134020621</v>
      </c>
      <c r="H743" s="66">
        <f t="shared" ref="H743:H762" si="306">IFERROR(ROUND(G743*(1+E743)*D743,2),"")</f>
        <v>1.37</v>
      </c>
      <c r="I743" s="393">
        <f t="shared" ref="I743" si="307">SUM(H743:H752)</f>
        <v>1.53</v>
      </c>
      <c r="J743" s="282" t="s">
        <v>61</v>
      </c>
      <c r="K743" s="282">
        <v>1</v>
      </c>
      <c r="L743" s="282">
        <f>IFERROR(VLOOKUP(J743,'MAIN D OEUVRE'!$A$4:$B$99,2,FALSE)*$N$2,"")</f>
        <v>0.60500000000000009</v>
      </c>
      <c r="M743" s="283">
        <f t="shared" ref="M743:M750" si="308">IFERROR(ROUND(L743*K743,2),"")</f>
        <v>0.61</v>
      </c>
      <c r="N743" s="396">
        <f t="shared" ref="N743" si="309">SUM(M743:M752)</f>
        <v>0.61</v>
      </c>
      <c r="O743" s="350">
        <v>0</v>
      </c>
      <c r="P743">
        <f t="shared" si="290"/>
        <v>0</v>
      </c>
      <c r="Q743">
        <f t="shared" si="291"/>
        <v>0</v>
      </c>
    </row>
    <row r="744" spans="1:17">
      <c r="A744" s="388"/>
      <c r="B744" s="391"/>
      <c r="C744" s="69" t="s">
        <v>81</v>
      </c>
      <c r="D744" s="70">
        <v>10</v>
      </c>
      <c r="E744" s="146">
        <v>0.1</v>
      </c>
      <c r="F744" s="70" t="str">
        <f>IFERROR(VLOOKUP(C744,MATERIAUX!$C$3:$G$1002,3,FALSE),"")</f>
        <v>u</v>
      </c>
      <c r="G744" s="71">
        <f>IFERROR(VLOOKUP(C744,MATERIAUX!$C$3:$G$1002,5,FALSE),"")</f>
        <v>1.4432989690721652E-2</v>
      </c>
      <c r="H744" s="71">
        <f t="shared" si="306"/>
        <v>0.16</v>
      </c>
      <c r="I744" s="394"/>
      <c r="J744" s="72"/>
      <c r="K744" s="72"/>
      <c r="L744" s="72" t="str">
        <f>IFERROR(VLOOKUP(J744,'MAIN D OEUVRE'!$A$4:$B$99,2,FALSE)*$N$2,"")</f>
        <v/>
      </c>
      <c r="M744" s="73" t="str">
        <f t="shared" si="308"/>
        <v/>
      </c>
      <c r="N744" s="397"/>
      <c r="O744">
        <f>O743</f>
        <v>0</v>
      </c>
      <c r="P744">
        <f t="shared" si="290"/>
        <v>0</v>
      </c>
      <c r="Q744">
        <f t="shared" si="291"/>
        <v>0</v>
      </c>
    </row>
    <row r="745" spans="1:17">
      <c r="A745" s="388"/>
      <c r="B745" s="391"/>
      <c r="C745" s="69"/>
      <c r="D745" s="70"/>
      <c r="E745" s="146"/>
      <c r="F745" s="70" t="str">
        <f>IFERROR(VLOOKUP(C745,MATERIAUX!$C$3:$G$1002,3,FALSE),"")</f>
        <v/>
      </c>
      <c r="G745" s="71" t="str">
        <f>IFERROR(VLOOKUP(C745,MATERIAUX!$C$3:$G$1002,5,FALSE),"")</f>
        <v/>
      </c>
      <c r="H745" s="71" t="str">
        <f t="shared" si="306"/>
        <v/>
      </c>
      <c r="I745" s="394"/>
      <c r="J745" s="72"/>
      <c r="K745" s="72"/>
      <c r="L745" s="72" t="str">
        <f>IFERROR(VLOOKUP(J745,'MAIN D OEUVRE'!$A$4:$B$99,2,FALSE)*$N$2,"")</f>
        <v/>
      </c>
      <c r="M745" s="73" t="str">
        <f t="shared" si="308"/>
        <v/>
      </c>
      <c r="N745" s="397"/>
      <c r="O745">
        <f t="shared" ref="O745:O752" si="310">O744</f>
        <v>0</v>
      </c>
      <c r="P745">
        <f t="shared" si="290"/>
        <v>0</v>
      </c>
      <c r="Q745">
        <f t="shared" si="291"/>
        <v>0</v>
      </c>
    </row>
    <row r="746" spans="1:17">
      <c r="A746" s="388"/>
      <c r="B746" s="391"/>
      <c r="C746" s="69"/>
      <c r="D746" s="70"/>
      <c r="E746" s="146"/>
      <c r="F746" s="70" t="str">
        <f>IFERROR(VLOOKUP(C746,MATERIAUX!$C$3:$G$1002,3,FALSE),"")</f>
        <v/>
      </c>
      <c r="G746" s="71" t="str">
        <f>IFERROR(VLOOKUP(C746,MATERIAUX!$C$3:$G$1002,5,FALSE),"")</f>
        <v/>
      </c>
      <c r="H746" s="71" t="str">
        <f t="shared" si="306"/>
        <v/>
      </c>
      <c r="I746" s="394"/>
      <c r="J746" s="72"/>
      <c r="K746" s="72"/>
      <c r="L746" s="72" t="str">
        <f>IFERROR(VLOOKUP(J746,'MAIN D OEUVRE'!$A$4:$B$99,2,FALSE)*$N$2,"")</f>
        <v/>
      </c>
      <c r="M746" s="73" t="str">
        <f t="shared" si="308"/>
        <v/>
      </c>
      <c r="N746" s="397"/>
      <c r="O746">
        <f t="shared" si="310"/>
        <v>0</v>
      </c>
      <c r="P746">
        <f t="shared" si="290"/>
        <v>0</v>
      </c>
      <c r="Q746">
        <f t="shared" si="291"/>
        <v>0</v>
      </c>
    </row>
    <row r="747" spans="1:17">
      <c r="A747" s="388"/>
      <c r="B747" s="391"/>
      <c r="C747" s="69"/>
      <c r="D747" s="70"/>
      <c r="E747" s="146"/>
      <c r="F747" s="70" t="str">
        <f>IFERROR(VLOOKUP(C747,MATERIAUX!$C$3:$G$1002,3,FALSE),"")</f>
        <v/>
      </c>
      <c r="G747" s="71" t="str">
        <f>IFERROR(VLOOKUP(C747,MATERIAUX!$C$3:$G$1002,5,FALSE),"")</f>
        <v/>
      </c>
      <c r="H747" s="71" t="str">
        <f t="shared" si="306"/>
        <v/>
      </c>
      <c r="I747" s="394"/>
      <c r="J747" s="72"/>
      <c r="K747" s="72"/>
      <c r="L747" s="72" t="str">
        <f>IFERROR(VLOOKUP(J747,'MAIN D OEUVRE'!$A$4:$B$99,2,FALSE)*$N$2,"")</f>
        <v/>
      </c>
      <c r="M747" s="73" t="str">
        <f t="shared" si="308"/>
        <v/>
      </c>
      <c r="N747" s="397"/>
      <c r="O747">
        <f t="shared" si="310"/>
        <v>0</v>
      </c>
      <c r="P747">
        <f t="shared" si="290"/>
        <v>0</v>
      </c>
      <c r="Q747">
        <f t="shared" si="291"/>
        <v>0</v>
      </c>
    </row>
    <row r="748" spans="1:17">
      <c r="A748" s="388"/>
      <c r="B748" s="391"/>
      <c r="C748" s="69"/>
      <c r="D748" s="70"/>
      <c r="E748" s="146"/>
      <c r="F748" s="70" t="str">
        <f>IFERROR(VLOOKUP(C748,MATERIAUX!$C$3:$G$1002,3,FALSE),"")</f>
        <v/>
      </c>
      <c r="G748" s="71" t="str">
        <f>IFERROR(VLOOKUP(C748,MATERIAUX!$C$3:$G$1002,5,FALSE),"")</f>
        <v/>
      </c>
      <c r="H748" s="71" t="str">
        <f t="shared" si="306"/>
        <v/>
      </c>
      <c r="I748" s="394"/>
      <c r="J748" s="72"/>
      <c r="K748" s="72"/>
      <c r="L748" s="72" t="str">
        <f>IFERROR(VLOOKUP(J748,'MAIN D OEUVRE'!$A$4:$B$99,2,FALSE)*$N$2,"")</f>
        <v/>
      </c>
      <c r="M748" s="73" t="str">
        <f t="shared" si="308"/>
        <v/>
      </c>
      <c r="N748" s="397"/>
      <c r="O748">
        <f t="shared" si="310"/>
        <v>0</v>
      </c>
      <c r="P748">
        <f t="shared" si="290"/>
        <v>0</v>
      </c>
      <c r="Q748">
        <f t="shared" si="291"/>
        <v>0</v>
      </c>
    </row>
    <row r="749" spans="1:17">
      <c r="A749" s="388"/>
      <c r="B749" s="391"/>
      <c r="C749" s="69"/>
      <c r="D749" s="70"/>
      <c r="E749" s="146"/>
      <c r="F749" s="70" t="str">
        <f>IFERROR(VLOOKUP(C749,MATERIAUX!$C$3:$G$1002,3,FALSE),"")</f>
        <v/>
      </c>
      <c r="G749" s="71" t="str">
        <f>IFERROR(VLOOKUP(C749,MATERIAUX!$C$3:$G$1002,5,FALSE),"")</f>
        <v/>
      </c>
      <c r="H749" s="71" t="str">
        <f t="shared" si="306"/>
        <v/>
      </c>
      <c r="I749" s="394"/>
      <c r="J749" s="72"/>
      <c r="K749" s="72"/>
      <c r="L749" s="72" t="str">
        <f>IFERROR(VLOOKUP(J749,'MAIN D OEUVRE'!$A$4:$B$99,2,FALSE)*$N$2,"")</f>
        <v/>
      </c>
      <c r="M749" s="73" t="str">
        <f t="shared" si="308"/>
        <v/>
      </c>
      <c r="N749" s="397"/>
      <c r="O749">
        <f t="shared" si="310"/>
        <v>0</v>
      </c>
      <c r="P749">
        <f t="shared" si="290"/>
        <v>0</v>
      </c>
      <c r="Q749">
        <f t="shared" si="291"/>
        <v>0</v>
      </c>
    </row>
    <row r="750" spans="1:17">
      <c r="A750" s="388"/>
      <c r="B750" s="391"/>
      <c r="C750" s="69"/>
      <c r="D750" s="70"/>
      <c r="E750" s="146"/>
      <c r="F750" s="70" t="str">
        <f>IFERROR(VLOOKUP(C750,MATERIAUX!$C$3:$G$1002,3,FALSE),"")</f>
        <v/>
      </c>
      <c r="G750" s="71" t="str">
        <f>IFERROR(VLOOKUP(C750,MATERIAUX!$C$3:$G$1002,5,FALSE),"")</f>
        <v/>
      </c>
      <c r="H750" s="71" t="str">
        <f t="shared" si="306"/>
        <v/>
      </c>
      <c r="I750" s="394"/>
      <c r="J750" s="72"/>
      <c r="K750" s="72"/>
      <c r="L750" s="72" t="str">
        <f>IFERROR(VLOOKUP(J750,'MAIN D OEUVRE'!$A$4:$B$99,2,FALSE)*$N$2,"")</f>
        <v/>
      </c>
      <c r="M750" s="73" t="str">
        <f t="shared" si="308"/>
        <v/>
      </c>
      <c r="N750" s="397"/>
      <c r="O750">
        <f t="shared" si="310"/>
        <v>0</v>
      </c>
      <c r="P750">
        <f t="shared" si="290"/>
        <v>0</v>
      </c>
      <c r="Q750">
        <f t="shared" si="291"/>
        <v>0</v>
      </c>
    </row>
    <row r="751" spans="1:17">
      <c r="A751" s="388"/>
      <c r="B751" s="391"/>
      <c r="C751" s="69"/>
      <c r="D751" s="70"/>
      <c r="E751" s="146"/>
      <c r="F751" s="70" t="str">
        <f>IFERROR(VLOOKUP(C751,MATERIAUX!$C$3:$G$1002,3,FALSE),"")</f>
        <v/>
      </c>
      <c r="G751" s="71" t="str">
        <f>IFERROR(VLOOKUP(C751,MATERIAUX!$C$3:$G$1002,5,FALSE),"")</f>
        <v/>
      </c>
      <c r="H751" s="71" t="str">
        <f t="shared" si="306"/>
        <v/>
      </c>
      <c r="I751" s="394"/>
      <c r="J751" s="72"/>
      <c r="K751" s="72"/>
      <c r="L751" s="72"/>
      <c r="M751" s="73"/>
      <c r="N751" s="397"/>
      <c r="O751">
        <f t="shared" si="310"/>
        <v>0</v>
      </c>
      <c r="P751">
        <f t="shared" si="290"/>
        <v>0</v>
      </c>
      <c r="Q751">
        <f t="shared" si="291"/>
        <v>0</v>
      </c>
    </row>
    <row r="752" spans="1:17" ht="15" thickBot="1">
      <c r="A752" s="389"/>
      <c r="B752" s="392"/>
      <c r="C752" s="74"/>
      <c r="D752" s="75"/>
      <c r="E752" s="147"/>
      <c r="F752" s="70" t="str">
        <f>IFERROR(VLOOKUP(C752,MATERIAUX!$C$3:$G$1002,3,FALSE),"")</f>
        <v/>
      </c>
      <c r="G752" s="71" t="str">
        <f>IFERROR(VLOOKUP(C752,MATERIAUX!$C$3:$G$1002,5,FALSE),"")</f>
        <v/>
      </c>
      <c r="H752" s="71" t="str">
        <f t="shared" si="306"/>
        <v/>
      </c>
      <c r="I752" s="395"/>
      <c r="J752" s="77"/>
      <c r="K752" s="77"/>
      <c r="L752" s="77"/>
      <c r="M752" s="78"/>
      <c r="N752" s="398"/>
      <c r="O752">
        <f t="shared" si="310"/>
        <v>0</v>
      </c>
      <c r="P752">
        <f t="shared" si="290"/>
        <v>0</v>
      </c>
      <c r="Q752">
        <f t="shared" si="291"/>
        <v>0</v>
      </c>
    </row>
    <row r="753" spans="1:17">
      <c r="A753" s="387" t="s">
        <v>413</v>
      </c>
      <c r="B753" s="390" t="s">
        <v>21</v>
      </c>
      <c r="C753" s="64" t="s">
        <v>413</v>
      </c>
      <c r="D753" s="65">
        <v>1</v>
      </c>
      <c r="E753" s="145">
        <v>0.1</v>
      </c>
      <c r="F753" s="65" t="str">
        <f>IFERROR(VLOOKUP(C753,MATERIAUX!$C$3:$G$1002,3,FALSE),"")</f>
        <v>m2</v>
      </c>
      <c r="G753" s="66">
        <f>IFERROR(VLOOKUP(C753,MATERIAUX!$C$3:$G$1002,5,FALSE),"")</f>
        <v>1.7298969072164951</v>
      </c>
      <c r="H753" s="66">
        <f t="shared" si="306"/>
        <v>1.9</v>
      </c>
      <c r="I753" s="393">
        <f>SUM(H753:H762)</f>
        <v>3.07</v>
      </c>
      <c r="J753" s="282" t="s">
        <v>61</v>
      </c>
      <c r="K753" s="282">
        <v>1</v>
      </c>
      <c r="L753" s="282">
        <f>IFERROR(VLOOKUP(J753,'MAIN D OEUVRE'!$A$4:$B$99,2,FALSE)*$N$2,"")</f>
        <v>0.60500000000000009</v>
      </c>
      <c r="M753" s="283">
        <f t="shared" ref="M753:M760" si="311">IFERROR(ROUND(L753*K753,2),"")</f>
        <v>0.61</v>
      </c>
      <c r="N753" s="396">
        <f>SUM(M753:M762)</f>
        <v>0.61</v>
      </c>
      <c r="O753" s="350">
        <v>0</v>
      </c>
      <c r="P753">
        <f t="shared" si="290"/>
        <v>0</v>
      </c>
      <c r="Q753">
        <f t="shared" si="291"/>
        <v>0</v>
      </c>
    </row>
    <row r="754" spans="1:17">
      <c r="A754" s="388"/>
      <c r="B754" s="391"/>
      <c r="C754" s="69" t="s">
        <v>85</v>
      </c>
      <c r="D754" s="70">
        <v>2</v>
      </c>
      <c r="E754" s="146">
        <f>1/25*10%</f>
        <v>4.0000000000000001E-3</v>
      </c>
      <c r="F754" s="70" t="str">
        <f>IFERROR(VLOOKUP(C754,MATERIAUX!$C$3:$G$1002,3,FALSE),"")</f>
        <v>ml</v>
      </c>
      <c r="G754" s="71">
        <f>IFERROR(VLOOKUP(C754,MATERIAUX!$C$3:$G$1002,5,FALSE),"")</f>
        <v>0.47422680412371132</v>
      </c>
      <c r="H754" s="71">
        <f t="shared" si="306"/>
        <v>0.95</v>
      </c>
      <c r="I754" s="394"/>
      <c r="J754" s="72"/>
      <c r="K754" s="72"/>
      <c r="L754" s="72" t="str">
        <f>IFERROR(VLOOKUP(J754,'MAIN D OEUVRE'!$A$4:$B$99,2,FALSE)*$N$2,"")</f>
        <v/>
      </c>
      <c r="M754" s="73" t="str">
        <f t="shared" si="311"/>
        <v/>
      </c>
      <c r="N754" s="397"/>
      <c r="O754">
        <f>O753</f>
        <v>0</v>
      </c>
      <c r="P754">
        <f t="shared" si="290"/>
        <v>0</v>
      </c>
      <c r="Q754">
        <f t="shared" si="291"/>
        <v>0</v>
      </c>
    </row>
    <row r="755" spans="1:17">
      <c r="A755" s="388"/>
      <c r="B755" s="391"/>
      <c r="C755" s="69" t="s">
        <v>81</v>
      </c>
      <c r="D755" s="70">
        <v>15</v>
      </c>
      <c r="E755" s="146">
        <v>0</v>
      </c>
      <c r="F755" s="70" t="str">
        <f>IFERROR(VLOOKUP(C755,MATERIAUX!$C$3:$G$1002,3,FALSE),"")</f>
        <v>u</v>
      </c>
      <c r="G755" s="71">
        <f>IFERROR(VLOOKUP(C755,MATERIAUX!$C$3:$G$1002,5,FALSE),"")</f>
        <v>1.4432989690721652E-2</v>
      </c>
      <c r="H755" s="71">
        <f t="shared" si="306"/>
        <v>0.22</v>
      </c>
      <c r="I755" s="394"/>
      <c r="J755" s="72"/>
      <c r="K755" s="72"/>
      <c r="L755" s="72" t="str">
        <f>IFERROR(VLOOKUP(J755,'MAIN D OEUVRE'!$A$4:$B$99,2,FALSE)*$N$2,"")</f>
        <v/>
      </c>
      <c r="M755" s="73" t="str">
        <f t="shared" si="311"/>
        <v/>
      </c>
      <c r="N755" s="397"/>
      <c r="O755">
        <f t="shared" ref="O755:O762" si="312">O754</f>
        <v>0</v>
      </c>
      <c r="P755">
        <f t="shared" si="290"/>
        <v>0</v>
      </c>
      <c r="Q755">
        <f t="shared" si="291"/>
        <v>0</v>
      </c>
    </row>
    <row r="756" spans="1:17">
      <c r="A756" s="388"/>
      <c r="B756" s="391"/>
      <c r="C756" s="69"/>
      <c r="D756" s="70"/>
      <c r="E756" s="146"/>
      <c r="F756" s="70" t="str">
        <f>IFERROR(VLOOKUP(C756,MATERIAUX!$C$3:$G$1002,3,FALSE),"")</f>
        <v/>
      </c>
      <c r="G756" s="71" t="str">
        <f>IFERROR(VLOOKUP(C756,MATERIAUX!$C$3:$G$1002,5,FALSE),"")</f>
        <v/>
      </c>
      <c r="H756" s="71" t="str">
        <f t="shared" si="306"/>
        <v/>
      </c>
      <c r="I756" s="394"/>
      <c r="J756" s="72"/>
      <c r="K756" s="72"/>
      <c r="L756" s="72" t="str">
        <f>IFERROR(VLOOKUP(J756,'MAIN D OEUVRE'!$A$4:$B$99,2,FALSE)*$N$2,"")</f>
        <v/>
      </c>
      <c r="M756" s="73" t="str">
        <f t="shared" si="311"/>
        <v/>
      </c>
      <c r="N756" s="397"/>
      <c r="O756">
        <f t="shared" si="312"/>
        <v>0</v>
      </c>
      <c r="P756">
        <f t="shared" si="290"/>
        <v>0</v>
      </c>
      <c r="Q756">
        <f t="shared" si="291"/>
        <v>0</v>
      </c>
    </row>
    <row r="757" spans="1:17">
      <c r="A757" s="388"/>
      <c r="B757" s="391"/>
      <c r="C757" s="69"/>
      <c r="D757" s="70"/>
      <c r="E757" s="146"/>
      <c r="F757" s="70" t="str">
        <f>IFERROR(VLOOKUP(C757,MATERIAUX!$C$3:$G$1002,3,FALSE),"")</f>
        <v/>
      </c>
      <c r="G757" s="71" t="str">
        <f>IFERROR(VLOOKUP(C757,MATERIAUX!$C$3:$G$1002,5,FALSE),"")</f>
        <v/>
      </c>
      <c r="H757" s="71" t="str">
        <f t="shared" si="306"/>
        <v/>
      </c>
      <c r="I757" s="394"/>
      <c r="J757" s="72"/>
      <c r="K757" s="72"/>
      <c r="L757" s="72" t="str">
        <f>IFERROR(VLOOKUP(J757,'MAIN D OEUVRE'!$A$4:$B$99,2,FALSE)*$N$2,"")</f>
        <v/>
      </c>
      <c r="M757" s="73" t="str">
        <f t="shared" si="311"/>
        <v/>
      </c>
      <c r="N757" s="397"/>
      <c r="O757">
        <f t="shared" si="312"/>
        <v>0</v>
      </c>
      <c r="P757">
        <f t="shared" si="290"/>
        <v>0</v>
      </c>
      <c r="Q757">
        <f t="shared" si="291"/>
        <v>0</v>
      </c>
    </row>
    <row r="758" spans="1:17">
      <c r="A758" s="388"/>
      <c r="B758" s="391"/>
      <c r="C758" s="69"/>
      <c r="D758" s="70"/>
      <c r="E758" s="146"/>
      <c r="F758" s="70" t="str">
        <f>IFERROR(VLOOKUP(C758,MATERIAUX!$C$3:$G$1002,3,FALSE),"")</f>
        <v/>
      </c>
      <c r="G758" s="71" t="str">
        <f>IFERROR(VLOOKUP(C758,MATERIAUX!$C$3:$G$1002,5,FALSE),"")</f>
        <v/>
      </c>
      <c r="H758" s="71" t="str">
        <f t="shared" si="306"/>
        <v/>
      </c>
      <c r="I758" s="394"/>
      <c r="J758" s="72"/>
      <c r="K758" s="72"/>
      <c r="L758" s="72" t="str">
        <f>IFERROR(VLOOKUP(J758,'MAIN D OEUVRE'!$A$4:$B$99,2,FALSE)*$N$2,"")</f>
        <v/>
      </c>
      <c r="M758" s="73" t="str">
        <f t="shared" si="311"/>
        <v/>
      </c>
      <c r="N758" s="397"/>
      <c r="O758">
        <f t="shared" si="312"/>
        <v>0</v>
      </c>
      <c r="P758">
        <f t="shared" si="290"/>
        <v>0</v>
      </c>
      <c r="Q758">
        <f t="shared" si="291"/>
        <v>0</v>
      </c>
    </row>
    <row r="759" spans="1:17">
      <c r="A759" s="388"/>
      <c r="B759" s="391"/>
      <c r="C759" s="69"/>
      <c r="D759" s="70"/>
      <c r="E759" s="146"/>
      <c r="F759" s="70" t="str">
        <f>IFERROR(VLOOKUP(C759,MATERIAUX!$C$3:$G$1002,3,FALSE),"")</f>
        <v/>
      </c>
      <c r="G759" s="71" t="str">
        <f>IFERROR(VLOOKUP(C759,MATERIAUX!$C$3:$G$1002,5,FALSE),"")</f>
        <v/>
      </c>
      <c r="H759" s="71" t="str">
        <f t="shared" si="306"/>
        <v/>
      </c>
      <c r="I759" s="394"/>
      <c r="J759" s="72"/>
      <c r="K759" s="72"/>
      <c r="L759" s="72" t="str">
        <f>IFERROR(VLOOKUP(J759,'MAIN D OEUVRE'!$A$4:$B$99,2,FALSE)*$N$2,"")</f>
        <v/>
      </c>
      <c r="M759" s="73" t="str">
        <f t="shared" si="311"/>
        <v/>
      </c>
      <c r="N759" s="397"/>
      <c r="O759">
        <f t="shared" si="312"/>
        <v>0</v>
      </c>
      <c r="P759">
        <f t="shared" si="290"/>
        <v>0</v>
      </c>
      <c r="Q759">
        <f t="shared" si="291"/>
        <v>0</v>
      </c>
    </row>
    <row r="760" spans="1:17">
      <c r="A760" s="388"/>
      <c r="B760" s="391"/>
      <c r="C760" s="69"/>
      <c r="D760" s="70"/>
      <c r="E760" s="146"/>
      <c r="F760" s="70" t="str">
        <f>IFERROR(VLOOKUP(C760,MATERIAUX!$C$3:$G$1002,3,FALSE),"")</f>
        <v/>
      </c>
      <c r="G760" s="71" t="str">
        <f>IFERROR(VLOOKUP(C760,MATERIAUX!$C$3:$G$1002,5,FALSE),"")</f>
        <v/>
      </c>
      <c r="H760" s="71" t="str">
        <f t="shared" si="306"/>
        <v/>
      </c>
      <c r="I760" s="394"/>
      <c r="J760" s="72"/>
      <c r="K760" s="72"/>
      <c r="L760" s="72" t="str">
        <f>IFERROR(VLOOKUP(J760,'MAIN D OEUVRE'!$A$4:$B$99,2,FALSE)*$N$2,"")</f>
        <v/>
      </c>
      <c r="M760" s="73" t="str">
        <f t="shared" si="311"/>
        <v/>
      </c>
      <c r="N760" s="397"/>
      <c r="O760">
        <f t="shared" si="312"/>
        <v>0</v>
      </c>
      <c r="P760">
        <f t="shared" si="290"/>
        <v>0</v>
      </c>
      <c r="Q760">
        <f t="shared" si="291"/>
        <v>0</v>
      </c>
    </row>
    <row r="761" spans="1:17">
      <c r="A761" s="388"/>
      <c r="B761" s="391"/>
      <c r="C761" s="69"/>
      <c r="D761" s="70"/>
      <c r="E761" s="146"/>
      <c r="F761" s="70" t="str">
        <f>IFERROR(VLOOKUP(C761,MATERIAUX!$C$3:$G$1002,3,FALSE),"")</f>
        <v/>
      </c>
      <c r="G761" s="71" t="str">
        <f>IFERROR(VLOOKUP(C761,MATERIAUX!$C$3:$G$1002,5,FALSE),"")</f>
        <v/>
      </c>
      <c r="H761" s="71" t="str">
        <f t="shared" si="306"/>
        <v/>
      </c>
      <c r="I761" s="394"/>
      <c r="J761" s="72"/>
      <c r="K761" s="72"/>
      <c r="L761" s="72"/>
      <c r="M761" s="73"/>
      <c r="N761" s="397"/>
      <c r="O761">
        <f t="shared" si="312"/>
        <v>0</v>
      </c>
      <c r="P761">
        <f t="shared" ref="P761:P824" si="313">(D761+D761*E761)*O761</f>
        <v>0</v>
      </c>
      <c r="Q761">
        <f t="shared" ref="Q761:Q824" si="314">IF(P761=0,0,P761*G761)</f>
        <v>0</v>
      </c>
    </row>
    <row r="762" spans="1:17" ht="15" thickBot="1">
      <c r="A762" s="389"/>
      <c r="B762" s="392"/>
      <c r="C762" s="74"/>
      <c r="D762" s="75"/>
      <c r="E762" s="147"/>
      <c r="F762" s="70" t="str">
        <f>IFERROR(VLOOKUP(C762,MATERIAUX!$C$3:$G$1002,3,FALSE),"")</f>
        <v/>
      </c>
      <c r="G762" s="71" t="str">
        <f>IFERROR(VLOOKUP(C762,MATERIAUX!$C$3:$G$1002,5,FALSE),"")</f>
        <v/>
      </c>
      <c r="H762" s="76" t="str">
        <f t="shared" si="306"/>
        <v/>
      </c>
      <c r="I762" s="395"/>
      <c r="J762" s="77"/>
      <c r="K762" s="77"/>
      <c r="L762" s="77"/>
      <c r="M762" s="78"/>
      <c r="N762" s="398"/>
      <c r="O762">
        <f t="shared" si="312"/>
        <v>0</v>
      </c>
      <c r="P762">
        <f t="shared" si="313"/>
        <v>0</v>
      </c>
      <c r="Q762">
        <f t="shared" si="314"/>
        <v>0</v>
      </c>
    </row>
    <row r="763" spans="1:17">
      <c r="A763" s="387" t="s">
        <v>420</v>
      </c>
      <c r="B763" s="390" t="s">
        <v>21</v>
      </c>
      <c r="C763" s="64" t="s">
        <v>421</v>
      </c>
      <c r="D763" s="65">
        <v>2</v>
      </c>
      <c r="E763" s="145">
        <v>0.1</v>
      </c>
      <c r="F763" s="65" t="str">
        <f>IFERROR(VLOOKUP(C763,MATERIAUX!$C$3:$G$1002,3,FALSE),"")</f>
        <v>ml</v>
      </c>
      <c r="G763" s="66">
        <f>IFERROR(VLOOKUP(C763,MATERIAUX!$C$3:$G$1002,5,FALSE),"")</f>
        <v>0.55670103092783518</v>
      </c>
      <c r="H763" s="66">
        <f t="shared" ref="H763:H801" si="315">IFERROR(ROUND(G763*(1+E763)*D763,2),"")</f>
        <v>1.22</v>
      </c>
      <c r="I763" s="393">
        <f t="shared" ref="I763" si="316">SUM(H763:H772)</f>
        <v>1.98</v>
      </c>
      <c r="J763" s="67" t="s">
        <v>217</v>
      </c>
      <c r="K763" s="67">
        <v>2</v>
      </c>
      <c r="L763" s="67">
        <f>IFERROR(VLOOKUP(J763,'MAIN D OEUVRE'!$A$4:$B$99,2,FALSE)*$N$2,"")</f>
        <v>2.75</v>
      </c>
      <c r="M763" s="68">
        <f t="shared" ref="M763:M770" si="317">IFERROR(ROUND(L763*K763,2),"")</f>
        <v>5.5</v>
      </c>
      <c r="N763" s="396">
        <f t="shared" ref="N763" si="318">SUM(M763:M772)</f>
        <v>5.5</v>
      </c>
      <c r="O763" s="350">
        <v>0</v>
      </c>
      <c r="P763">
        <f t="shared" si="313"/>
        <v>0</v>
      </c>
      <c r="Q763">
        <f t="shared" si="314"/>
        <v>0</v>
      </c>
    </row>
    <row r="764" spans="1:17">
      <c r="A764" s="388"/>
      <c r="B764" s="391"/>
      <c r="C764" s="69" t="s">
        <v>83</v>
      </c>
      <c r="D764" s="70">
        <v>5</v>
      </c>
      <c r="E764" s="146">
        <v>0</v>
      </c>
      <c r="F764" s="70" t="str">
        <f>IFERROR(VLOOKUP(C764,MATERIAUX!$C$3:$G$1002,3,FALSE),"")</f>
        <v>u</v>
      </c>
      <c r="G764" s="71">
        <f>IFERROR(VLOOKUP(C764,MATERIAUX!$C$3:$G$1002,5,FALSE),"")</f>
        <v>0.15257731958762888</v>
      </c>
      <c r="H764" s="71">
        <f t="shared" si="315"/>
        <v>0.76</v>
      </c>
      <c r="I764" s="394"/>
      <c r="J764" s="72"/>
      <c r="K764" s="72"/>
      <c r="L764" s="72" t="str">
        <f>IFERROR(VLOOKUP(J764,'MAIN D OEUVRE'!$A$4:$B$99,2,FALSE)*$N$2,"")</f>
        <v/>
      </c>
      <c r="M764" s="73" t="str">
        <f t="shared" si="317"/>
        <v/>
      </c>
      <c r="N764" s="397"/>
      <c r="O764">
        <f>O763</f>
        <v>0</v>
      </c>
      <c r="P764">
        <f t="shared" si="313"/>
        <v>0</v>
      </c>
      <c r="Q764">
        <f t="shared" si="314"/>
        <v>0</v>
      </c>
    </row>
    <row r="765" spans="1:17">
      <c r="A765" s="388"/>
      <c r="B765" s="391"/>
      <c r="C765" s="69"/>
      <c r="D765" s="70"/>
      <c r="E765" s="146"/>
      <c r="F765" s="70" t="str">
        <f>IFERROR(VLOOKUP(C765,MATERIAUX!$C$3:$G$1002,3,FALSE),"")</f>
        <v/>
      </c>
      <c r="G765" s="71" t="str">
        <f>IFERROR(VLOOKUP(C765,MATERIAUX!$C$3:$G$1002,5,FALSE),"")</f>
        <v/>
      </c>
      <c r="H765" s="71" t="str">
        <f t="shared" si="315"/>
        <v/>
      </c>
      <c r="I765" s="394"/>
      <c r="J765" s="72"/>
      <c r="K765" s="72"/>
      <c r="L765" s="72" t="str">
        <f>IFERROR(VLOOKUP(J765,'MAIN D OEUVRE'!$A$4:$B$99,2,FALSE)*$N$2,"")</f>
        <v/>
      </c>
      <c r="M765" s="73" t="str">
        <f t="shared" si="317"/>
        <v/>
      </c>
      <c r="N765" s="397"/>
      <c r="O765">
        <f t="shared" ref="O765:O772" si="319">O764</f>
        <v>0</v>
      </c>
      <c r="P765">
        <f t="shared" si="313"/>
        <v>0</v>
      </c>
      <c r="Q765">
        <f t="shared" si="314"/>
        <v>0</v>
      </c>
    </row>
    <row r="766" spans="1:17">
      <c r="A766" s="388"/>
      <c r="B766" s="391"/>
      <c r="C766" s="69"/>
      <c r="D766" s="70"/>
      <c r="E766" s="146"/>
      <c r="F766" s="70" t="str">
        <f>IFERROR(VLOOKUP(C766,MATERIAUX!$C$3:$G$1002,3,FALSE),"")</f>
        <v/>
      </c>
      <c r="G766" s="71" t="str">
        <f>IFERROR(VLOOKUP(C766,MATERIAUX!$C$3:$G$1002,5,FALSE),"")</f>
        <v/>
      </c>
      <c r="H766" s="71" t="str">
        <f t="shared" si="315"/>
        <v/>
      </c>
      <c r="I766" s="394"/>
      <c r="J766" s="72"/>
      <c r="K766" s="72"/>
      <c r="L766" s="72" t="str">
        <f>IFERROR(VLOOKUP(J766,'MAIN D OEUVRE'!$A$4:$B$99,2,FALSE)*$N$2,"")</f>
        <v/>
      </c>
      <c r="M766" s="73" t="str">
        <f t="shared" si="317"/>
        <v/>
      </c>
      <c r="N766" s="397"/>
      <c r="O766">
        <f t="shared" si="319"/>
        <v>0</v>
      </c>
      <c r="P766">
        <f t="shared" si="313"/>
        <v>0</v>
      </c>
      <c r="Q766">
        <f t="shared" si="314"/>
        <v>0</v>
      </c>
    </row>
    <row r="767" spans="1:17">
      <c r="A767" s="388"/>
      <c r="B767" s="391"/>
      <c r="C767" s="69"/>
      <c r="D767" s="70"/>
      <c r="E767" s="146"/>
      <c r="F767" s="70" t="str">
        <f>IFERROR(VLOOKUP(C767,MATERIAUX!$C$3:$G$1002,3,FALSE),"")</f>
        <v/>
      </c>
      <c r="G767" s="71" t="str">
        <f>IFERROR(VLOOKUP(C767,MATERIAUX!$C$3:$G$1002,5,FALSE),"")</f>
        <v/>
      </c>
      <c r="H767" s="71" t="str">
        <f t="shared" si="315"/>
        <v/>
      </c>
      <c r="I767" s="394"/>
      <c r="J767" s="72"/>
      <c r="K767" s="72"/>
      <c r="L767" s="72" t="str">
        <f>IFERROR(VLOOKUP(J767,'MAIN D OEUVRE'!$A$4:$B$99,2,FALSE)*$N$2,"")</f>
        <v/>
      </c>
      <c r="M767" s="73" t="str">
        <f t="shared" si="317"/>
        <v/>
      </c>
      <c r="N767" s="397"/>
      <c r="O767">
        <f t="shared" si="319"/>
        <v>0</v>
      </c>
      <c r="P767">
        <f t="shared" si="313"/>
        <v>0</v>
      </c>
      <c r="Q767">
        <f t="shared" si="314"/>
        <v>0</v>
      </c>
    </row>
    <row r="768" spans="1:17">
      <c r="A768" s="388"/>
      <c r="B768" s="391"/>
      <c r="C768" s="69"/>
      <c r="D768" s="70"/>
      <c r="E768" s="146"/>
      <c r="F768" s="70" t="str">
        <f>IFERROR(VLOOKUP(C768,MATERIAUX!$C$3:$G$1002,3,FALSE),"")</f>
        <v/>
      </c>
      <c r="G768" s="71" t="str">
        <f>IFERROR(VLOOKUP(C768,MATERIAUX!$C$3:$G$1002,5,FALSE),"")</f>
        <v/>
      </c>
      <c r="H768" s="71" t="str">
        <f t="shared" si="315"/>
        <v/>
      </c>
      <c r="I768" s="394"/>
      <c r="J768" s="72"/>
      <c r="K768" s="72"/>
      <c r="L768" s="72" t="str">
        <f>IFERROR(VLOOKUP(J768,'MAIN D OEUVRE'!$A$4:$B$99,2,FALSE)*$N$2,"")</f>
        <v/>
      </c>
      <c r="M768" s="73" t="str">
        <f t="shared" si="317"/>
        <v/>
      </c>
      <c r="N768" s="397"/>
      <c r="O768">
        <f t="shared" si="319"/>
        <v>0</v>
      </c>
      <c r="P768">
        <f t="shared" si="313"/>
        <v>0</v>
      </c>
      <c r="Q768">
        <f t="shared" si="314"/>
        <v>0</v>
      </c>
    </row>
    <row r="769" spans="1:17">
      <c r="A769" s="388"/>
      <c r="B769" s="391"/>
      <c r="C769" s="69"/>
      <c r="D769" s="70"/>
      <c r="E769" s="146"/>
      <c r="F769" s="70" t="str">
        <f>IFERROR(VLOOKUP(C769,MATERIAUX!$C$3:$G$1002,3,FALSE),"")</f>
        <v/>
      </c>
      <c r="G769" s="71" t="str">
        <f>IFERROR(VLOOKUP(C769,MATERIAUX!$C$3:$G$1002,5,FALSE),"")</f>
        <v/>
      </c>
      <c r="H769" s="71" t="str">
        <f t="shared" si="315"/>
        <v/>
      </c>
      <c r="I769" s="394"/>
      <c r="J769" s="72"/>
      <c r="K769" s="72"/>
      <c r="L769" s="72" t="str">
        <f>IFERROR(VLOOKUP(J769,'MAIN D OEUVRE'!$A$4:$B$99,2,FALSE)*$N$2,"")</f>
        <v/>
      </c>
      <c r="M769" s="73" t="str">
        <f t="shared" si="317"/>
        <v/>
      </c>
      <c r="N769" s="397"/>
      <c r="O769">
        <f t="shared" si="319"/>
        <v>0</v>
      </c>
      <c r="P769">
        <f t="shared" si="313"/>
        <v>0</v>
      </c>
      <c r="Q769">
        <f t="shared" si="314"/>
        <v>0</v>
      </c>
    </row>
    <row r="770" spans="1:17">
      <c r="A770" s="388"/>
      <c r="B770" s="391"/>
      <c r="C770" s="69"/>
      <c r="D770" s="70"/>
      <c r="E770" s="146"/>
      <c r="F770" s="70" t="str">
        <f>IFERROR(VLOOKUP(C770,MATERIAUX!$C$3:$G$1002,3,FALSE),"")</f>
        <v/>
      </c>
      <c r="G770" s="71" t="str">
        <f>IFERROR(VLOOKUP(C770,MATERIAUX!$C$3:$G$1002,5,FALSE),"")</f>
        <v/>
      </c>
      <c r="H770" s="71" t="str">
        <f t="shared" si="315"/>
        <v/>
      </c>
      <c r="I770" s="394"/>
      <c r="J770" s="72"/>
      <c r="K770" s="72"/>
      <c r="L770" s="72" t="str">
        <f>IFERROR(VLOOKUP(J770,'MAIN D OEUVRE'!$A$4:$B$99,2,FALSE)*$N$2,"")</f>
        <v/>
      </c>
      <c r="M770" s="73" t="str">
        <f t="shared" si="317"/>
        <v/>
      </c>
      <c r="N770" s="397"/>
      <c r="O770">
        <f t="shared" si="319"/>
        <v>0</v>
      </c>
      <c r="P770">
        <f t="shared" si="313"/>
        <v>0</v>
      </c>
      <c r="Q770">
        <f t="shared" si="314"/>
        <v>0</v>
      </c>
    </row>
    <row r="771" spans="1:17">
      <c r="A771" s="388"/>
      <c r="B771" s="391"/>
      <c r="C771" s="69"/>
      <c r="D771" s="70"/>
      <c r="E771" s="146"/>
      <c r="F771" s="70" t="str">
        <f>IFERROR(VLOOKUP(C771,MATERIAUX!$C$3:$G$1002,3,FALSE),"")</f>
        <v/>
      </c>
      <c r="G771" s="71" t="str">
        <f>IFERROR(VLOOKUP(C771,MATERIAUX!$C$3:$G$1002,5,FALSE),"")</f>
        <v/>
      </c>
      <c r="H771" s="71" t="str">
        <f t="shared" si="315"/>
        <v/>
      </c>
      <c r="I771" s="394"/>
      <c r="J771" s="72"/>
      <c r="K771" s="72"/>
      <c r="L771" s="72"/>
      <c r="M771" s="73"/>
      <c r="N771" s="397"/>
      <c r="O771">
        <f t="shared" si="319"/>
        <v>0</v>
      </c>
      <c r="P771">
        <f t="shared" si="313"/>
        <v>0</v>
      </c>
      <c r="Q771">
        <f t="shared" si="314"/>
        <v>0</v>
      </c>
    </row>
    <row r="772" spans="1:17" ht="15" thickBot="1">
      <c r="A772" s="389"/>
      <c r="B772" s="392"/>
      <c r="C772" s="74"/>
      <c r="D772" s="75"/>
      <c r="E772" s="147"/>
      <c r="F772" s="70" t="str">
        <f>IFERROR(VLOOKUP(C772,MATERIAUX!$C$3:$G$1002,3,FALSE),"")</f>
        <v/>
      </c>
      <c r="G772" s="71" t="str">
        <f>IFERROR(VLOOKUP(C772,MATERIAUX!$C$3:$G$1002,5,FALSE),"")</f>
        <v/>
      </c>
      <c r="H772" s="71" t="str">
        <f t="shared" si="315"/>
        <v/>
      </c>
      <c r="I772" s="395"/>
      <c r="J772" s="77"/>
      <c r="K772" s="77"/>
      <c r="L772" s="77"/>
      <c r="M772" s="78"/>
      <c r="N772" s="398"/>
      <c r="O772">
        <f t="shared" si="319"/>
        <v>0</v>
      </c>
      <c r="P772">
        <f t="shared" si="313"/>
        <v>0</v>
      </c>
      <c r="Q772">
        <f t="shared" si="314"/>
        <v>0</v>
      </c>
    </row>
    <row r="773" spans="1:17">
      <c r="A773" s="387" t="s">
        <v>422</v>
      </c>
      <c r="B773" s="390" t="s">
        <v>21</v>
      </c>
      <c r="C773" s="64" t="s">
        <v>423</v>
      </c>
      <c r="D773" s="65">
        <v>3</v>
      </c>
      <c r="E773" s="145">
        <v>0.1</v>
      </c>
      <c r="F773" s="65" t="str">
        <f>IFERROR(VLOOKUP(C773,MATERIAUX!$C$3:$G$1002,3,FALSE),"")</f>
        <v>ml</v>
      </c>
      <c r="G773" s="66">
        <f>IFERROR(VLOOKUP(C773,MATERIAUX!$C$3:$G$1002,5,FALSE),"")</f>
        <v>0.72164948453608257</v>
      </c>
      <c r="H773" s="66">
        <f t="shared" si="315"/>
        <v>2.38</v>
      </c>
      <c r="I773" s="393">
        <f t="shared" ref="I773" si="320">SUM(H773:H782)</f>
        <v>3.1399999999999997</v>
      </c>
      <c r="J773" s="67" t="s">
        <v>217</v>
      </c>
      <c r="K773" s="67">
        <v>2</v>
      </c>
      <c r="L773" s="67">
        <f>IFERROR(VLOOKUP(J773,'MAIN D OEUVRE'!$A$4:$B$99,2,FALSE)*$N$2,"")</f>
        <v>2.75</v>
      </c>
      <c r="M773" s="68">
        <f t="shared" ref="M773:M780" si="321">IFERROR(ROUND(L773*K773,2),"")</f>
        <v>5.5</v>
      </c>
      <c r="N773" s="396">
        <f t="shared" ref="N773" si="322">SUM(M773:M782)</f>
        <v>5.5</v>
      </c>
      <c r="O773" s="350">
        <v>0</v>
      </c>
      <c r="P773">
        <f t="shared" si="313"/>
        <v>0</v>
      </c>
      <c r="Q773">
        <f t="shared" si="314"/>
        <v>0</v>
      </c>
    </row>
    <row r="774" spans="1:17">
      <c r="A774" s="388"/>
      <c r="B774" s="391"/>
      <c r="C774" s="69" t="s">
        <v>83</v>
      </c>
      <c r="D774" s="70">
        <v>5</v>
      </c>
      <c r="E774" s="146">
        <v>0</v>
      </c>
      <c r="F774" s="70" t="str">
        <f>IFERROR(VLOOKUP(C774,MATERIAUX!$C$3:$G$1002,3,FALSE),"")</f>
        <v>u</v>
      </c>
      <c r="G774" s="71">
        <f>IFERROR(VLOOKUP(C774,MATERIAUX!$C$3:$G$1002,5,FALSE),"")</f>
        <v>0.15257731958762888</v>
      </c>
      <c r="H774" s="71">
        <f t="shared" si="315"/>
        <v>0.76</v>
      </c>
      <c r="I774" s="394"/>
      <c r="J774" s="72"/>
      <c r="K774" s="72"/>
      <c r="L774" s="72" t="str">
        <f>IFERROR(VLOOKUP(J774,'MAIN D OEUVRE'!$A$4:$B$99,2,FALSE)*$N$2,"")</f>
        <v/>
      </c>
      <c r="M774" s="73" t="str">
        <f t="shared" si="321"/>
        <v/>
      </c>
      <c r="N774" s="397"/>
      <c r="O774">
        <f>O773</f>
        <v>0</v>
      </c>
      <c r="P774">
        <f t="shared" si="313"/>
        <v>0</v>
      </c>
      <c r="Q774">
        <f t="shared" si="314"/>
        <v>0</v>
      </c>
    </row>
    <row r="775" spans="1:17">
      <c r="A775" s="388"/>
      <c r="B775" s="391"/>
      <c r="C775" s="69"/>
      <c r="D775" s="70"/>
      <c r="E775" s="146"/>
      <c r="F775" s="70" t="str">
        <f>IFERROR(VLOOKUP(C775,MATERIAUX!$C$3:$G$1002,3,FALSE),"")</f>
        <v/>
      </c>
      <c r="G775" s="71" t="str">
        <f>IFERROR(VLOOKUP(C775,MATERIAUX!$C$3:$G$1002,5,FALSE),"")</f>
        <v/>
      </c>
      <c r="H775" s="71" t="str">
        <f t="shared" si="315"/>
        <v/>
      </c>
      <c r="I775" s="394"/>
      <c r="J775" s="72"/>
      <c r="K775" s="72"/>
      <c r="L775" s="72" t="str">
        <f>IFERROR(VLOOKUP(J775,'MAIN D OEUVRE'!$A$4:$B$99,2,FALSE)*$N$2,"")</f>
        <v/>
      </c>
      <c r="M775" s="73" t="str">
        <f t="shared" si="321"/>
        <v/>
      </c>
      <c r="N775" s="397"/>
      <c r="O775">
        <f t="shared" ref="O775:O782" si="323">O774</f>
        <v>0</v>
      </c>
      <c r="P775">
        <f t="shared" si="313"/>
        <v>0</v>
      </c>
      <c r="Q775">
        <f t="shared" si="314"/>
        <v>0</v>
      </c>
    </row>
    <row r="776" spans="1:17">
      <c r="A776" s="388"/>
      <c r="B776" s="391"/>
      <c r="C776" s="69"/>
      <c r="D776" s="70"/>
      <c r="E776" s="146"/>
      <c r="F776" s="70" t="str">
        <f>IFERROR(VLOOKUP(C776,MATERIAUX!$C$3:$G$1002,3,FALSE),"")</f>
        <v/>
      </c>
      <c r="G776" s="71" t="str">
        <f>IFERROR(VLOOKUP(C776,MATERIAUX!$C$3:$G$1002,5,FALSE),"")</f>
        <v/>
      </c>
      <c r="H776" s="71" t="str">
        <f t="shared" si="315"/>
        <v/>
      </c>
      <c r="I776" s="394"/>
      <c r="J776" s="72"/>
      <c r="K776" s="72"/>
      <c r="L776" s="72" t="str">
        <f>IFERROR(VLOOKUP(J776,'MAIN D OEUVRE'!$A$4:$B$99,2,FALSE)*$N$2,"")</f>
        <v/>
      </c>
      <c r="M776" s="73" t="str">
        <f t="shared" si="321"/>
        <v/>
      </c>
      <c r="N776" s="397"/>
      <c r="O776">
        <f t="shared" si="323"/>
        <v>0</v>
      </c>
      <c r="P776">
        <f t="shared" si="313"/>
        <v>0</v>
      </c>
      <c r="Q776">
        <f t="shared" si="314"/>
        <v>0</v>
      </c>
    </row>
    <row r="777" spans="1:17">
      <c r="A777" s="388"/>
      <c r="B777" s="391"/>
      <c r="C777" s="69"/>
      <c r="D777" s="70"/>
      <c r="E777" s="146"/>
      <c r="F777" s="70" t="str">
        <f>IFERROR(VLOOKUP(C777,MATERIAUX!$C$3:$G$1002,3,FALSE),"")</f>
        <v/>
      </c>
      <c r="G777" s="71" t="str">
        <f>IFERROR(VLOOKUP(C777,MATERIAUX!$C$3:$G$1002,5,FALSE),"")</f>
        <v/>
      </c>
      <c r="H777" s="71" t="str">
        <f t="shared" si="315"/>
        <v/>
      </c>
      <c r="I777" s="394"/>
      <c r="J777" s="72"/>
      <c r="K777" s="72"/>
      <c r="L777" s="72" t="str">
        <f>IFERROR(VLOOKUP(J777,'MAIN D OEUVRE'!$A$4:$B$99,2,FALSE)*$N$2,"")</f>
        <v/>
      </c>
      <c r="M777" s="73" t="str">
        <f t="shared" si="321"/>
        <v/>
      </c>
      <c r="N777" s="397"/>
      <c r="O777">
        <f t="shared" si="323"/>
        <v>0</v>
      </c>
      <c r="P777">
        <f t="shared" si="313"/>
        <v>0</v>
      </c>
      <c r="Q777">
        <f t="shared" si="314"/>
        <v>0</v>
      </c>
    </row>
    <row r="778" spans="1:17">
      <c r="A778" s="388"/>
      <c r="B778" s="391"/>
      <c r="C778" s="69"/>
      <c r="D778" s="70"/>
      <c r="E778" s="146"/>
      <c r="F778" s="70" t="str">
        <f>IFERROR(VLOOKUP(C778,MATERIAUX!$C$3:$G$1002,3,FALSE),"")</f>
        <v/>
      </c>
      <c r="G778" s="71" t="str">
        <f>IFERROR(VLOOKUP(C778,MATERIAUX!$C$3:$G$1002,5,FALSE),"")</f>
        <v/>
      </c>
      <c r="H778" s="71" t="str">
        <f t="shared" si="315"/>
        <v/>
      </c>
      <c r="I778" s="394"/>
      <c r="J778" s="72"/>
      <c r="K778" s="72"/>
      <c r="L778" s="72" t="str">
        <f>IFERROR(VLOOKUP(J778,'MAIN D OEUVRE'!$A$4:$B$99,2,FALSE)*$N$2,"")</f>
        <v/>
      </c>
      <c r="M778" s="73" t="str">
        <f t="shared" si="321"/>
        <v/>
      </c>
      <c r="N778" s="397"/>
      <c r="O778">
        <f t="shared" si="323"/>
        <v>0</v>
      </c>
      <c r="P778">
        <f t="shared" si="313"/>
        <v>0</v>
      </c>
      <c r="Q778">
        <f t="shared" si="314"/>
        <v>0</v>
      </c>
    </row>
    <row r="779" spans="1:17">
      <c r="A779" s="388"/>
      <c r="B779" s="391"/>
      <c r="C779" s="69"/>
      <c r="D779" s="70"/>
      <c r="E779" s="146"/>
      <c r="F779" s="70" t="str">
        <f>IFERROR(VLOOKUP(C779,MATERIAUX!$C$3:$G$1002,3,FALSE),"")</f>
        <v/>
      </c>
      <c r="G779" s="71" t="str">
        <f>IFERROR(VLOOKUP(C779,MATERIAUX!$C$3:$G$1002,5,FALSE),"")</f>
        <v/>
      </c>
      <c r="H779" s="71" t="str">
        <f t="shared" si="315"/>
        <v/>
      </c>
      <c r="I779" s="394"/>
      <c r="J779" s="72"/>
      <c r="K779" s="72"/>
      <c r="L779" s="72" t="str">
        <f>IFERROR(VLOOKUP(J779,'MAIN D OEUVRE'!$A$4:$B$99,2,FALSE)*$N$2,"")</f>
        <v/>
      </c>
      <c r="M779" s="73" t="str">
        <f t="shared" si="321"/>
        <v/>
      </c>
      <c r="N779" s="397"/>
      <c r="O779">
        <f t="shared" si="323"/>
        <v>0</v>
      </c>
      <c r="P779">
        <f t="shared" si="313"/>
        <v>0</v>
      </c>
      <c r="Q779">
        <f t="shared" si="314"/>
        <v>0</v>
      </c>
    </row>
    <row r="780" spans="1:17">
      <c r="A780" s="388"/>
      <c r="B780" s="391"/>
      <c r="C780" s="69"/>
      <c r="D780" s="70"/>
      <c r="E780" s="146"/>
      <c r="F780" s="70" t="str">
        <f>IFERROR(VLOOKUP(C780,MATERIAUX!$C$3:$G$1002,3,FALSE),"")</f>
        <v/>
      </c>
      <c r="G780" s="71" t="str">
        <f>IFERROR(VLOOKUP(C780,MATERIAUX!$C$3:$G$1002,5,FALSE),"")</f>
        <v/>
      </c>
      <c r="H780" s="71" t="str">
        <f t="shared" si="315"/>
        <v/>
      </c>
      <c r="I780" s="394"/>
      <c r="J780" s="72"/>
      <c r="K780" s="72"/>
      <c r="L780" s="72" t="str">
        <f>IFERROR(VLOOKUP(J780,'MAIN D OEUVRE'!$A$4:$B$99,2,FALSE)*$N$2,"")</f>
        <v/>
      </c>
      <c r="M780" s="73" t="str">
        <f t="shared" si="321"/>
        <v/>
      </c>
      <c r="N780" s="397"/>
      <c r="O780">
        <f t="shared" si="323"/>
        <v>0</v>
      </c>
      <c r="P780">
        <f t="shared" si="313"/>
        <v>0</v>
      </c>
      <c r="Q780">
        <f t="shared" si="314"/>
        <v>0</v>
      </c>
    </row>
    <row r="781" spans="1:17">
      <c r="A781" s="388"/>
      <c r="B781" s="391"/>
      <c r="C781" s="69"/>
      <c r="D781" s="70"/>
      <c r="E781" s="146"/>
      <c r="F781" s="70" t="str">
        <f>IFERROR(VLOOKUP(C781,MATERIAUX!$C$3:$G$1002,3,FALSE),"")</f>
        <v/>
      </c>
      <c r="G781" s="71" t="str">
        <f>IFERROR(VLOOKUP(C781,MATERIAUX!$C$3:$G$1002,5,FALSE),"")</f>
        <v/>
      </c>
      <c r="H781" s="71" t="str">
        <f t="shared" si="315"/>
        <v/>
      </c>
      <c r="I781" s="394"/>
      <c r="J781" s="72"/>
      <c r="K781" s="72"/>
      <c r="L781" s="72"/>
      <c r="M781" s="73"/>
      <c r="N781" s="397"/>
      <c r="O781">
        <f t="shared" si="323"/>
        <v>0</v>
      </c>
      <c r="P781">
        <f t="shared" si="313"/>
        <v>0</v>
      </c>
      <c r="Q781">
        <f t="shared" si="314"/>
        <v>0</v>
      </c>
    </row>
    <row r="782" spans="1:17" ht="15" thickBot="1">
      <c r="A782" s="389"/>
      <c r="B782" s="392"/>
      <c r="C782" s="74"/>
      <c r="D782" s="75"/>
      <c r="E782" s="147"/>
      <c r="F782" s="70" t="str">
        <f>IFERROR(VLOOKUP(C782,MATERIAUX!$C$3:$G$1002,3,FALSE),"")</f>
        <v/>
      </c>
      <c r="G782" s="71" t="str">
        <f>IFERROR(VLOOKUP(C782,MATERIAUX!$C$3:$G$1002,5,FALSE),"")</f>
        <v/>
      </c>
      <c r="H782" s="71" t="str">
        <f t="shared" si="315"/>
        <v/>
      </c>
      <c r="I782" s="395"/>
      <c r="J782" s="77"/>
      <c r="K782" s="77"/>
      <c r="L782" s="77"/>
      <c r="M782" s="78"/>
      <c r="N782" s="398"/>
      <c r="O782">
        <f t="shared" si="323"/>
        <v>0</v>
      </c>
      <c r="P782">
        <f t="shared" si="313"/>
        <v>0</v>
      </c>
      <c r="Q782">
        <f t="shared" si="314"/>
        <v>0</v>
      </c>
    </row>
    <row r="783" spans="1:17">
      <c r="A783" s="387" t="s">
        <v>425</v>
      </c>
      <c r="B783" s="390" t="s">
        <v>21</v>
      </c>
      <c r="C783" s="64" t="s">
        <v>424</v>
      </c>
      <c r="D783" s="65">
        <v>3</v>
      </c>
      <c r="E783" s="145">
        <v>0.1</v>
      </c>
      <c r="F783" s="65" t="str">
        <f>IFERROR(VLOOKUP(C783,MATERIAUX!$C$3:$G$1002,3,FALSE),"")</f>
        <v>ml</v>
      </c>
      <c r="G783" s="66">
        <f>IFERROR(VLOOKUP(C783,MATERIAUX!$C$3:$G$1002,5,FALSE),"")</f>
        <v>0.69278350515463916</v>
      </c>
      <c r="H783" s="66">
        <f t="shared" si="315"/>
        <v>2.29</v>
      </c>
      <c r="I783" s="393">
        <f t="shared" ref="I783" si="324">SUM(H783:H792)</f>
        <v>3.1063583340206185</v>
      </c>
      <c r="J783" s="67" t="s">
        <v>217</v>
      </c>
      <c r="K783" s="67">
        <v>2</v>
      </c>
      <c r="L783" s="67">
        <f>IFERROR(VLOOKUP(J783,'MAIN D OEUVRE'!$A$4:$B$99,2,FALSE)*$N$2,"")</f>
        <v>2.75</v>
      </c>
      <c r="M783" s="68">
        <f t="shared" ref="M783:M790" si="325">IFERROR(ROUND(L783*K783,2),"")</f>
        <v>5.5</v>
      </c>
      <c r="N783" s="396">
        <f t="shared" ref="N783" si="326">SUM(M783:M792)</f>
        <v>5.64</v>
      </c>
      <c r="O783" s="350">
        <v>0</v>
      </c>
      <c r="P783">
        <f t="shared" si="313"/>
        <v>0</v>
      </c>
      <c r="Q783">
        <f t="shared" si="314"/>
        <v>0</v>
      </c>
    </row>
    <row r="784" spans="1:17">
      <c r="A784" s="388"/>
      <c r="B784" s="391"/>
      <c r="C784" s="69" t="s">
        <v>83</v>
      </c>
      <c r="D784" s="70">
        <v>5</v>
      </c>
      <c r="E784" s="146">
        <v>0</v>
      </c>
      <c r="F784" s="70" t="str">
        <f>IFERROR(VLOOKUP(C784,MATERIAUX!$C$3:$G$1002,3,FALSE),"")</f>
        <v>u</v>
      </c>
      <c r="G784" s="71">
        <f>IFERROR(VLOOKUP(C784,MATERIAUX!$C$3:$G$1002,5,FALSE),"")</f>
        <v>0.15257731958762888</v>
      </c>
      <c r="H784" s="71">
        <f t="shared" si="315"/>
        <v>0.76</v>
      </c>
      <c r="I784" s="394"/>
      <c r="J784" s="72" t="s">
        <v>438</v>
      </c>
      <c r="K784" s="72">
        <f>2*D783*0.0012</f>
        <v>7.1999999999999998E-3</v>
      </c>
      <c r="L784" s="72">
        <f>IFERROR(VLOOKUP(J784,'MAIN D OEUVRE'!$A$4:$B$99,2,FALSE)*$N$2,"")</f>
        <v>19.25</v>
      </c>
      <c r="M784" s="73">
        <f t="shared" si="325"/>
        <v>0.14000000000000001</v>
      </c>
      <c r="N784" s="397"/>
      <c r="O784">
        <f>O783</f>
        <v>0</v>
      </c>
      <c r="P784">
        <f t="shared" si="313"/>
        <v>0</v>
      </c>
      <c r="Q784">
        <f t="shared" si="314"/>
        <v>0</v>
      </c>
    </row>
    <row r="785" spans="1:17">
      <c r="A785" s="388"/>
      <c r="B785" s="391"/>
      <c r="C785" s="69" t="s">
        <v>263</v>
      </c>
      <c r="D785" s="70">
        <v>1.06</v>
      </c>
      <c r="E785" s="146">
        <v>0.02</v>
      </c>
      <c r="F785" s="70" t="str">
        <f>IFERROR(VLOOKUP(C785,MATERIAUX!$C$3:$G$1002,3,FALSE),"")</f>
        <v>m2</v>
      </c>
      <c r="G785" s="71">
        <f>IFERROR(VLOOKUP(C785,MATERIAUX!$C$3:$G$1002,5,FALSE),"")</f>
        <v>7.315463917525773</v>
      </c>
      <c r="H785" s="71">
        <f>D783*0.0012*((D785+E785)+D785)*G785</f>
        <v>5.6358334020618552E-2</v>
      </c>
      <c r="I785" s="394"/>
      <c r="J785" s="72"/>
      <c r="K785" s="72"/>
      <c r="L785" s="72" t="str">
        <f>IFERROR(VLOOKUP(J785,'MAIN D OEUVRE'!$A$4:$B$99,2,FALSE)*$N$2,"")</f>
        <v/>
      </c>
      <c r="M785" s="73" t="str">
        <f t="shared" si="325"/>
        <v/>
      </c>
      <c r="N785" s="397"/>
      <c r="O785" s="351">
        <f t="shared" ref="O785" si="327">O784</f>
        <v>0</v>
      </c>
      <c r="P785" s="351">
        <f>O785*D785*(D782+D783)*1.02</f>
        <v>0</v>
      </c>
      <c r="Q785" s="351">
        <f t="shared" si="314"/>
        <v>0</v>
      </c>
    </row>
    <row r="786" spans="1:17">
      <c r="A786" s="388"/>
      <c r="B786" s="391"/>
      <c r="C786" s="69"/>
      <c r="D786" s="70"/>
      <c r="E786" s="146"/>
      <c r="F786" s="70" t="str">
        <f>IFERROR(VLOOKUP(C786,MATERIAUX!$C$3:$G$1002,3,FALSE),"")</f>
        <v/>
      </c>
      <c r="G786" s="71" t="str">
        <f>IFERROR(VLOOKUP(C786,MATERIAUX!$C$3:$G$1002,5,FALSE),"")</f>
        <v/>
      </c>
      <c r="H786" s="71" t="str">
        <f t="shared" si="315"/>
        <v/>
      </c>
      <c r="I786" s="394"/>
      <c r="J786" s="72"/>
      <c r="K786" s="72"/>
      <c r="L786" s="72" t="str">
        <f>IFERROR(VLOOKUP(J786,'MAIN D OEUVRE'!$A$4:$B$99,2,FALSE)*$N$2,"")</f>
        <v/>
      </c>
      <c r="M786" s="73" t="str">
        <f t="shared" si="325"/>
        <v/>
      </c>
      <c r="N786" s="397"/>
      <c r="O786">
        <f t="shared" ref="O786:O792" si="328">O785</f>
        <v>0</v>
      </c>
      <c r="P786">
        <f t="shared" si="313"/>
        <v>0</v>
      </c>
      <c r="Q786">
        <f t="shared" si="314"/>
        <v>0</v>
      </c>
    </row>
    <row r="787" spans="1:17">
      <c r="A787" s="388"/>
      <c r="B787" s="391"/>
      <c r="C787" s="69"/>
      <c r="D787" s="70"/>
      <c r="E787" s="146"/>
      <c r="F787" s="70" t="str">
        <f>IFERROR(VLOOKUP(C787,MATERIAUX!$C$3:$G$1002,3,FALSE),"")</f>
        <v/>
      </c>
      <c r="G787" s="71" t="str">
        <f>IFERROR(VLOOKUP(C787,MATERIAUX!$C$3:$G$1002,5,FALSE),"")</f>
        <v/>
      </c>
      <c r="H787" s="71" t="str">
        <f t="shared" si="315"/>
        <v/>
      </c>
      <c r="I787" s="394"/>
      <c r="J787" s="72"/>
      <c r="K787" s="72"/>
      <c r="L787" s="72" t="str">
        <f>IFERROR(VLOOKUP(J787,'MAIN D OEUVRE'!$A$4:$B$99,2,FALSE)*$N$2,"")</f>
        <v/>
      </c>
      <c r="M787" s="73" t="str">
        <f t="shared" si="325"/>
        <v/>
      </c>
      <c r="N787" s="397"/>
      <c r="O787">
        <f t="shared" si="328"/>
        <v>0</v>
      </c>
      <c r="P787">
        <f t="shared" si="313"/>
        <v>0</v>
      </c>
      <c r="Q787">
        <f t="shared" si="314"/>
        <v>0</v>
      </c>
    </row>
    <row r="788" spans="1:17">
      <c r="A788" s="388"/>
      <c r="B788" s="391"/>
      <c r="C788" s="69"/>
      <c r="D788" s="70"/>
      <c r="E788" s="146"/>
      <c r="F788" s="70" t="str">
        <f>IFERROR(VLOOKUP(C788,MATERIAUX!$C$3:$G$1002,3,FALSE),"")</f>
        <v/>
      </c>
      <c r="G788" s="71" t="str">
        <f>IFERROR(VLOOKUP(C788,MATERIAUX!$C$3:$G$1002,5,FALSE),"")</f>
        <v/>
      </c>
      <c r="H788" s="71" t="str">
        <f t="shared" si="315"/>
        <v/>
      </c>
      <c r="I788" s="394"/>
      <c r="J788" s="72"/>
      <c r="K788" s="72"/>
      <c r="L788" s="72" t="str">
        <f>IFERROR(VLOOKUP(J788,'MAIN D OEUVRE'!$A$4:$B$99,2,FALSE)*$N$2,"")</f>
        <v/>
      </c>
      <c r="M788" s="73" t="str">
        <f t="shared" si="325"/>
        <v/>
      </c>
      <c r="N788" s="397"/>
      <c r="O788">
        <f t="shared" si="328"/>
        <v>0</v>
      </c>
      <c r="P788">
        <f t="shared" si="313"/>
        <v>0</v>
      </c>
      <c r="Q788">
        <f t="shared" si="314"/>
        <v>0</v>
      </c>
    </row>
    <row r="789" spans="1:17">
      <c r="A789" s="388"/>
      <c r="B789" s="391"/>
      <c r="C789" s="69"/>
      <c r="D789" s="70"/>
      <c r="E789" s="146"/>
      <c r="F789" s="70" t="str">
        <f>IFERROR(VLOOKUP(C789,MATERIAUX!$C$3:$G$1002,3,FALSE),"")</f>
        <v/>
      </c>
      <c r="G789" s="71" t="str">
        <f>IFERROR(VLOOKUP(C789,MATERIAUX!$C$3:$G$1002,5,FALSE),"")</f>
        <v/>
      </c>
      <c r="H789" s="71" t="str">
        <f t="shared" si="315"/>
        <v/>
      </c>
      <c r="I789" s="394"/>
      <c r="J789" s="72"/>
      <c r="K789" s="72"/>
      <c r="L789" s="72" t="str">
        <f>IFERROR(VLOOKUP(J789,'MAIN D OEUVRE'!$A$4:$B$99,2,FALSE)*$N$2,"")</f>
        <v/>
      </c>
      <c r="M789" s="73" t="str">
        <f t="shared" si="325"/>
        <v/>
      </c>
      <c r="N789" s="397"/>
      <c r="O789">
        <f t="shared" si="328"/>
        <v>0</v>
      </c>
      <c r="P789">
        <f t="shared" si="313"/>
        <v>0</v>
      </c>
      <c r="Q789">
        <f t="shared" si="314"/>
        <v>0</v>
      </c>
    </row>
    <row r="790" spans="1:17">
      <c r="A790" s="388"/>
      <c r="B790" s="391"/>
      <c r="C790" s="69"/>
      <c r="D790" s="70"/>
      <c r="E790" s="146"/>
      <c r="F790" s="70" t="str">
        <f>IFERROR(VLOOKUP(C790,MATERIAUX!$C$3:$G$1002,3,FALSE),"")</f>
        <v/>
      </c>
      <c r="G790" s="71" t="str">
        <f>IFERROR(VLOOKUP(C790,MATERIAUX!$C$3:$G$1002,5,FALSE),"")</f>
        <v/>
      </c>
      <c r="H790" s="71" t="str">
        <f t="shared" si="315"/>
        <v/>
      </c>
      <c r="I790" s="394"/>
      <c r="J790" s="72"/>
      <c r="K790" s="72"/>
      <c r="L790" s="72" t="str">
        <f>IFERROR(VLOOKUP(J790,'MAIN D OEUVRE'!$A$4:$B$99,2,FALSE)*$N$2,"")</f>
        <v/>
      </c>
      <c r="M790" s="73" t="str">
        <f t="shared" si="325"/>
        <v/>
      </c>
      <c r="N790" s="397"/>
      <c r="O790">
        <f t="shared" si="328"/>
        <v>0</v>
      </c>
      <c r="P790">
        <f t="shared" si="313"/>
        <v>0</v>
      </c>
      <c r="Q790">
        <f t="shared" si="314"/>
        <v>0</v>
      </c>
    </row>
    <row r="791" spans="1:17">
      <c r="A791" s="388"/>
      <c r="B791" s="391"/>
      <c r="C791" s="69"/>
      <c r="D791" s="70"/>
      <c r="E791" s="146"/>
      <c r="F791" s="70" t="str">
        <f>IFERROR(VLOOKUP(C791,MATERIAUX!$C$3:$G$1002,3,FALSE),"")</f>
        <v/>
      </c>
      <c r="G791" s="71" t="str">
        <f>IFERROR(VLOOKUP(C791,MATERIAUX!$C$3:$G$1002,5,FALSE),"")</f>
        <v/>
      </c>
      <c r="H791" s="71" t="str">
        <f t="shared" si="315"/>
        <v/>
      </c>
      <c r="I791" s="394"/>
      <c r="J791" s="72"/>
      <c r="K791" s="72"/>
      <c r="L791" s="72"/>
      <c r="M791" s="73"/>
      <c r="N791" s="397"/>
      <c r="O791">
        <f t="shared" si="328"/>
        <v>0</v>
      </c>
      <c r="P791">
        <f t="shared" si="313"/>
        <v>0</v>
      </c>
      <c r="Q791">
        <f t="shared" si="314"/>
        <v>0</v>
      </c>
    </row>
    <row r="792" spans="1:17" ht="15" thickBot="1">
      <c r="A792" s="389"/>
      <c r="B792" s="392"/>
      <c r="C792" s="74"/>
      <c r="D792" s="75"/>
      <c r="E792" s="147"/>
      <c r="F792" s="70" t="str">
        <f>IFERROR(VLOOKUP(C792,MATERIAUX!$C$3:$G$1002,3,FALSE),"")</f>
        <v/>
      </c>
      <c r="G792" s="71" t="str">
        <f>IFERROR(VLOOKUP(C792,MATERIAUX!$C$3:$G$1002,5,FALSE),"")</f>
        <v/>
      </c>
      <c r="H792" s="71" t="str">
        <f t="shared" si="315"/>
        <v/>
      </c>
      <c r="I792" s="395"/>
      <c r="J792" s="77"/>
      <c r="K792" s="77"/>
      <c r="L792" s="77"/>
      <c r="M792" s="78"/>
      <c r="N792" s="398"/>
      <c r="O792">
        <f t="shared" si="328"/>
        <v>0</v>
      </c>
      <c r="P792">
        <f t="shared" si="313"/>
        <v>0</v>
      </c>
      <c r="Q792">
        <f t="shared" si="314"/>
        <v>0</v>
      </c>
    </row>
    <row r="793" spans="1:17">
      <c r="A793" s="387" t="s">
        <v>429</v>
      </c>
      <c r="B793" s="390" t="s">
        <v>21</v>
      </c>
      <c r="C793" s="64" t="s">
        <v>428</v>
      </c>
      <c r="D793" s="65">
        <v>1</v>
      </c>
      <c r="E793" s="145">
        <v>0.1</v>
      </c>
      <c r="F793" s="65" t="str">
        <f>IFERROR(VLOOKUP(C793,MATERIAUX!$C$3:$G$1002,3,FALSE),"")</f>
        <v>m2</v>
      </c>
      <c r="G793" s="66">
        <f>IFERROR(VLOOKUP(C793,MATERIAUX!$C$3:$G$1002,5,FALSE),"")</f>
        <v>1.7298969072164951</v>
      </c>
      <c r="H793" s="66">
        <f t="shared" si="315"/>
        <v>1.9</v>
      </c>
      <c r="I793" s="393">
        <f t="shared" ref="I793" si="329">SUM(H793:H802)</f>
        <v>3.07</v>
      </c>
      <c r="J793" s="67" t="s">
        <v>61</v>
      </c>
      <c r="K793" s="67">
        <v>1</v>
      </c>
      <c r="L793" s="67">
        <f>IFERROR(VLOOKUP(J793,'MAIN D OEUVRE'!$A$4:$B$99,2,FALSE)*$N$2,"")</f>
        <v>0.60500000000000009</v>
      </c>
      <c r="M793" s="68">
        <f t="shared" ref="M793:M800" si="330">IFERROR(ROUND(L793*K793,2),"")</f>
        <v>0.61</v>
      </c>
      <c r="N793" s="396">
        <f t="shared" ref="N793" si="331">SUM(M793:M802)</f>
        <v>0.61</v>
      </c>
      <c r="O793" s="350">
        <v>0</v>
      </c>
      <c r="P793">
        <f t="shared" si="313"/>
        <v>0</v>
      </c>
      <c r="Q793">
        <f t="shared" si="314"/>
        <v>0</v>
      </c>
    </row>
    <row r="794" spans="1:17">
      <c r="A794" s="388"/>
      <c r="B794" s="391"/>
      <c r="C794" s="69" t="s">
        <v>85</v>
      </c>
      <c r="D794" s="70">
        <v>2</v>
      </c>
      <c r="E794" s="146">
        <f>1/25*10%</f>
        <v>4.0000000000000001E-3</v>
      </c>
      <c r="F794" s="70" t="str">
        <f>IFERROR(VLOOKUP(C794,MATERIAUX!$C$3:$G$1002,3,FALSE),"")</f>
        <v>ml</v>
      </c>
      <c r="G794" s="71">
        <f>IFERROR(VLOOKUP(C794,MATERIAUX!$C$3:$G$1002,5,FALSE),"")</f>
        <v>0.47422680412371132</v>
      </c>
      <c r="H794" s="71">
        <f t="shared" si="315"/>
        <v>0.95</v>
      </c>
      <c r="I794" s="394"/>
      <c r="J794" s="72"/>
      <c r="K794" s="72"/>
      <c r="L794" s="72" t="str">
        <f>IFERROR(VLOOKUP(J794,'MAIN D OEUVRE'!$A$4:$B$99,2,FALSE)*$N$2,"")</f>
        <v/>
      </c>
      <c r="M794" s="73" t="str">
        <f t="shared" si="330"/>
        <v/>
      </c>
      <c r="N794" s="397"/>
      <c r="O794">
        <f>O793</f>
        <v>0</v>
      </c>
      <c r="P794">
        <f t="shared" si="313"/>
        <v>0</v>
      </c>
      <c r="Q794">
        <f t="shared" si="314"/>
        <v>0</v>
      </c>
    </row>
    <row r="795" spans="1:17">
      <c r="A795" s="388"/>
      <c r="B795" s="391"/>
      <c r="C795" s="69" t="s">
        <v>81</v>
      </c>
      <c r="D795" s="70">
        <v>15</v>
      </c>
      <c r="E795" s="146">
        <v>0</v>
      </c>
      <c r="F795" s="70" t="str">
        <f>IFERROR(VLOOKUP(C795,MATERIAUX!$C$3:$G$1002,3,FALSE),"")</f>
        <v>u</v>
      </c>
      <c r="G795" s="71">
        <f>IFERROR(VLOOKUP(C795,MATERIAUX!$C$3:$G$1002,5,FALSE),"")</f>
        <v>1.4432989690721652E-2</v>
      </c>
      <c r="H795" s="71">
        <f t="shared" si="315"/>
        <v>0.22</v>
      </c>
      <c r="I795" s="394"/>
      <c r="J795" s="72"/>
      <c r="K795" s="72"/>
      <c r="L795" s="72" t="str">
        <f>IFERROR(VLOOKUP(J795,'MAIN D OEUVRE'!$A$4:$B$99,2,FALSE)*$N$2,"")</f>
        <v/>
      </c>
      <c r="M795" s="73" t="str">
        <f t="shared" si="330"/>
        <v/>
      </c>
      <c r="N795" s="397"/>
      <c r="O795">
        <f t="shared" ref="O795:O802" si="332">O794</f>
        <v>0</v>
      </c>
      <c r="P795">
        <f t="shared" si="313"/>
        <v>0</v>
      </c>
      <c r="Q795">
        <f t="shared" si="314"/>
        <v>0</v>
      </c>
    </row>
    <row r="796" spans="1:17">
      <c r="A796" s="388"/>
      <c r="B796" s="391"/>
      <c r="C796" s="69"/>
      <c r="D796" s="70"/>
      <c r="E796" s="146"/>
      <c r="F796" s="70" t="str">
        <f>IFERROR(VLOOKUP(C796,MATERIAUX!$C$3:$G$1002,3,FALSE),"")</f>
        <v/>
      </c>
      <c r="G796" s="71" t="str">
        <f>IFERROR(VLOOKUP(C796,MATERIAUX!$C$3:$G$1002,5,FALSE),"")</f>
        <v/>
      </c>
      <c r="H796" s="71" t="str">
        <f t="shared" si="315"/>
        <v/>
      </c>
      <c r="I796" s="394"/>
      <c r="J796" s="72"/>
      <c r="K796" s="72"/>
      <c r="L796" s="72" t="str">
        <f>IFERROR(VLOOKUP(J796,'MAIN D OEUVRE'!$A$4:$B$99,2,FALSE)*$N$2,"")</f>
        <v/>
      </c>
      <c r="M796" s="73" t="str">
        <f t="shared" si="330"/>
        <v/>
      </c>
      <c r="N796" s="397"/>
      <c r="O796">
        <f t="shared" si="332"/>
        <v>0</v>
      </c>
      <c r="P796">
        <f t="shared" si="313"/>
        <v>0</v>
      </c>
      <c r="Q796">
        <f t="shared" si="314"/>
        <v>0</v>
      </c>
    </row>
    <row r="797" spans="1:17">
      <c r="A797" s="388"/>
      <c r="B797" s="391"/>
      <c r="C797" s="69"/>
      <c r="D797" s="70"/>
      <c r="E797" s="146"/>
      <c r="F797" s="70" t="str">
        <f>IFERROR(VLOOKUP(C797,MATERIAUX!$C$3:$G$1002,3,FALSE),"")</f>
        <v/>
      </c>
      <c r="G797" s="71" t="str">
        <f>IFERROR(VLOOKUP(C797,MATERIAUX!$C$3:$G$1002,5,FALSE),"")</f>
        <v/>
      </c>
      <c r="H797" s="71" t="str">
        <f t="shared" si="315"/>
        <v/>
      </c>
      <c r="I797" s="394"/>
      <c r="J797" s="72"/>
      <c r="K797" s="72"/>
      <c r="L797" s="72" t="str">
        <f>IFERROR(VLOOKUP(J797,'MAIN D OEUVRE'!$A$4:$B$99,2,FALSE)*$N$2,"")</f>
        <v/>
      </c>
      <c r="M797" s="73" t="str">
        <f t="shared" si="330"/>
        <v/>
      </c>
      <c r="N797" s="397"/>
      <c r="O797">
        <f t="shared" si="332"/>
        <v>0</v>
      </c>
      <c r="P797">
        <f t="shared" si="313"/>
        <v>0</v>
      </c>
      <c r="Q797">
        <f t="shared" si="314"/>
        <v>0</v>
      </c>
    </row>
    <row r="798" spans="1:17">
      <c r="A798" s="388"/>
      <c r="B798" s="391"/>
      <c r="C798" s="69"/>
      <c r="D798" s="70"/>
      <c r="E798" s="146"/>
      <c r="F798" s="70" t="str">
        <f>IFERROR(VLOOKUP(C798,MATERIAUX!$C$3:$G$1002,3,FALSE),"")</f>
        <v/>
      </c>
      <c r="G798" s="71" t="str">
        <f>IFERROR(VLOOKUP(C798,MATERIAUX!$C$3:$G$1002,5,FALSE),"")</f>
        <v/>
      </c>
      <c r="H798" s="71" t="str">
        <f t="shared" si="315"/>
        <v/>
      </c>
      <c r="I798" s="394"/>
      <c r="J798" s="72"/>
      <c r="K798" s="72"/>
      <c r="L798" s="72" t="str">
        <f>IFERROR(VLOOKUP(J798,'MAIN D OEUVRE'!$A$4:$B$99,2,FALSE)*$N$2,"")</f>
        <v/>
      </c>
      <c r="M798" s="73" t="str">
        <f t="shared" si="330"/>
        <v/>
      </c>
      <c r="N798" s="397"/>
      <c r="O798">
        <f t="shared" si="332"/>
        <v>0</v>
      </c>
      <c r="P798">
        <f t="shared" si="313"/>
        <v>0</v>
      </c>
      <c r="Q798">
        <f t="shared" si="314"/>
        <v>0</v>
      </c>
    </row>
    <row r="799" spans="1:17">
      <c r="A799" s="388"/>
      <c r="B799" s="391"/>
      <c r="C799" s="69"/>
      <c r="D799" s="70"/>
      <c r="E799" s="146"/>
      <c r="F799" s="70" t="str">
        <f>IFERROR(VLOOKUP(C799,MATERIAUX!$C$3:$G$1002,3,FALSE),"")</f>
        <v/>
      </c>
      <c r="G799" s="71" t="str">
        <f>IFERROR(VLOOKUP(C799,MATERIAUX!$C$3:$G$1002,5,FALSE),"")</f>
        <v/>
      </c>
      <c r="H799" s="71" t="str">
        <f t="shared" si="315"/>
        <v/>
      </c>
      <c r="I799" s="394"/>
      <c r="J799" s="72"/>
      <c r="K799" s="72"/>
      <c r="L799" s="72" t="str">
        <f>IFERROR(VLOOKUP(J799,'MAIN D OEUVRE'!$A$4:$B$99,2,FALSE)*$N$2,"")</f>
        <v/>
      </c>
      <c r="M799" s="73" t="str">
        <f t="shared" si="330"/>
        <v/>
      </c>
      <c r="N799" s="397"/>
      <c r="O799">
        <f t="shared" si="332"/>
        <v>0</v>
      </c>
      <c r="P799">
        <f t="shared" si="313"/>
        <v>0</v>
      </c>
      <c r="Q799">
        <f t="shared" si="314"/>
        <v>0</v>
      </c>
    </row>
    <row r="800" spans="1:17">
      <c r="A800" s="388"/>
      <c r="B800" s="391"/>
      <c r="C800" s="69"/>
      <c r="D800" s="70"/>
      <c r="E800" s="146"/>
      <c r="F800" s="70" t="str">
        <f>IFERROR(VLOOKUP(C800,MATERIAUX!$C$3:$G$1002,3,FALSE),"")</f>
        <v/>
      </c>
      <c r="G800" s="71" t="str">
        <f>IFERROR(VLOOKUP(C800,MATERIAUX!$C$3:$G$1002,5,FALSE),"")</f>
        <v/>
      </c>
      <c r="H800" s="71" t="str">
        <f t="shared" si="315"/>
        <v/>
      </c>
      <c r="I800" s="394"/>
      <c r="J800" s="72"/>
      <c r="K800" s="72"/>
      <c r="L800" s="72" t="str">
        <f>IFERROR(VLOOKUP(J800,'MAIN D OEUVRE'!$A$4:$B$99,2,FALSE)*$N$2,"")</f>
        <v/>
      </c>
      <c r="M800" s="73" t="str">
        <f t="shared" si="330"/>
        <v/>
      </c>
      <c r="N800" s="397"/>
      <c r="O800">
        <f t="shared" si="332"/>
        <v>0</v>
      </c>
      <c r="P800">
        <f t="shared" si="313"/>
        <v>0</v>
      </c>
      <c r="Q800">
        <f t="shared" si="314"/>
        <v>0</v>
      </c>
    </row>
    <row r="801" spans="1:17">
      <c r="A801" s="388"/>
      <c r="B801" s="391"/>
      <c r="C801" s="69"/>
      <c r="D801" s="70"/>
      <c r="E801" s="146"/>
      <c r="F801" s="70" t="str">
        <f>IFERROR(VLOOKUP(C801,MATERIAUX!$C$3:$G$1002,3,FALSE),"")</f>
        <v/>
      </c>
      <c r="G801" s="71" t="str">
        <f>IFERROR(VLOOKUP(C801,MATERIAUX!$C$3:$G$1002,5,FALSE),"")</f>
        <v/>
      </c>
      <c r="H801" s="71" t="str">
        <f t="shared" si="315"/>
        <v/>
      </c>
      <c r="I801" s="394"/>
      <c r="J801" s="72"/>
      <c r="K801" s="72"/>
      <c r="L801" s="72"/>
      <c r="M801" s="73"/>
      <c r="N801" s="397"/>
      <c r="O801">
        <f t="shared" si="332"/>
        <v>0</v>
      </c>
      <c r="P801">
        <f t="shared" si="313"/>
        <v>0</v>
      </c>
      <c r="Q801">
        <f t="shared" si="314"/>
        <v>0</v>
      </c>
    </row>
    <row r="802" spans="1:17" ht="15" thickBot="1">
      <c r="A802" s="389"/>
      <c r="B802" s="392"/>
      <c r="C802" s="74"/>
      <c r="D802" s="75"/>
      <c r="E802" s="147"/>
      <c r="F802" s="70" t="str">
        <f>IFERROR(VLOOKUP(C802,MATERIAUX!$C$3:$G$1002,3,FALSE),"")</f>
        <v/>
      </c>
      <c r="G802" s="71" t="str">
        <f>IFERROR(VLOOKUP(C802,MATERIAUX!$C$3:$G$1002,5,FALSE),"")</f>
        <v/>
      </c>
      <c r="H802" s="71" t="str">
        <f t="shared" ref="H802:H865" si="333">IFERROR(ROUND(G802*(1+E802)*D802,2),"")</f>
        <v/>
      </c>
      <c r="I802" s="395"/>
      <c r="J802" s="77"/>
      <c r="K802" s="77"/>
      <c r="L802" s="77"/>
      <c r="M802" s="78"/>
      <c r="N802" s="398"/>
      <c r="O802">
        <f t="shared" si="332"/>
        <v>0</v>
      </c>
      <c r="P802">
        <f t="shared" si="313"/>
        <v>0</v>
      </c>
      <c r="Q802">
        <f t="shared" si="314"/>
        <v>0</v>
      </c>
    </row>
    <row r="803" spans="1:17">
      <c r="A803" s="387" t="s">
        <v>431</v>
      </c>
      <c r="B803" s="390" t="s">
        <v>21</v>
      </c>
      <c r="C803" s="64" t="s">
        <v>430</v>
      </c>
      <c r="D803" s="65">
        <v>2</v>
      </c>
      <c r="E803" s="145">
        <v>0.1</v>
      </c>
      <c r="F803" s="65" t="str">
        <f>IFERROR(VLOOKUP(C803,MATERIAUX!$C$3:$G$1002,3,FALSE),"")</f>
        <v>ml</v>
      </c>
      <c r="G803" s="66">
        <f>IFERROR(VLOOKUP(C803,MATERIAUX!$C$3:$G$1002,5,FALSE),"")</f>
        <v>0.92371134020618573</v>
      </c>
      <c r="H803" s="66">
        <f t="shared" si="333"/>
        <v>2.0299999999999998</v>
      </c>
      <c r="I803" s="393">
        <f t="shared" ref="I803" si="334">SUM(H803:H812)</f>
        <v>2.8400962969072165</v>
      </c>
      <c r="J803" s="67" t="s">
        <v>217</v>
      </c>
      <c r="K803" s="67">
        <v>2</v>
      </c>
      <c r="L803" s="67">
        <f>IFERROR(VLOOKUP(J803,'MAIN D OEUVRE'!$A$4:$B$99,2,FALSE)*$N$2,"")</f>
        <v>2.75</v>
      </c>
      <c r="M803" s="68">
        <f t="shared" ref="M803:M810" si="335">IFERROR(ROUND(L803*K803,2),"")</f>
        <v>5.5</v>
      </c>
      <c r="N803" s="396">
        <f t="shared" ref="N803" si="336">SUM(M803:M812)</f>
        <v>5.62</v>
      </c>
      <c r="O803" s="350">
        <v>0</v>
      </c>
      <c r="P803">
        <f t="shared" si="313"/>
        <v>0</v>
      </c>
      <c r="Q803">
        <f t="shared" si="314"/>
        <v>0</v>
      </c>
    </row>
    <row r="804" spans="1:17">
      <c r="A804" s="388"/>
      <c r="B804" s="391"/>
      <c r="C804" s="69" t="s">
        <v>83</v>
      </c>
      <c r="D804" s="70">
        <v>5</v>
      </c>
      <c r="E804" s="146">
        <v>0</v>
      </c>
      <c r="F804" s="70" t="str">
        <f>IFERROR(VLOOKUP(C804,MATERIAUX!$C$3:$G$1002,3,FALSE),"")</f>
        <v>u</v>
      </c>
      <c r="G804" s="71">
        <f>IFERROR(VLOOKUP(C804,MATERIAUX!$C$3:$G$1002,5,FALSE),"")</f>
        <v>0.15257731958762888</v>
      </c>
      <c r="H804" s="71">
        <f t="shared" si="333"/>
        <v>0.76</v>
      </c>
      <c r="I804" s="394"/>
      <c r="J804" s="72" t="s">
        <v>438</v>
      </c>
      <c r="K804" s="72">
        <f>2*D803*0.0016</f>
        <v>6.4000000000000003E-3</v>
      </c>
      <c r="L804" s="72">
        <f>IFERROR(VLOOKUP(J804,'MAIN D OEUVRE'!$A$4:$B$99,2,FALSE)*$N$2,"")</f>
        <v>19.25</v>
      </c>
      <c r="M804" s="73">
        <f t="shared" si="335"/>
        <v>0.12</v>
      </c>
      <c r="N804" s="397"/>
      <c r="O804">
        <f>O803</f>
        <v>0</v>
      </c>
      <c r="P804">
        <f t="shared" si="313"/>
        <v>0</v>
      </c>
      <c r="Q804">
        <f t="shared" si="314"/>
        <v>0</v>
      </c>
    </row>
    <row r="805" spans="1:17">
      <c r="A805" s="388"/>
      <c r="B805" s="391"/>
      <c r="C805" s="69" t="s">
        <v>263</v>
      </c>
      <c r="D805" s="70">
        <v>1.06</v>
      </c>
      <c r="E805" s="146">
        <v>0.02</v>
      </c>
      <c r="F805" s="70" t="str">
        <f>IFERROR(VLOOKUP(C805,MATERIAUX!$C$3:$G$1002,3,FALSE),"")</f>
        <v>m2</v>
      </c>
      <c r="G805" s="71">
        <f>IFERROR(VLOOKUP(C805,MATERIAUX!$C$3:$G$1002,5,FALSE),"")</f>
        <v>7.315463917525773</v>
      </c>
      <c r="H805" s="71">
        <f>D803*0.0016*((D805+E805)+D805)*G805</f>
        <v>5.0096296907216502E-2</v>
      </c>
      <c r="I805" s="394"/>
      <c r="J805" s="72"/>
      <c r="K805" s="72"/>
      <c r="L805" s="72" t="str">
        <f>IFERROR(VLOOKUP(J805,'MAIN D OEUVRE'!$A$4:$B$99,2,FALSE)*$N$2,"")</f>
        <v/>
      </c>
      <c r="M805" s="73" t="str">
        <f t="shared" si="335"/>
        <v/>
      </c>
      <c r="N805" s="397"/>
      <c r="O805" s="351">
        <f t="shared" ref="O805" si="337">O804</f>
        <v>0</v>
      </c>
      <c r="P805" s="351">
        <f>O805*D805*(D802+D803)*1.02</f>
        <v>0</v>
      </c>
      <c r="Q805" s="351">
        <f t="shared" si="314"/>
        <v>0</v>
      </c>
    </row>
    <row r="806" spans="1:17">
      <c r="A806" s="388"/>
      <c r="B806" s="391"/>
      <c r="C806" s="69"/>
      <c r="D806" s="70"/>
      <c r="E806" s="146"/>
      <c r="F806" s="70" t="str">
        <f>IFERROR(VLOOKUP(C806,MATERIAUX!$C$3:$G$1002,3,FALSE),"")</f>
        <v/>
      </c>
      <c r="G806" s="71" t="str">
        <f>IFERROR(VLOOKUP(C806,MATERIAUX!$C$3:$G$1002,5,FALSE),"")</f>
        <v/>
      </c>
      <c r="H806" s="71" t="str">
        <f t="shared" si="333"/>
        <v/>
      </c>
      <c r="I806" s="394"/>
      <c r="J806" s="72"/>
      <c r="K806" s="72"/>
      <c r="L806" s="72" t="str">
        <f>IFERROR(VLOOKUP(J806,'MAIN D OEUVRE'!$A$4:$B$99,2,FALSE)*$N$2,"")</f>
        <v/>
      </c>
      <c r="M806" s="73" t="str">
        <f t="shared" si="335"/>
        <v/>
      </c>
      <c r="N806" s="397"/>
      <c r="O806">
        <f t="shared" ref="O806:O812" si="338">O805</f>
        <v>0</v>
      </c>
      <c r="P806">
        <f t="shared" si="313"/>
        <v>0</v>
      </c>
      <c r="Q806">
        <f t="shared" si="314"/>
        <v>0</v>
      </c>
    </row>
    <row r="807" spans="1:17">
      <c r="A807" s="388"/>
      <c r="B807" s="391"/>
      <c r="C807" s="69"/>
      <c r="D807" s="70"/>
      <c r="E807" s="146"/>
      <c r="F807" s="70" t="str">
        <f>IFERROR(VLOOKUP(C807,MATERIAUX!$C$3:$G$1002,3,FALSE),"")</f>
        <v/>
      </c>
      <c r="G807" s="71" t="str">
        <f>IFERROR(VLOOKUP(C807,MATERIAUX!$C$3:$G$1002,5,FALSE),"")</f>
        <v/>
      </c>
      <c r="H807" s="71" t="str">
        <f t="shared" si="333"/>
        <v/>
      </c>
      <c r="I807" s="394"/>
      <c r="J807" s="72"/>
      <c r="K807" s="72"/>
      <c r="L807" s="72" t="str">
        <f>IFERROR(VLOOKUP(J807,'MAIN D OEUVRE'!$A$4:$B$99,2,FALSE)*$N$2,"")</f>
        <v/>
      </c>
      <c r="M807" s="73" t="str">
        <f t="shared" si="335"/>
        <v/>
      </c>
      <c r="N807" s="397"/>
      <c r="O807">
        <f t="shared" si="338"/>
        <v>0</v>
      </c>
      <c r="P807">
        <f t="shared" si="313"/>
        <v>0</v>
      </c>
      <c r="Q807">
        <f t="shared" si="314"/>
        <v>0</v>
      </c>
    </row>
    <row r="808" spans="1:17">
      <c r="A808" s="388"/>
      <c r="B808" s="391"/>
      <c r="C808" s="69"/>
      <c r="D808" s="70"/>
      <c r="E808" s="146"/>
      <c r="F808" s="70" t="str">
        <f>IFERROR(VLOOKUP(C808,MATERIAUX!$C$3:$G$1002,3,FALSE),"")</f>
        <v/>
      </c>
      <c r="G808" s="71" t="str">
        <f>IFERROR(VLOOKUP(C808,MATERIAUX!$C$3:$G$1002,5,FALSE),"")</f>
        <v/>
      </c>
      <c r="H808" s="71" t="str">
        <f t="shared" si="333"/>
        <v/>
      </c>
      <c r="I808" s="394"/>
      <c r="J808" s="72"/>
      <c r="K808" s="72"/>
      <c r="L808" s="72" t="str">
        <f>IFERROR(VLOOKUP(J808,'MAIN D OEUVRE'!$A$4:$B$99,2,FALSE)*$N$2,"")</f>
        <v/>
      </c>
      <c r="M808" s="73" t="str">
        <f t="shared" si="335"/>
        <v/>
      </c>
      <c r="N808" s="397"/>
      <c r="O808">
        <f t="shared" si="338"/>
        <v>0</v>
      </c>
      <c r="P808">
        <f t="shared" si="313"/>
        <v>0</v>
      </c>
      <c r="Q808">
        <f t="shared" si="314"/>
        <v>0</v>
      </c>
    </row>
    <row r="809" spans="1:17">
      <c r="A809" s="388"/>
      <c r="B809" s="391"/>
      <c r="C809" s="69"/>
      <c r="D809" s="70"/>
      <c r="E809" s="146"/>
      <c r="F809" s="70" t="str">
        <f>IFERROR(VLOOKUP(C809,MATERIAUX!$C$3:$G$1002,3,FALSE),"")</f>
        <v/>
      </c>
      <c r="G809" s="71" t="str">
        <f>IFERROR(VLOOKUP(C809,MATERIAUX!$C$3:$G$1002,5,FALSE),"")</f>
        <v/>
      </c>
      <c r="H809" s="71" t="str">
        <f t="shared" si="333"/>
        <v/>
      </c>
      <c r="I809" s="394"/>
      <c r="J809" s="72"/>
      <c r="K809" s="72"/>
      <c r="L809" s="72" t="str">
        <f>IFERROR(VLOOKUP(J809,'MAIN D OEUVRE'!$A$4:$B$99,2,FALSE)*$N$2,"")</f>
        <v/>
      </c>
      <c r="M809" s="73" t="str">
        <f t="shared" si="335"/>
        <v/>
      </c>
      <c r="N809" s="397"/>
      <c r="O809">
        <f t="shared" si="338"/>
        <v>0</v>
      </c>
      <c r="P809">
        <f t="shared" si="313"/>
        <v>0</v>
      </c>
      <c r="Q809">
        <f t="shared" si="314"/>
        <v>0</v>
      </c>
    </row>
    <row r="810" spans="1:17">
      <c r="A810" s="388"/>
      <c r="B810" s="391"/>
      <c r="C810" s="69"/>
      <c r="D810" s="70"/>
      <c r="E810" s="146"/>
      <c r="F810" s="70" t="str">
        <f>IFERROR(VLOOKUP(C810,MATERIAUX!$C$3:$G$1002,3,FALSE),"")</f>
        <v/>
      </c>
      <c r="G810" s="71" t="str">
        <f>IFERROR(VLOOKUP(C810,MATERIAUX!$C$3:$G$1002,5,FALSE),"")</f>
        <v/>
      </c>
      <c r="H810" s="71" t="str">
        <f t="shared" si="333"/>
        <v/>
      </c>
      <c r="I810" s="394"/>
      <c r="J810" s="72"/>
      <c r="K810" s="72"/>
      <c r="L810" s="72" t="str">
        <f>IFERROR(VLOOKUP(J810,'MAIN D OEUVRE'!$A$4:$B$99,2,FALSE)*$N$2,"")</f>
        <v/>
      </c>
      <c r="M810" s="73" t="str">
        <f t="shared" si="335"/>
        <v/>
      </c>
      <c r="N810" s="397"/>
      <c r="O810">
        <f t="shared" si="338"/>
        <v>0</v>
      </c>
      <c r="P810">
        <f t="shared" si="313"/>
        <v>0</v>
      </c>
      <c r="Q810">
        <f t="shared" si="314"/>
        <v>0</v>
      </c>
    </row>
    <row r="811" spans="1:17">
      <c r="A811" s="388"/>
      <c r="B811" s="391"/>
      <c r="C811" s="69"/>
      <c r="D811" s="70"/>
      <c r="E811" s="146"/>
      <c r="F811" s="70" t="str">
        <f>IFERROR(VLOOKUP(C811,MATERIAUX!$C$3:$G$1002,3,FALSE),"")</f>
        <v/>
      </c>
      <c r="G811" s="71" t="str">
        <f>IFERROR(VLOOKUP(C811,MATERIAUX!$C$3:$G$1002,5,FALSE),"")</f>
        <v/>
      </c>
      <c r="H811" s="71" t="str">
        <f t="shared" si="333"/>
        <v/>
      </c>
      <c r="I811" s="394"/>
      <c r="J811" s="72"/>
      <c r="K811" s="72"/>
      <c r="L811" s="72"/>
      <c r="M811" s="73"/>
      <c r="N811" s="397"/>
      <c r="O811">
        <f t="shared" si="338"/>
        <v>0</v>
      </c>
      <c r="P811">
        <f t="shared" si="313"/>
        <v>0</v>
      </c>
      <c r="Q811">
        <f t="shared" si="314"/>
        <v>0</v>
      </c>
    </row>
    <row r="812" spans="1:17" ht="15" thickBot="1">
      <c r="A812" s="389"/>
      <c r="B812" s="392"/>
      <c r="C812" s="74"/>
      <c r="D812" s="75"/>
      <c r="E812" s="147"/>
      <c r="F812" s="70" t="str">
        <f>IFERROR(VLOOKUP(C812,MATERIAUX!$C$3:$G$1002,3,FALSE),"")</f>
        <v/>
      </c>
      <c r="G812" s="71" t="str">
        <f>IFERROR(VLOOKUP(C812,MATERIAUX!$C$3:$G$1002,5,FALSE),"")</f>
        <v/>
      </c>
      <c r="H812" s="71" t="str">
        <f t="shared" si="333"/>
        <v/>
      </c>
      <c r="I812" s="395"/>
      <c r="J812" s="77"/>
      <c r="K812" s="77"/>
      <c r="L812" s="77"/>
      <c r="M812" s="78"/>
      <c r="N812" s="398"/>
      <c r="O812">
        <f t="shared" si="338"/>
        <v>0</v>
      </c>
      <c r="P812">
        <f t="shared" si="313"/>
        <v>0</v>
      </c>
      <c r="Q812">
        <f t="shared" si="314"/>
        <v>0</v>
      </c>
    </row>
    <row r="813" spans="1:17">
      <c r="A813" s="387" t="s">
        <v>452</v>
      </c>
      <c r="B813" s="390" t="s">
        <v>127</v>
      </c>
      <c r="C813" s="64" t="s">
        <v>97</v>
      </c>
      <c r="D813" s="65">
        <f>(2.6*0.05*0.045*2+2.6*0.06*0.045*1)*1.2</f>
        <v>2.2464000000000001E-2</v>
      </c>
      <c r="E813" s="145">
        <v>0.05</v>
      </c>
      <c r="F813" s="65" t="str">
        <f>IFERROR(VLOOKUP(C813,MATERIAUX!$C$3:$G$1002,3,FALSE),"")</f>
        <v>m3</v>
      </c>
      <c r="G813" s="66">
        <f>IFERROR(VLOOKUP(C813,MATERIAUX!$C$3:$G$1002,5,FALSE),"")</f>
        <v>524.74226804123714</v>
      </c>
      <c r="H813" s="66">
        <f t="shared" si="333"/>
        <v>12.38</v>
      </c>
      <c r="I813" s="393">
        <f>SUM(H813:H822)</f>
        <v>13.790000000000001</v>
      </c>
      <c r="J813" s="67" t="s">
        <v>52</v>
      </c>
      <c r="K813" s="67">
        <v>0.5</v>
      </c>
      <c r="L813" s="67">
        <f>IFERROR(VLOOKUP(J813,'MAIN D OEUVRE'!$A$4:$B$99,2,FALSE)*$N$2,"")</f>
        <v>2.75</v>
      </c>
      <c r="M813" s="68">
        <f t="shared" ref="M813:M820" si="339">IFERROR(ROUND(L813*K813,2),"")</f>
        <v>1.38</v>
      </c>
      <c r="N813" s="396">
        <f t="shared" ref="N813" si="340">SUM(M813:M822)</f>
        <v>1.38</v>
      </c>
      <c r="O813" s="350">
        <v>0</v>
      </c>
      <c r="P813">
        <f t="shared" si="313"/>
        <v>0</v>
      </c>
      <c r="Q813">
        <f t="shared" si="314"/>
        <v>0</v>
      </c>
    </row>
    <row r="814" spans="1:17">
      <c r="A814" s="388"/>
      <c r="B814" s="391"/>
      <c r="C814" s="69" t="s">
        <v>325</v>
      </c>
      <c r="D814" s="70">
        <v>18</v>
      </c>
      <c r="E814" s="146">
        <v>0.05</v>
      </c>
      <c r="F814" s="70" t="str">
        <f>IFERROR(VLOOKUP(C814,MATERIAUX!$C$3:$G$1002,3,FALSE),"")</f>
        <v>buc</v>
      </c>
      <c r="G814" s="71">
        <f>IFERROR(VLOOKUP(C814,MATERIAUX!$C$3:$G$1002,5,FALSE),"")</f>
        <v>7.4494845360824749E-2</v>
      </c>
      <c r="H814" s="71">
        <f t="shared" si="333"/>
        <v>1.41</v>
      </c>
      <c r="I814" s="394"/>
      <c r="J814" s="72"/>
      <c r="K814" s="72"/>
      <c r="L814" s="72" t="str">
        <f>IFERROR(VLOOKUP(J814,'MAIN D OEUVRE'!$A$4:$B$99,2,FALSE)*$N$2,"")</f>
        <v/>
      </c>
      <c r="M814" s="73" t="str">
        <f>IFERROR(ROUND(L814*K814,2),"")</f>
        <v/>
      </c>
      <c r="N814" s="397"/>
      <c r="O814">
        <f>O813</f>
        <v>0</v>
      </c>
      <c r="P814">
        <f t="shared" si="313"/>
        <v>0</v>
      </c>
      <c r="Q814">
        <f t="shared" si="314"/>
        <v>0</v>
      </c>
    </row>
    <row r="815" spans="1:17">
      <c r="A815" s="388"/>
      <c r="B815" s="391"/>
      <c r="C815" s="69"/>
      <c r="D815" s="70"/>
      <c r="E815" s="146"/>
      <c r="F815" s="70" t="str">
        <f>IFERROR(VLOOKUP(C815,MATERIAUX!$C$3:$G$1002,3,FALSE),"")</f>
        <v/>
      </c>
      <c r="G815" s="71" t="str">
        <f>IFERROR(VLOOKUP(C815,MATERIAUX!$C$3:$G$1002,5,FALSE),"")</f>
        <v/>
      </c>
      <c r="H815" s="71" t="str">
        <f>IFERROR(ROUND(G815*(1+E815)*D815,2)*D813,"")</f>
        <v/>
      </c>
      <c r="I815" s="394"/>
      <c r="J815" s="72"/>
      <c r="K815" s="72"/>
      <c r="L815" s="72" t="str">
        <f>IFERROR(VLOOKUP(J815,'MAIN D OEUVRE'!$A$4:$B$99,2,FALSE)*$N$2,"")</f>
        <v/>
      </c>
      <c r="M815" s="73" t="str">
        <f t="shared" si="339"/>
        <v/>
      </c>
      <c r="N815" s="397"/>
      <c r="O815">
        <f t="shared" ref="O815:O822" si="341">O814</f>
        <v>0</v>
      </c>
      <c r="P815">
        <f t="shared" si="313"/>
        <v>0</v>
      </c>
      <c r="Q815">
        <f t="shared" si="314"/>
        <v>0</v>
      </c>
    </row>
    <row r="816" spans="1:17">
      <c r="A816" s="388"/>
      <c r="B816" s="391"/>
      <c r="C816" s="69"/>
      <c r="D816" s="70"/>
      <c r="E816" s="146"/>
      <c r="F816" s="70" t="str">
        <f>IFERROR(VLOOKUP(C816,MATERIAUX!$C$3:$G$1002,3,FALSE),"")</f>
        <v/>
      </c>
      <c r="G816" s="71" t="str">
        <f>IFERROR(VLOOKUP(C816,MATERIAUX!$C$3:$G$1002,5,FALSE),"")</f>
        <v/>
      </c>
      <c r="H816" s="71" t="str">
        <f t="shared" si="333"/>
        <v/>
      </c>
      <c r="I816" s="394"/>
      <c r="J816" s="72"/>
      <c r="K816" s="72"/>
      <c r="L816" s="72" t="str">
        <f>IFERROR(VLOOKUP(J816,'MAIN D OEUVRE'!$A$4:$B$99,2,FALSE)*$N$2,"")</f>
        <v/>
      </c>
      <c r="M816" s="73" t="str">
        <f t="shared" si="339"/>
        <v/>
      </c>
      <c r="N816" s="397"/>
      <c r="O816">
        <f t="shared" si="341"/>
        <v>0</v>
      </c>
      <c r="P816">
        <f t="shared" si="313"/>
        <v>0</v>
      </c>
      <c r="Q816">
        <f t="shared" si="314"/>
        <v>0</v>
      </c>
    </row>
    <row r="817" spans="1:17">
      <c r="A817" s="388"/>
      <c r="B817" s="391"/>
      <c r="C817" s="69"/>
      <c r="D817" s="70"/>
      <c r="E817" s="146"/>
      <c r="F817" s="70" t="str">
        <f>IFERROR(VLOOKUP(C817,MATERIAUX!$C$3:$G$1002,3,FALSE),"")</f>
        <v/>
      </c>
      <c r="G817" s="71" t="str">
        <f>IFERROR(VLOOKUP(C817,MATERIAUX!$C$3:$G$1002,5,FALSE),"")</f>
        <v/>
      </c>
      <c r="H817" s="71" t="str">
        <f t="shared" si="333"/>
        <v/>
      </c>
      <c r="I817" s="394"/>
      <c r="J817" s="72"/>
      <c r="K817" s="72"/>
      <c r="L817" s="72" t="str">
        <f>IFERROR(VLOOKUP(J817,'MAIN D OEUVRE'!$A$4:$B$99,2,FALSE)*$N$2,"")</f>
        <v/>
      </c>
      <c r="M817" s="73" t="str">
        <f t="shared" si="339"/>
        <v/>
      </c>
      <c r="N817" s="397"/>
      <c r="O817">
        <f t="shared" si="341"/>
        <v>0</v>
      </c>
      <c r="P817">
        <f t="shared" si="313"/>
        <v>0</v>
      </c>
      <c r="Q817">
        <f t="shared" si="314"/>
        <v>0</v>
      </c>
    </row>
    <row r="818" spans="1:17">
      <c r="A818" s="388"/>
      <c r="B818" s="391"/>
      <c r="C818" s="69"/>
      <c r="D818" s="70"/>
      <c r="E818" s="146"/>
      <c r="F818" s="70" t="str">
        <f>IFERROR(VLOOKUP(C818,MATERIAUX!$C$3:$G$1002,3,FALSE),"")</f>
        <v/>
      </c>
      <c r="G818" s="71" t="str">
        <f>IFERROR(VLOOKUP(C818,MATERIAUX!$C$3:$G$1002,5,FALSE),"")</f>
        <v/>
      </c>
      <c r="H818" s="71" t="str">
        <f t="shared" si="333"/>
        <v/>
      </c>
      <c r="I818" s="394"/>
      <c r="J818" s="72"/>
      <c r="K818" s="72"/>
      <c r="L818" s="72" t="str">
        <f>IFERROR(VLOOKUP(J818,'MAIN D OEUVRE'!$A$4:$B$99,2,FALSE)*$N$2,"")</f>
        <v/>
      </c>
      <c r="M818" s="73" t="str">
        <f t="shared" si="339"/>
        <v/>
      </c>
      <c r="N818" s="397"/>
      <c r="O818">
        <f t="shared" si="341"/>
        <v>0</v>
      </c>
      <c r="P818">
        <f t="shared" si="313"/>
        <v>0</v>
      </c>
      <c r="Q818">
        <f t="shared" si="314"/>
        <v>0</v>
      </c>
    </row>
    <row r="819" spans="1:17">
      <c r="A819" s="388"/>
      <c r="B819" s="391"/>
      <c r="C819" s="69"/>
      <c r="D819" s="70"/>
      <c r="E819" s="146"/>
      <c r="F819" s="70" t="str">
        <f>IFERROR(VLOOKUP(C819,MATERIAUX!$C$3:$G$1002,3,FALSE),"")</f>
        <v/>
      </c>
      <c r="G819" s="71" t="str">
        <f>IFERROR(VLOOKUP(C819,MATERIAUX!$C$3:$G$1002,5,FALSE),"")</f>
        <v/>
      </c>
      <c r="H819" s="71" t="str">
        <f t="shared" si="333"/>
        <v/>
      </c>
      <c r="I819" s="394"/>
      <c r="J819" s="72"/>
      <c r="K819" s="72"/>
      <c r="L819" s="72" t="str">
        <f>IFERROR(VLOOKUP(J819,'MAIN D OEUVRE'!$A$4:$B$99,2,FALSE)*$N$2,"")</f>
        <v/>
      </c>
      <c r="M819" s="73" t="str">
        <f t="shared" si="339"/>
        <v/>
      </c>
      <c r="N819" s="397"/>
      <c r="O819">
        <f t="shared" si="341"/>
        <v>0</v>
      </c>
      <c r="P819">
        <f t="shared" si="313"/>
        <v>0</v>
      </c>
      <c r="Q819">
        <f t="shared" si="314"/>
        <v>0</v>
      </c>
    </row>
    <row r="820" spans="1:17">
      <c r="A820" s="388"/>
      <c r="B820" s="391"/>
      <c r="C820" s="69"/>
      <c r="D820" s="70"/>
      <c r="E820" s="146"/>
      <c r="F820" s="70" t="str">
        <f>IFERROR(VLOOKUP(C820,MATERIAUX!$C$3:$G$1002,3,FALSE),"")</f>
        <v/>
      </c>
      <c r="G820" s="71" t="str">
        <f>IFERROR(VLOOKUP(C820,MATERIAUX!$C$3:$G$1002,5,FALSE),"")</f>
        <v/>
      </c>
      <c r="H820" s="71" t="str">
        <f t="shared" si="333"/>
        <v/>
      </c>
      <c r="I820" s="394"/>
      <c r="J820" s="72"/>
      <c r="K820" s="72"/>
      <c r="L820" s="72" t="str">
        <f>IFERROR(VLOOKUP(J820,'MAIN D OEUVRE'!$A$4:$B$99,2,FALSE)*$N$2,"")</f>
        <v/>
      </c>
      <c r="M820" s="73" t="str">
        <f t="shared" si="339"/>
        <v/>
      </c>
      <c r="N820" s="397"/>
      <c r="O820">
        <f t="shared" si="341"/>
        <v>0</v>
      </c>
      <c r="P820">
        <f t="shared" si="313"/>
        <v>0</v>
      </c>
      <c r="Q820">
        <f t="shared" si="314"/>
        <v>0</v>
      </c>
    </row>
    <row r="821" spans="1:17">
      <c r="A821" s="388"/>
      <c r="B821" s="391"/>
      <c r="C821" s="69"/>
      <c r="D821" s="70"/>
      <c r="E821" s="146"/>
      <c r="F821" s="70" t="str">
        <f>IFERROR(VLOOKUP(C821,MATERIAUX!$C$3:$G$1002,3,FALSE),"")</f>
        <v/>
      </c>
      <c r="G821" s="71" t="str">
        <f>IFERROR(VLOOKUP(C821,MATERIAUX!$C$3:$G$1002,5,FALSE),"")</f>
        <v/>
      </c>
      <c r="H821" s="71" t="str">
        <f t="shared" si="333"/>
        <v/>
      </c>
      <c r="I821" s="394"/>
      <c r="J821" s="72"/>
      <c r="K821" s="72"/>
      <c r="L821" s="72"/>
      <c r="M821" s="73"/>
      <c r="N821" s="397"/>
      <c r="O821">
        <f t="shared" si="341"/>
        <v>0</v>
      </c>
      <c r="P821">
        <f t="shared" si="313"/>
        <v>0</v>
      </c>
      <c r="Q821">
        <f t="shared" si="314"/>
        <v>0</v>
      </c>
    </row>
    <row r="822" spans="1:17" ht="15" thickBot="1">
      <c r="A822" s="389"/>
      <c r="B822" s="392"/>
      <c r="C822" s="74"/>
      <c r="D822" s="75"/>
      <c r="E822" s="147"/>
      <c r="F822" s="70" t="str">
        <f>IFERROR(VLOOKUP(C822,MATERIAUX!$C$3:$G$1002,3,FALSE),"")</f>
        <v/>
      </c>
      <c r="G822" s="71" t="str">
        <f>IFERROR(VLOOKUP(C822,MATERIAUX!$C$3:$G$1002,5,FALSE),"")</f>
        <v/>
      </c>
      <c r="H822" s="71" t="str">
        <f t="shared" si="333"/>
        <v/>
      </c>
      <c r="I822" s="395"/>
      <c r="J822" s="77"/>
      <c r="K822" s="77"/>
      <c r="L822" s="77"/>
      <c r="M822" s="78"/>
      <c r="N822" s="398"/>
      <c r="O822">
        <f t="shared" si="341"/>
        <v>0</v>
      </c>
      <c r="P822">
        <f t="shared" si="313"/>
        <v>0</v>
      </c>
      <c r="Q822">
        <f t="shared" si="314"/>
        <v>0</v>
      </c>
    </row>
    <row r="823" spans="1:17">
      <c r="A823" s="387" t="s">
        <v>454</v>
      </c>
      <c r="B823" s="390" t="s">
        <v>127</v>
      </c>
      <c r="C823" s="64" t="s">
        <v>453</v>
      </c>
      <c r="D823" s="65">
        <v>1</v>
      </c>
      <c r="E823" s="145">
        <v>0</v>
      </c>
      <c r="F823" s="65" t="str">
        <f>IFERROR(VLOOKUP(C823,MATERIAUX!$C$3:$G$1002,3,FALSE),"")</f>
        <v>U</v>
      </c>
      <c r="G823" s="66">
        <f>IFERROR(VLOOKUP(C823,MATERIAUX!$C$3:$G$1002,5,FALSE),"")</f>
        <v>2.1952577319587632</v>
      </c>
      <c r="H823" s="66">
        <f t="shared" si="333"/>
        <v>2.2000000000000002</v>
      </c>
      <c r="I823" s="393">
        <f>SUM(H823:H832)</f>
        <v>3.06</v>
      </c>
      <c r="J823" s="67" t="s">
        <v>52</v>
      </c>
      <c r="K823" s="67">
        <v>1</v>
      </c>
      <c r="L823" s="67">
        <f>IFERROR(VLOOKUP(J823,'MAIN D OEUVRE'!$A$4:$B$99,2,FALSE)*$N$2,"")</f>
        <v>2.75</v>
      </c>
      <c r="M823" s="68">
        <f t="shared" ref="M823:M830" si="342">IFERROR(ROUND(L823*K823,2),"")</f>
        <v>2.75</v>
      </c>
      <c r="N823" s="396">
        <f>SUM(M823:M832)</f>
        <v>2.75</v>
      </c>
      <c r="O823" s="350">
        <v>0</v>
      </c>
      <c r="P823">
        <f t="shared" si="313"/>
        <v>0</v>
      </c>
      <c r="Q823">
        <f t="shared" si="314"/>
        <v>0</v>
      </c>
    </row>
    <row r="824" spans="1:17">
      <c r="A824" s="388"/>
      <c r="B824" s="391"/>
      <c r="C824" s="69" t="s">
        <v>84</v>
      </c>
      <c r="D824" s="70">
        <v>20</v>
      </c>
      <c r="E824" s="146">
        <v>0.1</v>
      </c>
      <c r="F824" s="70" t="str">
        <f>IFERROR(VLOOKUP(C824,MATERIAUX!$C$3:$G$1002,3,FALSE),"")</f>
        <v>u</v>
      </c>
      <c r="G824" s="71">
        <f>IFERROR(VLOOKUP(C824,MATERIAUX!$C$3:$G$1002,5,FALSE),"")</f>
        <v>3.9175257731958769E-2</v>
      </c>
      <c r="H824" s="71">
        <f t="shared" si="333"/>
        <v>0.86</v>
      </c>
      <c r="I824" s="394"/>
      <c r="J824" s="72"/>
      <c r="K824" s="72"/>
      <c r="L824" s="72" t="str">
        <f>IFERROR(VLOOKUP(J824,'MAIN D OEUVRE'!$A$4:$B$99,2,FALSE)*$N$2,"")</f>
        <v/>
      </c>
      <c r="M824" s="73" t="str">
        <f t="shared" si="342"/>
        <v/>
      </c>
      <c r="N824" s="397"/>
      <c r="O824">
        <f>O823</f>
        <v>0</v>
      </c>
      <c r="P824">
        <f t="shared" si="313"/>
        <v>0</v>
      </c>
      <c r="Q824">
        <f t="shared" si="314"/>
        <v>0</v>
      </c>
    </row>
    <row r="825" spans="1:17">
      <c r="A825" s="388"/>
      <c r="B825" s="391"/>
      <c r="C825" s="69"/>
      <c r="D825" s="70"/>
      <c r="E825" s="146"/>
      <c r="F825" s="70" t="str">
        <f>IFERROR(VLOOKUP(C825,MATERIAUX!$C$3:$G$1002,3,FALSE),"")</f>
        <v/>
      </c>
      <c r="G825" s="71" t="str">
        <f>IFERROR(VLOOKUP(C825,MATERIAUX!$C$3:$G$1002,5,FALSE),"")</f>
        <v/>
      </c>
      <c r="H825" s="71" t="str">
        <f>IFERROR(ROUND(G825*(1+E825)*D825,2)*D823,"")</f>
        <v/>
      </c>
      <c r="I825" s="394"/>
      <c r="J825" s="72"/>
      <c r="K825" s="72"/>
      <c r="L825" s="72" t="str">
        <f>IFERROR(VLOOKUP(J825,'MAIN D OEUVRE'!$A$4:$B$99,2,FALSE)*$N$2,"")</f>
        <v/>
      </c>
      <c r="M825" s="73" t="str">
        <f t="shared" si="342"/>
        <v/>
      </c>
      <c r="N825" s="397"/>
      <c r="O825">
        <f t="shared" ref="O825:O832" si="343">O824</f>
        <v>0</v>
      </c>
      <c r="P825">
        <f t="shared" ref="P825:P888" si="344">(D825+D825*E825)*O825</f>
        <v>0</v>
      </c>
      <c r="Q825">
        <f t="shared" ref="Q825:Q888" si="345">IF(P825=0,0,P825*G825)</f>
        <v>0</v>
      </c>
    </row>
    <row r="826" spans="1:17">
      <c r="A826" s="388"/>
      <c r="B826" s="391"/>
      <c r="C826" s="69"/>
      <c r="D826" s="70"/>
      <c r="E826" s="146"/>
      <c r="F826" s="70" t="str">
        <f>IFERROR(VLOOKUP(C826,MATERIAUX!$C$3:$G$1002,3,FALSE),"")</f>
        <v/>
      </c>
      <c r="G826" s="71" t="str">
        <f>IFERROR(VLOOKUP(C826,MATERIAUX!$C$3:$G$1002,5,FALSE),"")</f>
        <v/>
      </c>
      <c r="H826" s="71" t="str">
        <f t="shared" si="333"/>
        <v/>
      </c>
      <c r="I826" s="394"/>
      <c r="J826" s="72"/>
      <c r="K826" s="72"/>
      <c r="L826" s="72" t="str">
        <f>IFERROR(VLOOKUP(J826,'MAIN D OEUVRE'!$A$4:$B$99,2,FALSE)*$N$2,"")</f>
        <v/>
      </c>
      <c r="M826" s="73" t="str">
        <f t="shared" si="342"/>
        <v/>
      </c>
      <c r="N826" s="397"/>
      <c r="O826">
        <f t="shared" si="343"/>
        <v>0</v>
      </c>
      <c r="P826">
        <f t="shared" si="344"/>
        <v>0</v>
      </c>
      <c r="Q826">
        <f t="shared" si="345"/>
        <v>0</v>
      </c>
    </row>
    <row r="827" spans="1:17">
      <c r="A827" s="388"/>
      <c r="B827" s="391"/>
      <c r="C827" s="69"/>
      <c r="D827" s="70"/>
      <c r="E827" s="146"/>
      <c r="F827" s="70" t="str">
        <f>IFERROR(VLOOKUP(C827,MATERIAUX!$C$3:$G$1002,3,FALSE),"")</f>
        <v/>
      </c>
      <c r="G827" s="71" t="str">
        <f>IFERROR(VLOOKUP(C827,MATERIAUX!$C$3:$G$1002,5,FALSE),"")</f>
        <v/>
      </c>
      <c r="H827" s="71" t="str">
        <f t="shared" si="333"/>
        <v/>
      </c>
      <c r="I827" s="394"/>
      <c r="J827" s="72"/>
      <c r="K827" s="72"/>
      <c r="L827" s="72" t="str">
        <f>IFERROR(VLOOKUP(J827,'MAIN D OEUVRE'!$A$4:$B$99,2,FALSE)*$N$2,"")</f>
        <v/>
      </c>
      <c r="M827" s="73" t="str">
        <f t="shared" si="342"/>
        <v/>
      </c>
      <c r="N827" s="397"/>
      <c r="O827">
        <f t="shared" si="343"/>
        <v>0</v>
      </c>
      <c r="P827">
        <f t="shared" si="344"/>
        <v>0</v>
      </c>
      <c r="Q827">
        <f t="shared" si="345"/>
        <v>0</v>
      </c>
    </row>
    <row r="828" spans="1:17">
      <c r="A828" s="388"/>
      <c r="B828" s="391"/>
      <c r="C828" s="69"/>
      <c r="D828" s="70"/>
      <c r="E828" s="146"/>
      <c r="F828" s="70" t="str">
        <f>IFERROR(VLOOKUP(C828,MATERIAUX!$C$3:$G$1002,3,FALSE),"")</f>
        <v/>
      </c>
      <c r="G828" s="71" t="str">
        <f>IFERROR(VLOOKUP(C828,MATERIAUX!$C$3:$G$1002,5,FALSE),"")</f>
        <v/>
      </c>
      <c r="H828" s="71" t="str">
        <f t="shared" si="333"/>
        <v/>
      </c>
      <c r="I828" s="394"/>
      <c r="J828" s="72"/>
      <c r="K828" s="72"/>
      <c r="L828" s="72" t="str">
        <f>IFERROR(VLOOKUP(J828,'MAIN D OEUVRE'!$A$4:$B$99,2,FALSE)*$N$2,"")</f>
        <v/>
      </c>
      <c r="M828" s="73" t="str">
        <f t="shared" si="342"/>
        <v/>
      </c>
      <c r="N828" s="397"/>
      <c r="O828">
        <f t="shared" si="343"/>
        <v>0</v>
      </c>
      <c r="P828">
        <f t="shared" si="344"/>
        <v>0</v>
      </c>
      <c r="Q828">
        <f t="shared" si="345"/>
        <v>0</v>
      </c>
    </row>
    <row r="829" spans="1:17">
      <c r="A829" s="388"/>
      <c r="B829" s="391"/>
      <c r="C829" s="69"/>
      <c r="D829" s="70"/>
      <c r="E829" s="146"/>
      <c r="F829" s="70" t="str">
        <f>IFERROR(VLOOKUP(C829,MATERIAUX!$C$3:$G$1002,3,FALSE),"")</f>
        <v/>
      </c>
      <c r="G829" s="71" t="str">
        <f>IFERROR(VLOOKUP(C829,MATERIAUX!$C$3:$G$1002,5,FALSE),"")</f>
        <v/>
      </c>
      <c r="H829" s="71" t="str">
        <f t="shared" si="333"/>
        <v/>
      </c>
      <c r="I829" s="394"/>
      <c r="J829" s="72"/>
      <c r="K829" s="72"/>
      <c r="L829" s="72" t="str">
        <f>IFERROR(VLOOKUP(J829,'MAIN D OEUVRE'!$A$4:$B$99,2,FALSE)*$N$2,"")</f>
        <v/>
      </c>
      <c r="M829" s="73" t="str">
        <f t="shared" si="342"/>
        <v/>
      </c>
      <c r="N829" s="397"/>
      <c r="O829">
        <f t="shared" si="343"/>
        <v>0</v>
      </c>
      <c r="P829">
        <f t="shared" si="344"/>
        <v>0</v>
      </c>
      <c r="Q829">
        <f t="shared" si="345"/>
        <v>0</v>
      </c>
    </row>
    <row r="830" spans="1:17">
      <c r="A830" s="388"/>
      <c r="B830" s="391"/>
      <c r="C830" s="69"/>
      <c r="D830" s="70"/>
      <c r="E830" s="146"/>
      <c r="F830" s="70" t="str">
        <f>IFERROR(VLOOKUP(C830,MATERIAUX!$C$3:$G$1002,3,FALSE),"")</f>
        <v/>
      </c>
      <c r="G830" s="71" t="str">
        <f>IFERROR(VLOOKUP(C830,MATERIAUX!$C$3:$G$1002,5,FALSE),"")</f>
        <v/>
      </c>
      <c r="H830" s="71" t="str">
        <f t="shared" si="333"/>
        <v/>
      </c>
      <c r="I830" s="394"/>
      <c r="J830" s="72"/>
      <c r="K830" s="72"/>
      <c r="L830" s="72" t="str">
        <f>IFERROR(VLOOKUP(J830,'MAIN D OEUVRE'!$A$4:$B$99,2,FALSE)*$N$2,"")</f>
        <v/>
      </c>
      <c r="M830" s="73" t="str">
        <f t="shared" si="342"/>
        <v/>
      </c>
      <c r="N830" s="397"/>
      <c r="O830">
        <f t="shared" si="343"/>
        <v>0</v>
      </c>
      <c r="P830">
        <f t="shared" si="344"/>
        <v>0</v>
      </c>
      <c r="Q830">
        <f t="shared" si="345"/>
        <v>0</v>
      </c>
    </row>
    <row r="831" spans="1:17">
      <c r="A831" s="388"/>
      <c r="B831" s="391"/>
      <c r="C831" s="69"/>
      <c r="D831" s="70"/>
      <c r="E831" s="146"/>
      <c r="F831" s="70" t="str">
        <f>IFERROR(VLOOKUP(C831,MATERIAUX!$C$3:$G$1002,3,FALSE),"")</f>
        <v/>
      </c>
      <c r="G831" s="71" t="str">
        <f>IFERROR(VLOOKUP(C831,MATERIAUX!$C$3:$G$1002,5,FALSE),"")</f>
        <v/>
      </c>
      <c r="H831" s="71" t="str">
        <f t="shared" si="333"/>
        <v/>
      </c>
      <c r="I831" s="394"/>
      <c r="J831" s="72"/>
      <c r="K831" s="72"/>
      <c r="L831" s="72"/>
      <c r="M831" s="73"/>
      <c r="N831" s="397"/>
      <c r="O831">
        <f t="shared" si="343"/>
        <v>0</v>
      </c>
      <c r="P831">
        <f t="shared" si="344"/>
        <v>0</v>
      </c>
      <c r="Q831">
        <f t="shared" si="345"/>
        <v>0</v>
      </c>
    </row>
    <row r="832" spans="1:17" ht="15" thickBot="1">
      <c r="A832" s="389"/>
      <c r="B832" s="392"/>
      <c r="C832" s="74"/>
      <c r="D832" s="75"/>
      <c r="E832" s="147"/>
      <c r="F832" s="70" t="str">
        <f>IFERROR(VLOOKUP(C832,MATERIAUX!$C$3:$G$1002,3,FALSE),"")</f>
        <v/>
      </c>
      <c r="G832" s="71" t="str">
        <f>IFERROR(VLOOKUP(C832,MATERIAUX!$C$3:$G$1002,5,FALSE),"")</f>
        <v/>
      </c>
      <c r="H832" s="71" t="str">
        <f t="shared" si="333"/>
        <v/>
      </c>
      <c r="I832" s="395"/>
      <c r="J832" s="77"/>
      <c r="K832" s="77"/>
      <c r="L832" s="77"/>
      <c r="M832" s="78"/>
      <c r="N832" s="398"/>
      <c r="O832">
        <f t="shared" si="343"/>
        <v>0</v>
      </c>
      <c r="P832">
        <f t="shared" si="344"/>
        <v>0</v>
      </c>
      <c r="Q832">
        <f t="shared" si="345"/>
        <v>0</v>
      </c>
    </row>
    <row r="833" spans="1:17">
      <c r="A833" s="387" t="s">
        <v>461</v>
      </c>
      <c r="B833" s="390" t="s">
        <v>21</v>
      </c>
      <c r="C833" s="64" t="s">
        <v>95</v>
      </c>
      <c r="D833" s="65">
        <f>(29/62)*0.2*0.045</f>
        <v>4.2096774193548384E-3</v>
      </c>
      <c r="E833" s="145">
        <v>0.1</v>
      </c>
      <c r="F833" s="65" t="str">
        <f>IFERROR(VLOOKUP(C833,MATERIAUX!$C$3:$G$1002,3,FALSE),"")</f>
        <v>m3</v>
      </c>
      <c r="G833" s="66">
        <f>IFERROR(VLOOKUP(C833,MATERIAUX!$C$3:$G$1002,5,FALSE),"")</f>
        <v>483.50515463917532</v>
      </c>
      <c r="H833" s="66">
        <f t="shared" si="333"/>
        <v>2.2400000000000002</v>
      </c>
      <c r="I833" s="393">
        <f t="shared" ref="I833" si="346">SUM(H833:H842)</f>
        <v>3.06</v>
      </c>
      <c r="J833" s="67" t="s">
        <v>192</v>
      </c>
      <c r="K833" s="65">
        <v>1</v>
      </c>
      <c r="L833" s="67">
        <f>IFERROR(VLOOKUP(J833,'MAIN D OEUVRE'!$A$4:$B$99,2,FALSE)*$N$2,"")</f>
        <v>4.4000000000000004</v>
      </c>
      <c r="M833" s="68">
        <f t="shared" ref="M833:M840" si="347">IFERROR(ROUND(L833*K833,2),"")</f>
        <v>4.4000000000000004</v>
      </c>
      <c r="N833" s="396">
        <f t="shared" ref="N833" si="348">SUM(M833:M842)</f>
        <v>6.6000000000000005</v>
      </c>
      <c r="O833" s="350">
        <v>0</v>
      </c>
      <c r="P833">
        <f t="shared" si="344"/>
        <v>0</v>
      </c>
      <c r="Q833">
        <f t="shared" si="345"/>
        <v>0</v>
      </c>
    </row>
    <row r="834" spans="1:17">
      <c r="A834" s="388"/>
      <c r="B834" s="391"/>
      <c r="C834" s="69" t="s">
        <v>295</v>
      </c>
      <c r="D834" s="70">
        <f>(29/62)*0.2*0.045*2</f>
        <v>8.4193548387096768E-3</v>
      </c>
      <c r="E834" s="146">
        <v>0</v>
      </c>
      <c r="F834" s="70" t="str">
        <f>IFERROR(VLOOKUP(C834,MATERIAUX!$C$3:$G$1002,3,FALSE),"")</f>
        <v>m3</v>
      </c>
      <c r="G834" s="71">
        <f>IFERROR(VLOOKUP(C834,MATERIAUX!$C$3:$G$1002,5,FALSE),"")</f>
        <v>97</v>
      </c>
      <c r="H834" s="71">
        <f t="shared" si="333"/>
        <v>0.82</v>
      </c>
      <c r="I834" s="394"/>
      <c r="J834" s="72" t="s">
        <v>241</v>
      </c>
      <c r="K834" s="72">
        <v>1</v>
      </c>
      <c r="L834" s="72">
        <f>IFERROR(VLOOKUP(J834,'MAIN D OEUVRE'!$A$4:$B$99,2,FALSE)*$N$2,"")</f>
        <v>2.2000000000000002</v>
      </c>
      <c r="M834" s="73">
        <f t="shared" si="347"/>
        <v>2.2000000000000002</v>
      </c>
      <c r="N834" s="397"/>
      <c r="O834">
        <f>O833</f>
        <v>0</v>
      </c>
      <c r="P834">
        <f t="shared" si="344"/>
        <v>0</v>
      </c>
      <c r="Q834">
        <f t="shared" si="345"/>
        <v>0</v>
      </c>
    </row>
    <row r="835" spans="1:17">
      <c r="A835" s="388"/>
      <c r="B835" s="391"/>
      <c r="C835" s="69"/>
      <c r="D835" s="70"/>
      <c r="E835" s="146"/>
      <c r="F835" s="70" t="str">
        <f>IFERROR(VLOOKUP(C835,MATERIAUX!$C$3:$G$1002,3,FALSE),"")</f>
        <v/>
      </c>
      <c r="G835" s="71" t="str">
        <f>IFERROR(VLOOKUP(C835,MATERIAUX!$C$3:$G$1002,5,FALSE),"")</f>
        <v/>
      </c>
      <c r="H835" s="71" t="str">
        <f t="shared" si="333"/>
        <v/>
      </c>
      <c r="I835" s="394"/>
      <c r="J835" s="72"/>
      <c r="K835" s="72"/>
      <c r="L835" s="72" t="str">
        <f>IFERROR(VLOOKUP(J835,'MAIN D OEUVRE'!$A$4:$B$99,2,FALSE)*$N$2,"")</f>
        <v/>
      </c>
      <c r="M835" s="73" t="str">
        <f t="shared" si="347"/>
        <v/>
      </c>
      <c r="N835" s="397"/>
      <c r="O835">
        <f t="shared" ref="O835:O842" si="349">O834</f>
        <v>0</v>
      </c>
      <c r="P835">
        <f t="shared" si="344"/>
        <v>0</v>
      </c>
      <c r="Q835">
        <f t="shared" si="345"/>
        <v>0</v>
      </c>
    </row>
    <row r="836" spans="1:17">
      <c r="A836" s="388"/>
      <c r="B836" s="391"/>
      <c r="C836" s="69"/>
      <c r="D836" s="70"/>
      <c r="E836" s="146"/>
      <c r="F836" s="70" t="str">
        <f>IFERROR(VLOOKUP(C836,MATERIAUX!$C$3:$G$1002,3,FALSE),"")</f>
        <v/>
      </c>
      <c r="G836" s="71" t="str">
        <f>IFERROR(VLOOKUP(C836,MATERIAUX!$C$3:$G$1002,5,FALSE),"")</f>
        <v/>
      </c>
      <c r="H836" s="71" t="str">
        <f t="shared" si="333"/>
        <v/>
      </c>
      <c r="I836" s="394"/>
      <c r="J836" s="72"/>
      <c r="K836" s="72"/>
      <c r="L836" s="72" t="str">
        <f>IFERROR(VLOOKUP(J836,'MAIN D OEUVRE'!$A$4:$B$99,2,FALSE)*$N$2,"")</f>
        <v/>
      </c>
      <c r="M836" s="73" t="str">
        <f t="shared" si="347"/>
        <v/>
      </c>
      <c r="N836" s="397"/>
      <c r="O836">
        <f t="shared" si="349"/>
        <v>0</v>
      </c>
      <c r="P836">
        <f t="shared" si="344"/>
        <v>0</v>
      </c>
      <c r="Q836">
        <f t="shared" si="345"/>
        <v>0</v>
      </c>
    </row>
    <row r="837" spans="1:17">
      <c r="A837" s="388"/>
      <c r="B837" s="391"/>
      <c r="C837" s="69"/>
      <c r="D837" s="70"/>
      <c r="E837" s="146"/>
      <c r="F837" s="70" t="str">
        <f>IFERROR(VLOOKUP(C837,MATERIAUX!$C$3:$G$1002,3,FALSE),"")</f>
        <v/>
      </c>
      <c r="G837" s="71" t="str">
        <f>IFERROR(VLOOKUP(C837,MATERIAUX!$C$3:$G$1002,5,FALSE),"")</f>
        <v/>
      </c>
      <c r="H837" s="71" t="str">
        <f t="shared" si="333"/>
        <v/>
      </c>
      <c r="I837" s="394"/>
      <c r="J837" s="72"/>
      <c r="K837" s="72"/>
      <c r="L837" s="72" t="str">
        <f>IFERROR(VLOOKUP(J837,'MAIN D OEUVRE'!$A$4:$B$99,2,FALSE)*$N$2,"")</f>
        <v/>
      </c>
      <c r="M837" s="73" t="str">
        <f t="shared" si="347"/>
        <v/>
      </c>
      <c r="N837" s="397"/>
      <c r="O837">
        <f t="shared" si="349"/>
        <v>0</v>
      </c>
      <c r="P837">
        <f t="shared" si="344"/>
        <v>0</v>
      </c>
      <c r="Q837">
        <f t="shared" si="345"/>
        <v>0</v>
      </c>
    </row>
    <row r="838" spans="1:17">
      <c r="A838" s="388"/>
      <c r="B838" s="391"/>
      <c r="C838" s="69"/>
      <c r="D838" s="70"/>
      <c r="E838" s="146"/>
      <c r="F838" s="70" t="str">
        <f>IFERROR(VLOOKUP(C838,MATERIAUX!$C$3:$G$1002,3,FALSE),"")</f>
        <v/>
      </c>
      <c r="G838" s="71" t="str">
        <f>IFERROR(VLOOKUP(C838,MATERIAUX!$C$3:$G$1002,5,FALSE),"")</f>
        <v/>
      </c>
      <c r="H838" s="71" t="str">
        <f t="shared" si="333"/>
        <v/>
      </c>
      <c r="I838" s="394"/>
      <c r="J838" s="72"/>
      <c r="K838" s="72"/>
      <c r="L838" s="72" t="str">
        <f>IFERROR(VLOOKUP(J838,'MAIN D OEUVRE'!$A$4:$B$99,2,FALSE)*$N$2,"")</f>
        <v/>
      </c>
      <c r="M838" s="73" t="str">
        <f t="shared" si="347"/>
        <v/>
      </c>
      <c r="N838" s="397"/>
      <c r="O838">
        <f t="shared" si="349"/>
        <v>0</v>
      </c>
      <c r="P838">
        <f t="shared" si="344"/>
        <v>0</v>
      </c>
      <c r="Q838">
        <f t="shared" si="345"/>
        <v>0</v>
      </c>
    </row>
    <row r="839" spans="1:17">
      <c r="A839" s="388"/>
      <c r="B839" s="391"/>
      <c r="C839" s="69"/>
      <c r="D839" s="70"/>
      <c r="E839" s="146"/>
      <c r="F839" s="70" t="str">
        <f>IFERROR(VLOOKUP(C839,MATERIAUX!$C$3:$G$1002,3,FALSE),"")</f>
        <v/>
      </c>
      <c r="G839" s="71" t="str">
        <f>IFERROR(VLOOKUP(C839,MATERIAUX!$C$3:$G$1002,5,FALSE),"")</f>
        <v/>
      </c>
      <c r="H839" s="71" t="str">
        <f t="shared" si="333"/>
        <v/>
      </c>
      <c r="I839" s="394"/>
      <c r="J839" s="72"/>
      <c r="K839" s="72"/>
      <c r="L839" s="72" t="str">
        <f>IFERROR(VLOOKUP(J839,'MAIN D OEUVRE'!$A$4:$B$99,2,FALSE)*$N$2,"")</f>
        <v/>
      </c>
      <c r="M839" s="73" t="str">
        <f t="shared" si="347"/>
        <v/>
      </c>
      <c r="N839" s="397"/>
      <c r="O839">
        <f t="shared" si="349"/>
        <v>0</v>
      </c>
      <c r="P839">
        <f t="shared" si="344"/>
        <v>0</v>
      </c>
      <c r="Q839">
        <f t="shared" si="345"/>
        <v>0</v>
      </c>
    </row>
    <row r="840" spans="1:17">
      <c r="A840" s="388"/>
      <c r="B840" s="391"/>
      <c r="C840" s="69"/>
      <c r="D840" s="70"/>
      <c r="E840" s="146"/>
      <c r="F840" s="70" t="str">
        <f>IFERROR(VLOOKUP(C840,MATERIAUX!$C$3:$G$1002,3,FALSE),"")</f>
        <v/>
      </c>
      <c r="G840" s="71" t="str">
        <f>IFERROR(VLOOKUP(C840,MATERIAUX!$C$3:$G$1002,5,FALSE),"")</f>
        <v/>
      </c>
      <c r="H840" s="71" t="str">
        <f t="shared" si="333"/>
        <v/>
      </c>
      <c r="I840" s="394"/>
      <c r="J840" s="72"/>
      <c r="K840" s="72"/>
      <c r="L840" s="72" t="str">
        <f>IFERROR(VLOOKUP(J840,'MAIN D OEUVRE'!$A$4:$B$99,2,FALSE)*$N$2,"")</f>
        <v/>
      </c>
      <c r="M840" s="73" t="str">
        <f t="shared" si="347"/>
        <v/>
      </c>
      <c r="N840" s="397"/>
      <c r="O840">
        <f t="shared" si="349"/>
        <v>0</v>
      </c>
      <c r="P840">
        <f t="shared" si="344"/>
        <v>0</v>
      </c>
      <c r="Q840">
        <f t="shared" si="345"/>
        <v>0</v>
      </c>
    </row>
    <row r="841" spans="1:17">
      <c r="A841" s="388"/>
      <c r="B841" s="391"/>
      <c r="C841" s="69"/>
      <c r="D841" s="70"/>
      <c r="E841" s="146"/>
      <c r="F841" s="70" t="str">
        <f>IFERROR(VLOOKUP(C841,MATERIAUX!$C$3:$G$1002,3,FALSE),"")</f>
        <v/>
      </c>
      <c r="G841" s="71" t="str">
        <f>IFERROR(VLOOKUP(C841,MATERIAUX!$C$3:$G$1002,5,FALSE),"")</f>
        <v/>
      </c>
      <c r="H841" s="71" t="str">
        <f t="shared" si="333"/>
        <v/>
      </c>
      <c r="I841" s="394"/>
      <c r="J841" s="72"/>
      <c r="K841" s="72"/>
      <c r="L841" s="72"/>
      <c r="M841" s="73"/>
      <c r="N841" s="397"/>
      <c r="O841">
        <f t="shared" si="349"/>
        <v>0</v>
      </c>
      <c r="P841">
        <f t="shared" si="344"/>
        <v>0</v>
      </c>
      <c r="Q841">
        <f t="shared" si="345"/>
        <v>0</v>
      </c>
    </row>
    <row r="842" spans="1:17" ht="15" thickBot="1">
      <c r="A842" s="389"/>
      <c r="B842" s="392"/>
      <c r="C842" s="74"/>
      <c r="D842" s="75"/>
      <c r="E842" s="147"/>
      <c r="F842" s="70" t="str">
        <f>IFERROR(VLOOKUP(C842,MATERIAUX!$C$3:$G$1002,3,FALSE),"")</f>
        <v/>
      </c>
      <c r="G842" s="71" t="str">
        <f>IFERROR(VLOOKUP(C842,MATERIAUX!$C$3:$G$1002,5,FALSE),"")</f>
        <v/>
      </c>
      <c r="H842" s="71" t="str">
        <f t="shared" si="333"/>
        <v/>
      </c>
      <c r="I842" s="395"/>
      <c r="J842" s="77"/>
      <c r="K842" s="77"/>
      <c r="L842" s="77"/>
      <c r="M842" s="78"/>
      <c r="N842" s="398"/>
      <c r="O842">
        <f t="shared" si="349"/>
        <v>0</v>
      </c>
      <c r="P842">
        <f t="shared" si="344"/>
        <v>0</v>
      </c>
      <c r="Q842">
        <f t="shared" si="345"/>
        <v>0</v>
      </c>
    </row>
    <row r="843" spans="1:17">
      <c r="A843" s="387" t="s">
        <v>462</v>
      </c>
      <c r="B843" s="390" t="s">
        <v>21</v>
      </c>
      <c r="C843" s="64" t="s">
        <v>90</v>
      </c>
      <c r="D843" s="65">
        <f>3*0.045*0.05</f>
        <v>6.7500000000000008E-3</v>
      </c>
      <c r="E843" s="145">
        <v>0.1</v>
      </c>
      <c r="F843" s="65" t="str">
        <f>IFERROR(VLOOKUP(C843,MATERIAUX!$C$3:$G$1002,3,FALSE),"")</f>
        <v>m3</v>
      </c>
      <c r="G843" s="66">
        <f>IFERROR(VLOOKUP(C843,MATERIAUX!$C$3:$G$1002,5,FALSE),"")</f>
        <v>575.25773195876297</v>
      </c>
      <c r="H843" s="66">
        <f t="shared" si="333"/>
        <v>4.2699999999999996</v>
      </c>
      <c r="I843" s="393">
        <f t="shared" ref="I843" si="350">SUM(H843:H852)</f>
        <v>4.8999999999999995</v>
      </c>
      <c r="J843" s="67" t="s">
        <v>52</v>
      </c>
      <c r="K843" s="67">
        <v>1</v>
      </c>
      <c r="L843" s="67">
        <f>IFERROR(VLOOKUP(J843,'MAIN D OEUVRE'!$A$4:$B$99,2,FALSE)*$N$2,"")</f>
        <v>2.75</v>
      </c>
      <c r="M843" s="68">
        <f t="shared" ref="M843:M850" si="351">IFERROR(ROUND(L843*K843,2),"")</f>
        <v>2.75</v>
      </c>
      <c r="N843" s="396">
        <f t="shared" ref="N843" si="352">SUM(M843:M852)</f>
        <v>2.75</v>
      </c>
      <c r="O843" s="350">
        <v>0</v>
      </c>
      <c r="P843">
        <f t="shared" si="344"/>
        <v>0</v>
      </c>
      <c r="Q843">
        <f t="shared" si="345"/>
        <v>0</v>
      </c>
    </row>
    <row r="844" spans="1:17">
      <c r="A844" s="388"/>
      <c r="B844" s="391"/>
      <c r="C844" s="69" t="s">
        <v>84</v>
      </c>
      <c r="D844" s="70">
        <v>16</v>
      </c>
      <c r="E844" s="146">
        <v>0</v>
      </c>
      <c r="F844" s="70" t="str">
        <f>IFERROR(VLOOKUP(C844,MATERIAUX!$C$3:$G$1002,3,FALSE),"")</f>
        <v>u</v>
      </c>
      <c r="G844" s="71">
        <f>IFERROR(VLOOKUP(C844,MATERIAUX!$C$3:$G$1002,5,FALSE),"")</f>
        <v>3.9175257731958769E-2</v>
      </c>
      <c r="H844" s="71">
        <f t="shared" si="333"/>
        <v>0.63</v>
      </c>
      <c r="I844" s="394"/>
      <c r="J844" s="72"/>
      <c r="K844" s="72"/>
      <c r="L844" s="72" t="str">
        <f>IFERROR(VLOOKUP(J844,'MAIN D OEUVRE'!$A$4:$B$99,2,FALSE)*$N$2,"")</f>
        <v/>
      </c>
      <c r="M844" s="73" t="str">
        <f t="shared" si="351"/>
        <v/>
      </c>
      <c r="N844" s="397"/>
      <c r="O844">
        <f>O843</f>
        <v>0</v>
      </c>
      <c r="P844">
        <f t="shared" si="344"/>
        <v>0</v>
      </c>
      <c r="Q844">
        <f t="shared" si="345"/>
        <v>0</v>
      </c>
    </row>
    <row r="845" spans="1:17">
      <c r="A845" s="388"/>
      <c r="B845" s="391"/>
      <c r="C845" s="69"/>
      <c r="D845" s="70"/>
      <c r="E845" s="146"/>
      <c r="F845" s="70" t="str">
        <f>IFERROR(VLOOKUP(C845,MATERIAUX!$C$3:$G$1002,3,FALSE),"")</f>
        <v/>
      </c>
      <c r="G845" s="71" t="str">
        <f>IFERROR(VLOOKUP(C845,MATERIAUX!$C$3:$G$1002,5,FALSE),"")</f>
        <v/>
      </c>
      <c r="H845" s="71" t="str">
        <f t="shared" si="333"/>
        <v/>
      </c>
      <c r="I845" s="394"/>
      <c r="J845" s="72"/>
      <c r="K845" s="72"/>
      <c r="L845" s="72" t="str">
        <f>IFERROR(VLOOKUP(J845,'MAIN D OEUVRE'!$A$4:$B$99,2,FALSE)*$N$2,"")</f>
        <v/>
      </c>
      <c r="M845" s="73" t="str">
        <f t="shared" si="351"/>
        <v/>
      </c>
      <c r="N845" s="397"/>
      <c r="O845">
        <f t="shared" ref="O845:O852" si="353">O844</f>
        <v>0</v>
      </c>
      <c r="P845">
        <f t="shared" si="344"/>
        <v>0</v>
      </c>
      <c r="Q845">
        <f t="shared" si="345"/>
        <v>0</v>
      </c>
    </row>
    <row r="846" spans="1:17">
      <c r="A846" s="388"/>
      <c r="B846" s="391"/>
      <c r="C846" s="69"/>
      <c r="D846" s="70"/>
      <c r="E846" s="146"/>
      <c r="F846" s="70" t="str">
        <f>IFERROR(VLOOKUP(C846,MATERIAUX!$C$3:$G$1002,3,FALSE),"")</f>
        <v/>
      </c>
      <c r="G846" s="71" t="str">
        <f>IFERROR(VLOOKUP(C846,MATERIAUX!$C$3:$G$1002,5,FALSE),"")</f>
        <v/>
      </c>
      <c r="H846" s="71" t="str">
        <f t="shared" si="333"/>
        <v/>
      </c>
      <c r="I846" s="394"/>
      <c r="J846" s="72"/>
      <c r="K846" s="72"/>
      <c r="L846" s="72" t="str">
        <f>IFERROR(VLOOKUP(J846,'MAIN D OEUVRE'!$A$4:$B$99,2,FALSE)*$N$2,"")</f>
        <v/>
      </c>
      <c r="M846" s="73" t="str">
        <f t="shared" si="351"/>
        <v/>
      </c>
      <c r="N846" s="397"/>
      <c r="O846">
        <f t="shared" si="353"/>
        <v>0</v>
      </c>
      <c r="P846">
        <f t="shared" si="344"/>
        <v>0</v>
      </c>
      <c r="Q846">
        <f t="shared" si="345"/>
        <v>0</v>
      </c>
    </row>
    <row r="847" spans="1:17">
      <c r="A847" s="388"/>
      <c r="B847" s="391"/>
      <c r="C847" s="69"/>
      <c r="D847" s="70"/>
      <c r="E847" s="146"/>
      <c r="F847" s="70" t="str">
        <f>IFERROR(VLOOKUP(C847,MATERIAUX!$C$3:$G$1002,3,FALSE),"")</f>
        <v/>
      </c>
      <c r="G847" s="71" t="str">
        <f>IFERROR(VLOOKUP(C847,MATERIAUX!$C$3:$G$1002,5,FALSE),"")</f>
        <v/>
      </c>
      <c r="H847" s="71" t="str">
        <f t="shared" si="333"/>
        <v/>
      </c>
      <c r="I847" s="394"/>
      <c r="J847" s="72"/>
      <c r="K847" s="72"/>
      <c r="L847" s="72" t="str">
        <f>IFERROR(VLOOKUP(J847,'MAIN D OEUVRE'!$A$4:$B$99,2,FALSE)*$N$2,"")</f>
        <v/>
      </c>
      <c r="M847" s="73" t="str">
        <f t="shared" si="351"/>
        <v/>
      </c>
      <c r="N847" s="397"/>
      <c r="O847">
        <f t="shared" si="353"/>
        <v>0</v>
      </c>
      <c r="P847">
        <f t="shared" si="344"/>
        <v>0</v>
      </c>
      <c r="Q847">
        <f t="shared" si="345"/>
        <v>0</v>
      </c>
    </row>
    <row r="848" spans="1:17">
      <c r="A848" s="388"/>
      <c r="B848" s="391"/>
      <c r="C848" s="69"/>
      <c r="D848" s="70"/>
      <c r="E848" s="146"/>
      <c r="F848" s="70" t="str">
        <f>IFERROR(VLOOKUP(C848,MATERIAUX!$C$3:$G$1002,3,FALSE),"")</f>
        <v/>
      </c>
      <c r="G848" s="71" t="str">
        <f>IFERROR(VLOOKUP(C848,MATERIAUX!$C$3:$G$1002,5,FALSE),"")</f>
        <v/>
      </c>
      <c r="H848" s="71" t="str">
        <f t="shared" si="333"/>
        <v/>
      </c>
      <c r="I848" s="394"/>
      <c r="J848" s="72"/>
      <c r="K848" s="72"/>
      <c r="L848" s="72" t="str">
        <f>IFERROR(VLOOKUP(J848,'MAIN D OEUVRE'!$A$4:$B$99,2,FALSE)*$N$2,"")</f>
        <v/>
      </c>
      <c r="M848" s="73" t="str">
        <f t="shared" si="351"/>
        <v/>
      </c>
      <c r="N848" s="397"/>
      <c r="O848">
        <f t="shared" si="353"/>
        <v>0</v>
      </c>
      <c r="P848">
        <f t="shared" si="344"/>
        <v>0</v>
      </c>
      <c r="Q848">
        <f t="shared" si="345"/>
        <v>0</v>
      </c>
    </row>
    <row r="849" spans="1:17">
      <c r="A849" s="388"/>
      <c r="B849" s="391"/>
      <c r="C849" s="69"/>
      <c r="D849" s="70"/>
      <c r="E849" s="146"/>
      <c r="F849" s="70" t="str">
        <f>IFERROR(VLOOKUP(C849,MATERIAUX!$C$3:$G$1002,3,FALSE),"")</f>
        <v/>
      </c>
      <c r="G849" s="71" t="str">
        <f>IFERROR(VLOOKUP(C849,MATERIAUX!$C$3:$G$1002,5,FALSE),"")</f>
        <v/>
      </c>
      <c r="H849" s="71" t="str">
        <f t="shared" si="333"/>
        <v/>
      </c>
      <c r="I849" s="394"/>
      <c r="J849" s="72"/>
      <c r="K849" s="72"/>
      <c r="L849" s="72" t="str">
        <f>IFERROR(VLOOKUP(J849,'MAIN D OEUVRE'!$A$4:$B$99,2,FALSE)*$N$2,"")</f>
        <v/>
      </c>
      <c r="M849" s="73" t="str">
        <f t="shared" si="351"/>
        <v/>
      </c>
      <c r="N849" s="397"/>
      <c r="O849">
        <f t="shared" si="353"/>
        <v>0</v>
      </c>
      <c r="P849">
        <f t="shared" si="344"/>
        <v>0</v>
      </c>
      <c r="Q849">
        <f t="shared" si="345"/>
        <v>0</v>
      </c>
    </row>
    <row r="850" spans="1:17">
      <c r="A850" s="388"/>
      <c r="B850" s="391"/>
      <c r="C850" s="69"/>
      <c r="D850" s="70"/>
      <c r="E850" s="146"/>
      <c r="F850" s="70" t="str">
        <f>IFERROR(VLOOKUP(C850,MATERIAUX!$C$3:$G$1002,3,FALSE),"")</f>
        <v/>
      </c>
      <c r="G850" s="71" t="str">
        <f>IFERROR(VLOOKUP(C850,MATERIAUX!$C$3:$G$1002,5,FALSE),"")</f>
        <v/>
      </c>
      <c r="H850" s="71" t="str">
        <f t="shared" si="333"/>
        <v/>
      </c>
      <c r="I850" s="394"/>
      <c r="J850" s="72"/>
      <c r="K850" s="72"/>
      <c r="L850" s="72" t="str">
        <f>IFERROR(VLOOKUP(J850,'MAIN D OEUVRE'!$A$4:$B$99,2,FALSE)*$N$2,"")</f>
        <v/>
      </c>
      <c r="M850" s="73" t="str">
        <f t="shared" si="351"/>
        <v/>
      </c>
      <c r="N850" s="397"/>
      <c r="O850">
        <f t="shared" si="353"/>
        <v>0</v>
      </c>
      <c r="P850">
        <f t="shared" si="344"/>
        <v>0</v>
      </c>
      <c r="Q850">
        <f t="shared" si="345"/>
        <v>0</v>
      </c>
    </row>
    <row r="851" spans="1:17">
      <c r="A851" s="388"/>
      <c r="B851" s="391"/>
      <c r="C851" s="69"/>
      <c r="D851" s="70"/>
      <c r="E851" s="146"/>
      <c r="F851" s="70" t="str">
        <f>IFERROR(VLOOKUP(C851,MATERIAUX!$C$3:$G$1002,3,FALSE),"")</f>
        <v/>
      </c>
      <c r="G851" s="71" t="str">
        <f>IFERROR(VLOOKUP(C851,MATERIAUX!$C$3:$G$1002,5,FALSE),"")</f>
        <v/>
      </c>
      <c r="H851" s="71" t="str">
        <f t="shared" si="333"/>
        <v/>
      </c>
      <c r="I851" s="394"/>
      <c r="J851" s="72"/>
      <c r="K851" s="72"/>
      <c r="L851" s="72"/>
      <c r="M851" s="73"/>
      <c r="N851" s="397"/>
      <c r="O851">
        <f t="shared" si="353"/>
        <v>0</v>
      </c>
      <c r="P851">
        <f t="shared" si="344"/>
        <v>0</v>
      </c>
      <c r="Q851">
        <f t="shared" si="345"/>
        <v>0</v>
      </c>
    </row>
    <row r="852" spans="1:17" ht="15" thickBot="1">
      <c r="A852" s="389"/>
      <c r="B852" s="392"/>
      <c r="C852" s="74"/>
      <c r="D852" s="75"/>
      <c r="E852" s="147"/>
      <c r="F852" s="70" t="str">
        <f>IFERROR(VLOOKUP(C852,MATERIAUX!$C$3:$G$1002,3,FALSE),"")</f>
        <v/>
      </c>
      <c r="G852" s="71" t="str">
        <f>IFERROR(VLOOKUP(C852,MATERIAUX!$C$3:$G$1002,5,FALSE),"")</f>
        <v/>
      </c>
      <c r="H852" s="71" t="str">
        <f t="shared" si="333"/>
        <v/>
      </c>
      <c r="I852" s="395"/>
      <c r="J852" s="77"/>
      <c r="K852" s="77"/>
      <c r="L852" s="77"/>
      <c r="M852" s="78"/>
      <c r="N852" s="398"/>
      <c r="O852">
        <f t="shared" si="353"/>
        <v>0</v>
      </c>
      <c r="P852">
        <f t="shared" si="344"/>
        <v>0</v>
      </c>
      <c r="Q852">
        <f t="shared" si="345"/>
        <v>0</v>
      </c>
    </row>
    <row r="853" spans="1:17">
      <c r="A853" s="387" t="s">
        <v>463</v>
      </c>
      <c r="B853" s="390" t="s">
        <v>21</v>
      </c>
      <c r="C853" s="64" t="s">
        <v>90</v>
      </c>
      <c r="D853" s="65">
        <f>3*0.045*0.02</f>
        <v>2.7000000000000001E-3</v>
      </c>
      <c r="E853" s="187">
        <v>0.1</v>
      </c>
      <c r="F853" s="65" t="str">
        <f>IFERROR(VLOOKUP(C853,MATERIAUX!$C$3:$G$1002,3,FALSE),"")</f>
        <v>m3</v>
      </c>
      <c r="G853" s="66">
        <f>IFERROR(VLOOKUP(C853,MATERIAUX!$C$3:$G$1002,5,FALSE),"")</f>
        <v>575.25773195876297</v>
      </c>
      <c r="H853" s="66">
        <f t="shared" si="333"/>
        <v>1.71</v>
      </c>
      <c r="I853" s="393">
        <f t="shared" ref="I853" si="354">SUM(H853:H862)</f>
        <v>2.34</v>
      </c>
      <c r="J853" s="67" t="s">
        <v>52</v>
      </c>
      <c r="K853" s="67">
        <v>1</v>
      </c>
      <c r="L853" s="67">
        <f>IFERROR(VLOOKUP(J853,'MAIN D OEUVRE'!$A$4:$B$99,2,FALSE)*$N$2,"")</f>
        <v>2.75</v>
      </c>
      <c r="M853" s="68">
        <f t="shared" ref="M853:M860" si="355">IFERROR(ROUND(L853*K853,2),"")</f>
        <v>2.75</v>
      </c>
      <c r="N853" s="396">
        <f t="shared" ref="N853" si="356">SUM(M853:M862)</f>
        <v>2.75</v>
      </c>
      <c r="O853" s="350">
        <v>0</v>
      </c>
      <c r="P853">
        <f t="shared" si="344"/>
        <v>0</v>
      </c>
      <c r="Q853">
        <f t="shared" si="345"/>
        <v>0</v>
      </c>
    </row>
    <row r="854" spans="1:17">
      <c r="A854" s="388"/>
      <c r="B854" s="391"/>
      <c r="C854" s="69" t="s">
        <v>84</v>
      </c>
      <c r="D854" s="70">
        <v>16</v>
      </c>
      <c r="E854" s="188">
        <v>0</v>
      </c>
      <c r="F854" s="70" t="str">
        <f>IFERROR(VLOOKUP(C854,MATERIAUX!$C$3:$G$1002,3,FALSE),"")</f>
        <v>u</v>
      </c>
      <c r="G854" s="71">
        <f>IFERROR(VLOOKUP(C854,MATERIAUX!$C$3:$G$1002,5,FALSE),"")</f>
        <v>3.9175257731958769E-2</v>
      </c>
      <c r="H854" s="71">
        <f t="shared" si="333"/>
        <v>0.63</v>
      </c>
      <c r="I854" s="394"/>
      <c r="J854" s="72"/>
      <c r="K854" s="72"/>
      <c r="L854" s="72" t="str">
        <f>IFERROR(VLOOKUP(J854,'MAIN D OEUVRE'!$A$4:$B$99,2,FALSE)*$N$2,"")</f>
        <v/>
      </c>
      <c r="M854" s="73" t="str">
        <f t="shared" si="355"/>
        <v/>
      </c>
      <c r="N854" s="397"/>
      <c r="O854">
        <f>O853</f>
        <v>0</v>
      </c>
      <c r="P854">
        <f t="shared" si="344"/>
        <v>0</v>
      </c>
      <c r="Q854">
        <f t="shared" si="345"/>
        <v>0</v>
      </c>
    </row>
    <row r="855" spans="1:17">
      <c r="A855" s="388"/>
      <c r="B855" s="391"/>
      <c r="C855" s="69"/>
      <c r="D855" s="70"/>
      <c r="E855" s="146"/>
      <c r="F855" s="70" t="str">
        <f>IFERROR(VLOOKUP(C855,MATERIAUX!$C$3:$G$1002,3,FALSE),"")</f>
        <v/>
      </c>
      <c r="G855" s="71" t="str">
        <f>IFERROR(VLOOKUP(C855,MATERIAUX!$C$3:$G$1002,5,FALSE),"")</f>
        <v/>
      </c>
      <c r="H855" s="71" t="str">
        <f t="shared" si="333"/>
        <v/>
      </c>
      <c r="I855" s="394"/>
      <c r="J855" s="72"/>
      <c r="K855" s="72"/>
      <c r="L855" s="72" t="str">
        <f>IFERROR(VLOOKUP(J855,'MAIN D OEUVRE'!$A$4:$B$99,2,FALSE)*$N$2,"")</f>
        <v/>
      </c>
      <c r="M855" s="73" t="str">
        <f t="shared" si="355"/>
        <v/>
      </c>
      <c r="N855" s="397"/>
      <c r="O855">
        <f t="shared" ref="O855:O862" si="357">O854</f>
        <v>0</v>
      </c>
      <c r="P855">
        <f t="shared" si="344"/>
        <v>0</v>
      </c>
      <c r="Q855">
        <f t="shared" si="345"/>
        <v>0</v>
      </c>
    </row>
    <row r="856" spans="1:17">
      <c r="A856" s="388"/>
      <c r="B856" s="391"/>
      <c r="C856" s="69"/>
      <c r="D856" s="70"/>
      <c r="E856" s="146"/>
      <c r="F856" s="70" t="str">
        <f>IFERROR(VLOOKUP(C856,MATERIAUX!$C$3:$G$1002,3,FALSE),"")</f>
        <v/>
      </c>
      <c r="G856" s="71" t="str">
        <f>IFERROR(VLOOKUP(C856,MATERIAUX!$C$3:$G$1002,5,FALSE),"")</f>
        <v/>
      </c>
      <c r="H856" s="71" t="str">
        <f t="shared" si="333"/>
        <v/>
      </c>
      <c r="I856" s="394"/>
      <c r="J856" s="72"/>
      <c r="K856" s="72"/>
      <c r="L856" s="72" t="str">
        <f>IFERROR(VLOOKUP(J856,'MAIN D OEUVRE'!$A$4:$B$99,2,FALSE)*$N$2,"")</f>
        <v/>
      </c>
      <c r="M856" s="73" t="str">
        <f t="shared" si="355"/>
        <v/>
      </c>
      <c r="N856" s="397"/>
      <c r="O856">
        <f t="shared" si="357"/>
        <v>0</v>
      </c>
      <c r="P856">
        <f t="shared" si="344"/>
        <v>0</v>
      </c>
      <c r="Q856">
        <f t="shared" si="345"/>
        <v>0</v>
      </c>
    </row>
    <row r="857" spans="1:17">
      <c r="A857" s="388"/>
      <c r="B857" s="391"/>
      <c r="C857" s="69"/>
      <c r="D857" s="70"/>
      <c r="E857" s="146"/>
      <c r="F857" s="70" t="str">
        <f>IFERROR(VLOOKUP(C857,MATERIAUX!$C$3:$G$1002,3,FALSE),"")</f>
        <v/>
      </c>
      <c r="G857" s="71" t="str">
        <f>IFERROR(VLOOKUP(C857,MATERIAUX!$C$3:$G$1002,5,FALSE),"")</f>
        <v/>
      </c>
      <c r="H857" s="71" t="str">
        <f t="shared" si="333"/>
        <v/>
      </c>
      <c r="I857" s="394"/>
      <c r="J857" s="72"/>
      <c r="K857" s="72"/>
      <c r="L857" s="72" t="str">
        <f>IFERROR(VLOOKUP(J857,'MAIN D OEUVRE'!$A$4:$B$99,2,FALSE)*$N$2,"")</f>
        <v/>
      </c>
      <c r="M857" s="73" t="str">
        <f t="shared" si="355"/>
        <v/>
      </c>
      <c r="N857" s="397"/>
      <c r="O857">
        <f t="shared" si="357"/>
        <v>0</v>
      </c>
      <c r="P857">
        <f t="shared" si="344"/>
        <v>0</v>
      </c>
      <c r="Q857">
        <f t="shared" si="345"/>
        <v>0</v>
      </c>
    </row>
    <row r="858" spans="1:17">
      <c r="A858" s="388"/>
      <c r="B858" s="391"/>
      <c r="C858" s="69"/>
      <c r="D858" s="70"/>
      <c r="E858" s="146"/>
      <c r="F858" s="70" t="str">
        <f>IFERROR(VLOOKUP(C858,MATERIAUX!$C$3:$G$1002,3,FALSE),"")</f>
        <v/>
      </c>
      <c r="G858" s="71" t="str">
        <f>IFERROR(VLOOKUP(C858,MATERIAUX!$C$3:$G$1002,5,FALSE),"")</f>
        <v/>
      </c>
      <c r="H858" s="71" t="str">
        <f t="shared" si="333"/>
        <v/>
      </c>
      <c r="I858" s="394"/>
      <c r="J858" s="72"/>
      <c r="K858" s="72"/>
      <c r="L858" s="72" t="str">
        <f>IFERROR(VLOOKUP(J858,'MAIN D OEUVRE'!$A$4:$B$99,2,FALSE)*$N$2,"")</f>
        <v/>
      </c>
      <c r="M858" s="73" t="str">
        <f t="shared" si="355"/>
        <v/>
      </c>
      <c r="N858" s="397"/>
      <c r="O858">
        <f t="shared" si="357"/>
        <v>0</v>
      </c>
      <c r="P858">
        <f t="shared" si="344"/>
        <v>0</v>
      </c>
      <c r="Q858">
        <f t="shared" si="345"/>
        <v>0</v>
      </c>
    </row>
    <row r="859" spans="1:17">
      <c r="A859" s="388"/>
      <c r="B859" s="391"/>
      <c r="C859" s="69"/>
      <c r="D859" s="70"/>
      <c r="E859" s="146"/>
      <c r="F859" s="70" t="str">
        <f>IFERROR(VLOOKUP(C859,MATERIAUX!$C$3:$G$1002,3,FALSE),"")</f>
        <v/>
      </c>
      <c r="G859" s="71" t="str">
        <f>IFERROR(VLOOKUP(C859,MATERIAUX!$C$3:$G$1002,5,FALSE),"")</f>
        <v/>
      </c>
      <c r="H859" s="71" t="str">
        <f t="shared" si="333"/>
        <v/>
      </c>
      <c r="I859" s="394"/>
      <c r="J859" s="72"/>
      <c r="K859" s="72"/>
      <c r="L859" s="72" t="str">
        <f>IFERROR(VLOOKUP(J859,'MAIN D OEUVRE'!$A$4:$B$99,2,FALSE)*$N$2,"")</f>
        <v/>
      </c>
      <c r="M859" s="73" t="str">
        <f t="shared" si="355"/>
        <v/>
      </c>
      <c r="N859" s="397"/>
      <c r="O859">
        <f t="shared" si="357"/>
        <v>0</v>
      </c>
      <c r="P859">
        <f t="shared" si="344"/>
        <v>0</v>
      </c>
      <c r="Q859">
        <f t="shared" si="345"/>
        <v>0</v>
      </c>
    </row>
    <row r="860" spans="1:17">
      <c r="A860" s="388"/>
      <c r="B860" s="391"/>
      <c r="C860" s="69"/>
      <c r="D860" s="70"/>
      <c r="E860" s="146"/>
      <c r="F860" s="70" t="str">
        <f>IFERROR(VLOOKUP(C860,MATERIAUX!$C$3:$G$1002,3,FALSE),"")</f>
        <v/>
      </c>
      <c r="G860" s="71" t="str">
        <f>IFERROR(VLOOKUP(C860,MATERIAUX!$C$3:$G$1002,5,FALSE),"")</f>
        <v/>
      </c>
      <c r="H860" s="71" t="str">
        <f t="shared" si="333"/>
        <v/>
      </c>
      <c r="I860" s="394"/>
      <c r="J860" s="72"/>
      <c r="K860" s="72"/>
      <c r="L860" s="72" t="str">
        <f>IFERROR(VLOOKUP(J860,'MAIN D OEUVRE'!$A$4:$B$99,2,FALSE)*$N$2,"")</f>
        <v/>
      </c>
      <c r="M860" s="73" t="str">
        <f t="shared" si="355"/>
        <v/>
      </c>
      <c r="N860" s="397"/>
      <c r="O860">
        <f t="shared" si="357"/>
        <v>0</v>
      </c>
      <c r="P860">
        <f t="shared" si="344"/>
        <v>0</v>
      </c>
      <c r="Q860">
        <f t="shared" si="345"/>
        <v>0</v>
      </c>
    </row>
    <row r="861" spans="1:17">
      <c r="A861" s="388"/>
      <c r="B861" s="391"/>
      <c r="C861" s="69"/>
      <c r="D861" s="70"/>
      <c r="E861" s="146"/>
      <c r="F861" s="70" t="str">
        <f>IFERROR(VLOOKUP(C861,MATERIAUX!$C$3:$G$1002,3,FALSE),"")</f>
        <v/>
      </c>
      <c r="G861" s="71" t="str">
        <f>IFERROR(VLOOKUP(C861,MATERIAUX!$C$3:$G$1002,5,FALSE),"")</f>
        <v/>
      </c>
      <c r="H861" s="71" t="str">
        <f t="shared" si="333"/>
        <v/>
      </c>
      <c r="I861" s="394"/>
      <c r="J861" s="72"/>
      <c r="K861" s="72"/>
      <c r="L861" s="72"/>
      <c r="M861" s="73"/>
      <c r="N861" s="397"/>
      <c r="O861">
        <f t="shared" si="357"/>
        <v>0</v>
      </c>
      <c r="P861">
        <f t="shared" si="344"/>
        <v>0</v>
      </c>
      <c r="Q861">
        <f t="shared" si="345"/>
        <v>0</v>
      </c>
    </row>
    <row r="862" spans="1:17" ht="15" thickBot="1">
      <c r="A862" s="389"/>
      <c r="B862" s="392"/>
      <c r="C862" s="74"/>
      <c r="D862" s="75"/>
      <c r="E862" s="147"/>
      <c r="F862" s="70" t="str">
        <f>IFERROR(VLOOKUP(C862,MATERIAUX!$C$3:$G$1002,3,FALSE),"")</f>
        <v/>
      </c>
      <c r="G862" s="71" t="str">
        <f>IFERROR(VLOOKUP(C862,MATERIAUX!$C$3:$G$1002,5,FALSE),"")</f>
        <v/>
      </c>
      <c r="H862" s="71" t="str">
        <f t="shared" si="333"/>
        <v/>
      </c>
      <c r="I862" s="395"/>
      <c r="J862" s="77"/>
      <c r="K862" s="77"/>
      <c r="L862" s="77"/>
      <c r="M862" s="78"/>
      <c r="N862" s="398"/>
      <c r="O862">
        <f t="shared" si="357"/>
        <v>0</v>
      </c>
      <c r="P862">
        <f t="shared" si="344"/>
        <v>0</v>
      </c>
      <c r="Q862">
        <f t="shared" si="345"/>
        <v>0</v>
      </c>
    </row>
    <row r="863" spans="1:17">
      <c r="A863" s="387" t="s">
        <v>464</v>
      </c>
      <c r="B863" s="390" t="s">
        <v>23</v>
      </c>
      <c r="C863" s="64" t="s">
        <v>307</v>
      </c>
      <c r="D863" s="65">
        <v>0.05</v>
      </c>
      <c r="E863" s="145">
        <v>0.1</v>
      </c>
      <c r="F863" s="65" t="str">
        <f>IFERROR(VLOOKUP(C863,MATERIAUX!$C$3:$G$1002,3,FALSE),"")</f>
        <v>m2</v>
      </c>
      <c r="G863" s="66">
        <f>IFERROR(VLOOKUP(C863,MATERIAUX!$C$3:$G$1002,5,FALSE),"")</f>
        <v>10.45979381443299</v>
      </c>
      <c r="H863" s="66">
        <f t="shared" si="333"/>
        <v>0.57999999999999996</v>
      </c>
      <c r="I863" s="393">
        <f t="shared" ref="I863" si="358">SUM(H863:H872)</f>
        <v>1.5</v>
      </c>
      <c r="J863" s="67" t="s">
        <v>54</v>
      </c>
      <c r="K863" s="67">
        <v>1</v>
      </c>
      <c r="L863" s="67">
        <f>IFERROR(VLOOKUP(J863,'MAIN D OEUVRE'!$A$4:$B$99,2,FALSE)*$N$2,"")</f>
        <v>1.1000000000000001</v>
      </c>
      <c r="M863" s="68">
        <f t="shared" ref="M863:M870" si="359">IFERROR(ROUND(L863*K863,2),"")</f>
        <v>1.1000000000000001</v>
      </c>
      <c r="N863" s="396">
        <f t="shared" ref="N863" si="360">SUM(M863:M872)</f>
        <v>1.1000000000000001</v>
      </c>
      <c r="O863" s="350">
        <v>0</v>
      </c>
      <c r="P863">
        <f t="shared" si="344"/>
        <v>0</v>
      </c>
      <c r="Q863">
        <f t="shared" si="345"/>
        <v>0</v>
      </c>
    </row>
    <row r="864" spans="1:17">
      <c r="A864" s="388"/>
      <c r="B864" s="391"/>
      <c r="C864" s="69" t="s">
        <v>83</v>
      </c>
      <c r="D864" s="70">
        <v>6</v>
      </c>
      <c r="E864" s="146">
        <v>0</v>
      </c>
      <c r="F864" s="70" t="str">
        <f>IFERROR(VLOOKUP(C864,MATERIAUX!$C$3:$G$1002,3,FALSE),"")</f>
        <v>u</v>
      </c>
      <c r="G864" s="71">
        <f>IFERROR(VLOOKUP(C864,MATERIAUX!$C$3:$G$1002,5,FALSE),"")</f>
        <v>0.15257731958762888</v>
      </c>
      <c r="H864" s="71">
        <f t="shared" si="333"/>
        <v>0.92</v>
      </c>
      <c r="I864" s="394"/>
      <c r="J864" s="72"/>
      <c r="K864" s="72"/>
      <c r="L864" s="72" t="str">
        <f>IFERROR(VLOOKUP(J864,'MAIN D OEUVRE'!$A$4:$B$99,2,FALSE)*$N$2,"")</f>
        <v/>
      </c>
      <c r="M864" s="73" t="str">
        <f t="shared" si="359"/>
        <v/>
      </c>
      <c r="N864" s="397"/>
      <c r="O864">
        <f>O863</f>
        <v>0</v>
      </c>
      <c r="P864">
        <f t="shared" si="344"/>
        <v>0</v>
      </c>
      <c r="Q864">
        <f t="shared" si="345"/>
        <v>0</v>
      </c>
    </row>
    <row r="865" spans="1:17">
      <c r="A865" s="388"/>
      <c r="B865" s="391"/>
      <c r="C865" s="69"/>
      <c r="D865" s="70"/>
      <c r="E865" s="146"/>
      <c r="F865" s="70" t="str">
        <f>IFERROR(VLOOKUP(C865,MATERIAUX!$C$3:$G$1002,3,FALSE),"")</f>
        <v/>
      </c>
      <c r="G865" s="71" t="str">
        <f>IFERROR(VLOOKUP(C865,MATERIAUX!$C$3:$G$1002,5,FALSE),"")</f>
        <v/>
      </c>
      <c r="H865" s="71" t="str">
        <f t="shared" si="333"/>
        <v/>
      </c>
      <c r="I865" s="394"/>
      <c r="J865" s="72"/>
      <c r="K865" s="72"/>
      <c r="L865" s="72" t="str">
        <f>IFERROR(VLOOKUP(J865,'MAIN D OEUVRE'!$A$4:$B$99,2,FALSE)*$N$2,"")</f>
        <v/>
      </c>
      <c r="M865" s="73" t="str">
        <f t="shared" si="359"/>
        <v/>
      </c>
      <c r="N865" s="397"/>
      <c r="O865">
        <f t="shared" ref="O865:O872" si="361">O864</f>
        <v>0</v>
      </c>
      <c r="P865">
        <f t="shared" si="344"/>
        <v>0</v>
      </c>
      <c r="Q865">
        <f t="shared" si="345"/>
        <v>0</v>
      </c>
    </row>
    <row r="866" spans="1:17">
      <c r="A866" s="388"/>
      <c r="B866" s="391"/>
      <c r="C866" s="69"/>
      <c r="D866" s="70"/>
      <c r="E866" s="146"/>
      <c r="F866" s="70" t="str">
        <f>IFERROR(VLOOKUP(C866,MATERIAUX!$C$3:$G$1002,3,FALSE),"")</f>
        <v/>
      </c>
      <c r="G866" s="71" t="str">
        <f>IFERROR(VLOOKUP(C866,MATERIAUX!$C$3:$G$1002,5,FALSE),"")</f>
        <v/>
      </c>
      <c r="H866" s="71" t="str">
        <f t="shared" ref="H866:H959" si="362">IFERROR(ROUND(G866*(1+E866)*D866,2),"")</f>
        <v/>
      </c>
      <c r="I866" s="394"/>
      <c r="J866" s="72"/>
      <c r="K866" s="72"/>
      <c r="L866" s="72" t="str">
        <f>IFERROR(VLOOKUP(J866,'MAIN D OEUVRE'!$A$4:$B$99,2,FALSE)*$N$2,"")</f>
        <v/>
      </c>
      <c r="M866" s="73" t="str">
        <f t="shared" si="359"/>
        <v/>
      </c>
      <c r="N866" s="397"/>
      <c r="O866">
        <f t="shared" si="361"/>
        <v>0</v>
      </c>
      <c r="P866">
        <f t="shared" si="344"/>
        <v>0</v>
      </c>
      <c r="Q866">
        <f t="shared" si="345"/>
        <v>0</v>
      </c>
    </row>
    <row r="867" spans="1:17">
      <c r="A867" s="388"/>
      <c r="B867" s="391"/>
      <c r="C867" s="69"/>
      <c r="D867" s="70"/>
      <c r="E867" s="146"/>
      <c r="F867" s="70" t="str">
        <f>IFERROR(VLOOKUP(C867,MATERIAUX!$C$3:$G$1002,3,FALSE),"")</f>
        <v/>
      </c>
      <c r="G867" s="71" t="str">
        <f>IFERROR(VLOOKUP(C867,MATERIAUX!$C$3:$G$1002,5,FALSE),"")</f>
        <v/>
      </c>
      <c r="H867" s="71" t="str">
        <f t="shared" si="362"/>
        <v/>
      </c>
      <c r="I867" s="394"/>
      <c r="J867" s="72"/>
      <c r="K867" s="72"/>
      <c r="L867" s="72" t="str">
        <f>IFERROR(VLOOKUP(J867,'MAIN D OEUVRE'!$A$4:$B$99,2,FALSE)*$N$2,"")</f>
        <v/>
      </c>
      <c r="M867" s="73" t="str">
        <f t="shared" si="359"/>
        <v/>
      </c>
      <c r="N867" s="397"/>
      <c r="O867">
        <f t="shared" si="361"/>
        <v>0</v>
      </c>
      <c r="P867">
        <f t="shared" si="344"/>
        <v>0</v>
      </c>
      <c r="Q867">
        <f t="shared" si="345"/>
        <v>0</v>
      </c>
    </row>
    <row r="868" spans="1:17">
      <c r="A868" s="388"/>
      <c r="B868" s="391"/>
      <c r="C868" s="69"/>
      <c r="D868" s="70"/>
      <c r="E868" s="146"/>
      <c r="F868" s="70" t="str">
        <f>IFERROR(VLOOKUP(C868,MATERIAUX!$C$3:$G$1002,3,FALSE),"")</f>
        <v/>
      </c>
      <c r="G868" s="71" t="str">
        <f>IFERROR(VLOOKUP(C868,MATERIAUX!$C$3:$G$1002,5,FALSE),"")</f>
        <v/>
      </c>
      <c r="H868" s="71" t="str">
        <f t="shared" si="362"/>
        <v/>
      </c>
      <c r="I868" s="394"/>
      <c r="J868" s="72"/>
      <c r="K868" s="72"/>
      <c r="L868" s="72" t="str">
        <f>IFERROR(VLOOKUP(J868,'MAIN D OEUVRE'!$A$4:$B$99,2,FALSE)*$N$2,"")</f>
        <v/>
      </c>
      <c r="M868" s="73" t="str">
        <f t="shared" si="359"/>
        <v/>
      </c>
      <c r="N868" s="397"/>
      <c r="O868">
        <f t="shared" si="361"/>
        <v>0</v>
      </c>
      <c r="P868">
        <f t="shared" si="344"/>
        <v>0</v>
      </c>
      <c r="Q868">
        <f t="shared" si="345"/>
        <v>0</v>
      </c>
    </row>
    <row r="869" spans="1:17">
      <c r="A869" s="388"/>
      <c r="B869" s="391"/>
      <c r="C869" s="69"/>
      <c r="D869" s="70"/>
      <c r="E869" s="146"/>
      <c r="F869" s="70" t="str">
        <f>IFERROR(VLOOKUP(C869,MATERIAUX!$C$3:$G$1002,3,FALSE),"")</f>
        <v/>
      </c>
      <c r="G869" s="71" t="str">
        <f>IFERROR(VLOOKUP(C869,MATERIAUX!$C$3:$G$1002,5,FALSE),"")</f>
        <v/>
      </c>
      <c r="H869" s="71" t="str">
        <f t="shared" si="362"/>
        <v/>
      </c>
      <c r="I869" s="394"/>
      <c r="J869" s="72"/>
      <c r="K869" s="72"/>
      <c r="L869" s="72" t="str">
        <f>IFERROR(VLOOKUP(J869,'MAIN D OEUVRE'!$A$4:$B$99,2,FALSE)*$N$2,"")</f>
        <v/>
      </c>
      <c r="M869" s="73" t="str">
        <f t="shared" si="359"/>
        <v/>
      </c>
      <c r="N869" s="397"/>
      <c r="O869">
        <f t="shared" si="361"/>
        <v>0</v>
      </c>
      <c r="P869">
        <f t="shared" si="344"/>
        <v>0</v>
      </c>
      <c r="Q869">
        <f t="shared" si="345"/>
        <v>0</v>
      </c>
    </row>
    <row r="870" spans="1:17">
      <c r="A870" s="388"/>
      <c r="B870" s="391"/>
      <c r="C870" s="69"/>
      <c r="D870" s="70"/>
      <c r="E870" s="146"/>
      <c r="F870" s="70" t="str">
        <f>IFERROR(VLOOKUP(C870,MATERIAUX!$C$3:$G$1002,3,FALSE),"")</f>
        <v/>
      </c>
      <c r="G870" s="71" t="str">
        <f>IFERROR(VLOOKUP(C870,MATERIAUX!$C$3:$G$1002,5,FALSE),"")</f>
        <v/>
      </c>
      <c r="H870" s="71" t="str">
        <f t="shared" si="362"/>
        <v/>
      </c>
      <c r="I870" s="394"/>
      <c r="J870" s="72"/>
      <c r="K870" s="72"/>
      <c r="L870" s="72" t="str">
        <f>IFERROR(VLOOKUP(J870,'MAIN D OEUVRE'!$A$4:$B$99,2,FALSE)*$N$2,"")</f>
        <v/>
      </c>
      <c r="M870" s="73" t="str">
        <f t="shared" si="359"/>
        <v/>
      </c>
      <c r="N870" s="397"/>
      <c r="O870">
        <f t="shared" si="361"/>
        <v>0</v>
      </c>
      <c r="P870">
        <f t="shared" si="344"/>
        <v>0</v>
      </c>
      <c r="Q870">
        <f t="shared" si="345"/>
        <v>0</v>
      </c>
    </row>
    <row r="871" spans="1:17">
      <c r="A871" s="388"/>
      <c r="B871" s="391"/>
      <c r="C871" s="69"/>
      <c r="D871" s="70"/>
      <c r="E871" s="146"/>
      <c r="F871" s="70" t="str">
        <f>IFERROR(VLOOKUP(C871,MATERIAUX!$C$3:$G$1002,3,FALSE),"")</f>
        <v/>
      </c>
      <c r="G871" s="71" t="str">
        <f>IFERROR(VLOOKUP(C871,MATERIAUX!$C$3:$G$1002,5,FALSE),"")</f>
        <v/>
      </c>
      <c r="H871" s="71" t="str">
        <f t="shared" si="362"/>
        <v/>
      </c>
      <c r="I871" s="394"/>
      <c r="J871" s="72"/>
      <c r="K871" s="72"/>
      <c r="L871" s="72"/>
      <c r="M871" s="73"/>
      <c r="N871" s="397"/>
      <c r="O871">
        <f t="shared" si="361"/>
        <v>0</v>
      </c>
      <c r="P871">
        <f t="shared" si="344"/>
        <v>0</v>
      </c>
      <c r="Q871">
        <f t="shared" si="345"/>
        <v>0</v>
      </c>
    </row>
    <row r="872" spans="1:17" ht="15" thickBot="1">
      <c r="A872" s="389"/>
      <c r="B872" s="392"/>
      <c r="C872" s="74"/>
      <c r="D872" s="75"/>
      <c r="E872" s="147"/>
      <c r="F872" s="70" t="str">
        <f>IFERROR(VLOOKUP(C872,MATERIAUX!$C$3:$G$1002,3,FALSE),"")</f>
        <v/>
      </c>
      <c r="G872" s="71" t="str">
        <f>IFERROR(VLOOKUP(C872,MATERIAUX!$C$3:$G$1002,5,FALSE),"")</f>
        <v/>
      </c>
      <c r="H872" s="71" t="str">
        <f t="shared" si="362"/>
        <v/>
      </c>
      <c r="I872" s="395"/>
      <c r="J872" s="77"/>
      <c r="K872" s="77"/>
      <c r="L872" s="77"/>
      <c r="M872" s="78"/>
      <c r="N872" s="398"/>
      <c r="O872">
        <f t="shared" si="361"/>
        <v>0</v>
      </c>
      <c r="P872">
        <f t="shared" si="344"/>
        <v>0</v>
      </c>
      <c r="Q872">
        <f t="shared" si="345"/>
        <v>0</v>
      </c>
    </row>
    <row r="873" spans="1:17">
      <c r="A873" s="387" t="s">
        <v>452</v>
      </c>
      <c r="B873" s="390" t="s">
        <v>127</v>
      </c>
      <c r="C873" s="64" t="s">
        <v>97</v>
      </c>
      <c r="D873" s="65">
        <f>(2.6*0.05*0.045*2+2.6*0.06*0.045*1)*1.2</f>
        <v>2.2464000000000001E-2</v>
      </c>
      <c r="E873" s="145">
        <v>0.05</v>
      </c>
      <c r="F873" s="65" t="str">
        <f>IFERROR(VLOOKUP(C873,MATERIAUX!$C$3:$G$1002,3,FALSE),"")</f>
        <v>m3</v>
      </c>
      <c r="G873" s="66">
        <f>IFERROR(VLOOKUP(C873,MATERIAUX!$C$3:$G$1002,5,FALSE),"")</f>
        <v>524.74226804123714</v>
      </c>
      <c r="H873" s="66">
        <f t="shared" si="362"/>
        <v>12.38</v>
      </c>
      <c r="I873" s="393">
        <f>SUM(H873:H882)</f>
        <v>13.790000000000001</v>
      </c>
      <c r="J873" s="67" t="s">
        <v>52</v>
      </c>
      <c r="K873" s="67">
        <v>0.5</v>
      </c>
      <c r="L873" s="67">
        <f>IFERROR(VLOOKUP(J873,'MAIN D OEUVRE'!$A$4:$B$99,2,FALSE)*$N$2,"")</f>
        <v>2.75</v>
      </c>
      <c r="M873" s="68">
        <f t="shared" ref="M873:M880" si="363">IFERROR(ROUND(L873*K873,2),"")</f>
        <v>1.38</v>
      </c>
      <c r="N873" s="396">
        <f>SUM(M873:M882)</f>
        <v>1.38</v>
      </c>
      <c r="O873" s="350">
        <v>0</v>
      </c>
      <c r="P873">
        <f t="shared" si="344"/>
        <v>0</v>
      </c>
      <c r="Q873">
        <f t="shared" si="345"/>
        <v>0</v>
      </c>
    </row>
    <row r="874" spans="1:17">
      <c r="A874" s="388"/>
      <c r="B874" s="391"/>
      <c r="C874" s="69" t="s">
        <v>325</v>
      </c>
      <c r="D874" s="70">
        <v>18</v>
      </c>
      <c r="E874" s="146">
        <v>0.05</v>
      </c>
      <c r="F874" s="70" t="str">
        <f>IFERROR(VLOOKUP(C874,MATERIAUX!$C$3:$G$1002,3,FALSE),"")</f>
        <v>buc</v>
      </c>
      <c r="G874" s="71">
        <f>IFERROR(VLOOKUP(C874,MATERIAUX!$C$3:$G$1002,5,FALSE),"")</f>
        <v>7.4494845360824749E-2</v>
      </c>
      <c r="H874" s="71">
        <f t="shared" si="362"/>
        <v>1.41</v>
      </c>
      <c r="I874" s="394"/>
      <c r="J874" s="72"/>
      <c r="K874" s="72"/>
      <c r="L874" s="72" t="str">
        <f>IFERROR(VLOOKUP(J874,'MAIN D OEUVRE'!$A$4:$B$99,2,FALSE)*$N$2,"")</f>
        <v/>
      </c>
      <c r="M874" s="73" t="str">
        <f t="shared" si="363"/>
        <v/>
      </c>
      <c r="N874" s="397"/>
      <c r="O874">
        <f>O873</f>
        <v>0</v>
      </c>
      <c r="P874">
        <f t="shared" si="344"/>
        <v>0</v>
      </c>
      <c r="Q874">
        <f t="shared" si="345"/>
        <v>0</v>
      </c>
    </row>
    <row r="875" spans="1:17">
      <c r="A875" s="388"/>
      <c r="B875" s="391"/>
      <c r="C875" s="69"/>
      <c r="D875" s="70"/>
      <c r="E875" s="146"/>
      <c r="F875" s="70" t="str">
        <f>IFERROR(VLOOKUP(C875,MATERIAUX!$C$3:$G$1002,3,FALSE),"")</f>
        <v/>
      </c>
      <c r="G875" s="71" t="str">
        <f>IFERROR(VLOOKUP(C875,MATERIAUX!$C$3:$G$1002,5,FALSE),"")</f>
        <v/>
      </c>
      <c r="H875" s="71" t="str">
        <f t="shared" si="362"/>
        <v/>
      </c>
      <c r="I875" s="394"/>
      <c r="J875" s="72"/>
      <c r="K875" s="72"/>
      <c r="L875" s="72" t="str">
        <f>IFERROR(VLOOKUP(J875,'MAIN D OEUVRE'!$A$4:$B$99,2,FALSE)*$N$2,"")</f>
        <v/>
      </c>
      <c r="M875" s="73" t="str">
        <f t="shared" si="363"/>
        <v/>
      </c>
      <c r="N875" s="397"/>
      <c r="O875">
        <f t="shared" ref="O875:O882" si="364">O874</f>
        <v>0</v>
      </c>
      <c r="P875">
        <f t="shared" si="344"/>
        <v>0</v>
      </c>
      <c r="Q875">
        <f t="shared" si="345"/>
        <v>0</v>
      </c>
    </row>
    <row r="876" spans="1:17">
      <c r="A876" s="388"/>
      <c r="B876" s="391"/>
      <c r="C876" s="69"/>
      <c r="D876" s="70"/>
      <c r="E876" s="146"/>
      <c r="F876" s="70" t="str">
        <f>IFERROR(VLOOKUP(C876,MATERIAUX!$C$3:$G$1002,3,FALSE),"")</f>
        <v/>
      </c>
      <c r="G876" s="71" t="str">
        <f>IFERROR(VLOOKUP(C876,MATERIAUX!$C$3:$G$1002,5,FALSE),"")</f>
        <v/>
      </c>
      <c r="H876" s="71" t="str">
        <f t="shared" si="362"/>
        <v/>
      </c>
      <c r="I876" s="394"/>
      <c r="J876" s="72"/>
      <c r="K876" s="72"/>
      <c r="L876" s="72" t="str">
        <f>IFERROR(VLOOKUP(J876,'MAIN D OEUVRE'!$A$4:$B$99,2,FALSE)*$N$2,"")</f>
        <v/>
      </c>
      <c r="M876" s="73" t="str">
        <f t="shared" si="363"/>
        <v/>
      </c>
      <c r="N876" s="397"/>
      <c r="O876">
        <f t="shared" si="364"/>
        <v>0</v>
      </c>
      <c r="P876">
        <f t="shared" si="344"/>
        <v>0</v>
      </c>
      <c r="Q876">
        <f t="shared" si="345"/>
        <v>0</v>
      </c>
    </row>
    <row r="877" spans="1:17">
      <c r="A877" s="388"/>
      <c r="B877" s="391"/>
      <c r="C877" s="69"/>
      <c r="D877" s="70"/>
      <c r="E877" s="146"/>
      <c r="F877" s="70" t="str">
        <f>IFERROR(VLOOKUP(C877,MATERIAUX!$C$3:$G$1002,3,FALSE),"")</f>
        <v/>
      </c>
      <c r="G877" s="71" t="str">
        <f>IFERROR(VLOOKUP(C877,MATERIAUX!$C$3:$G$1002,5,FALSE),"")</f>
        <v/>
      </c>
      <c r="H877" s="71" t="str">
        <f t="shared" si="362"/>
        <v/>
      </c>
      <c r="I877" s="394"/>
      <c r="J877" s="72"/>
      <c r="K877" s="72"/>
      <c r="L877" s="72" t="str">
        <f>IFERROR(VLOOKUP(J877,'MAIN D OEUVRE'!$A$4:$B$99,2,FALSE)*$N$2,"")</f>
        <v/>
      </c>
      <c r="M877" s="73" t="str">
        <f t="shared" si="363"/>
        <v/>
      </c>
      <c r="N877" s="397"/>
      <c r="O877">
        <f t="shared" si="364"/>
        <v>0</v>
      </c>
      <c r="P877">
        <f t="shared" si="344"/>
        <v>0</v>
      </c>
      <c r="Q877">
        <f t="shared" si="345"/>
        <v>0</v>
      </c>
    </row>
    <row r="878" spans="1:17">
      <c r="A878" s="388"/>
      <c r="B878" s="391"/>
      <c r="C878" s="69"/>
      <c r="D878" s="70"/>
      <c r="E878" s="146"/>
      <c r="F878" s="70" t="str">
        <f>IFERROR(VLOOKUP(C878,MATERIAUX!$C$3:$G$1002,3,FALSE),"")</f>
        <v/>
      </c>
      <c r="G878" s="71" t="str">
        <f>IFERROR(VLOOKUP(C878,MATERIAUX!$C$3:$G$1002,5,FALSE),"")</f>
        <v/>
      </c>
      <c r="H878" s="71" t="str">
        <f t="shared" si="362"/>
        <v/>
      </c>
      <c r="I878" s="394"/>
      <c r="J878" s="72"/>
      <c r="K878" s="72"/>
      <c r="L878" s="72" t="str">
        <f>IFERROR(VLOOKUP(J878,'MAIN D OEUVRE'!$A$4:$B$99,2,FALSE)*$N$2,"")</f>
        <v/>
      </c>
      <c r="M878" s="73" t="str">
        <f t="shared" si="363"/>
        <v/>
      </c>
      <c r="N878" s="397"/>
      <c r="O878">
        <f t="shared" si="364"/>
        <v>0</v>
      </c>
      <c r="P878">
        <f t="shared" si="344"/>
        <v>0</v>
      </c>
      <c r="Q878">
        <f t="shared" si="345"/>
        <v>0</v>
      </c>
    </row>
    <row r="879" spans="1:17">
      <c r="A879" s="388"/>
      <c r="B879" s="391"/>
      <c r="C879" s="69"/>
      <c r="D879" s="70"/>
      <c r="E879" s="146"/>
      <c r="F879" s="70" t="str">
        <f>IFERROR(VLOOKUP(C879,MATERIAUX!$C$3:$G$1002,3,FALSE),"")</f>
        <v/>
      </c>
      <c r="G879" s="71" t="str">
        <f>IFERROR(VLOOKUP(C879,MATERIAUX!$C$3:$G$1002,5,FALSE),"")</f>
        <v/>
      </c>
      <c r="H879" s="71" t="str">
        <f t="shared" si="362"/>
        <v/>
      </c>
      <c r="I879" s="394"/>
      <c r="J879" s="72"/>
      <c r="K879" s="72"/>
      <c r="L879" s="72" t="str">
        <f>IFERROR(VLOOKUP(J879,'MAIN D OEUVRE'!$A$4:$B$99,2,FALSE)*$N$2,"")</f>
        <v/>
      </c>
      <c r="M879" s="73" t="str">
        <f t="shared" si="363"/>
        <v/>
      </c>
      <c r="N879" s="397"/>
      <c r="O879">
        <f t="shared" si="364"/>
        <v>0</v>
      </c>
      <c r="P879">
        <f t="shared" si="344"/>
        <v>0</v>
      </c>
      <c r="Q879">
        <f t="shared" si="345"/>
        <v>0</v>
      </c>
    </row>
    <row r="880" spans="1:17">
      <c r="A880" s="388"/>
      <c r="B880" s="391"/>
      <c r="C880" s="69"/>
      <c r="D880" s="70"/>
      <c r="E880" s="146"/>
      <c r="F880" s="70" t="str">
        <f>IFERROR(VLOOKUP(C880,MATERIAUX!$C$3:$G$1002,3,FALSE),"")</f>
        <v/>
      </c>
      <c r="G880" s="71" t="str">
        <f>IFERROR(VLOOKUP(C880,MATERIAUX!$C$3:$G$1002,5,FALSE),"")</f>
        <v/>
      </c>
      <c r="H880" s="71" t="str">
        <f t="shared" si="362"/>
        <v/>
      </c>
      <c r="I880" s="394"/>
      <c r="J880" s="72"/>
      <c r="K880" s="72"/>
      <c r="L880" s="72" t="str">
        <f>IFERROR(VLOOKUP(J880,'MAIN D OEUVRE'!$A$4:$B$99,2,FALSE)*$N$2,"")</f>
        <v/>
      </c>
      <c r="M880" s="73" t="str">
        <f t="shared" si="363"/>
        <v/>
      </c>
      <c r="N880" s="397"/>
      <c r="O880">
        <f t="shared" si="364"/>
        <v>0</v>
      </c>
      <c r="P880">
        <f t="shared" si="344"/>
        <v>0</v>
      </c>
      <c r="Q880">
        <f t="shared" si="345"/>
        <v>0</v>
      </c>
    </row>
    <row r="881" spans="1:17">
      <c r="A881" s="388"/>
      <c r="B881" s="391"/>
      <c r="C881" s="69"/>
      <c r="D881" s="70"/>
      <c r="E881" s="146"/>
      <c r="F881" s="70" t="str">
        <f>IFERROR(VLOOKUP(C881,MATERIAUX!$C$3:$G$1002,3,FALSE),"")</f>
        <v/>
      </c>
      <c r="G881" s="71" t="str">
        <f>IFERROR(VLOOKUP(C881,MATERIAUX!$C$3:$G$1002,5,FALSE),"")</f>
        <v/>
      </c>
      <c r="H881" s="71" t="str">
        <f t="shared" si="362"/>
        <v/>
      </c>
      <c r="I881" s="394"/>
      <c r="J881" s="72"/>
      <c r="K881" s="72"/>
      <c r="L881" s="72"/>
      <c r="M881" s="73"/>
      <c r="N881" s="397"/>
      <c r="O881">
        <f t="shared" si="364"/>
        <v>0</v>
      </c>
      <c r="P881">
        <f t="shared" si="344"/>
        <v>0</v>
      </c>
      <c r="Q881">
        <f t="shared" si="345"/>
        <v>0</v>
      </c>
    </row>
    <row r="882" spans="1:17" ht="15" thickBot="1">
      <c r="A882" s="389"/>
      <c r="B882" s="392"/>
      <c r="C882" s="74"/>
      <c r="D882" s="75"/>
      <c r="E882" s="147"/>
      <c r="F882" s="70" t="str">
        <f>IFERROR(VLOOKUP(C882,MATERIAUX!$C$3:$G$1002,3,FALSE),"")</f>
        <v/>
      </c>
      <c r="G882" s="71" t="str">
        <f>IFERROR(VLOOKUP(C882,MATERIAUX!$C$3:$G$1002,5,FALSE),"")</f>
        <v/>
      </c>
      <c r="H882" s="71" t="str">
        <f t="shared" si="362"/>
        <v/>
      </c>
      <c r="I882" s="395"/>
      <c r="J882" s="77"/>
      <c r="K882" s="77"/>
      <c r="L882" s="77"/>
      <c r="M882" s="78"/>
      <c r="N882" s="398"/>
      <c r="O882">
        <f t="shared" si="364"/>
        <v>0</v>
      </c>
      <c r="P882">
        <f t="shared" si="344"/>
        <v>0</v>
      </c>
      <c r="Q882">
        <f t="shared" si="345"/>
        <v>0</v>
      </c>
    </row>
    <row r="883" spans="1:17">
      <c r="A883" s="402" t="s">
        <v>553</v>
      </c>
      <c r="B883" s="390" t="s">
        <v>23</v>
      </c>
      <c r="C883" s="64" t="s">
        <v>93</v>
      </c>
      <c r="D883" s="65">
        <f>0.15*0.045</f>
        <v>6.7499999999999999E-3</v>
      </c>
      <c r="E883" s="145">
        <v>0.1</v>
      </c>
      <c r="F883" s="65" t="str">
        <f>IFERROR(VLOOKUP(C883,MATERIAUX!$C$3:$G$1002,3,FALSE),"")</f>
        <v>m3</v>
      </c>
      <c r="G883" s="66">
        <f>IFERROR(VLOOKUP(C883,MATERIAUX!$C$3:$G$1002,5,FALSE),"")</f>
        <v>575.25773195876297</v>
      </c>
      <c r="H883" s="66">
        <f t="shared" si="362"/>
        <v>4.2699999999999996</v>
      </c>
      <c r="I883" s="393">
        <f t="shared" ref="I883" si="365">SUM(H883:H892)</f>
        <v>4.3233924999999997</v>
      </c>
      <c r="J883" s="72" t="s">
        <v>438</v>
      </c>
      <c r="K883" s="72">
        <f>D883*2</f>
        <v>1.35E-2</v>
      </c>
      <c r="L883" s="72">
        <f>IFERROR(VLOOKUP(J883,'MAIN D OEUVRE'!$A$4:$B$99,2,FALSE)*$N$2,"")</f>
        <v>19.25</v>
      </c>
      <c r="M883" s="73">
        <f t="shared" ref="M883" si="366">IFERROR(ROUND(L883*K883,2),"")</f>
        <v>0.26</v>
      </c>
      <c r="N883" s="396">
        <f t="shared" ref="N883" si="367">SUM(M883:M892)</f>
        <v>1.47</v>
      </c>
      <c r="O883" s="350">
        <v>183</v>
      </c>
      <c r="P883">
        <f t="shared" si="344"/>
        <v>1.3587750000000001</v>
      </c>
      <c r="Q883">
        <f t="shared" si="345"/>
        <v>781.64582474226825</v>
      </c>
    </row>
    <row r="884" spans="1:17">
      <c r="A884" s="403"/>
      <c r="B884" s="391"/>
      <c r="C884" s="287" t="s">
        <v>263</v>
      </c>
      <c r="D884" s="288">
        <v>1.06</v>
      </c>
      <c r="E884" s="146">
        <v>0.02</v>
      </c>
      <c r="F884" s="70" t="str">
        <f>IFERROR(VLOOKUP(C884,MATERIAUX!$C$3:$G$1002,3,FALSE),"")</f>
        <v>m2</v>
      </c>
      <c r="G884" s="71">
        <f>IFERROR(VLOOKUP(C884,MATERIAUX!$C$3:$G$1002,5,FALSE),"")</f>
        <v>7.315463917525773</v>
      </c>
      <c r="H884" s="71">
        <f>IFERROR(ROUND(G884*(1+E884)*D884,2)*D883,"")</f>
        <v>5.3392500000000002E-2</v>
      </c>
      <c r="I884" s="394"/>
      <c r="J884" s="72" t="s">
        <v>122</v>
      </c>
      <c r="K884" s="72">
        <v>0.01</v>
      </c>
      <c r="L884" s="72">
        <f>IFERROR(VLOOKUP(J884,'MAIN D OEUVRE'!$A$4:$B$99,2,FALSE)*$N$2,"")</f>
        <v>121.00000000000001</v>
      </c>
      <c r="M884" s="73">
        <f>IFERROR(ROUND(L884*K884,2),"")</f>
        <v>1.21</v>
      </c>
      <c r="N884" s="397"/>
      <c r="O884" s="351">
        <f t="shared" ref="O884" si="368">O883</f>
        <v>183</v>
      </c>
      <c r="P884" s="351">
        <f>O884*D884*D883*1.02</f>
        <v>1.3355523000000002</v>
      </c>
      <c r="Q884" s="351">
        <f t="shared" si="345"/>
        <v>9.7701846606185576</v>
      </c>
    </row>
    <row r="885" spans="1:17">
      <c r="A885" s="403"/>
      <c r="B885" s="391"/>
      <c r="C885" s="287"/>
      <c r="D885" s="288"/>
      <c r="E885" s="146"/>
      <c r="F885" s="70" t="str">
        <f>IFERROR(VLOOKUP(C885,MATERIAUX!$C$3:$G$1002,3,FALSE),"")</f>
        <v/>
      </c>
      <c r="G885" s="71" t="str">
        <f>IFERROR(VLOOKUP(C885,MATERIAUX!$C$3:$G$1002,5,FALSE),"")</f>
        <v/>
      </c>
      <c r="H885" s="71" t="str">
        <f>IFERROR(ROUND(G885*(1+E885)*D885,2)*D883,"")</f>
        <v/>
      </c>
      <c r="I885" s="394"/>
      <c r="J885" s="72"/>
      <c r="K885" s="72"/>
      <c r="L885" s="72" t="str">
        <f>IFERROR(VLOOKUP(J885,'MAIN D OEUVRE'!$A$4:$B$99,2,FALSE)*$N$2,"")</f>
        <v/>
      </c>
      <c r="M885" s="73" t="str">
        <f>IFERROR(ROUND(L885*K885,2),"")</f>
        <v/>
      </c>
      <c r="N885" s="397"/>
      <c r="O885">
        <f t="shared" ref="O885:O892" si="369">O884</f>
        <v>183</v>
      </c>
      <c r="P885">
        <f t="shared" si="344"/>
        <v>0</v>
      </c>
      <c r="Q885">
        <f t="shared" si="345"/>
        <v>0</v>
      </c>
    </row>
    <row r="886" spans="1:17">
      <c r="A886" s="403"/>
      <c r="B886" s="391"/>
      <c r="C886" s="69"/>
      <c r="D886" s="70"/>
      <c r="E886" s="146"/>
      <c r="F886" s="70" t="str">
        <f>IFERROR(VLOOKUP(C886,MATERIAUX!$C$3:$G$1002,3,FALSE),"")</f>
        <v/>
      </c>
      <c r="G886" s="71" t="str">
        <f>IFERROR(VLOOKUP(C886,MATERIAUX!$C$3:$G$1002,5,FALSE),"")</f>
        <v/>
      </c>
      <c r="H886" s="71" t="str">
        <f t="shared" ref="H886:H892" si="370">IFERROR(ROUND(G886*(1+E886)*D886,2),"")</f>
        <v/>
      </c>
      <c r="I886" s="394"/>
      <c r="J886" s="72"/>
      <c r="K886" s="72"/>
      <c r="L886" s="72" t="str">
        <f>IFERROR(VLOOKUP(J886,'MAIN D OEUVRE'!$A$4:$B$99,2,FALSE)*$N$2,"")</f>
        <v/>
      </c>
      <c r="M886" s="73" t="str">
        <f t="shared" ref="M886:M890" si="371">IFERROR(ROUND(L886*K886,2),"")</f>
        <v/>
      </c>
      <c r="N886" s="397"/>
      <c r="O886">
        <f t="shared" si="369"/>
        <v>183</v>
      </c>
      <c r="P886">
        <f t="shared" si="344"/>
        <v>0</v>
      </c>
      <c r="Q886">
        <f t="shared" si="345"/>
        <v>0</v>
      </c>
    </row>
    <row r="887" spans="1:17">
      <c r="A887" s="403"/>
      <c r="B887" s="391"/>
      <c r="C887" s="69"/>
      <c r="D887" s="70"/>
      <c r="E887" s="146"/>
      <c r="F887" s="70" t="str">
        <f>IFERROR(VLOOKUP(C887,MATERIAUX!$C$3:$G$1002,3,FALSE),"")</f>
        <v/>
      </c>
      <c r="G887" s="71" t="str">
        <f>IFERROR(VLOOKUP(C887,MATERIAUX!$C$3:$G$1002,5,FALSE),"")</f>
        <v/>
      </c>
      <c r="H887" s="71" t="str">
        <f t="shared" si="370"/>
        <v/>
      </c>
      <c r="I887" s="394"/>
      <c r="J887" s="72"/>
      <c r="K887" s="72"/>
      <c r="L887" s="72" t="str">
        <f>IFERROR(VLOOKUP(J887,'MAIN D OEUVRE'!$A$4:$B$99,2,FALSE)*$N$2,"")</f>
        <v/>
      </c>
      <c r="M887" s="73" t="str">
        <f t="shared" si="371"/>
        <v/>
      </c>
      <c r="N887" s="397"/>
      <c r="O887">
        <f t="shared" si="369"/>
        <v>183</v>
      </c>
      <c r="P887">
        <f t="shared" si="344"/>
        <v>0</v>
      </c>
      <c r="Q887">
        <f t="shared" si="345"/>
        <v>0</v>
      </c>
    </row>
    <row r="888" spans="1:17">
      <c r="A888" s="403"/>
      <c r="B888" s="391"/>
      <c r="C888" s="69"/>
      <c r="D888" s="70"/>
      <c r="E888" s="146"/>
      <c r="F888" s="70" t="str">
        <f>IFERROR(VLOOKUP(C888,MATERIAUX!$C$3:$G$1002,3,FALSE),"")</f>
        <v/>
      </c>
      <c r="G888" s="71" t="str">
        <f>IFERROR(VLOOKUP(C888,MATERIAUX!$C$3:$G$1002,5,FALSE),"")</f>
        <v/>
      </c>
      <c r="H888" s="71" t="str">
        <f t="shared" si="370"/>
        <v/>
      </c>
      <c r="I888" s="394"/>
      <c r="J888" s="72"/>
      <c r="K888" s="72"/>
      <c r="L888" s="72" t="str">
        <f>IFERROR(VLOOKUP(J888,'MAIN D OEUVRE'!$A$4:$B$99,2,FALSE)*$N$2,"")</f>
        <v/>
      </c>
      <c r="M888" s="73" t="str">
        <f t="shared" si="371"/>
        <v/>
      </c>
      <c r="N888" s="397"/>
      <c r="O888">
        <f t="shared" si="369"/>
        <v>183</v>
      </c>
      <c r="P888">
        <f t="shared" si="344"/>
        <v>0</v>
      </c>
      <c r="Q888">
        <f t="shared" si="345"/>
        <v>0</v>
      </c>
    </row>
    <row r="889" spans="1:17">
      <c r="A889" s="403"/>
      <c r="B889" s="391"/>
      <c r="C889" s="69"/>
      <c r="D889" s="70"/>
      <c r="E889" s="146"/>
      <c r="F889" s="70" t="str">
        <f>IFERROR(VLOOKUP(C889,MATERIAUX!$C$3:$G$1002,3,FALSE),"")</f>
        <v/>
      </c>
      <c r="G889" s="71" t="str">
        <f>IFERROR(VLOOKUP(C889,MATERIAUX!$C$3:$G$1002,5,FALSE),"")</f>
        <v/>
      </c>
      <c r="H889" s="71" t="str">
        <f t="shared" si="370"/>
        <v/>
      </c>
      <c r="I889" s="394"/>
      <c r="J889" s="72"/>
      <c r="K889" s="72"/>
      <c r="L889" s="72" t="str">
        <f>IFERROR(VLOOKUP(J889,'MAIN D OEUVRE'!$A$4:$B$99,2,FALSE)*$N$2,"")</f>
        <v/>
      </c>
      <c r="M889" s="73" t="str">
        <f t="shared" si="371"/>
        <v/>
      </c>
      <c r="N889" s="397"/>
      <c r="O889">
        <f t="shared" si="369"/>
        <v>183</v>
      </c>
      <c r="P889">
        <f t="shared" ref="P889:P952" si="372">(D889+D889*E889)*O889</f>
        <v>0</v>
      </c>
      <c r="Q889">
        <f t="shared" ref="Q889:Q952" si="373">IF(P889=0,0,P889*G889)</f>
        <v>0</v>
      </c>
    </row>
    <row r="890" spans="1:17">
      <c r="A890" s="403"/>
      <c r="B890" s="391"/>
      <c r="C890" s="69"/>
      <c r="D890" s="70"/>
      <c r="E890" s="146"/>
      <c r="F890" s="70" t="str">
        <f>IFERROR(VLOOKUP(C890,MATERIAUX!$C$3:$G$1002,3,FALSE),"")</f>
        <v/>
      </c>
      <c r="G890" s="71" t="str">
        <f>IFERROR(VLOOKUP(C890,MATERIAUX!$C$3:$G$1002,5,FALSE),"")</f>
        <v/>
      </c>
      <c r="H890" s="71" t="str">
        <f t="shared" si="370"/>
        <v/>
      </c>
      <c r="I890" s="394"/>
      <c r="J890" s="72"/>
      <c r="K890" s="72"/>
      <c r="L890" s="72" t="str">
        <f>IFERROR(VLOOKUP(J890,'MAIN D OEUVRE'!$A$4:$B$99,2,FALSE)*$N$2,"")</f>
        <v/>
      </c>
      <c r="M890" s="73" t="str">
        <f t="shared" si="371"/>
        <v/>
      </c>
      <c r="N890" s="397"/>
      <c r="O890">
        <f t="shared" si="369"/>
        <v>183</v>
      </c>
      <c r="P890">
        <f t="shared" si="372"/>
        <v>0</v>
      </c>
      <c r="Q890">
        <f t="shared" si="373"/>
        <v>0</v>
      </c>
    </row>
    <row r="891" spans="1:17">
      <c r="A891" s="403"/>
      <c r="B891" s="391"/>
      <c r="C891" s="69"/>
      <c r="D891" s="70"/>
      <c r="E891" s="146"/>
      <c r="F891" s="70" t="str">
        <f>IFERROR(VLOOKUP(C891,MATERIAUX!$C$3:$G$1002,3,FALSE),"")</f>
        <v/>
      </c>
      <c r="G891" s="71" t="str">
        <f>IFERROR(VLOOKUP(C891,MATERIAUX!$C$3:$G$1002,5,FALSE),"")</f>
        <v/>
      </c>
      <c r="H891" s="71" t="str">
        <f t="shared" si="370"/>
        <v/>
      </c>
      <c r="I891" s="394"/>
      <c r="J891" s="72"/>
      <c r="K891" s="72"/>
      <c r="L891" s="72"/>
      <c r="M891" s="73"/>
      <c r="N891" s="397"/>
      <c r="O891">
        <f t="shared" si="369"/>
        <v>183</v>
      </c>
      <c r="P891">
        <f t="shared" si="372"/>
        <v>0</v>
      </c>
      <c r="Q891">
        <f t="shared" si="373"/>
        <v>0</v>
      </c>
    </row>
    <row r="892" spans="1:17" ht="15" thickBot="1">
      <c r="A892" s="404"/>
      <c r="B892" s="392"/>
      <c r="C892" s="74"/>
      <c r="D892" s="75"/>
      <c r="E892" s="147"/>
      <c r="F892" s="70" t="str">
        <f>IFERROR(VLOOKUP(C892,MATERIAUX!$C$3:$G$1002,3,FALSE),"")</f>
        <v/>
      </c>
      <c r="G892" s="71" t="str">
        <f>IFERROR(VLOOKUP(C892,MATERIAUX!$C$3:$G$1002,5,FALSE),"")</f>
        <v/>
      </c>
      <c r="H892" s="71" t="str">
        <f t="shared" si="370"/>
        <v/>
      </c>
      <c r="I892" s="395"/>
      <c r="J892" s="77"/>
      <c r="K892" s="77"/>
      <c r="L892" s="77"/>
      <c r="M892" s="78"/>
      <c r="N892" s="398"/>
      <c r="O892">
        <f t="shared" si="369"/>
        <v>183</v>
      </c>
      <c r="P892">
        <f t="shared" si="372"/>
        <v>0</v>
      </c>
      <c r="Q892">
        <f t="shared" si="373"/>
        <v>0</v>
      </c>
    </row>
    <row r="893" spans="1:17">
      <c r="A893" s="402" t="s">
        <v>542</v>
      </c>
      <c r="B893" s="390" t="s">
        <v>23</v>
      </c>
      <c r="C893" s="64" t="s">
        <v>94</v>
      </c>
      <c r="D893" s="65">
        <f>0.15*0.045</f>
        <v>6.7499999999999999E-3</v>
      </c>
      <c r="E893" s="145">
        <v>0.1</v>
      </c>
      <c r="F893" s="65" t="str">
        <f>IFERROR(VLOOKUP(C893,MATERIAUX!$C$3:$G$1002,3,FALSE),"")</f>
        <v>m3</v>
      </c>
      <c r="G893" s="66">
        <f>IFERROR(VLOOKUP(C893,MATERIAUX!$C$3:$G$1002,5,FALSE),"")</f>
        <v>575.25773195876297</v>
      </c>
      <c r="H893" s="66">
        <f t="shared" ref="H893:H902" si="374">IFERROR(ROUND(G893*(1+E893)*D893,2),"")</f>
        <v>4.2699999999999996</v>
      </c>
      <c r="I893" s="393">
        <f t="shared" ref="I893" si="375">SUM(H893:H902)</f>
        <v>4.2699999999999996</v>
      </c>
      <c r="J893" s="72" t="s">
        <v>438</v>
      </c>
      <c r="K893" s="72">
        <f>D893*2</f>
        <v>1.35E-2</v>
      </c>
      <c r="L893" s="72">
        <f>IFERROR(VLOOKUP(J893,'MAIN D OEUVRE'!$A$4:$B$99,2,FALSE)*$N$2,"")</f>
        <v>19.25</v>
      </c>
      <c r="M893" s="73">
        <f t="shared" ref="M893" si="376">IFERROR(ROUND(L893*K893,2),"")</f>
        <v>0.26</v>
      </c>
      <c r="N893" s="396">
        <f t="shared" ref="N893" si="377">SUM(M893:M902)</f>
        <v>1.47</v>
      </c>
      <c r="O893" s="350">
        <v>307</v>
      </c>
      <c r="P893">
        <f t="shared" si="372"/>
        <v>2.2794750000000001</v>
      </c>
      <c r="Q893">
        <f t="shared" si="373"/>
        <v>1311.2856185567014</v>
      </c>
    </row>
    <row r="894" spans="1:17">
      <c r="A894" s="403"/>
      <c r="B894" s="391"/>
      <c r="C894" s="287"/>
      <c r="D894" s="288"/>
      <c r="E894" s="146"/>
      <c r="F894" s="70" t="str">
        <f>IFERROR(VLOOKUP(C894,MATERIAUX!$C$3:$G$1002,3,FALSE),"")</f>
        <v/>
      </c>
      <c r="G894" s="71" t="str">
        <f>IFERROR(VLOOKUP(C894,MATERIAUX!$C$3:$G$1002,5,FALSE),"")</f>
        <v/>
      </c>
      <c r="H894" s="71" t="str">
        <f>IFERROR(ROUND(G894*(1+E894)*D894,2)*D893,"")</f>
        <v/>
      </c>
      <c r="I894" s="394"/>
      <c r="J894" s="72" t="s">
        <v>122</v>
      </c>
      <c r="K894" s="72">
        <v>0.01</v>
      </c>
      <c r="L894" s="72">
        <f>IFERROR(VLOOKUP(J894,'MAIN D OEUVRE'!$A$4:$B$99,2,FALSE)*$N$2,"")</f>
        <v>121.00000000000001</v>
      </c>
      <c r="M894" s="73">
        <f>IFERROR(ROUND(L894*K894,2),"")</f>
        <v>1.21</v>
      </c>
      <c r="N894" s="397"/>
      <c r="O894">
        <f>O893</f>
        <v>307</v>
      </c>
      <c r="P894">
        <f t="shared" si="372"/>
        <v>0</v>
      </c>
      <c r="Q894">
        <f t="shared" si="373"/>
        <v>0</v>
      </c>
    </row>
    <row r="895" spans="1:17">
      <c r="A895" s="403"/>
      <c r="B895" s="391"/>
      <c r="C895" s="69"/>
      <c r="D895" s="70"/>
      <c r="E895" s="146"/>
      <c r="F895" s="70" t="str">
        <f>IFERROR(VLOOKUP(C895,MATERIAUX!$C$3:$G$1002,3,FALSE),"")</f>
        <v/>
      </c>
      <c r="G895" s="71" t="str">
        <f>IFERROR(VLOOKUP(C895,MATERIAUX!$C$3:$G$1002,5,FALSE),"")</f>
        <v/>
      </c>
      <c r="H895" s="71" t="str">
        <f t="shared" si="374"/>
        <v/>
      </c>
      <c r="I895" s="394"/>
      <c r="J895" s="72"/>
      <c r="K895" s="72"/>
      <c r="L895" s="72" t="str">
        <f>IFERROR(VLOOKUP(J895,'MAIN D OEUVRE'!$A$4:$B$99,2,FALSE)*$N$2,"")</f>
        <v/>
      </c>
      <c r="M895" s="73" t="str">
        <f>IFERROR(ROUND(L895*K895,2),"")</f>
        <v/>
      </c>
      <c r="N895" s="397"/>
      <c r="O895">
        <f t="shared" ref="O895:O902" si="378">O894</f>
        <v>307</v>
      </c>
      <c r="P895">
        <f t="shared" si="372"/>
        <v>0</v>
      </c>
      <c r="Q895">
        <f t="shared" si="373"/>
        <v>0</v>
      </c>
    </row>
    <row r="896" spans="1:17">
      <c r="A896" s="403"/>
      <c r="B896" s="391"/>
      <c r="C896" s="69"/>
      <c r="D896" s="70"/>
      <c r="E896" s="146"/>
      <c r="F896" s="70" t="str">
        <f>IFERROR(VLOOKUP(C896,MATERIAUX!$C$3:$G$1002,3,FALSE),"")</f>
        <v/>
      </c>
      <c r="G896" s="71" t="str">
        <f>IFERROR(VLOOKUP(C896,MATERIAUX!$C$3:$G$1002,5,FALSE),"")</f>
        <v/>
      </c>
      <c r="H896" s="71" t="str">
        <f t="shared" si="374"/>
        <v/>
      </c>
      <c r="I896" s="394"/>
      <c r="J896" s="72"/>
      <c r="K896" s="72"/>
      <c r="L896" s="72" t="str">
        <f>IFERROR(VLOOKUP(J896,'MAIN D OEUVRE'!$A$4:$B$99,2,FALSE)*$N$2,"")</f>
        <v/>
      </c>
      <c r="M896" s="73" t="str">
        <f t="shared" ref="M896:M900" si="379">IFERROR(ROUND(L896*K896,2),"")</f>
        <v/>
      </c>
      <c r="N896" s="397"/>
      <c r="O896">
        <f t="shared" si="378"/>
        <v>307</v>
      </c>
      <c r="P896">
        <f t="shared" si="372"/>
        <v>0</v>
      </c>
      <c r="Q896">
        <f t="shared" si="373"/>
        <v>0</v>
      </c>
    </row>
    <row r="897" spans="1:17">
      <c r="A897" s="403"/>
      <c r="B897" s="391"/>
      <c r="C897" s="69"/>
      <c r="D897" s="70"/>
      <c r="E897" s="146"/>
      <c r="F897" s="70" t="str">
        <f>IFERROR(VLOOKUP(C897,MATERIAUX!$C$3:$G$1002,3,FALSE),"")</f>
        <v/>
      </c>
      <c r="G897" s="71" t="str">
        <f>IFERROR(VLOOKUP(C897,MATERIAUX!$C$3:$G$1002,5,FALSE),"")</f>
        <v/>
      </c>
      <c r="H897" s="71" t="str">
        <f t="shared" si="374"/>
        <v/>
      </c>
      <c r="I897" s="394"/>
      <c r="J897" s="72"/>
      <c r="K897" s="72"/>
      <c r="L897" s="72" t="str">
        <f>IFERROR(VLOOKUP(J897,'MAIN D OEUVRE'!$A$4:$B$99,2,FALSE)*$N$2,"")</f>
        <v/>
      </c>
      <c r="M897" s="73" t="str">
        <f t="shared" si="379"/>
        <v/>
      </c>
      <c r="N897" s="397"/>
      <c r="O897">
        <f t="shared" si="378"/>
        <v>307</v>
      </c>
      <c r="P897">
        <f t="shared" si="372"/>
        <v>0</v>
      </c>
      <c r="Q897">
        <f t="shared" si="373"/>
        <v>0</v>
      </c>
    </row>
    <row r="898" spans="1:17">
      <c r="A898" s="403"/>
      <c r="B898" s="391"/>
      <c r="C898" s="69"/>
      <c r="D898" s="70"/>
      <c r="E898" s="146"/>
      <c r="F898" s="70" t="str">
        <f>IFERROR(VLOOKUP(C898,MATERIAUX!$C$3:$G$1002,3,FALSE),"")</f>
        <v/>
      </c>
      <c r="G898" s="71" t="str">
        <f>IFERROR(VLOOKUP(C898,MATERIAUX!$C$3:$G$1002,5,FALSE),"")</f>
        <v/>
      </c>
      <c r="H898" s="71" t="str">
        <f t="shared" si="374"/>
        <v/>
      </c>
      <c r="I898" s="394"/>
      <c r="J898" s="72"/>
      <c r="K898" s="72"/>
      <c r="L898" s="72" t="str">
        <f>IFERROR(VLOOKUP(J898,'MAIN D OEUVRE'!$A$4:$B$99,2,FALSE)*$N$2,"")</f>
        <v/>
      </c>
      <c r="M898" s="73" t="str">
        <f t="shared" si="379"/>
        <v/>
      </c>
      <c r="N898" s="397"/>
      <c r="O898">
        <f t="shared" si="378"/>
        <v>307</v>
      </c>
      <c r="P898">
        <f t="shared" si="372"/>
        <v>0</v>
      </c>
      <c r="Q898">
        <f t="shared" si="373"/>
        <v>0</v>
      </c>
    </row>
    <row r="899" spans="1:17">
      <c r="A899" s="403"/>
      <c r="B899" s="391"/>
      <c r="C899" s="69"/>
      <c r="D899" s="70"/>
      <c r="E899" s="146"/>
      <c r="F899" s="70" t="str">
        <f>IFERROR(VLOOKUP(C899,MATERIAUX!$C$3:$G$1002,3,FALSE),"")</f>
        <v/>
      </c>
      <c r="G899" s="71" t="str">
        <f>IFERROR(VLOOKUP(C899,MATERIAUX!$C$3:$G$1002,5,FALSE),"")</f>
        <v/>
      </c>
      <c r="H899" s="71" t="str">
        <f t="shared" si="374"/>
        <v/>
      </c>
      <c r="I899" s="394"/>
      <c r="J899" s="72"/>
      <c r="K899" s="72"/>
      <c r="L899" s="72" t="str">
        <f>IFERROR(VLOOKUP(J899,'MAIN D OEUVRE'!$A$4:$B$99,2,FALSE)*$N$2,"")</f>
        <v/>
      </c>
      <c r="M899" s="73" t="str">
        <f t="shared" si="379"/>
        <v/>
      </c>
      <c r="N899" s="397"/>
      <c r="O899">
        <f t="shared" si="378"/>
        <v>307</v>
      </c>
      <c r="P899">
        <f t="shared" si="372"/>
        <v>0</v>
      </c>
      <c r="Q899">
        <f t="shared" si="373"/>
        <v>0</v>
      </c>
    </row>
    <row r="900" spans="1:17">
      <c r="A900" s="403"/>
      <c r="B900" s="391"/>
      <c r="C900" s="69"/>
      <c r="D900" s="70"/>
      <c r="E900" s="146"/>
      <c r="F900" s="70" t="str">
        <f>IFERROR(VLOOKUP(C900,MATERIAUX!$C$3:$G$1002,3,FALSE),"")</f>
        <v/>
      </c>
      <c r="G900" s="71" t="str">
        <f>IFERROR(VLOOKUP(C900,MATERIAUX!$C$3:$G$1002,5,FALSE),"")</f>
        <v/>
      </c>
      <c r="H900" s="71" t="str">
        <f t="shared" si="374"/>
        <v/>
      </c>
      <c r="I900" s="394"/>
      <c r="J900" s="72"/>
      <c r="K900" s="72"/>
      <c r="L900" s="72" t="str">
        <f>IFERROR(VLOOKUP(J900,'MAIN D OEUVRE'!$A$4:$B$99,2,FALSE)*$N$2,"")</f>
        <v/>
      </c>
      <c r="M900" s="73" t="str">
        <f t="shared" si="379"/>
        <v/>
      </c>
      <c r="N900" s="397"/>
      <c r="O900">
        <f t="shared" si="378"/>
        <v>307</v>
      </c>
      <c r="P900">
        <f t="shared" si="372"/>
        <v>0</v>
      </c>
      <c r="Q900">
        <f t="shared" si="373"/>
        <v>0</v>
      </c>
    </row>
    <row r="901" spans="1:17">
      <c r="A901" s="403"/>
      <c r="B901" s="391"/>
      <c r="C901" s="69"/>
      <c r="D901" s="70"/>
      <c r="E901" s="146"/>
      <c r="F901" s="70" t="str">
        <f>IFERROR(VLOOKUP(C901,MATERIAUX!$C$3:$G$1002,3,FALSE),"")</f>
        <v/>
      </c>
      <c r="G901" s="71" t="str">
        <f>IFERROR(VLOOKUP(C901,MATERIAUX!$C$3:$G$1002,5,FALSE),"")</f>
        <v/>
      </c>
      <c r="H901" s="71" t="str">
        <f t="shared" si="374"/>
        <v/>
      </c>
      <c r="I901" s="394"/>
      <c r="J901" s="72"/>
      <c r="K901" s="72"/>
      <c r="L901" s="72"/>
      <c r="M901" s="73"/>
      <c r="N901" s="397"/>
      <c r="O901">
        <f t="shared" si="378"/>
        <v>307</v>
      </c>
      <c r="P901">
        <f t="shared" si="372"/>
        <v>0</v>
      </c>
      <c r="Q901">
        <f t="shared" si="373"/>
        <v>0</v>
      </c>
    </row>
    <row r="902" spans="1:17" ht="15" thickBot="1">
      <c r="A902" s="404"/>
      <c r="B902" s="392"/>
      <c r="C902" s="74"/>
      <c r="D902" s="75"/>
      <c r="E902" s="147"/>
      <c r="F902" s="70" t="str">
        <f>IFERROR(VLOOKUP(C902,MATERIAUX!$C$3:$G$1002,3,FALSE),"")</f>
        <v/>
      </c>
      <c r="G902" s="71" t="str">
        <f>IFERROR(VLOOKUP(C902,MATERIAUX!$C$3:$G$1002,5,FALSE),"")</f>
        <v/>
      </c>
      <c r="H902" s="71" t="str">
        <f t="shared" si="374"/>
        <v/>
      </c>
      <c r="I902" s="395"/>
      <c r="J902" s="77"/>
      <c r="K902" s="77"/>
      <c r="L902" s="77"/>
      <c r="M902" s="78"/>
      <c r="N902" s="398"/>
      <c r="O902">
        <f t="shared" si="378"/>
        <v>307</v>
      </c>
      <c r="P902">
        <f t="shared" si="372"/>
        <v>0</v>
      </c>
      <c r="Q902">
        <f t="shared" si="373"/>
        <v>0</v>
      </c>
    </row>
    <row r="903" spans="1:17">
      <c r="A903" s="387" t="s">
        <v>465</v>
      </c>
      <c r="B903" s="390" t="s">
        <v>23</v>
      </c>
      <c r="C903" s="64" t="s">
        <v>94</v>
      </c>
      <c r="D903" s="65">
        <f>0.15*0.045</f>
        <v>6.7499999999999999E-3</v>
      </c>
      <c r="E903" s="145">
        <v>0.1</v>
      </c>
      <c r="F903" s="65" t="str">
        <f>IFERROR(VLOOKUP(C903,MATERIAUX!$C$3:$G$1002,3,FALSE),"")</f>
        <v>m3</v>
      </c>
      <c r="G903" s="66">
        <f>IFERROR(VLOOKUP(C903,MATERIAUX!$C$3:$G$1002,5,FALSE),"")</f>
        <v>575.25773195876297</v>
      </c>
      <c r="H903" s="66">
        <f t="shared" si="362"/>
        <v>4.2699999999999996</v>
      </c>
      <c r="I903" s="393">
        <f t="shared" ref="I903" si="380">SUM(H903:H912)</f>
        <v>10.35</v>
      </c>
      <c r="J903" s="72" t="s">
        <v>438</v>
      </c>
      <c r="K903" s="72">
        <f>D903*2</f>
        <v>1.35E-2</v>
      </c>
      <c r="L903" s="67">
        <f>IFERROR(VLOOKUP(J903,'MAIN D OEUVRE'!$A$4:$B$99,2,FALSE)*$N$2,"")</f>
        <v>19.25</v>
      </c>
      <c r="M903" s="68">
        <f t="shared" ref="M903:M910" si="381">IFERROR(ROUND(L903*K903,2),"")</f>
        <v>0.26</v>
      </c>
      <c r="N903" s="396">
        <f t="shared" ref="N903" si="382">SUM(M903:M912)</f>
        <v>1.47</v>
      </c>
      <c r="O903" s="350">
        <v>0</v>
      </c>
      <c r="P903">
        <f t="shared" si="372"/>
        <v>0</v>
      </c>
      <c r="Q903">
        <f t="shared" si="373"/>
        <v>0</v>
      </c>
    </row>
    <row r="904" spans="1:17">
      <c r="A904" s="388"/>
      <c r="B904" s="391"/>
      <c r="C904" s="69" t="s">
        <v>456</v>
      </c>
      <c r="D904" s="70">
        <v>1</v>
      </c>
      <c r="E904" s="146">
        <v>0</v>
      </c>
      <c r="F904" s="70" t="str">
        <f>IFERROR(VLOOKUP(C904,MATERIAUX!$C$3:$G$1002,3,FALSE),"")</f>
        <v>ml</v>
      </c>
      <c r="G904" s="71">
        <f>IFERROR(VLOOKUP(C904,MATERIAUX!$C$3:$G$1002,5,FALSE),"")</f>
        <v>3.195876288659794</v>
      </c>
      <c r="H904" s="71">
        <f t="shared" si="362"/>
        <v>3.2</v>
      </c>
      <c r="I904" s="394"/>
      <c r="J904" s="72" t="s">
        <v>122</v>
      </c>
      <c r="K904" s="72">
        <v>0.01</v>
      </c>
      <c r="L904" s="72">
        <f>IFERROR(VLOOKUP(J904,'MAIN D OEUVRE'!$A$4:$B$99,2,FALSE)*$N$2,"")</f>
        <v>121.00000000000001</v>
      </c>
      <c r="M904" s="73">
        <f t="shared" si="381"/>
        <v>1.21</v>
      </c>
      <c r="N904" s="397"/>
      <c r="O904">
        <f>O903</f>
        <v>0</v>
      </c>
      <c r="P904">
        <f t="shared" si="372"/>
        <v>0</v>
      </c>
      <c r="Q904">
        <f t="shared" si="373"/>
        <v>0</v>
      </c>
    </row>
    <row r="905" spans="1:17">
      <c r="A905" s="388"/>
      <c r="B905" s="391"/>
      <c r="C905" s="69" t="s">
        <v>455</v>
      </c>
      <c r="D905" s="70">
        <v>1</v>
      </c>
      <c r="E905" s="146">
        <v>0</v>
      </c>
      <c r="F905" s="70" t="str">
        <f>IFERROR(VLOOKUP(C905,MATERIAUX!$C$3:$G$1002,3,FALSE),"")</f>
        <v>u</v>
      </c>
      <c r="G905" s="71">
        <f>IFERROR(VLOOKUP(C905,MATERIAUX!$C$3:$G$1002,5,FALSE),"")</f>
        <v>0.32989690721649489</v>
      </c>
      <c r="H905" s="71">
        <f t="shared" si="362"/>
        <v>0.33</v>
      </c>
      <c r="I905" s="394"/>
      <c r="J905" s="72"/>
      <c r="K905" s="72"/>
      <c r="L905" s="72" t="str">
        <f>IFERROR(VLOOKUP(J905,'MAIN D OEUVRE'!$A$4:$B$99,2,FALSE)*$N$2,"")</f>
        <v/>
      </c>
      <c r="M905" s="73" t="str">
        <f t="shared" si="381"/>
        <v/>
      </c>
      <c r="N905" s="397"/>
      <c r="O905">
        <f t="shared" ref="O905:O912" si="383">O904</f>
        <v>0</v>
      </c>
      <c r="P905">
        <f t="shared" si="372"/>
        <v>0</v>
      </c>
      <c r="Q905">
        <f t="shared" si="373"/>
        <v>0</v>
      </c>
    </row>
    <row r="906" spans="1:17">
      <c r="A906" s="388"/>
      <c r="B906" s="391"/>
      <c r="C906" s="69" t="s">
        <v>457</v>
      </c>
      <c r="D906" s="70">
        <v>2</v>
      </c>
      <c r="E906" s="146">
        <v>0</v>
      </c>
      <c r="F906" s="70" t="str">
        <f>IFERROR(VLOOKUP(C906,MATERIAUX!$C$3:$G$1002,3,FALSE),"")</f>
        <v>u</v>
      </c>
      <c r="G906" s="71">
        <f>IFERROR(VLOOKUP(C906,MATERIAUX!$C$3:$G$1002,5,FALSE),"")</f>
        <v>1.2742268041237115</v>
      </c>
      <c r="H906" s="71">
        <f t="shared" si="362"/>
        <v>2.5499999999999998</v>
      </c>
      <c r="I906" s="394"/>
      <c r="J906" s="72"/>
      <c r="K906" s="72"/>
      <c r="L906" s="72" t="str">
        <f>IFERROR(VLOOKUP(J906,'MAIN D OEUVRE'!$A$4:$B$99,2,FALSE)*$N$2,"")</f>
        <v/>
      </c>
      <c r="M906" s="73" t="str">
        <f t="shared" si="381"/>
        <v/>
      </c>
      <c r="N906" s="397"/>
      <c r="O906">
        <f t="shared" si="383"/>
        <v>0</v>
      </c>
      <c r="P906">
        <f t="shared" si="372"/>
        <v>0</v>
      </c>
      <c r="Q906">
        <f t="shared" si="373"/>
        <v>0</v>
      </c>
    </row>
    <row r="907" spans="1:17">
      <c r="A907" s="388"/>
      <c r="B907" s="391"/>
      <c r="C907" s="69"/>
      <c r="D907" s="70"/>
      <c r="E907" s="146"/>
      <c r="F907" s="70" t="str">
        <f>IFERROR(VLOOKUP(C907,MATERIAUX!$C$3:$G$1002,3,FALSE),"")</f>
        <v/>
      </c>
      <c r="G907" s="71" t="str">
        <f>IFERROR(VLOOKUP(C907,MATERIAUX!$C$3:$G$1002,5,FALSE),"")</f>
        <v/>
      </c>
      <c r="H907" s="71" t="str">
        <f t="shared" si="362"/>
        <v/>
      </c>
      <c r="I907" s="394"/>
      <c r="J907" s="72"/>
      <c r="K907" s="72"/>
      <c r="L907" s="72" t="str">
        <f>IFERROR(VLOOKUP(J907,'MAIN D OEUVRE'!$A$4:$B$99,2,FALSE)*$N$2,"")</f>
        <v/>
      </c>
      <c r="M907" s="73" t="str">
        <f t="shared" si="381"/>
        <v/>
      </c>
      <c r="N907" s="397"/>
      <c r="O907">
        <f t="shared" si="383"/>
        <v>0</v>
      </c>
      <c r="P907">
        <f t="shared" si="372"/>
        <v>0</v>
      </c>
      <c r="Q907">
        <f t="shared" si="373"/>
        <v>0</v>
      </c>
    </row>
    <row r="908" spans="1:17">
      <c r="A908" s="388"/>
      <c r="B908" s="391"/>
      <c r="C908" s="69"/>
      <c r="D908" s="70"/>
      <c r="E908" s="146"/>
      <c r="F908" s="70" t="str">
        <f>IFERROR(VLOOKUP(C908,MATERIAUX!$C$3:$G$1002,3,FALSE),"")</f>
        <v/>
      </c>
      <c r="G908" s="71" t="str">
        <f>IFERROR(VLOOKUP(C908,MATERIAUX!$C$3:$G$1002,5,FALSE),"")</f>
        <v/>
      </c>
      <c r="H908" s="71" t="str">
        <f t="shared" si="362"/>
        <v/>
      </c>
      <c r="I908" s="394"/>
      <c r="J908" s="72"/>
      <c r="K908" s="72"/>
      <c r="L908" s="72" t="str">
        <f>IFERROR(VLOOKUP(J908,'MAIN D OEUVRE'!$A$4:$B$99,2,FALSE)*$N$2,"")</f>
        <v/>
      </c>
      <c r="M908" s="73" t="str">
        <f t="shared" si="381"/>
        <v/>
      </c>
      <c r="N908" s="397"/>
      <c r="O908">
        <f t="shared" si="383"/>
        <v>0</v>
      </c>
      <c r="P908">
        <f t="shared" si="372"/>
        <v>0</v>
      </c>
      <c r="Q908">
        <f t="shared" si="373"/>
        <v>0</v>
      </c>
    </row>
    <row r="909" spans="1:17">
      <c r="A909" s="388"/>
      <c r="B909" s="391"/>
      <c r="C909" s="69"/>
      <c r="D909" s="70"/>
      <c r="E909" s="146"/>
      <c r="F909" s="70" t="str">
        <f>IFERROR(VLOOKUP(C909,MATERIAUX!$C$3:$G$1002,3,FALSE),"")</f>
        <v/>
      </c>
      <c r="G909" s="71" t="str">
        <f>IFERROR(VLOOKUP(C909,MATERIAUX!$C$3:$G$1002,5,FALSE),"")</f>
        <v/>
      </c>
      <c r="H909" s="71" t="str">
        <f t="shared" si="362"/>
        <v/>
      </c>
      <c r="I909" s="394"/>
      <c r="J909" s="72"/>
      <c r="K909" s="72"/>
      <c r="L909" s="72" t="str">
        <f>IFERROR(VLOOKUP(J909,'MAIN D OEUVRE'!$A$4:$B$99,2,FALSE)*$N$2,"")</f>
        <v/>
      </c>
      <c r="M909" s="73" t="str">
        <f t="shared" si="381"/>
        <v/>
      </c>
      <c r="N909" s="397"/>
      <c r="O909">
        <f t="shared" si="383"/>
        <v>0</v>
      </c>
      <c r="P909">
        <f t="shared" si="372"/>
        <v>0</v>
      </c>
      <c r="Q909">
        <f t="shared" si="373"/>
        <v>0</v>
      </c>
    </row>
    <row r="910" spans="1:17">
      <c r="A910" s="388"/>
      <c r="B910" s="391"/>
      <c r="C910" s="69"/>
      <c r="D910" s="70"/>
      <c r="E910" s="146"/>
      <c r="F910" s="70" t="str">
        <f>IFERROR(VLOOKUP(C910,MATERIAUX!$C$3:$G$1002,3,FALSE),"")</f>
        <v/>
      </c>
      <c r="G910" s="71" t="str">
        <f>IFERROR(VLOOKUP(C910,MATERIAUX!$C$3:$G$1002,5,FALSE),"")</f>
        <v/>
      </c>
      <c r="H910" s="71" t="str">
        <f t="shared" si="362"/>
        <v/>
      </c>
      <c r="I910" s="394"/>
      <c r="J910" s="72"/>
      <c r="K910" s="72"/>
      <c r="L910" s="72" t="str">
        <f>IFERROR(VLOOKUP(J910,'MAIN D OEUVRE'!$A$4:$B$99,2,FALSE)*$N$2,"")</f>
        <v/>
      </c>
      <c r="M910" s="73" t="str">
        <f t="shared" si="381"/>
        <v/>
      </c>
      <c r="N910" s="397"/>
      <c r="O910">
        <f t="shared" si="383"/>
        <v>0</v>
      </c>
      <c r="P910">
        <f t="shared" si="372"/>
        <v>0</v>
      </c>
      <c r="Q910">
        <f t="shared" si="373"/>
        <v>0</v>
      </c>
    </row>
    <row r="911" spans="1:17">
      <c r="A911" s="388"/>
      <c r="B911" s="391"/>
      <c r="C911" s="69"/>
      <c r="D911" s="70"/>
      <c r="E911" s="146"/>
      <c r="F911" s="70" t="str">
        <f>IFERROR(VLOOKUP(C911,MATERIAUX!$C$3:$G$1002,3,FALSE),"")</f>
        <v/>
      </c>
      <c r="G911" s="71" t="str">
        <f>IFERROR(VLOOKUP(C911,MATERIAUX!$C$3:$G$1002,5,FALSE),"")</f>
        <v/>
      </c>
      <c r="H911" s="71" t="str">
        <f t="shared" si="362"/>
        <v/>
      </c>
      <c r="I911" s="394"/>
      <c r="J911" s="72"/>
      <c r="K911" s="72"/>
      <c r="L911" s="72"/>
      <c r="M911" s="73"/>
      <c r="N911" s="397"/>
      <c r="O911">
        <f t="shared" si="383"/>
        <v>0</v>
      </c>
      <c r="P911">
        <f t="shared" si="372"/>
        <v>0</v>
      </c>
      <c r="Q911">
        <f t="shared" si="373"/>
        <v>0</v>
      </c>
    </row>
    <row r="912" spans="1:17" ht="15" thickBot="1">
      <c r="A912" s="389"/>
      <c r="B912" s="392"/>
      <c r="C912" s="74"/>
      <c r="D912" s="75"/>
      <c r="E912" s="147"/>
      <c r="F912" s="70" t="str">
        <f>IFERROR(VLOOKUP(C912,MATERIAUX!$C$3:$G$1002,3,FALSE),"")</f>
        <v/>
      </c>
      <c r="G912" s="71" t="str">
        <f>IFERROR(VLOOKUP(C912,MATERIAUX!$C$3:$G$1002,5,FALSE),"")</f>
        <v/>
      </c>
      <c r="H912" s="71" t="str">
        <f t="shared" si="362"/>
        <v/>
      </c>
      <c r="I912" s="395"/>
      <c r="J912" s="77"/>
      <c r="K912" s="77"/>
      <c r="L912" s="77"/>
      <c r="M912" s="78"/>
      <c r="N912" s="398"/>
      <c r="O912">
        <f t="shared" si="383"/>
        <v>0</v>
      </c>
      <c r="P912">
        <f t="shared" si="372"/>
        <v>0</v>
      </c>
      <c r="Q912">
        <f t="shared" si="373"/>
        <v>0</v>
      </c>
    </row>
    <row r="913" spans="1:17">
      <c r="A913" s="387" t="s">
        <v>549</v>
      </c>
      <c r="B913" s="390" t="s">
        <v>23</v>
      </c>
      <c r="C913" s="64" t="s">
        <v>92</v>
      </c>
      <c r="D913" s="65">
        <f>0.15*0.045</f>
        <v>6.7499999999999999E-3</v>
      </c>
      <c r="E913" s="145">
        <v>0.1</v>
      </c>
      <c r="F913" s="65" t="str">
        <f>IFERROR(VLOOKUP(C913,MATERIAUX!$C$3:$G$1002,3,FALSE),"")</f>
        <v>m3</v>
      </c>
      <c r="G913" s="66">
        <f>IFERROR(VLOOKUP(C913,MATERIAUX!$C$3:$G$1002,5,FALSE),"")</f>
        <v>575.25773195876297</v>
      </c>
      <c r="H913" s="66">
        <f t="shared" ref="H913:H922" si="384">IFERROR(ROUND(G913*(1+E913)*D913,2),"")</f>
        <v>4.2699999999999996</v>
      </c>
      <c r="I913" s="393">
        <f t="shared" ref="I913" si="385">SUM(H913:H922)</f>
        <v>10.35</v>
      </c>
      <c r="J913" s="72" t="s">
        <v>438</v>
      </c>
      <c r="K913" s="72">
        <f>D913*2</f>
        <v>1.35E-2</v>
      </c>
      <c r="L913" s="67">
        <f>IFERROR(VLOOKUP(J913,'MAIN D OEUVRE'!$A$4:$B$99,2,FALSE)*$N$2,"")</f>
        <v>19.25</v>
      </c>
      <c r="M913" s="68">
        <f t="shared" ref="M913:M920" si="386">IFERROR(ROUND(L913*K913,2),"")</f>
        <v>0.26</v>
      </c>
      <c r="N913" s="396">
        <f t="shared" ref="N913" si="387">SUM(M913:M922)</f>
        <v>1.47</v>
      </c>
      <c r="O913" s="350">
        <v>0</v>
      </c>
      <c r="P913">
        <f t="shared" si="372"/>
        <v>0</v>
      </c>
      <c r="Q913">
        <f t="shared" si="373"/>
        <v>0</v>
      </c>
    </row>
    <row r="914" spans="1:17">
      <c r="A914" s="388"/>
      <c r="B914" s="391"/>
      <c r="C914" s="69" t="s">
        <v>456</v>
      </c>
      <c r="D914" s="70">
        <v>1</v>
      </c>
      <c r="E914" s="146">
        <v>0</v>
      </c>
      <c r="F914" s="70" t="str">
        <f>IFERROR(VLOOKUP(C914,MATERIAUX!$C$3:$G$1002,3,FALSE),"")</f>
        <v>ml</v>
      </c>
      <c r="G914" s="71">
        <f>IFERROR(VLOOKUP(C914,MATERIAUX!$C$3:$G$1002,5,FALSE),"")</f>
        <v>3.195876288659794</v>
      </c>
      <c r="H914" s="71">
        <f t="shared" si="384"/>
        <v>3.2</v>
      </c>
      <c r="I914" s="394"/>
      <c r="J914" s="72" t="s">
        <v>122</v>
      </c>
      <c r="K914" s="72">
        <v>0.01</v>
      </c>
      <c r="L914" s="72">
        <f>IFERROR(VLOOKUP(J914,'MAIN D OEUVRE'!$A$4:$B$99,2,FALSE)*$N$2,"")</f>
        <v>121.00000000000001</v>
      </c>
      <c r="M914" s="73">
        <f t="shared" si="386"/>
        <v>1.21</v>
      </c>
      <c r="N914" s="397"/>
      <c r="O914">
        <f>O913</f>
        <v>0</v>
      </c>
      <c r="P914">
        <f t="shared" si="372"/>
        <v>0</v>
      </c>
      <c r="Q914">
        <f t="shared" si="373"/>
        <v>0</v>
      </c>
    </row>
    <row r="915" spans="1:17">
      <c r="A915" s="388"/>
      <c r="B915" s="391"/>
      <c r="C915" s="69" t="s">
        <v>455</v>
      </c>
      <c r="D915" s="70">
        <v>1</v>
      </c>
      <c r="E915" s="146">
        <v>0</v>
      </c>
      <c r="F915" s="70" t="str">
        <f>IFERROR(VLOOKUP(C915,MATERIAUX!$C$3:$G$1002,3,FALSE),"")</f>
        <v>u</v>
      </c>
      <c r="G915" s="71">
        <f>IFERROR(VLOOKUP(C915,MATERIAUX!$C$3:$G$1002,5,FALSE),"")</f>
        <v>0.32989690721649489</v>
      </c>
      <c r="H915" s="71">
        <f t="shared" si="384"/>
        <v>0.33</v>
      </c>
      <c r="I915" s="394"/>
      <c r="J915" s="72"/>
      <c r="K915" s="72"/>
      <c r="L915" s="72" t="str">
        <f>IFERROR(VLOOKUP(J915,'MAIN D OEUVRE'!$A$4:$B$99,2,FALSE)*$N$2,"")</f>
        <v/>
      </c>
      <c r="M915" s="73" t="str">
        <f t="shared" si="386"/>
        <v/>
      </c>
      <c r="N915" s="397"/>
      <c r="O915">
        <f t="shared" ref="O915:O922" si="388">O914</f>
        <v>0</v>
      </c>
      <c r="P915">
        <f t="shared" si="372"/>
        <v>0</v>
      </c>
      <c r="Q915">
        <f t="shared" si="373"/>
        <v>0</v>
      </c>
    </row>
    <row r="916" spans="1:17">
      <c r="A916" s="388"/>
      <c r="B916" s="391"/>
      <c r="C916" s="69" t="s">
        <v>457</v>
      </c>
      <c r="D916" s="70">
        <v>2</v>
      </c>
      <c r="E916" s="146">
        <v>0</v>
      </c>
      <c r="F916" s="70" t="str">
        <f>IFERROR(VLOOKUP(C916,MATERIAUX!$C$3:$G$1002,3,FALSE),"")</f>
        <v>u</v>
      </c>
      <c r="G916" s="71">
        <f>IFERROR(VLOOKUP(C916,MATERIAUX!$C$3:$G$1002,5,FALSE),"")</f>
        <v>1.2742268041237115</v>
      </c>
      <c r="H916" s="71">
        <f t="shared" si="384"/>
        <v>2.5499999999999998</v>
      </c>
      <c r="I916" s="394"/>
      <c r="J916" s="72"/>
      <c r="K916" s="72"/>
      <c r="L916" s="72" t="str">
        <f>IFERROR(VLOOKUP(J916,'MAIN D OEUVRE'!$A$4:$B$99,2,FALSE)*$N$2,"")</f>
        <v/>
      </c>
      <c r="M916" s="73" t="str">
        <f t="shared" si="386"/>
        <v/>
      </c>
      <c r="N916" s="397"/>
      <c r="O916">
        <f t="shared" si="388"/>
        <v>0</v>
      </c>
      <c r="P916">
        <f t="shared" si="372"/>
        <v>0</v>
      </c>
      <c r="Q916">
        <f t="shared" si="373"/>
        <v>0</v>
      </c>
    </row>
    <row r="917" spans="1:17">
      <c r="A917" s="388"/>
      <c r="B917" s="391"/>
      <c r="C917" s="69"/>
      <c r="D917" s="70"/>
      <c r="E917" s="146"/>
      <c r="F917" s="70" t="str">
        <f>IFERROR(VLOOKUP(C917,MATERIAUX!$C$3:$G$1002,3,FALSE),"")</f>
        <v/>
      </c>
      <c r="G917" s="71" t="str">
        <f>IFERROR(VLOOKUP(C917,MATERIAUX!$C$3:$G$1002,5,FALSE),"")</f>
        <v/>
      </c>
      <c r="H917" s="71" t="str">
        <f t="shared" si="384"/>
        <v/>
      </c>
      <c r="I917" s="394"/>
      <c r="J917" s="72"/>
      <c r="K917" s="72"/>
      <c r="L917" s="72" t="str">
        <f>IFERROR(VLOOKUP(J917,'MAIN D OEUVRE'!$A$4:$B$99,2,FALSE)*$N$2,"")</f>
        <v/>
      </c>
      <c r="M917" s="73" t="str">
        <f t="shared" si="386"/>
        <v/>
      </c>
      <c r="N917" s="397"/>
      <c r="O917">
        <f t="shared" si="388"/>
        <v>0</v>
      </c>
      <c r="P917">
        <f t="shared" si="372"/>
        <v>0</v>
      </c>
      <c r="Q917">
        <f t="shared" si="373"/>
        <v>0</v>
      </c>
    </row>
    <row r="918" spans="1:17">
      <c r="A918" s="388"/>
      <c r="B918" s="391"/>
      <c r="C918" s="69"/>
      <c r="D918" s="70"/>
      <c r="E918" s="146"/>
      <c r="F918" s="70" t="str">
        <f>IFERROR(VLOOKUP(C918,MATERIAUX!$C$3:$G$1002,3,FALSE),"")</f>
        <v/>
      </c>
      <c r="G918" s="71" t="str">
        <f>IFERROR(VLOOKUP(C918,MATERIAUX!$C$3:$G$1002,5,FALSE),"")</f>
        <v/>
      </c>
      <c r="H918" s="71" t="str">
        <f t="shared" si="384"/>
        <v/>
      </c>
      <c r="I918" s="394"/>
      <c r="J918" s="72"/>
      <c r="K918" s="72"/>
      <c r="L918" s="72" t="str">
        <f>IFERROR(VLOOKUP(J918,'MAIN D OEUVRE'!$A$4:$B$99,2,FALSE)*$N$2,"")</f>
        <v/>
      </c>
      <c r="M918" s="73" t="str">
        <f t="shared" si="386"/>
        <v/>
      </c>
      <c r="N918" s="397"/>
      <c r="O918">
        <f t="shared" si="388"/>
        <v>0</v>
      </c>
      <c r="P918">
        <f t="shared" si="372"/>
        <v>0</v>
      </c>
      <c r="Q918">
        <f t="shared" si="373"/>
        <v>0</v>
      </c>
    </row>
    <row r="919" spans="1:17">
      <c r="A919" s="388"/>
      <c r="B919" s="391"/>
      <c r="C919" s="69"/>
      <c r="D919" s="70"/>
      <c r="E919" s="146"/>
      <c r="F919" s="70" t="str">
        <f>IFERROR(VLOOKUP(C919,MATERIAUX!$C$3:$G$1002,3,FALSE),"")</f>
        <v/>
      </c>
      <c r="G919" s="71" t="str">
        <f>IFERROR(VLOOKUP(C919,MATERIAUX!$C$3:$G$1002,5,FALSE),"")</f>
        <v/>
      </c>
      <c r="H919" s="71" t="str">
        <f t="shared" si="384"/>
        <v/>
      </c>
      <c r="I919" s="394"/>
      <c r="J919" s="72"/>
      <c r="K919" s="72"/>
      <c r="L919" s="72" t="str">
        <f>IFERROR(VLOOKUP(J919,'MAIN D OEUVRE'!$A$4:$B$99,2,FALSE)*$N$2,"")</f>
        <v/>
      </c>
      <c r="M919" s="73" t="str">
        <f t="shared" si="386"/>
        <v/>
      </c>
      <c r="N919" s="397"/>
      <c r="O919">
        <f t="shared" si="388"/>
        <v>0</v>
      </c>
      <c r="P919">
        <f t="shared" si="372"/>
        <v>0</v>
      </c>
      <c r="Q919">
        <f t="shared" si="373"/>
        <v>0</v>
      </c>
    </row>
    <row r="920" spans="1:17">
      <c r="A920" s="388"/>
      <c r="B920" s="391"/>
      <c r="C920" s="69"/>
      <c r="D920" s="70"/>
      <c r="E920" s="146"/>
      <c r="F920" s="70" t="str">
        <f>IFERROR(VLOOKUP(C920,MATERIAUX!$C$3:$G$1002,3,FALSE),"")</f>
        <v/>
      </c>
      <c r="G920" s="71" t="str">
        <f>IFERROR(VLOOKUP(C920,MATERIAUX!$C$3:$G$1002,5,FALSE),"")</f>
        <v/>
      </c>
      <c r="H920" s="71" t="str">
        <f t="shared" si="384"/>
        <v/>
      </c>
      <c r="I920" s="394"/>
      <c r="J920" s="72"/>
      <c r="K920" s="72"/>
      <c r="L920" s="72" t="str">
        <f>IFERROR(VLOOKUP(J920,'MAIN D OEUVRE'!$A$4:$B$99,2,FALSE)*$N$2,"")</f>
        <v/>
      </c>
      <c r="M920" s="73" t="str">
        <f t="shared" si="386"/>
        <v/>
      </c>
      <c r="N920" s="397"/>
      <c r="O920">
        <f t="shared" si="388"/>
        <v>0</v>
      </c>
      <c r="P920">
        <f t="shared" si="372"/>
        <v>0</v>
      </c>
      <c r="Q920">
        <f t="shared" si="373"/>
        <v>0</v>
      </c>
    </row>
    <row r="921" spans="1:17">
      <c r="A921" s="388"/>
      <c r="B921" s="391"/>
      <c r="C921" s="69"/>
      <c r="D921" s="70"/>
      <c r="E921" s="146"/>
      <c r="F921" s="70" t="str">
        <f>IFERROR(VLOOKUP(C921,MATERIAUX!$C$3:$G$1002,3,FALSE),"")</f>
        <v/>
      </c>
      <c r="G921" s="71" t="str">
        <f>IFERROR(VLOOKUP(C921,MATERIAUX!$C$3:$G$1002,5,FALSE),"")</f>
        <v/>
      </c>
      <c r="H921" s="71" t="str">
        <f t="shared" si="384"/>
        <v/>
      </c>
      <c r="I921" s="394"/>
      <c r="J921" s="72"/>
      <c r="K921" s="72"/>
      <c r="L921" s="72"/>
      <c r="M921" s="73"/>
      <c r="N921" s="397"/>
      <c r="O921">
        <f t="shared" si="388"/>
        <v>0</v>
      </c>
      <c r="P921">
        <f t="shared" si="372"/>
        <v>0</v>
      </c>
      <c r="Q921">
        <f t="shared" si="373"/>
        <v>0</v>
      </c>
    </row>
    <row r="922" spans="1:17" ht="15" thickBot="1">
      <c r="A922" s="389"/>
      <c r="B922" s="392"/>
      <c r="C922" s="74"/>
      <c r="D922" s="75"/>
      <c r="E922" s="147"/>
      <c r="F922" s="70" t="str">
        <f>IFERROR(VLOOKUP(C922,MATERIAUX!$C$3:$G$1002,3,FALSE),"")</f>
        <v/>
      </c>
      <c r="G922" s="71" t="str">
        <f>IFERROR(VLOOKUP(C922,MATERIAUX!$C$3:$G$1002,5,FALSE),"")</f>
        <v/>
      </c>
      <c r="H922" s="71" t="str">
        <f t="shared" si="384"/>
        <v/>
      </c>
      <c r="I922" s="395"/>
      <c r="J922" s="77"/>
      <c r="K922" s="77"/>
      <c r="L922" s="77"/>
      <c r="M922" s="78"/>
      <c r="N922" s="398"/>
      <c r="O922">
        <f t="shared" si="388"/>
        <v>0</v>
      </c>
      <c r="P922">
        <f t="shared" si="372"/>
        <v>0</v>
      </c>
      <c r="Q922">
        <f t="shared" si="373"/>
        <v>0</v>
      </c>
    </row>
    <row r="923" spans="1:17">
      <c r="A923" s="387" t="s">
        <v>520</v>
      </c>
      <c r="B923" s="390" t="s">
        <v>23</v>
      </c>
      <c r="C923" s="64" t="s">
        <v>92</v>
      </c>
      <c r="D923" s="65">
        <f>0.15*0.045</f>
        <v>6.7499999999999999E-3</v>
      </c>
      <c r="E923" s="145">
        <v>0.1</v>
      </c>
      <c r="F923" s="65" t="str">
        <f>IFERROR(VLOOKUP(C923,MATERIAUX!$C$3:$G$1002,3,FALSE),"")</f>
        <v>m3</v>
      </c>
      <c r="G923" s="66">
        <f>IFERROR(VLOOKUP(C923,MATERIAUX!$C$3:$G$1002,5,FALSE),"")</f>
        <v>575.25773195876297</v>
      </c>
      <c r="H923" s="66">
        <f t="shared" ref="H923:H932" si="389">IFERROR(ROUND(G923*(1+E923)*D923,2),"")</f>
        <v>4.2699999999999996</v>
      </c>
      <c r="I923" s="393">
        <f t="shared" ref="I923" si="390">SUM(H923:H932)</f>
        <v>10.35</v>
      </c>
      <c r="J923" s="67" t="s">
        <v>53</v>
      </c>
      <c r="K923" s="67">
        <v>10</v>
      </c>
      <c r="L923" s="67">
        <f>IFERROR(VLOOKUP(J923,'MAIN D OEUVRE'!$A$4:$B$99,2,FALSE)*$N$2,"")</f>
        <v>0.33</v>
      </c>
      <c r="M923" s="68">
        <f t="shared" ref="M923:M930" si="391">IFERROR(ROUND(L923*K923,2),"")</f>
        <v>3.3</v>
      </c>
      <c r="N923" s="396">
        <f t="shared" ref="N923" si="392">SUM(M923:M932)</f>
        <v>3.3</v>
      </c>
      <c r="O923" s="350">
        <v>0</v>
      </c>
      <c r="P923">
        <f t="shared" si="372"/>
        <v>0</v>
      </c>
      <c r="Q923">
        <f t="shared" si="373"/>
        <v>0</v>
      </c>
    </row>
    <row r="924" spans="1:17">
      <c r="A924" s="388"/>
      <c r="B924" s="391"/>
      <c r="C924" s="69" t="s">
        <v>456</v>
      </c>
      <c r="D924" s="70">
        <v>1</v>
      </c>
      <c r="E924" s="146">
        <v>0</v>
      </c>
      <c r="F924" s="70" t="str">
        <f>IFERROR(VLOOKUP(C924,MATERIAUX!$C$3:$G$1002,3,FALSE),"")</f>
        <v>ml</v>
      </c>
      <c r="G924" s="71">
        <f>IFERROR(VLOOKUP(C924,MATERIAUX!$C$3:$G$1002,5,FALSE),"")</f>
        <v>3.195876288659794</v>
      </c>
      <c r="H924" s="71">
        <f t="shared" si="389"/>
        <v>3.2</v>
      </c>
      <c r="I924" s="394"/>
      <c r="J924" s="72"/>
      <c r="K924" s="72"/>
      <c r="L924" s="72" t="str">
        <f>IFERROR(VLOOKUP(J924,'MAIN D OEUVRE'!$A$4:$B$99,2,FALSE)*$N$2,"")</f>
        <v/>
      </c>
      <c r="M924" s="73" t="str">
        <f t="shared" si="391"/>
        <v/>
      </c>
      <c r="N924" s="397"/>
      <c r="O924">
        <f>O923</f>
        <v>0</v>
      </c>
      <c r="P924">
        <f t="shared" si="372"/>
        <v>0</v>
      </c>
      <c r="Q924">
        <f t="shared" si="373"/>
        <v>0</v>
      </c>
    </row>
    <row r="925" spans="1:17">
      <c r="A925" s="388"/>
      <c r="B925" s="391"/>
      <c r="C925" s="69" t="s">
        <v>455</v>
      </c>
      <c r="D925" s="70">
        <v>1</v>
      </c>
      <c r="E925" s="146">
        <v>0</v>
      </c>
      <c r="F925" s="70" t="str">
        <f>IFERROR(VLOOKUP(C925,MATERIAUX!$C$3:$G$1002,3,FALSE),"")</f>
        <v>u</v>
      </c>
      <c r="G925" s="71">
        <f>IFERROR(VLOOKUP(C925,MATERIAUX!$C$3:$G$1002,5,FALSE),"")</f>
        <v>0.32989690721649489</v>
      </c>
      <c r="H925" s="71">
        <f t="shared" si="389"/>
        <v>0.33</v>
      </c>
      <c r="I925" s="394"/>
      <c r="J925" s="72"/>
      <c r="K925" s="72"/>
      <c r="L925" s="72" t="str">
        <f>IFERROR(VLOOKUP(J925,'MAIN D OEUVRE'!$A$4:$B$99,2,FALSE)*$N$2,"")</f>
        <v/>
      </c>
      <c r="M925" s="73" t="str">
        <f t="shared" si="391"/>
        <v/>
      </c>
      <c r="N925" s="397"/>
      <c r="O925">
        <f t="shared" ref="O925:O932" si="393">O924</f>
        <v>0</v>
      </c>
      <c r="P925">
        <f t="shared" si="372"/>
        <v>0</v>
      </c>
      <c r="Q925">
        <f t="shared" si="373"/>
        <v>0</v>
      </c>
    </row>
    <row r="926" spans="1:17">
      <c r="A926" s="388"/>
      <c r="B926" s="391"/>
      <c r="C926" s="69" t="s">
        <v>457</v>
      </c>
      <c r="D926" s="70">
        <v>2</v>
      </c>
      <c r="E926" s="146">
        <v>0</v>
      </c>
      <c r="F926" s="70" t="str">
        <f>IFERROR(VLOOKUP(C926,MATERIAUX!$C$3:$G$1002,3,FALSE),"")</f>
        <v>u</v>
      </c>
      <c r="G926" s="71">
        <f>IFERROR(VLOOKUP(C926,MATERIAUX!$C$3:$G$1002,5,FALSE),"")</f>
        <v>1.2742268041237115</v>
      </c>
      <c r="H926" s="71">
        <f t="shared" si="389"/>
        <v>2.5499999999999998</v>
      </c>
      <c r="I926" s="394"/>
      <c r="J926" s="72"/>
      <c r="K926" s="72"/>
      <c r="L926" s="72" t="str">
        <f>IFERROR(VLOOKUP(J926,'MAIN D OEUVRE'!$A$4:$B$99,2,FALSE)*$N$2,"")</f>
        <v/>
      </c>
      <c r="M926" s="73" t="str">
        <f t="shared" si="391"/>
        <v/>
      </c>
      <c r="N926" s="397"/>
      <c r="O926">
        <f t="shared" si="393"/>
        <v>0</v>
      </c>
      <c r="P926">
        <f t="shared" si="372"/>
        <v>0</v>
      </c>
      <c r="Q926">
        <f t="shared" si="373"/>
        <v>0</v>
      </c>
    </row>
    <row r="927" spans="1:17">
      <c r="A927" s="388"/>
      <c r="B927" s="391"/>
      <c r="C927" s="69"/>
      <c r="D927" s="70"/>
      <c r="E927" s="146"/>
      <c r="F927" s="70" t="str">
        <f>IFERROR(VLOOKUP(C927,MATERIAUX!$C$3:$G$1002,3,FALSE),"")</f>
        <v/>
      </c>
      <c r="G927" s="71" t="str">
        <f>IFERROR(VLOOKUP(C927,MATERIAUX!$C$3:$G$1002,5,FALSE),"")</f>
        <v/>
      </c>
      <c r="H927" s="71" t="str">
        <f t="shared" si="389"/>
        <v/>
      </c>
      <c r="I927" s="394"/>
      <c r="J927" s="72"/>
      <c r="K927" s="72"/>
      <c r="L927" s="72" t="str">
        <f>IFERROR(VLOOKUP(J927,'MAIN D OEUVRE'!$A$4:$B$99,2,FALSE)*$N$2,"")</f>
        <v/>
      </c>
      <c r="M927" s="73" t="str">
        <f t="shared" si="391"/>
        <v/>
      </c>
      <c r="N927" s="397"/>
      <c r="O927">
        <f t="shared" si="393"/>
        <v>0</v>
      </c>
      <c r="P927">
        <f t="shared" si="372"/>
        <v>0</v>
      </c>
      <c r="Q927">
        <f t="shared" si="373"/>
        <v>0</v>
      </c>
    </row>
    <row r="928" spans="1:17">
      <c r="A928" s="388"/>
      <c r="B928" s="391"/>
      <c r="C928" s="69"/>
      <c r="D928" s="70"/>
      <c r="E928" s="146"/>
      <c r="F928" s="70" t="str">
        <f>IFERROR(VLOOKUP(C928,MATERIAUX!$C$3:$G$1002,3,FALSE),"")</f>
        <v/>
      </c>
      <c r="G928" s="71" t="str">
        <f>IFERROR(VLOOKUP(C928,MATERIAUX!$C$3:$G$1002,5,FALSE),"")</f>
        <v/>
      </c>
      <c r="H928" s="71" t="str">
        <f t="shared" si="389"/>
        <v/>
      </c>
      <c r="I928" s="394"/>
      <c r="J928" s="72"/>
      <c r="K928" s="72"/>
      <c r="L928" s="72" t="str">
        <f>IFERROR(VLOOKUP(J928,'MAIN D OEUVRE'!$A$4:$B$99,2,FALSE)*$N$2,"")</f>
        <v/>
      </c>
      <c r="M928" s="73" t="str">
        <f t="shared" si="391"/>
        <v/>
      </c>
      <c r="N928" s="397"/>
      <c r="O928">
        <f t="shared" si="393"/>
        <v>0</v>
      </c>
      <c r="P928">
        <f t="shared" si="372"/>
        <v>0</v>
      </c>
      <c r="Q928">
        <f t="shared" si="373"/>
        <v>0</v>
      </c>
    </row>
    <row r="929" spans="1:17">
      <c r="A929" s="388"/>
      <c r="B929" s="391"/>
      <c r="C929" s="69"/>
      <c r="D929" s="70"/>
      <c r="E929" s="146"/>
      <c r="F929" s="70" t="str">
        <f>IFERROR(VLOOKUP(C929,MATERIAUX!$C$3:$G$1002,3,FALSE),"")</f>
        <v/>
      </c>
      <c r="G929" s="71" t="str">
        <f>IFERROR(VLOOKUP(C929,MATERIAUX!$C$3:$G$1002,5,FALSE),"")</f>
        <v/>
      </c>
      <c r="H929" s="71" t="str">
        <f t="shared" si="389"/>
        <v/>
      </c>
      <c r="I929" s="394"/>
      <c r="J929" s="72"/>
      <c r="K929" s="72"/>
      <c r="L929" s="72" t="str">
        <f>IFERROR(VLOOKUP(J929,'MAIN D OEUVRE'!$A$4:$B$99,2,FALSE)*$N$2,"")</f>
        <v/>
      </c>
      <c r="M929" s="73" t="str">
        <f t="shared" si="391"/>
        <v/>
      </c>
      <c r="N929" s="397"/>
      <c r="O929">
        <f t="shared" si="393"/>
        <v>0</v>
      </c>
      <c r="P929">
        <f t="shared" si="372"/>
        <v>0</v>
      </c>
      <c r="Q929">
        <f t="shared" si="373"/>
        <v>0</v>
      </c>
    </row>
    <row r="930" spans="1:17">
      <c r="A930" s="388"/>
      <c r="B930" s="391"/>
      <c r="C930" s="69"/>
      <c r="D930" s="70"/>
      <c r="E930" s="146"/>
      <c r="F930" s="70" t="str">
        <f>IFERROR(VLOOKUP(C930,MATERIAUX!$C$3:$G$1002,3,FALSE),"")</f>
        <v/>
      </c>
      <c r="G930" s="71" t="str">
        <f>IFERROR(VLOOKUP(C930,MATERIAUX!$C$3:$G$1002,5,FALSE),"")</f>
        <v/>
      </c>
      <c r="H930" s="71" t="str">
        <f t="shared" si="389"/>
        <v/>
      </c>
      <c r="I930" s="394"/>
      <c r="J930" s="72"/>
      <c r="K930" s="72"/>
      <c r="L930" s="72" t="str">
        <f>IFERROR(VLOOKUP(J930,'MAIN D OEUVRE'!$A$4:$B$99,2,FALSE)*$N$2,"")</f>
        <v/>
      </c>
      <c r="M930" s="73" t="str">
        <f t="shared" si="391"/>
        <v/>
      </c>
      <c r="N930" s="397"/>
      <c r="O930">
        <f t="shared" si="393"/>
        <v>0</v>
      </c>
      <c r="P930">
        <f t="shared" si="372"/>
        <v>0</v>
      </c>
      <c r="Q930">
        <f t="shared" si="373"/>
        <v>0</v>
      </c>
    </row>
    <row r="931" spans="1:17">
      <c r="A931" s="388"/>
      <c r="B931" s="391"/>
      <c r="C931" s="69"/>
      <c r="D931" s="70"/>
      <c r="E931" s="146"/>
      <c r="F931" s="70" t="str">
        <f>IFERROR(VLOOKUP(C931,MATERIAUX!$C$3:$G$1002,3,FALSE),"")</f>
        <v/>
      </c>
      <c r="G931" s="71" t="str">
        <f>IFERROR(VLOOKUP(C931,MATERIAUX!$C$3:$G$1002,5,FALSE),"")</f>
        <v/>
      </c>
      <c r="H931" s="71" t="str">
        <f t="shared" si="389"/>
        <v/>
      </c>
      <c r="I931" s="394"/>
      <c r="J931" s="72"/>
      <c r="K931" s="72"/>
      <c r="L931" s="72"/>
      <c r="M931" s="73"/>
      <c r="N931" s="397"/>
      <c r="O931">
        <f t="shared" si="393"/>
        <v>0</v>
      </c>
      <c r="P931">
        <f t="shared" si="372"/>
        <v>0</v>
      </c>
      <c r="Q931">
        <f t="shared" si="373"/>
        <v>0</v>
      </c>
    </row>
    <row r="932" spans="1:17" ht="15" thickBot="1">
      <c r="A932" s="389"/>
      <c r="B932" s="392"/>
      <c r="C932" s="74"/>
      <c r="D932" s="75"/>
      <c r="E932" s="147"/>
      <c r="F932" s="70" t="str">
        <f>IFERROR(VLOOKUP(C932,MATERIAUX!$C$3:$G$1002,3,FALSE),"")</f>
        <v/>
      </c>
      <c r="G932" s="71" t="str">
        <f>IFERROR(VLOOKUP(C932,MATERIAUX!$C$3:$G$1002,5,FALSE),"")</f>
        <v/>
      </c>
      <c r="H932" s="71" t="str">
        <f t="shared" si="389"/>
        <v/>
      </c>
      <c r="I932" s="395"/>
      <c r="J932" s="77"/>
      <c r="K932" s="77"/>
      <c r="L932" s="77"/>
      <c r="M932" s="78"/>
      <c r="N932" s="398"/>
      <c r="O932">
        <f t="shared" si="393"/>
        <v>0</v>
      </c>
      <c r="P932">
        <f t="shared" si="372"/>
        <v>0</v>
      </c>
      <c r="Q932">
        <f t="shared" si="373"/>
        <v>0</v>
      </c>
    </row>
    <row r="933" spans="1:17">
      <c r="A933" s="387" t="s">
        <v>466</v>
      </c>
      <c r="B933" s="390" t="s">
        <v>23</v>
      </c>
      <c r="C933" s="64"/>
      <c r="D933" s="65"/>
      <c r="E933" s="145"/>
      <c r="F933" s="65" t="str">
        <f>IFERROR(VLOOKUP(C933,MATERIAUX!$C$3:$G$1002,3,FALSE),"")</f>
        <v/>
      </c>
      <c r="G933" s="66" t="str">
        <f>IFERROR(VLOOKUP(C933,MATERIAUX!$C$3:$G$1002,5,FALSE),"")</f>
        <v/>
      </c>
      <c r="H933" s="66" t="str">
        <f t="shared" si="362"/>
        <v/>
      </c>
      <c r="I933" s="393">
        <f t="shared" ref="I933" si="394">SUM(H933:H942)</f>
        <v>6.08</v>
      </c>
      <c r="J933" s="67"/>
      <c r="K933" s="67"/>
      <c r="L933" s="67" t="str">
        <f>IFERROR(VLOOKUP(J933,'MAIN D OEUVRE'!$A$4:$B$99,2,FALSE)*$N$2,"")</f>
        <v/>
      </c>
      <c r="M933" s="68" t="str">
        <f t="shared" ref="M933:M940" si="395">IFERROR(ROUND(L933*K933,2),"")</f>
        <v/>
      </c>
      <c r="N933" s="396">
        <f t="shared" ref="N933" si="396">SUM(M933:M942)</f>
        <v>0</v>
      </c>
      <c r="O933" s="350">
        <v>0</v>
      </c>
      <c r="P933">
        <f t="shared" si="372"/>
        <v>0</v>
      </c>
      <c r="Q933">
        <f t="shared" si="373"/>
        <v>0</v>
      </c>
    </row>
    <row r="934" spans="1:17">
      <c r="A934" s="388"/>
      <c r="B934" s="391"/>
      <c r="C934" s="69" t="s">
        <v>456</v>
      </c>
      <c r="D934" s="70">
        <v>1</v>
      </c>
      <c r="E934" s="146">
        <v>0</v>
      </c>
      <c r="F934" s="70" t="str">
        <f>IFERROR(VLOOKUP(C934,MATERIAUX!$C$3:$G$1002,3,FALSE),"")</f>
        <v>ml</v>
      </c>
      <c r="G934" s="71">
        <f>IFERROR(VLOOKUP(C934,MATERIAUX!$C$3:$G$1002,5,FALSE),"")</f>
        <v>3.195876288659794</v>
      </c>
      <c r="H934" s="71">
        <f t="shared" si="362"/>
        <v>3.2</v>
      </c>
      <c r="I934" s="394"/>
      <c r="J934" s="72"/>
      <c r="K934" s="72"/>
      <c r="L934" s="72" t="str">
        <f>IFERROR(VLOOKUP(J934,'MAIN D OEUVRE'!$A$4:$B$99,2,FALSE)*$N$2,"")</f>
        <v/>
      </c>
      <c r="M934" s="73" t="str">
        <f t="shared" si="395"/>
        <v/>
      </c>
      <c r="N934" s="397"/>
      <c r="O934">
        <f>O933</f>
        <v>0</v>
      </c>
      <c r="P934">
        <f t="shared" si="372"/>
        <v>0</v>
      </c>
      <c r="Q934">
        <f t="shared" si="373"/>
        <v>0</v>
      </c>
    </row>
    <row r="935" spans="1:17">
      <c r="A935" s="388"/>
      <c r="B935" s="391"/>
      <c r="C935" s="69" t="s">
        <v>455</v>
      </c>
      <c r="D935" s="70">
        <v>1</v>
      </c>
      <c r="E935" s="146">
        <v>0</v>
      </c>
      <c r="F935" s="70" t="str">
        <f>IFERROR(VLOOKUP(C935,MATERIAUX!$C$3:$G$1002,3,FALSE),"")</f>
        <v>u</v>
      </c>
      <c r="G935" s="71">
        <f>IFERROR(VLOOKUP(C935,MATERIAUX!$C$3:$G$1002,5,FALSE),"")</f>
        <v>0.32989690721649489</v>
      </c>
      <c r="H935" s="71">
        <f t="shared" si="362"/>
        <v>0.33</v>
      </c>
      <c r="I935" s="394"/>
      <c r="J935" s="72"/>
      <c r="K935" s="72"/>
      <c r="L935" s="72" t="str">
        <f>IFERROR(VLOOKUP(J935,'MAIN D OEUVRE'!$A$4:$B$99,2,FALSE)*$N$2,"")</f>
        <v/>
      </c>
      <c r="M935" s="73" t="str">
        <f t="shared" si="395"/>
        <v/>
      </c>
      <c r="N935" s="397"/>
      <c r="O935">
        <f t="shared" ref="O935:O942" si="397">O934</f>
        <v>0</v>
      </c>
      <c r="P935">
        <f t="shared" si="372"/>
        <v>0</v>
      </c>
      <c r="Q935">
        <f t="shared" si="373"/>
        <v>0</v>
      </c>
    </row>
    <row r="936" spans="1:17">
      <c r="A936" s="388"/>
      <c r="B936" s="391"/>
      <c r="C936" s="69" t="s">
        <v>457</v>
      </c>
      <c r="D936" s="70">
        <v>2</v>
      </c>
      <c r="E936" s="146">
        <v>0</v>
      </c>
      <c r="F936" s="70" t="str">
        <f>IFERROR(VLOOKUP(C936,MATERIAUX!$C$3:$G$1002,3,FALSE),"")</f>
        <v>u</v>
      </c>
      <c r="G936" s="71">
        <f>IFERROR(VLOOKUP(C936,MATERIAUX!$C$3:$G$1002,5,FALSE),"")</f>
        <v>1.2742268041237115</v>
      </c>
      <c r="H936" s="71">
        <f t="shared" si="362"/>
        <v>2.5499999999999998</v>
      </c>
      <c r="I936" s="394"/>
      <c r="J936" s="72"/>
      <c r="K936" s="72"/>
      <c r="L936" s="72" t="str">
        <f>IFERROR(VLOOKUP(J936,'MAIN D OEUVRE'!$A$4:$B$99,2,FALSE)*$N$2,"")</f>
        <v/>
      </c>
      <c r="M936" s="73" t="str">
        <f t="shared" si="395"/>
        <v/>
      </c>
      <c r="N936" s="397"/>
      <c r="O936">
        <f t="shared" si="397"/>
        <v>0</v>
      </c>
      <c r="P936">
        <f t="shared" si="372"/>
        <v>0</v>
      </c>
      <c r="Q936">
        <f t="shared" si="373"/>
        <v>0</v>
      </c>
    </row>
    <row r="937" spans="1:17">
      <c r="A937" s="388"/>
      <c r="B937" s="391"/>
      <c r="C937" s="69"/>
      <c r="D937" s="70"/>
      <c r="E937" s="146"/>
      <c r="F937" s="70" t="str">
        <f>IFERROR(VLOOKUP(C937,MATERIAUX!$C$3:$G$1002,3,FALSE),"")</f>
        <v/>
      </c>
      <c r="G937" s="71" t="str">
        <f>IFERROR(VLOOKUP(C937,MATERIAUX!$C$3:$G$1002,5,FALSE),"")</f>
        <v/>
      </c>
      <c r="H937" s="71" t="str">
        <f t="shared" si="362"/>
        <v/>
      </c>
      <c r="I937" s="394"/>
      <c r="J937" s="72"/>
      <c r="K937" s="72"/>
      <c r="L937" s="72" t="str">
        <f>IFERROR(VLOOKUP(J937,'MAIN D OEUVRE'!$A$4:$B$99,2,FALSE)*$N$2,"")</f>
        <v/>
      </c>
      <c r="M937" s="73" t="str">
        <f t="shared" si="395"/>
        <v/>
      </c>
      <c r="N937" s="397"/>
      <c r="O937">
        <f t="shared" si="397"/>
        <v>0</v>
      </c>
      <c r="P937">
        <f t="shared" si="372"/>
        <v>0</v>
      </c>
      <c r="Q937">
        <f t="shared" si="373"/>
        <v>0</v>
      </c>
    </row>
    <row r="938" spans="1:17">
      <c r="A938" s="388"/>
      <c r="B938" s="391"/>
      <c r="C938" s="69"/>
      <c r="D938" s="70"/>
      <c r="E938" s="146"/>
      <c r="F938" s="70" t="str">
        <f>IFERROR(VLOOKUP(C938,MATERIAUX!$C$3:$G$1002,3,FALSE),"")</f>
        <v/>
      </c>
      <c r="G938" s="71" t="str">
        <f>IFERROR(VLOOKUP(C938,MATERIAUX!$C$3:$G$1002,5,FALSE),"")</f>
        <v/>
      </c>
      <c r="H938" s="71" t="str">
        <f t="shared" si="362"/>
        <v/>
      </c>
      <c r="I938" s="394"/>
      <c r="J938" s="72"/>
      <c r="K938" s="72"/>
      <c r="L938" s="72" t="str">
        <f>IFERROR(VLOOKUP(J938,'MAIN D OEUVRE'!$A$4:$B$99,2,FALSE)*$N$2,"")</f>
        <v/>
      </c>
      <c r="M938" s="73" t="str">
        <f t="shared" si="395"/>
        <v/>
      </c>
      <c r="N938" s="397"/>
      <c r="O938">
        <f t="shared" si="397"/>
        <v>0</v>
      </c>
      <c r="P938">
        <f t="shared" si="372"/>
        <v>0</v>
      </c>
      <c r="Q938">
        <f t="shared" si="373"/>
        <v>0</v>
      </c>
    </row>
    <row r="939" spans="1:17">
      <c r="A939" s="388"/>
      <c r="B939" s="391"/>
      <c r="C939" s="69"/>
      <c r="D939" s="70"/>
      <c r="E939" s="146"/>
      <c r="F939" s="70" t="str">
        <f>IFERROR(VLOOKUP(C939,MATERIAUX!$C$3:$G$1002,3,FALSE),"")</f>
        <v/>
      </c>
      <c r="G939" s="71" t="str">
        <f>IFERROR(VLOOKUP(C939,MATERIAUX!$C$3:$G$1002,5,FALSE),"")</f>
        <v/>
      </c>
      <c r="H939" s="71" t="str">
        <f t="shared" si="362"/>
        <v/>
      </c>
      <c r="I939" s="394"/>
      <c r="J939" s="72"/>
      <c r="K939" s="72"/>
      <c r="L939" s="72" t="str">
        <f>IFERROR(VLOOKUP(J939,'MAIN D OEUVRE'!$A$4:$B$99,2,FALSE)*$N$2,"")</f>
        <v/>
      </c>
      <c r="M939" s="73" t="str">
        <f t="shared" si="395"/>
        <v/>
      </c>
      <c r="N939" s="397"/>
      <c r="O939">
        <f t="shared" si="397"/>
        <v>0</v>
      </c>
      <c r="P939">
        <f t="shared" si="372"/>
        <v>0</v>
      </c>
      <c r="Q939">
        <f t="shared" si="373"/>
        <v>0</v>
      </c>
    </row>
    <row r="940" spans="1:17">
      <c r="A940" s="388"/>
      <c r="B940" s="391"/>
      <c r="C940" s="69"/>
      <c r="D940" s="70"/>
      <c r="E940" s="146"/>
      <c r="F940" s="70" t="str">
        <f>IFERROR(VLOOKUP(C940,MATERIAUX!$C$3:$G$1002,3,FALSE),"")</f>
        <v/>
      </c>
      <c r="G940" s="71" t="str">
        <f>IFERROR(VLOOKUP(C940,MATERIAUX!$C$3:$G$1002,5,FALSE),"")</f>
        <v/>
      </c>
      <c r="H940" s="71" t="str">
        <f t="shared" si="362"/>
        <v/>
      </c>
      <c r="I940" s="394"/>
      <c r="J940" s="72"/>
      <c r="K940" s="72"/>
      <c r="L940" s="72" t="str">
        <f>IFERROR(VLOOKUP(J940,'MAIN D OEUVRE'!$A$4:$B$99,2,FALSE)*$N$2,"")</f>
        <v/>
      </c>
      <c r="M940" s="73" t="str">
        <f t="shared" si="395"/>
        <v/>
      </c>
      <c r="N940" s="397"/>
      <c r="O940">
        <f t="shared" si="397"/>
        <v>0</v>
      </c>
      <c r="P940">
        <f t="shared" si="372"/>
        <v>0</v>
      </c>
      <c r="Q940">
        <f t="shared" si="373"/>
        <v>0</v>
      </c>
    </row>
    <row r="941" spans="1:17">
      <c r="A941" s="388"/>
      <c r="B941" s="391"/>
      <c r="C941" s="69"/>
      <c r="D941" s="70"/>
      <c r="E941" s="146"/>
      <c r="F941" s="70" t="str">
        <f>IFERROR(VLOOKUP(C941,MATERIAUX!$C$3:$G$1002,3,FALSE),"")</f>
        <v/>
      </c>
      <c r="G941" s="71" t="str">
        <f>IFERROR(VLOOKUP(C941,MATERIAUX!$C$3:$G$1002,5,FALSE),"")</f>
        <v/>
      </c>
      <c r="H941" s="71" t="str">
        <f t="shared" si="362"/>
        <v/>
      </c>
      <c r="I941" s="394"/>
      <c r="J941" s="72"/>
      <c r="K941" s="72"/>
      <c r="L941" s="72"/>
      <c r="M941" s="73"/>
      <c r="N941" s="397"/>
      <c r="O941">
        <f t="shared" si="397"/>
        <v>0</v>
      </c>
      <c r="P941">
        <f t="shared" si="372"/>
        <v>0</v>
      </c>
      <c r="Q941">
        <f t="shared" si="373"/>
        <v>0</v>
      </c>
    </row>
    <row r="942" spans="1:17" ht="15" thickBot="1">
      <c r="A942" s="389"/>
      <c r="B942" s="392"/>
      <c r="C942" s="74"/>
      <c r="D942" s="75"/>
      <c r="E942" s="147"/>
      <c r="F942" s="70" t="str">
        <f>IFERROR(VLOOKUP(C942,MATERIAUX!$C$3:$G$1002,3,FALSE),"")</f>
        <v/>
      </c>
      <c r="G942" s="71" t="str">
        <f>IFERROR(VLOOKUP(C942,MATERIAUX!$C$3:$G$1002,5,FALSE),"")</f>
        <v/>
      </c>
      <c r="H942" s="71" t="str">
        <f t="shared" si="362"/>
        <v/>
      </c>
      <c r="I942" s="395"/>
      <c r="J942" s="77"/>
      <c r="K942" s="77"/>
      <c r="L942" s="77"/>
      <c r="M942" s="78"/>
      <c r="N942" s="398"/>
      <c r="O942">
        <f t="shared" si="397"/>
        <v>0</v>
      </c>
      <c r="P942">
        <f t="shared" si="372"/>
        <v>0</v>
      </c>
      <c r="Q942">
        <f t="shared" si="373"/>
        <v>0</v>
      </c>
    </row>
    <row r="943" spans="1:17">
      <c r="A943" s="387" t="s">
        <v>467</v>
      </c>
      <c r="B943" s="390" t="s">
        <v>21</v>
      </c>
      <c r="C943" s="64" t="s">
        <v>458</v>
      </c>
      <c r="D943" s="65">
        <v>1</v>
      </c>
      <c r="E943" s="145">
        <v>0.1</v>
      </c>
      <c r="F943" s="65" t="str">
        <f>IFERROR(VLOOKUP(C943,MATERIAUX!$C$3:$G$1002,3,FALSE),"")</f>
        <v>m2</v>
      </c>
      <c r="G943" s="66">
        <f>IFERROR(VLOOKUP(C943,MATERIAUX!$C$3:$G$1002,5,FALSE),"")</f>
        <v>5.463917525773196</v>
      </c>
      <c r="H943" s="66">
        <f t="shared" si="362"/>
        <v>6.01</v>
      </c>
      <c r="I943" s="393">
        <f t="shared" ref="I943" si="398">SUM(H943:H952)</f>
        <v>8.7099999999999991</v>
      </c>
      <c r="J943" s="67" t="s">
        <v>55</v>
      </c>
      <c r="K943" s="67">
        <v>1</v>
      </c>
      <c r="L943" s="67">
        <f>IFERROR(VLOOKUP(J943,'MAIN D OEUVRE'!$A$4:$B$99,2,FALSE)*$N$2,"")</f>
        <v>0.44000000000000006</v>
      </c>
      <c r="M943" s="68">
        <f t="shared" ref="M943:M950" si="399">IFERROR(ROUND(L943*K943,2),"")</f>
        <v>0.44</v>
      </c>
      <c r="N943" s="396">
        <f t="shared" ref="N943" si="400">SUM(M943:M952)</f>
        <v>0.77</v>
      </c>
      <c r="O943" s="350">
        <v>0</v>
      </c>
      <c r="P943">
        <f t="shared" si="372"/>
        <v>0</v>
      </c>
      <c r="Q943">
        <f t="shared" si="373"/>
        <v>0</v>
      </c>
    </row>
    <row r="944" spans="1:17">
      <c r="A944" s="388"/>
      <c r="B944" s="391"/>
      <c r="C944" s="69" t="s">
        <v>379</v>
      </c>
      <c r="D944" s="70">
        <v>0.12</v>
      </c>
      <c r="E944" s="146">
        <v>0.1</v>
      </c>
      <c r="F944" s="70" t="str">
        <f>IFERROR(VLOOKUP(C944,MATERIAUX!$C$3:$G$1002,3,FALSE),"")</f>
        <v>m2</v>
      </c>
      <c r="G944" s="71">
        <f>IFERROR(VLOOKUP(C944,MATERIAUX!$C$3:$G$1002,5,FALSE),"")</f>
        <v>3.9443298969072167</v>
      </c>
      <c r="H944" s="71">
        <f t="shared" si="362"/>
        <v>0.52</v>
      </c>
      <c r="I944" s="394"/>
      <c r="J944" s="72" t="s">
        <v>53</v>
      </c>
      <c r="K944" s="72">
        <v>1</v>
      </c>
      <c r="L944" s="72">
        <f>IFERROR(VLOOKUP(J944,'MAIN D OEUVRE'!$A$4:$B$99,2,FALSE)*$N$2,"")</f>
        <v>0.33</v>
      </c>
      <c r="M944" s="73">
        <f t="shared" si="399"/>
        <v>0.33</v>
      </c>
      <c r="N944" s="397"/>
      <c r="O944">
        <f>O943</f>
        <v>0</v>
      </c>
      <c r="P944">
        <f t="shared" si="372"/>
        <v>0</v>
      </c>
      <c r="Q944">
        <f t="shared" si="373"/>
        <v>0</v>
      </c>
    </row>
    <row r="945" spans="1:17">
      <c r="A945" s="388"/>
      <c r="B945" s="391"/>
      <c r="C945" s="69" t="s">
        <v>395</v>
      </c>
      <c r="D945" s="70">
        <v>6</v>
      </c>
      <c r="E945" s="146">
        <v>0.05</v>
      </c>
      <c r="F945" s="70" t="str">
        <f>IFERROR(VLOOKUP(C945,MATERIAUX!$C$3:$G$1002,3,FALSE),"")</f>
        <v>buc</v>
      </c>
      <c r="G945" s="71">
        <f>IFERROR(VLOOKUP(C945,MATERIAUX!$C$3:$G$1002,5,FALSE),"")</f>
        <v>0.11546391752577322</v>
      </c>
      <c r="H945" s="71">
        <f t="shared" si="362"/>
        <v>0.73</v>
      </c>
      <c r="I945" s="394"/>
      <c r="J945" s="72"/>
      <c r="K945" s="72"/>
      <c r="L945" s="72" t="str">
        <f>IFERROR(VLOOKUP(J945,'MAIN D OEUVRE'!$A$4:$B$99,2,FALSE)*$N$2,"")</f>
        <v/>
      </c>
      <c r="M945" s="73" t="str">
        <f t="shared" si="399"/>
        <v/>
      </c>
      <c r="N945" s="397"/>
      <c r="O945">
        <f t="shared" ref="O945:O952" si="401">O944</f>
        <v>0</v>
      </c>
      <c r="P945">
        <f t="shared" si="372"/>
        <v>0</v>
      </c>
      <c r="Q945">
        <f t="shared" si="373"/>
        <v>0</v>
      </c>
    </row>
    <row r="946" spans="1:17">
      <c r="A946" s="388"/>
      <c r="B946" s="391"/>
      <c r="C946" s="69" t="s">
        <v>324</v>
      </c>
      <c r="D946" s="70">
        <v>6</v>
      </c>
      <c r="E946" s="146">
        <v>0.05</v>
      </c>
      <c r="F946" s="70" t="str">
        <f>IFERROR(VLOOKUP(C946,MATERIAUX!$C$3:$G$1002,3,FALSE),"")</f>
        <v>buc</v>
      </c>
      <c r="G946" s="71">
        <f>IFERROR(VLOOKUP(C946,MATERIAUX!$C$3:$G$1002,5,FALSE),"")</f>
        <v>2.1649484536082474E-2</v>
      </c>
      <c r="H946" s="71">
        <f t="shared" si="362"/>
        <v>0.14000000000000001</v>
      </c>
      <c r="I946" s="394"/>
      <c r="J946" s="72"/>
      <c r="K946" s="72"/>
      <c r="L946" s="72" t="str">
        <f>IFERROR(VLOOKUP(J946,'MAIN D OEUVRE'!$A$4:$B$99,2,FALSE)*$N$2,"")</f>
        <v/>
      </c>
      <c r="M946" s="73" t="str">
        <f t="shared" si="399"/>
        <v/>
      </c>
      <c r="N946" s="397"/>
      <c r="O946">
        <f t="shared" si="401"/>
        <v>0</v>
      </c>
      <c r="P946">
        <f t="shared" si="372"/>
        <v>0</v>
      </c>
      <c r="Q946">
        <f t="shared" si="373"/>
        <v>0</v>
      </c>
    </row>
    <row r="947" spans="1:17">
      <c r="A947" s="388"/>
      <c r="B947" s="391"/>
      <c r="C947" s="69" t="s">
        <v>106</v>
      </c>
      <c r="D947" s="70">
        <v>0.4</v>
      </c>
      <c r="E947" s="188">
        <v>0</v>
      </c>
      <c r="F947" s="70" t="str">
        <f>IFERROR(VLOOKUP(C947,MATERIAUX!$C$3:$G$1002,3,FALSE),"")</f>
        <v>ml</v>
      </c>
      <c r="G947" s="71">
        <f>IFERROR(VLOOKUP(C947,MATERIAUX!$C$3:$G$1002,5,FALSE),"")</f>
        <v>3.2659793814432994</v>
      </c>
      <c r="H947" s="71">
        <f t="shared" si="362"/>
        <v>1.31</v>
      </c>
      <c r="I947" s="394"/>
      <c r="J947" s="72"/>
      <c r="K947" s="72"/>
      <c r="L947" s="72" t="str">
        <f>IFERROR(VLOOKUP(J947,'MAIN D OEUVRE'!$A$4:$B$99,2,FALSE)*$N$2,"")</f>
        <v/>
      </c>
      <c r="M947" s="73" t="str">
        <f t="shared" si="399"/>
        <v/>
      </c>
      <c r="N947" s="397"/>
      <c r="O947">
        <f t="shared" si="401"/>
        <v>0</v>
      </c>
      <c r="P947">
        <f t="shared" si="372"/>
        <v>0</v>
      </c>
      <c r="Q947">
        <f t="shared" si="373"/>
        <v>0</v>
      </c>
    </row>
    <row r="948" spans="1:17">
      <c r="A948" s="388"/>
      <c r="B948" s="391"/>
      <c r="C948" s="69"/>
      <c r="D948" s="70"/>
      <c r="E948" s="146"/>
      <c r="F948" s="70" t="str">
        <f>IFERROR(VLOOKUP(C948,MATERIAUX!$C$3:$G$1002,3,FALSE),"")</f>
        <v/>
      </c>
      <c r="G948" s="71" t="str">
        <f>IFERROR(VLOOKUP(C948,MATERIAUX!$C$3:$G$1002,5,FALSE),"")</f>
        <v/>
      </c>
      <c r="H948" s="71" t="str">
        <f t="shared" si="362"/>
        <v/>
      </c>
      <c r="I948" s="394"/>
      <c r="J948" s="72"/>
      <c r="K948" s="72"/>
      <c r="L948" s="72" t="str">
        <f>IFERROR(VLOOKUP(J948,'MAIN D OEUVRE'!$A$4:$B$99,2,FALSE)*$N$2,"")</f>
        <v/>
      </c>
      <c r="M948" s="73" t="str">
        <f t="shared" si="399"/>
        <v/>
      </c>
      <c r="N948" s="397"/>
      <c r="O948">
        <f t="shared" si="401"/>
        <v>0</v>
      </c>
      <c r="P948">
        <f t="shared" si="372"/>
        <v>0</v>
      </c>
      <c r="Q948">
        <f t="shared" si="373"/>
        <v>0</v>
      </c>
    </row>
    <row r="949" spans="1:17">
      <c r="A949" s="388"/>
      <c r="B949" s="391"/>
      <c r="C949" s="69"/>
      <c r="D949" s="70"/>
      <c r="E949" s="146"/>
      <c r="F949" s="70" t="str">
        <f>IFERROR(VLOOKUP(C949,MATERIAUX!$C$3:$G$1002,3,FALSE),"")</f>
        <v/>
      </c>
      <c r="G949" s="71" t="str">
        <f>IFERROR(VLOOKUP(C949,MATERIAUX!$C$3:$G$1002,5,FALSE),"")</f>
        <v/>
      </c>
      <c r="H949" s="71" t="str">
        <f t="shared" si="362"/>
        <v/>
      </c>
      <c r="I949" s="394"/>
      <c r="J949" s="72"/>
      <c r="K949" s="72"/>
      <c r="L949" s="72" t="str">
        <f>IFERROR(VLOOKUP(J949,'MAIN D OEUVRE'!$A$4:$B$99,2,FALSE)*$N$2,"")</f>
        <v/>
      </c>
      <c r="M949" s="73" t="str">
        <f t="shared" si="399"/>
        <v/>
      </c>
      <c r="N949" s="397"/>
      <c r="O949">
        <f t="shared" si="401"/>
        <v>0</v>
      </c>
      <c r="P949">
        <f t="shared" si="372"/>
        <v>0</v>
      </c>
      <c r="Q949">
        <f t="shared" si="373"/>
        <v>0</v>
      </c>
    </row>
    <row r="950" spans="1:17">
      <c r="A950" s="388"/>
      <c r="B950" s="391"/>
      <c r="C950" s="69"/>
      <c r="D950" s="70"/>
      <c r="E950" s="146"/>
      <c r="F950" s="70" t="str">
        <f>IFERROR(VLOOKUP(C950,MATERIAUX!$C$3:$G$1002,3,FALSE),"")</f>
        <v/>
      </c>
      <c r="G950" s="71" t="str">
        <f>IFERROR(VLOOKUP(C950,MATERIAUX!$C$3:$G$1002,5,FALSE),"")</f>
        <v/>
      </c>
      <c r="H950" s="71" t="str">
        <f t="shared" si="362"/>
        <v/>
      </c>
      <c r="I950" s="394"/>
      <c r="J950" s="72"/>
      <c r="K950" s="72"/>
      <c r="L950" s="72" t="str">
        <f>IFERROR(VLOOKUP(J950,'MAIN D OEUVRE'!$A$4:$B$99,2,FALSE)*$N$2,"")</f>
        <v/>
      </c>
      <c r="M950" s="73" t="str">
        <f t="shared" si="399"/>
        <v/>
      </c>
      <c r="N950" s="397"/>
      <c r="O950">
        <f t="shared" si="401"/>
        <v>0</v>
      </c>
      <c r="P950">
        <f t="shared" si="372"/>
        <v>0</v>
      </c>
      <c r="Q950">
        <f t="shared" si="373"/>
        <v>0</v>
      </c>
    </row>
    <row r="951" spans="1:17">
      <c r="A951" s="388"/>
      <c r="B951" s="391"/>
      <c r="C951" s="69"/>
      <c r="D951" s="70"/>
      <c r="E951" s="146"/>
      <c r="F951" s="70" t="str">
        <f>IFERROR(VLOOKUP(C951,MATERIAUX!$C$3:$G$1002,3,FALSE),"")</f>
        <v/>
      </c>
      <c r="G951" s="71" t="str">
        <f>IFERROR(VLOOKUP(C951,MATERIAUX!$C$3:$G$1002,5,FALSE),"")</f>
        <v/>
      </c>
      <c r="H951" s="71" t="str">
        <f t="shared" si="362"/>
        <v/>
      </c>
      <c r="I951" s="394"/>
      <c r="J951" s="72"/>
      <c r="K951" s="72"/>
      <c r="L951" s="72"/>
      <c r="M951" s="73"/>
      <c r="N951" s="397"/>
      <c r="O951">
        <f t="shared" si="401"/>
        <v>0</v>
      </c>
      <c r="P951">
        <f t="shared" si="372"/>
        <v>0</v>
      </c>
      <c r="Q951">
        <f t="shared" si="373"/>
        <v>0</v>
      </c>
    </row>
    <row r="952" spans="1:17" ht="15" thickBot="1">
      <c r="A952" s="389"/>
      <c r="B952" s="392"/>
      <c r="C952" s="74"/>
      <c r="D952" s="75"/>
      <c r="E952" s="147"/>
      <c r="F952" s="70" t="str">
        <f>IFERROR(VLOOKUP(C952,MATERIAUX!$C$3:$G$1002,3,FALSE),"")</f>
        <v/>
      </c>
      <c r="G952" s="71" t="str">
        <f>IFERROR(VLOOKUP(C952,MATERIAUX!$C$3:$G$1002,5,FALSE),"")</f>
        <v/>
      </c>
      <c r="H952" s="71" t="str">
        <f t="shared" si="362"/>
        <v/>
      </c>
      <c r="I952" s="395"/>
      <c r="J952" s="77"/>
      <c r="K952" s="77"/>
      <c r="L952" s="77"/>
      <c r="M952" s="78"/>
      <c r="N952" s="398"/>
      <c r="O952">
        <f t="shared" si="401"/>
        <v>0</v>
      </c>
      <c r="P952">
        <f t="shared" si="372"/>
        <v>0</v>
      </c>
      <c r="Q952">
        <f t="shared" si="373"/>
        <v>0</v>
      </c>
    </row>
    <row r="953" spans="1:17">
      <c r="A953" s="387" t="s">
        <v>468</v>
      </c>
      <c r="B953" s="390" t="s">
        <v>21</v>
      </c>
      <c r="C953" s="64" t="s">
        <v>336</v>
      </c>
      <c r="D953" s="65">
        <v>1.05</v>
      </c>
      <c r="E953" s="145">
        <v>0.1</v>
      </c>
      <c r="F953" s="65" t="str">
        <f>IFERROR(VLOOKUP(C953,MATERIAUX!$C$3:$G$1002,3,FALSE),"")</f>
        <v>m2</v>
      </c>
      <c r="G953" s="66">
        <f>IFERROR(VLOOKUP(C953,MATERIAUX!$C$3:$G$1002,5,FALSE),"")</f>
        <v>10.309278350515465</v>
      </c>
      <c r="H953" s="66">
        <f t="shared" si="362"/>
        <v>11.91</v>
      </c>
      <c r="I953" s="393">
        <f t="shared" ref="I953" si="402">SUM(H953:H962)</f>
        <v>13.029999999999998</v>
      </c>
      <c r="J953" s="72" t="s">
        <v>55</v>
      </c>
      <c r="K953" s="72">
        <v>1</v>
      </c>
      <c r="L953" s="67">
        <v>1</v>
      </c>
      <c r="M953" s="68">
        <f t="shared" ref="M953:M960" si="403">IFERROR(ROUND(L953*K953,2),"")</f>
        <v>1</v>
      </c>
      <c r="N953" s="396">
        <f t="shared" ref="N953" si="404">SUM(M953:M962)</f>
        <v>1</v>
      </c>
      <c r="O953" s="350">
        <v>0</v>
      </c>
      <c r="P953">
        <f t="shared" ref="P953:P1012" si="405">(D953+D953*E953)*O953</f>
        <v>0</v>
      </c>
      <c r="Q953">
        <f t="shared" ref="Q953:Q1012" si="406">IF(P953=0,0,P953*G953)</f>
        <v>0</v>
      </c>
    </row>
    <row r="954" spans="1:17">
      <c r="A954" s="388"/>
      <c r="B954" s="391"/>
      <c r="C954" s="69" t="s">
        <v>323</v>
      </c>
      <c r="D954" s="70">
        <v>15</v>
      </c>
      <c r="E954" s="146">
        <v>0.05</v>
      </c>
      <c r="F954" s="70" t="str">
        <f>IFERROR(VLOOKUP(C954,MATERIAUX!$C$3:$G$1002,3,FALSE),"")</f>
        <v>buc</v>
      </c>
      <c r="G954" s="71">
        <f>IFERROR(VLOOKUP(C954,MATERIAUX!$C$3:$G$1002,5,FALSE),"")</f>
        <v>2.771134020618557E-3</v>
      </c>
      <c r="H954" s="71">
        <f t="shared" si="362"/>
        <v>0.04</v>
      </c>
      <c r="I954" s="394"/>
      <c r="J954" s="72"/>
      <c r="K954" s="72"/>
      <c r="L954" s="72" t="str">
        <f>IFERROR(VLOOKUP(J954,'MAIN D OEUVRE'!$A$4:$B$99,2,FALSE)*$N$2,"")</f>
        <v/>
      </c>
      <c r="M954" s="73" t="str">
        <f t="shared" si="403"/>
        <v/>
      </c>
      <c r="N954" s="397"/>
      <c r="O954">
        <f>O953</f>
        <v>0</v>
      </c>
      <c r="P954">
        <f t="shared" si="405"/>
        <v>0</v>
      </c>
      <c r="Q954">
        <f t="shared" si="406"/>
        <v>0</v>
      </c>
    </row>
    <row r="955" spans="1:17">
      <c r="A955" s="388"/>
      <c r="B955" s="391"/>
      <c r="C955" s="69" t="s">
        <v>323</v>
      </c>
      <c r="D955" s="70">
        <v>15</v>
      </c>
      <c r="E955" s="146">
        <v>0.05</v>
      </c>
      <c r="F955" s="70" t="str">
        <f>IFERROR(VLOOKUP(C955,MATERIAUX!$C$3:$G$1002,3,FALSE),"")</f>
        <v>buc</v>
      </c>
      <c r="G955" s="71">
        <f>IFERROR(VLOOKUP(C955,MATERIAUX!$C$3:$G$1002,5,FALSE),"")</f>
        <v>2.771134020618557E-3</v>
      </c>
      <c r="H955" s="71">
        <f t="shared" si="362"/>
        <v>0.04</v>
      </c>
      <c r="I955" s="394"/>
      <c r="J955" s="72"/>
      <c r="K955" s="72"/>
      <c r="L955" s="72" t="str">
        <f>IFERROR(VLOOKUP(J955,'MAIN D OEUVRE'!$A$4:$B$99,2,FALSE)*$N$2,"")</f>
        <v/>
      </c>
      <c r="M955" s="73" t="str">
        <f t="shared" si="403"/>
        <v/>
      </c>
      <c r="N955" s="397"/>
      <c r="O955">
        <f t="shared" ref="O955:O962" si="407">O954</f>
        <v>0</v>
      </c>
      <c r="P955">
        <f t="shared" si="405"/>
        <v>0</v>
      </c>
      <c r="Q955">
        <f t="shared" si="406"/>
        <v>0</v>
      </c>
    </row>
    <row r="956" spans="1:17">
      <c r="A956" s="388"/>
      <c r="B956" s="391"/>
      <c r="C956" s="69" t="s">
        <v>80</v>
      </c>
      <c r="D956" s="70">
        <v>0.5</v>
      </c>
      <c r="E956" s="146">
        <v>0.05</v>
      </c>
      <c r="F956" s="70" t="str">
        <f>IFERROR(VLOOKUP(C956,MATERIAUX!$C$3:$G$1002,3,FALSE),"")</f>
        <v>ml</v>
      </c>
      <c r="G956" s="71">
        <f>IFERROR(VLOOKUP(C956,MATERIAUX!$C$3:$G$1002,5,FALSE),"")</f>
        <v>1.6199257731958763</v>
      </c>
      <c r="H956" s="71">
        <f t="shared" si="362"/>
        <v>0.85</v>
      </c>
      <c r="I956" s="394"/>
      <c r="J956" s="72"/>
      <c r="K956" s="72"/>
      <c r="L956" s="72" t="str">
        <f>IFERROR(VLOOKUP(J956,'MAIN D OEUVRE'!$A$4:$B$99,2,FALSE)*$N$2,"")</f>
        <v/>
      </c>
      <c r="M956" s="73" t="str">
        <f t="shared" si="403"/>
        <v/>
      </c>
      <c r="N956" s="397"/>
      <c r="O956">
        <f t="shared" si="407"/>
        <v>0</v>
      </c>
      <c r="P956">
        <f t="shared" si="405"/>
        <v>0</v>
      </c>
      <c r="Q956">
        <f t="shared" si="406"/>
        <v>0</v>
      </c>
    </row>
    <row r="957" spans="1:17">
      <c r="A957" s="388"/>
      <c r="B957" s="391"/>
      <c r="C957" s="69" t="s">
        <v>77</v>
      </c>
      <c r="D957" s="70">
        <v>0.02</v>
      </c>
      <c r="E957" s="146">
        <v>0.1</v>
      </c>
      <c r="F957" s="70" t="str">
        <f>IFERROR(VLOOKUP(C957,MATERIAUX!$C$3:$G$1002,3,FALSE),"")</f>
        <v>l</v>
      </c>
      <c r="G957" s="71">
        <f>IFERROR(VLOOKUP(C957,MATERIAUX!$C$3:$G$1002,5,FALSE),"")</f>
        <v>8.8206185567010316</v>
      </c>
      <c r="H957" s="71">
        <f t="shared" si="362"/>
        <v>0.19</v>
      </c>
      <c r="I957" s="394"/>
      <c r="J957" s="72"/>
      <c r="K957" s="72"/>
      <c r="L957" s="72" t="str">
        <f>IFERROR(VLOOKUP(J957,'MAIN D OEUVRE'!$A$4:$B$99,2,FALSE)*$N$2,"")</f>
        <v/>
      </c>
      <c r="M957" s="73" t="str">
        <f t="shared" si="403"/>
        <v/>
      </c>
      <c r="N957" s="397"/>
      <c r="O957">
        <f t="shared" si="407"/>
        <v>0</v>
      </c>
      <c r="P957">
        <f t="shared" si="405"/>
        <v>0</v>
      </c>
      <c r="Q957">
        <f t="shared" si="406"/>
        <v>0</v>
      </c>
    </row>
    <row r="958" spans="1:17">
      <c r="A958" s="388"/>
      <c r="B958" s="391"/>
      <c r="C958" s="69"/>
      <c r="D958" s="70"/>
      <c r="E958" s="146"/>
      <c r="F958" s="70" t="str">
        <f>IFERROR(VLOOKUP(C958,MATERIAUX!$C$3:$G$1002,3,FALSE),"")</f>
        <v/>
      </c>
      <c r="G958" s="71" t="str">
        <f>IFERROR(VLOOKUP(C958,MATERIAUX!$C$3:$G$1002,5,FALSE),"")</f>
        <v/>
      </c>
      <c r="H958" s="71" t="str">
        <f t="shared" si="362"/>
        <v/>
      </c>
      <c r="I958" s="394"/>
      <c r="J958" s="72"/>
      <c r="K958" s="72"/>
      <c r="L958" s="72" t="str">
        <f>IFERROR(VLOOKUP(J958,'MAIN D OEUVRE'!$A$4:$B$99,2,FALSE)*$N$2,"")</f>
        <v/>
      </c>
      <c r="M958" s="73" t="str">
        <f t="shared" si="403"/>
        <v/>
      </c>
      <c r="N958" s="397"/>
      <c r="O958">
        <f t="shared" si="407"/>
        <v>0</v>
      </c>
      <c r="P958">
        <f t="shared" si="405"/>
        <v>0</v>
      </c>
      <c r="Q958">
        <f t="shared" si="406"/>
        <v>0</v>
      </c>
    </row>
    <row r="959" spans="1:17">
      <c r="A959" s="388"/>
      <c r="B959" s="391"/>
      <c r="C959" s="69"/>
      <c r="D959" s="70"/>
      <c r="E959" s="146"/>
      <c r="F959" s="70" t="str">
        <f>IFERROR(VLOOKUP(C959,MATERIAUX!$C$3:$G$1002,3,FALSE),"")</f>
        <v/>
      </c>
      <c r="G959" s="71" t="str">
        <f>IFERROR(VLOOKUP(C959,MATERIAUX!$C$3:$G$1002,5,FALSE),"")</f>
        <v/>
      </c>
      <c r="H959" s="71" t="str">
        <f t="shared" si="362"/>
        <v/>
      </c>
      <c r="I959" s="394"/>
      <c r="J959" s="72"/>
      <c r="K959" s="72"/>
      <c r="L959" s="72" t="str">
        <f>IFERROR(VLOOKUP(J959,'MAIN D OEUVRE'!$A$4:$B$99,2,FALSE)*$N$2,"")</f>
        <v/>
      </c>
      <c r="M959" s="73" t="str">
        <f t="shared" si="403"/>
        <v/>
      </c>
      <c r="N959" s="397"/>
      <c r="O959">
        <f t="shared" si="407"/>
        <v>0</v>
      </c>
      <c r="P959">
        <f t="shared" si="405"/>
        <v>0</v>
      </c>
      <c r="Q959">
        <f t="shared" si="406"/>
        <v>0</v>
      </c>
    </row>
    <row r="960" spans="1:17">
      <c r="A960" s="388"/>
      <c r="B960" s="391"/>
      <c r="C960" s="69"/>
      <c r="D960" s="70"/>
      <c r="E960" s="146"/>
      <c r="F960" s="70" t="str">
        <f>IFERROR(VLOOKUP(C960,MATERIAUX!$C$3:$G$1002,3,FALSE),"")</f>
        <v/>
      </c>
      <c r="G960" s="71" t="str">
        <f>IFERROR(VLOOKUP(C960,MATERIAUX!$C$3:$G$1002,5,FALSE),"")</f>
        <v/>
      </c>
      <c r="H960" s="71" t="str">
        <f t="shared" ref="H960:H1022" si="408">IFERROR(ROUND(G960*(1+E960)*D960,2),"")</f>
        <v/>
      </c>
      <c r="I960" s="394"/>
      <c r="J960" s="72"/>
      <c r="K960" s="72"/>
      <c r="L960" s="72" t="str">
        <f>IFERROR(VLOOKUP(J960,'MAIN D OEUVRE'!$A$4:$B$99,2,FALSE)*$N$2,"")</f>
        <v/>
      </c>
      <c r="M960" s="73" t="str">
        <f t="shared" si="403"/>
        <v/>
      </c>
      <c r="N960" s="397"/>
      <c r="O960">
        <f t="shared" si="407"/>
        <v>0</v>
      </c>
      <c r="P960">
        <f t="shared" si="405"/>
        <v>0</v>
      </c>
      <c r="Q960">
        <f t="shared" si="406"/>
        <v>0</v>
      </c>
    </row>
    <row r="961" spans="1:17">
      <c r="A961" s="388"/>
      <c r="B961" s="391"/>
      <c r="C961" s="69"/>
      <c r="D961" s="70"/>
      <c r="E961" s="146"/>
      <c r="F961" s="70" t="str">
        <f>IFERROR(VLOOKUP(C961,MATERIAUX!$C$3:$G$1002,3,FALSE),"")</f>
        <v/>
      </c>
      <c r="G961" s="71" t="str">
        <f>IFERROR(VLOOKUP(C961,MATERIAUX!$C$3:$G$1002,5,FALSE),"")</f>
        <v/>
      </c>
      <c r="H961" s="71" t="str">
        <f t="shared" si="408"/>
        <v/>
      </c>
      <c r="I961" s="394"/>
      <c r="J961" s="72"/>
      <c r="K961" s="72"/>
      <c r="L961" s="72"/>
      <c r="M961" s="73"/>
      <c r="N961" s="397"/>
      <c r="O961">
        <f t="shared" si="407"/>
        <v>0</v>
      </c>
      <c r="P961">
        <f t="shared" si="405"/>
        <v>0</v>
      </c>
      <c r="Q961">
        <f t="shared" si="406"/>
        <v>0</v>
      </c>
    </row>
    <row r="962" spans="1:17" ht="15" thickBot="1">
      <c r="A962" s="389"/>
      <c r="B962" s="392"/>
      <c r="C962" s="74"/>
      <c r="D962" s="75"/>
      <c r="E962" s="147"/>
      <c r="F962" s="70" t="str">
        <f>IFERROR(VLOOKUP(C962,MATERIAUX!$C$3:$G$1002,3,FALSE),"")</f>
        <v/>
      </c>
      <c r="G962" s="71" t="str">
        <f>IFERROR(VLOOKUP(C962,MATERIAUX!$C$3:$G$1002,5,FALSE),"")</f>
        <v/>
      </c>
      <c r="H962" s="71" t="str">
        <f t="shared" si="408"/>
        <v/>
      </c>
      <c r="I962" s="395"/>
      <c r="J962" s="77"/>
      <c r="K962" s="77"/>
      <c r="L962" s="77"/>
      <c r="M962" s="78"/>
      <c r="N962" s="398"/>
      <c r="O962">
        <f t="shared" si="407"/>
        <v>0</v>
      </c>
      <c r="P962">
        <f t="shared" si="405"/>
        <v>0</v>
      </c>
      <c r="Q962">
        <f t="shared" si="406"/>
        <v>0</v>
      </c>
    </row>
    <row r="963" spans="1:17">
      <c r="A963" s="387" t="s">
        <v>469</v>
      </c>
      <c r="B963" s="390" t="s">
        <v>21</v>
      </c>
      <c r="C963" s="64" t="s">
        <v>460</v>
      </c>
      <c r="D963" s="65">
        <v>1.0249999999999999</v>
      </c>
      <c r="E963" s="145">
        <v>0.05</v>
      </c>
      <c r="F963" s="65" t="str">
        <f>IFERROR(VLOOKUP(C963,MATERIAUX!$C$3:$G$1002,3,FALSE),"")</f>
        <v>m2</v>
      </c>
      <c r="G963" s="66">
        <f>IFERROR(VLOOKUP(C963,MATERIAUX!$C$3:$G$1002,5,FALSE),"")</f>
        <v>1.1958762886597938</v>
      </c>
      <c r="H963" s="66">
        <f t="shared" si="408"/>
        <v>1.29</v>
      </c>
      <c r="I963" s="393">
        <f t="shared" ref="I963" si="409">SUM(H963:H972)</f>
        <v>1.29</v>
      </c>
      <c r="J963" s="67" t="s">
        <v>57</v>
      </c>
      <c r="K963" s="67">
        <v>1</v>
      </c>
      <c r="L963" s="67">
        <f>IFERROR(VLOOKUP(J963,'MAIN D OEUVRE'!$A$4:$B$99,2,FALSE)*$N$2,"")</f>
        <v>0.71500000000000008</v>
      </c>
      <c r="M963" s="68">
        <f t="shared" ref="M963:M970" si="410">IFERROR(ROUND(L963*K963,2),"")</f>
        <v>0.72</v>
      </c>
      <c r="N963" s="396">
        <f t="shared" ref="N963" si="411">SUM(M963:M972)</f>
        <v>0.72</v>
      </c>
      <c r="O963" s="350">
        <v>0</v>
      </c>
      <c r="P963">
        <f t="shared" si="405"/>
        <v>0</v>
      </c>
      <c r="Q963">
        <f t="shared" si="406"/>
        <v>0</v>
      </c>
    </row>
    <row r="964" spans="1:17">
      <c r="A964" s="388"/>
      <c r="B964" s="391"/>
      <c r="C964" s="69"/>
      <c r="D964" s="70"/>
      <c r="E964" s="146"/>
      <c r="F964" s="70" t="str">
        <f>IFERROR(VLOOKUP(C964,MATERIAUX!$C$3:$G$1002,3,FALSE),"")</f>
        <v/>
      </c>
      <c r="G964" s="71" t="str">
        <f>IFERROR(VLOOKUP(C964,MATERIAUX!$C$3:$G$1002,5,FALSE),"")</f>
        <v/>
      </c>
      <c r="H964" s="71" t="str">
        <f t="shared" si="408"/>
        <v/>
      </c>
      <c r="I964" s="394"/>
      <c r="J964" s="72"/>
      <c r="K964" s="72"/>
      <c r="L964" s="72" t="str">
        <f>IFERROR(VLOOKUP(J964,'MAIN D OEUVRE'!$A$4:$B$99,2,FALSE)*$N$2,"")</f>
        <v/>
      </c>
      <c r="M964" s="73" t="str">
        <f t="shared" si="410"/>
        <v/>
      </c>
      <c r="N964" s="397"/>
      <c r="O964">
        <f>O963</f>
        <v>0</v>
      </c>
      <c r="P964">
        <f t="shared" si="405"/>
        <v>0</v>
      </c>
      <c r="Q964">
        <f t="shared" si="406"/>
        <v>0</v>
      </c>
    </row>
    <row r="965" spans="1:17">
      <c r="A965" s="388"/>
      <c r="B965" s="391"/>
      <c r="C965" s="69"/>
      <c r="D965" s="70"/>
      <c r="E965" s="146"/>
      <c r="F965" s="70" t="str">
        <f>IFERROR(VLOOKUP(C965,MATERIAUX!$C$3:$G$1002,3,FALSE),"")</f>
        <v/>
      </c>
      <c r="G965" s="71" t="str">
        <f>IFERROR(VLOOKUP(C965,MATERIAUX!$C$3:$G$1002,5,FALSE),"")</f>
        <v/>
      </c>
      <c r="H965" s="71" t="str">
        <f t="shared" si="408"/>
        <v/>
      </c>
      <c r="I965" s="394"/>
      <c r="J965" s="72"/>
      <c r="K965" s="72"/>
      <c r="L965" s="72" t="str">
        <f>IFERROR(VLOOKUP(J965,'MAIN D OEUVRE'!$A$4:$B$99,2,FALSE)*$N$2,"")</f>
        <v/>
      </c>
      <c r="M965" s="73" t="str">
        <f t="shared" si="410"/>
        <v/>
      </c>
      <c r="N965" s="397"/>
      <c r="O965">
        <f t="shared" ref="O965:O972" si="412">O964</f>
        <v>0</v>
      </c>
      <c r="P965">
        <f t="shared" si="405"/>
        <v>0</v>
      </c>
      <c r="Q965">
        <f t="shared" si="406"/>
        <v>0</v>
      </c>
    </row>
    <row r="966" spans="1:17">
      <c r="A966" s="388"/>
      <c r="B966" s="391"/>
      <c r="C966" s="69"/>
      <c r="D966" s="70"/>
      <c r="E966" s="146"/>
      <c r="F966" s="70" t="str">
        <f>IFERROR(VLOOKUP(C966,MATERIAUX!$C$3:$G$1002,3,FALSE),"")</f>
        <v/>
      </c>
      <c r="G966" s="71" t="str">
        <f>IFERROR(VLOOKUP(C966,MATERIAUX!$C$3:$G$1002,5,FALSE),"")</f>
        <v/>
      </c>
      <c r="H966" s="71" t="str">
        <f t="shared" si="408"/>
        <v/>
      </c>
      <c r="I966" s="394"/>
      <c r="J966" s="72"/>
      <c r="K966" s="72"/>
      <c r="L966" s="72" t="str">
        <f>IFERROR(VLOOKUP(J966,'MAIN D OEUVRE'!$A$4:$B$99,2,FALSE)*$N$2,"")</f>
        <v/>
      </c>
      <c r="M966" s="73" t="str">
        <f t="shared" si="410"/>
        <v/>
      </c>
      <c r="N966" s="397"/>
      <c r="O966">
        <f t="shared" si="412"/>
        <v>0</v>
      </c>
      <c r="P966">
        <f t="shared" si="405"/>
        <v>0</v>
      </c>
      <c r="Q966">
        <f t="shared" si="406"/>
        <v>0</v>
      </c>
    </row>
    <row r="967" spans="1:17">
      <c r="A967" s="388"/>
      <c r="B967" s="391"/>
      <c r="C967" s="69"/>
      <c r="D967" s="70"/>
      <c r="E967" s="146"/>
      <c r="F967" s="70" t="str">
        <f>IFERROR(VLOOKUP(C967,MATERIAUX!$C$3:$G$1002,3,FALSE),"")</f>
        <v/>
      </c>
      <c r="G967" s="71" t="str">
        <f>IFERROR(VLOOKUP(C967,MATERIAUX!$C$3:$G$1002,5,FALSE),"")</f>
        <v/>
      </c>
      <c r="H967" s="71" t="str">
        <f t="shared" si="408"/>
        <v/>
      </c>
      <c r="I967" s="394"/>
      <c r="J967" s="72"/>
      <c r="K967" s="72"/>
      <c r="L967" s="72" t="str">
        <f>IFERROR(VLOOKUP(J967,'MAIN D OEUVRE'!$A$4:$B$99,2,FALSE)*$N$2,"")</f>
        <v/>
      </c>
      <c r="M967" s="73" t="str">
        <f t="shared" si="410"/>
        <v/>
      </c>
      <c r="N967" s="397"/>
      <c r="O967">
        <f t="shared" si="412"/>
        <v>0</v>
      </c>
      <c r="P967">
        <f t="shared" si="405"/>
        <v>0</v>
      </c>
      <c r="Q967">
        <f t="shared" si="406"/>
        <v>0</v>
      </c>
    </row>
    <row r="968" spans="1:17">
      <c r="A968" s="388"/>
      <c r="B968" s="391"/>
      <c r="C968" s="69"/>
      <c r="D968" s="70"/>
      <c r="E968" s="146"/>
      <c r="F968" s="70" t="str">
        <f>IFERROR(VLOOKUP(C968,MATERIAUX!$C$3:$G$1002,3,FALSE),"")</f>
        <v/>
      </c>
      <c r="G968" s="71" t="str">
        <f>IFERROR(VLOOKUP(C968,MATERIAUX!$C$3:$G$1002,5,FALSE),"")</f>
        <v/>
      </c>
      <c r="H968" s="71" t="str">
        <f t="shared" si="408"/>
        <v/>
      </c>
      <c r="I968" s="394"/>
      <c r="J968" s="72"/>
      <c r="K968" s="72"/>
      <c r="L968" s="72" t="str">
        <f>IFERROR(VLOOKUP(J968,'MAIN D OEUVRE'!$A$4:$B$99,2,FALSE)*$N$2,"")</f>
        <v/>
      </c>
      <c r="M968" s="73" t="str">
        <f t="shared" si="410"/>
        <v/>
      </c>
      <c r="N968" s="397"/>
      <c r="O968">
        <f t="shared" si="412"/>
        <v>0</v>
      </c>
      <c r="P968">
        <f t="shared" si="405"/>
        <v>0</v>
      </c>
      <c r="Q968">
        <f t="shared" si="406"/>
        <v>0</v>
      </c>
    </row>
    <row r="969" spans="1:17">
      <c r="A969" s="388"/>
      <c r="B969" s="391"/>
      <c r="C969" s="69"/>
      <c r="D969" s="70"/>
      <c r="E969" s="146"/>
      <c r="F969" s="70" t="str">
        <f>IFERROR(VLOOKUP(C969,MATERIAUX!$C$3:$G$1002,3,FALSE),"")</f>
        <v/>
      </c>
      <c r="G969" s="71" t="str">
        <f>IFERROR(VLOOKUP(C969,MATERIAUX!$C$3:$G$1002,5,FALSE),"")</f>
        <v/>
      </c>
      <c r="H969" s="71" t="str">
        <f t="shared" si="408"/>
        <v/>
      </c>
      <c r="I969" s="394"/>
      <c r="J969" s="72"/>
      <c r="K969" s="72"/>
      <c r="L969" s="72" t="str">
        <f>IFERROR(VLOOKUP(J969,'MAIN D OEUVRE'!$A$4:$B$99,2,FALSE)*$N$2,"")</f>
        <v/>
      </c>
      <c r="M969" s="73" t="str">
        <f t="shared" si="410"/>
        <v/>
      </c>
      <c r="N969" s="397"/>
      <c r="O969">
        <f t="shared" si="412"/>
        <v>0</v>
      </c>
      <c r="P969">
        <f t="shared" si="405"/>
        <v>0</v>
      </c>
      <c r="Q969">
        <f t="shared" si="406"/>
        <v>0</v>
      </c>
    </row>
    <row r="970" spans="1:17">
      <c r="A970" s="388"/>
      <c r="B970" s="391"/>
      <c r="C970" s="69"/>
      <c r="D970" s="70"/>
      <c r="E970" s="146"/>
      <c r="F970" s="70" t="str">
        <f>IFERROR(VLOOKUP(C970,MATERIAUX!$C$3:$G$1002,3,FALSE),"")</f>
        <v/>
      </c>
      <c r="G970" s="71" t="str">
        <f>IFERROR(VLOOKUP(C970,MATERIAUX!$C$3:$G$1002,5,FALSE),"")</f>
        <v/>
      </c>
      <c r="H970" s="71" t="str">
        <f t="shared" si="408"/>
        <v/>
      </c>
      <c r="I970" s="394"/>
      <c r="J970" s="72"/>
      <c r="K970" s="72"/>
      <c r="L970" s="72" t="str">
        <f>IFERROR(VLOOKUP(J970,'MAIN D OEUVRE'!$A$4:$B$99,2,FALSE)*$N$2,"")</f>
        <v/>
      </c>
      <c r="M970" s="73" t="str">
        <f t="shared" si="410"/>
        <v/>
      </c>
      <c r="N970" s="397"/>
      <c r="O970">
        <f t="shared" si="412"/>
        <v>0</v>
      </c>
      <c r="P970">
        <f t="shared" si="405"/>
        <v>0</v>
      </c>
      <c r="Q970">
        <f t="shared" si="406"/>
        <v>0</v>
      </c>
    </row>
    <row r="971" spans="1:17">
      <c r="A971" s="388"/>
      <c r="B971" s="391"/>
      <c r="C971" s="69"/>
      <c r="D971" s="70"/>
      <c r="E971" s="146"/>
      <c r="F971" s="70" t="str">
        <f>IFERROR(VLOOKUP(C971,MATERIAUX!$C$3:$G$1002,3,FALSE),"")</f>
        <v/>
      </c>
      <c r="G971" s="71" t="str">
        <f>IFERROR(VLOOKUP(C971,MATERIAUX!$C$3:$G$1002,5,FALSE),"")</f>
        <v/>
      </c>
      <c r="H971" s="71" t="str">
        <f t="shared" si="408"/>
        <v/>
      </c>
      <c r="I971" s="394"/>
      <c r="J971" s="72"/>
      <c r="K971" s="72"/>
      <c r="L971" s="72"/>
      <c r="M971" s="73"/>
      <c r="N971" s="397"/>
      <c r="O971">
        <f t="shared" si="412"/>
        <v>0</v>
      </c>
      <c r="P971">
        <f t="shared" si="405"/>
        <v>0</v>
      </c>
      <c r="Q971">
        <f t="shared" si="406"/>
        <v>0</v>
      </c>
    </row>
    <row r="972" spans="1:17" ht="15" thickBot="1">
      <c r="A972" s="389"/>
      <c r="B972" s="392"/>
      <c r="C972" s="74"/>
      <c r="D972" s="75"/>
      <c r="E972" s="147"/>
      <c r="F972" s="70" t="str">
        <f>IFERROR(VLOOKUP(C972,MATERIAUX!$C$3:$G$1002,3,FALSE),"")</f>
        <v/>
      </c>
      <c r="G972" s="71" t="str">
        <f>IFERROR(VLOOKUP(C972,MATERIAUX!$C$3:$G$1002,5,FALSE),"")</f>
        <v/>
      </c>
      <c r="H972" s="71" t="str">
        <f t="shared" si="408"/>
        <v/>
      </c>
      <c r="I972" s="395"/>
      <c r="J972" s="77"/>
      <c r="K972" s="77"/>
      <c r="L972" s="77"/>
      <c r="M972" s="78"/>
      <c r="N972" s="398"/>
      <c r="O972">
        <f t="shared" si="412"/>
        <v>0</v>
      </c>
      <c r="P972">
        <f t="shared" si="405"/>
        <v>0</v>
      </c>
      <c r="Q972">
        <f t="shared" si="406"/>
        <v>0</v>
      </c>
    </row>
    <row r="973" spans="1:17">
      <c r="A973" s="387" t="s">
        <v>472</v>
      </c>
      <c r="B973" s="390" t="s">
        <v>127</v>
      </c>
      <c r="C973" s="64" t="s">
        <v>471</v>
      </c>
      <c r="D973" s="65">
        <v>1</v>
      </c>
      <c r="E973" s="145">
        <v>0.05</v>
      </c>
      <c r="F973" s="65" t="str">
        <f>IFERROR(VLOOKUP(C973,MATERIAUX!$C$3:$G$1002,3,FALSE),"")</f>
        <v>u</v>
      </c>
      <c r="G973" s="66">
        <f>IFERROR(VLOOKUP(C973,MATERIAUX!$C$3:$G$1002,5,FALSE),"")</f>
        <v>1.6494845360824744</v>
      </c>
      <c r="H973" s="66">
        <f t="shared" si="408"/>
        <v>1.73</v>
      </c>
      <c r="I973" s="393">
        <f t="shared" ref="I973" si="413">SUM(H973:H982)</f>
        <v>2.44</v>
      </c>
      <c r="J973" s="67" t="s">
        <v>269</v>
      </c>
      <c r="K973" s="67">
        <v>1</v>
      </c>
      <c r="L973" s="67">
        <v>3</v>
      </c>
      <c r="M973" s="68">
        <f t="shared" ref="M973:M980" si="414">IFERROR(ROUND(L973*K973,2),"")</f>
        <v>3</v>
      </c>
      <c r="N973" s="396">
        <f t="shared" ref="N973" si="415">SUM(M973:M982)</f>
        <v>3</v>
      </c>
      <c r="O973" s="350">
        <v>0</v>
      </c>
      <c r="P973">
        <f t="shared" si="405"/>
        <v>0</v>
      </c>
      <c r="Q973">
        <f t="shared" si="406"/>
        <v>0</v>
      </c>
    </row>
    <row r="974" spans="1:17">
      <c r="A974" s="388"/>
      <c r="B974" s="391"/>
      <c r="C974" s="69" t="s">
        <v>470</v>
      </c>
      <c r="D974" s="70">
        <v>3</v>
      </c>
      <c r="E974" s="146">
        <v>0.05</v>
      </c>
      <c r="F974" s="70" t="str">
        <f>IFERROR(VLOOKUP(C974,MATERIAUX!$C$3:$G$1002,3,FALSE),"")</f>
        <v>ml</v>
      </c>
      <c r="G974" s="71">
        <f>IFERROR(VLOOKUP(C974,MATERIAUX!$C$3:$G$1002,5,FALSE),"")</f>
        <v>0.22680412371134023</v>
      </c>
      <c r="H974" s="71">
        <f t="shared" si="408"/>
        <v>0.71</v>
      </c>
      <c r="I974" s="394"/>
      <c r="J974" s="72"/>
      <c r="K974" s="72"/>
      <c r="L974" s="72" t="str">
        <f>IFERROR(VLOOKUP(J974,'MAIN D OEUVRE'!$A$4:$B$99,2,FALSE)*$N$2,"")</f>
        <v/>
      </c>
      <c r="M974" s="73" t="str">
        <f t="shared" si="414"/>
        <v/>
      </c>
      <c r="N974" s="397"/>
      <c r="O974">
        <f>O973</f>
        <v>0</v>
      </c>
      <c r="P974">
        <f t="shared" si="405"/>
        <v>0</v>
      </c>
      <c r="Q974">
        <f t="shared" si="406"/>
        <v>0</v>
      </c>
    </row>
    <row r="975" spans="1:17">
      <c r="A975" s="388"/>
      <c r="B975" s="391"/>
      <c r="C975" s="69"/>
      <c r="D975" s="70"/>
      <c r="E975" s="146"/>
      <c r="F975" s="70" t="str">
        <f>IFERROR(VLOOKUP(C975,MATERIAUX!$C$3:$G$1002,3,FALSE),"")</f>
        <v/>
      </c>
      <c r="G975" s="71" t="str">
        <f>IFERROR(VLOOKUP(C975,MATERIAUX!$C$3:$G$1002,5,FALSE),"")</f>
        <v/>
      </c>
      <c r="H975" s="71" t="str">
        <f t="shared" si="408"/>
        <v/>
      </c>
      <c r="I975" s="394"/>
      <c r="J975" s="72"/>
      <c r="K975" s="72"/>
      <c r="L975" s="72" t="str">
        <f>IFERROR(VLOOKUP(J975,'MAIN D OEUVRE'!$A$4:$B$99,2,FALSE)*$N$2,"")</f>
        <v/>
      </c>
      <c r="M975" s="73" t="str">
        <f t="shared" si="414"/>
        <v/>
      </c>
      <c r="N975" s="397"/>
      <c r="O975">
        <f t="shared" ref="O975:O982" si="416">O974</f>
        <v>0</v>
      </c>
      <c r="P975">
        <f t="shared" si="405"/>
        <v>0</v>
      </c>
      <c r="Q975">
        <f t="shared" si="406"/>
        <v>0</v>
      </c>
    </row>
    <row r="976" spans="1:17">
      <c r="A976" s="388"/>
      <c r="B976" s="391"/>
      <c r="C976" s="69"/>
      <c r="D976" s="70"/>
      <c r="E976" s="146"/>
      <c r="F976" s="70" t="str">
        <f>IFERROR(VLOOKUP(C976,MATERIAUX!$C$3:$G$1002,3,FALSE),"")</f>
        <v/>
      </c>
      <c r="G976" s="71" t="str">
        <f>IFERROR(VLOOKUP(C976,MATERIAUX!$C$3:$G$1002,5,FALSE),"")</f>
        <v/>
      </c>
      <c r="H976" s="71" t="str">
        <f t="shared" si="408"/>
        <v/>
      </c>
      <c r="I976" s="394"/>
      <c r="J976" s="72"/>
      <c r="K976" s="72"/>
      <c r="L976" s="72" t="str">
        <f>IFERROR(VLOOKUP(J976,'MAIN D OEUVRE'!$A$4:$B$99,2,FALSE)*$N$2,"")</f>
        <v/>
      </c>
      <c r="M976" s="73" t="str">
        <f t="shared" si="414"/>
        <v/>
      </c>
      <c r="N976" s="397"/>
      <c r="O976">
        <f t="shared" si="416"/>
        <v>0</v>
      </c>
      <c r="P976">
        <f t="shared" si="405"/>
        <v>0</v>
      </c>
      <c r="Q976">
        <f t="shared" si="406"/>
        <v>0</v>
      </c>
    </row>
    <row r="977" spans="1:17">
      <c r="A977" s="388"/>
      <c r="B977" s="391"/>
      <c r="C977" s="69"/>
      <c r="D977" s="70"/>
      <c r="E977" s="146"/>
      <c r="F977" s="70" t="str">
        <f>IFERROR(VLOOKUP(C977,MATERIAUX!$C$3:$G$1002,3,FALSE),"")</f>
        <v/>
      </c>
      <c r="G977" s="71" t="str">
        <f>IFERROR(VLOOKUP(C977,MATERIAUX!$C$3:$G$1002,5,FALSE),"")</f>
        <v/>
      </c>
      <c r="H977" s="71" t="str">
        <f t="shared" si="408"/>
        <v/>
      </c>
      <c r="I977" s="394"/>
      <c r="J977" s="72"/>
      <c r="K977" s="72"/>
      <c r="L977" s="72" t="str">
        <f>IFERROR(VLOOKUP(J977,'MAIN D OEUVRE'!$A$4:$B$99,2,FALSE)*$N$2,"")</f>
        <v/>
      </c>
      <c r="M977" s="73" t="str">
        <f t="shared" si="414"/>
        <v/>
      </c>
      <c r="N977" s="397"/>
      <c r="O977">
        <f t="shared" si="416"/>
        <v>0</v>
      </c>
      <c r="P977">
        <f t="shared" si="405"/>
        <v>0</v>
      </c>
      <c r="Q977">
        <f t="shared" si="406"/>
        <v>0</v>
      </c>
    </row>
    <row r="978" spans="1:17">
      <c r="A978" s="388"/>
      <c r="B978" s="391"/>
      <c r="C978" s="69"/>
      <c r="D978" s="70"/>
      <c r="E978" s="146"/>
      <c r="F978" s="70" t="str">
        <f>IFERROR(VLOOKUP(C978,MATERIAUX!$C$3:$G$1002,3,FALSE),"")</f>
        <v/>
      </c>
      <c r="G978" s="71" t="str">
        <f>IFERROR(VLOOKUP(C978,MATERIAUX!$C$3:$G$1002,5,FALSE),"")</f>
        <v/>
      </c>
      <c r="H978" s="71" t="str">
        <f t="shared" si="408"/>
        <v/>
      </c>
      <c r="I978" s="394"/>
      <c r="J978" s="72"/>
      <c r="K978" s="72"/>
      <c r="L978" s="72" t="str">
        <f>IFERROR(VLOOKUP(J978,'MAIN D OEUVRE'!$A$4:$B$99,2,FALSE)*$N$2,"")</f>
        <v/>
      </c>
      <c r="M978" s="73" t="str">
        <f t="shared" si="414"/>
        <v/>
      </c>
      <c r="N978" s="397"/>
      <c r="O978">
        <f t="shared" si="416"/>
        <v>0</v>
      </c>
      <c r="P978">
        <f t="shared" si="405"/>
        <v>0</v>
      </c>
      <c r="Q978">
        <f t="shared" si="406"/>
        <v>0</v>
      </c>
    </row>
    <row r="979" spans="1:17">
      <c r="A979" s="388"/>
      <c r="B979" s="391"/>
      <c r="C979" s="69"/>
      <c r="D979" s="70"/>
      <c r="E979" s="146"/>
      <c r="F979" s="70" t="str">
        <f>IFERROR(VLOOKUP(C979,MATERIAUX!$C$3:$G$1002,3,FALSE),"")</f>
        <v/>
      </c>
      <c r="G979" s="71" t="str">
        <f>IFERROR(VLOOKUP(C979,MATERIAUX!$C$3:$G$1002,5,FALSE),"")</f>
        <v/>
      </c>
      <c r="H979" s="71" t="str">
        <f t="shared" si="408"/>
        <v/>
      </c>
      <c r="I979" s="394"/>
      <c r="J979" s="72"/>
      <c r="K979" s="72"/>
      <c r="L979" s="72" t="str">
        <f>IFERROR(VLOOKUP(J979,'MAIN D OEUVRE'!$A$4:$B$99,2,FALSE)*$N$2,"")</f>
        <v/>
      </c>
      <c r="M979" s="73" t="str">
        <f t="shared" si="414"/>
        <v/>
      </c>
      <c r="N979" s="397"/>
      <c r="O979">
        <f t="shared" si="416"/>
        <v>0</v>
      </c>
      <c r="P979">
        <f t="shared" si="405"/>
        <v>0</v>
      </c>
      <c r="Q979">
        <f t="shared" si="406"/>
        <v>0</v>
      </c>
    </row>
    <row r="980" spans="1:17">
      <c r="A980" s="388"/>
      <c r="B980" s="391"/>
      <c r="C980" s="69"/>
      <c r="D980" s="70"/>
      <c r="E980" s="146"/>
      <c r="F980" s="70" t="str">
        <f>IFERROR(VLOOKUP(C980,MATERIAUX!$C$3:$G$1002,3,FALSE),"")</f>
        <v/>
      </c>
      <c r="G980" s="71" t="str">
        <f>IFERROR(VLOOKUP(C980,MATERIAUX!$C$3:$G$1002,5,FALSE),"")</f>
        <v/>
      </c>
      <c r="H980" s="71" t="str">
        <f t="shared" si="408"/>
        <v/>
      </c>
      <c r="I980" s="394"/>
      <c r="J980" s="72"/>
      <c r="K980" s="72"/>
      <c r="L980" s="72" t="str">
        <f>IFERROR(VLOOKUP(J980,'MAIN D OEUVRE'!$A$4:$B$99,2,FALSE)*$N$2,"")</f>
        <v/>
      </c>
      <c r="M980" s="73" t="str">
        <f t="shared" si="414"/>
        <v/>
      </c>
      <c r="N980" s="397"/>
      <c r="O980">
        <f t="shared" si="416"/>
        <v>0</v>
      </c>
      <c r="P980">
        <f t="shared" si="405"/>
        <v>0</v>
      </c>
      <c r="Q980">
        <f t="shared" si="406"/>
        <v>0</v>
      </c>
    </row>
    <row r="981" spans="1:17">
      <c r="A981" s="388"/>
      <c r="B981" s="391"/>
      <c r="C981" s="69"/>
      <c r="D981" s="70"/>
      <c r="E981" s="146"/>
      <c r="F981" s="70" t="str">
        <f>IFERROR(VLOOKUP(C981,MATERIAUX!$C$3:$G$1002,3,FALSE),"")</f>
        <v/>
      </c>
      <c r="G981" s="71" t="str">
        <f>IFERROR(VLOOKUP(C981,MATERIAUX!$C$3:$G$1002,5,FALSE),"")</f>
        <v/>
      </c>
      <c r="H981" s="71" t="str">
        <f t="shared" si="408"/>
        <v/>
      </c>
      <c r="I981" s="394"/>
      <c r="J981" s="72"/>
      <c r="K981" s="72"/>
      <c r="L981" s="72"/>
      <c r="M981" s="73"/>
      <c r="N981" s="397"/>
      <c r="O981">
        <f t="shared" si="416"/>
        <v>0</v>
      </c>
      <c r="P981">
        <f t="shared" si="405"/>
        <v>0</v>
      </c>
      <c r="Q981">
        <f t="shared" si="406"/>
        <v>0</v>
      </c>
    </row>
    <row r="982" spans="1:17" ht="15" thickBot="1">
      <c r="A982" s="389"/>
      <c r="B982" s="392"/>
      <c r="C982" s="74"/>
      <c r="D982" s="75"/>
      <c r="E982" s="147"/>
      <c r="F982" s="70" t="str">
        <f>IFERROR(VLOOKUP(C982,MATERIAUX!$C$3:$G$1002,3,FALSE),"")</f>
        <v/>
      </c>
      <c r="G982" s="71" t="str">
        <f>IFERROR(VLOOKUP(C982,MATERIAUX!$C$3:$G$1002,5,FALSE),"")</f>
        <v/>
      </c>
      <c r="H982" s="71" t="str">
        <f t="shared" si="408"/>
        <v/>
      </c>
      <c r="I982" s="395"/>
      <c r="J982" s="77"/>
      <c r="K982" s="77"/>
      <c r="L982" s="77"/>
      <c r="M982" s="78"/>
      <c r="N982" s="398"/>
      <c r="O982">
        <f t="shared" si="416"/>
        <v>0</v>
      </c>
      <c r="P982">
        <f t="shared" si="405"/>
        <v>0</v>
      </c>
      <c r="Q982">
        <f t="shared" si="406"/>
        <v>0</v>
      </c>
    </row>
    <row r="983" spans="1:17">
      <c r="A983" s="387" t="s">
        <v>516</v>
      </c>
      <c r="B983" s="390" t="s">
        <v>21</v>
      </c>
      <c r="C983" s="64"/>
      <c r="D983" s="65"/>
      <c r="E983" s="145"/>
      <c r="F983" s="65" t="str">
        <f>IFERROR(VLOOKUP(C983,MATERIAUX!$C$3:$G$1002,3,FALSE),"")</f>
        <v/>
      </c>
      <c r="G983" s="66" t="str">
        <f>IFERROR(VLOOKUP(C983,MATERIAUX!$C$3:$G$1002,5,FALSE),"")</f>
        <v/>
      </c>
      <c r="H983" s="66" t="str">
        <f t="shared" si="408"/>
        <v/>
      </c>
      <c r="I983" s="393">
        <f t="shared" ref="I983" si="417">SUM(H983:H992)</f>
        <v>0</v>
      </c>
      <c r="J983" s="67" t="s">
        <v>52</v>
      </c>
      <c r="K983" s="67">
        <v>1</v>
      </c>
      <c r="L983" s="67">
        <f>IFERROR(VLOOKUP(J983,'MAIN D OEUVRE'!$A$4:$B$99,2,FALSE)*$N$2,"")</f>
        <v>2.75</v>
      </c>
      <c r="M983" s="68">
        <f t="shared" ref="M983:M990" si="418">IFERROR(ROUND(L983*K983,2),"")</f>
        <v>2.75</v>
      </c>
      <c r="N983" s="396">
        <f t="shared" ref="N983" si="419">SUM(M983:M992)</f>
        <v>12.38</v>
      </c>
      <c r="O983" s="350">
        <v>0</v>
      </c>
      <c r="P983">
        <f t="shared" ref="P983:P1011" si="420">(D983+D983*E983)*O983</f>
        <v>0</v>
      </c>
      <c r="Q983">
        <f t="shared" ref="Q983:Q1011" si="421">IF(P983=0,0,P983*G983)</f>
        <v>0</v>
      </c>
    </row>
    <row r="984" spans="1:17">
      <c r="A984" s="388"/>
      <c r="B984" s="391"/>
      <c r="C984" s="69"/>
      <c r="D984" s="70"/>
      <c r="E984" s="146"/>
      <c r="F984" s="70" t="str">
        <f>IFERROR(VLOOKUP(C984,MATERIAUX!$C$3:$G$1002,3,FALSE),"")</f>
        <v/>
      </c>
      <c r="G984" s="71" t="str">
        <f>IFERROR(VLOOKUP(C984,MATERIAUX!$C$3:$G$1002,5,FALSE),"")</f>
        <v/>
      </c>
      <c r="H984" s="71" t="str">
        <f t="shared" si="408"/>
        <v/>
      </c>
      <c r="I984" s="394"/>
      <c r="J984" s="72" t="s">
        <v>438</v>
      </c>
      <c r="K984" s="72">
        <v>0.5</v>
      </c>
      <c r="L984" s="72">
        <f>IFERROR(VLOOKUP(J984,'MAIN D OEUVRE'!$A$4:$B$99,2,FALSE)*$N$2,"")</f>
        <v>19.25</v>
      </c>
      <c r="M984" s="73">
        <f t="shared" si="418"/>
        <v>9.6300000000000008</v>
      </c>
      <c r="N984" s="397"/>
      <c r="O984">
        <f>O983</f>
        <v>0</v>
      </c>
      <c r="P984">
        <f t="shared" si="420"/>
        <v>0</v>
      </c>
      <c r="Q984">
        <f t="shared" si="421"/>
        <v>0</v>
      </c>
    </row>
    <row r="985" spans="1:17">
      <c r="A985" s="388"/>
      <c r="B985" s="391"/>
      <c r="C985" s="69"/>
      <c r="D985" s="70"/>
      <c r="E985" s="146"/>
      <c r="F985" s="70" t="str">
        <f>IFERROR(VLOOKUP(C985,MATERIAUX!$C$3:$G$1002,3,FALSE),"")</f>
        <v/>
      </c>
      <c r="G985" s="71" t="str">
        <f>IFERROR(VLOOKUP(C985,MATERIAUX!$C$3:$G$1002,5,FALSE),"")</f>
        <v/>
      </c>
      <c r="H985" s="71" t="str">
        <f t="shared" si="408"/>
        <v/>
      </c>
      <c r="I985" s="394"/>
      <c r="J985" s="72"/>
      <c r="K985" s="72"/>
      <c r="L985" s="72" t="str">
        <f>IFERROR(VLOOKUP(J985,'MAIN D OEUVRE'!$A$4:$B$99,2,FALSE)*$N$2,"")</f>
        <v/>
      </c>
      <c r="M985" s="73" t="str">
        <f t="shared" si="418"/>
        <v/>
      </c>
      <c r="N985" s="397"/>
      <c r="O985">
        <f t="shared" ref="O985:O992" si="422">O984</f>
        <v>0</v>
      </c>
      <c r="P985">
        <f t="shared" si="420"/>
        <v>0</v>
      </c>
      <c r="Q985">
        <f t="shared" si="421"/>
        <v>0</v>
      </c>
    </row>
    <row r="986" spans="1:17">
      <c r="A986" s="388"/>
      <c r="B986" s="391"/>
      <c r="C986" s="69"/>
      <c r="D986" s="70"/>
      <c r="E986" s="146"/>
      <c r="F986" s="70" t="str">
        <f>IFERROR(VLOOKUP(C986,MATERIAUX!$C$3:$G$1002,3,FALSE),"")</f>
        <v/>
      </c>
      <c r="G986" s="71" t="str">
        <f>IFERROR(VLOOKUP(C986,MATERIAUX!$C$3:$G$1002,5,FALSE),"")</f>
        <v/>
      </c>
      <c r="H986" s="71" t="str">
        <f t="shared" si="408"/>
        <v/>
      </c>
      <c r="I986" s="394"/>
      <c r="J986" s="72"/>
      <c r="K986" s="72"/>
      <c r="L986" s="72" t="str">
        <f>IFERROR(VLOOKUP(J986,'MAIN D OEUVRE'!$A$4:$B$99,2,FALSE)*$N$2,"")</f>
        <v/>
      </c>
      <c r="M986" s="73" t="str">
        <f t="shared" si="418"/>
        <v/>
      </c>
      <c r="N986" s="397"/>
      <c r="O986">
        <f t="shared" si="422"/>
        <v>0</v>
      </c>
      <c r="P986">
        <f t="shared" si="420"/>
        <v>0</v>
      </c>
      <c r="Q986">
        <f t="shared" si="421"/>
        <v>0</v>
      </c>
    </row>
    <row r="987" spans="1:17">
      <c r="A987" s="388"/>
      <c r="B987" s="391"/>
      <c r="C987" s="69"/>
      <c r="D987" s="70"/>
      <c r="E987" s="146"/>
      <c r="F987" s="70" t="str">
        <f>IFERROR(VLOOKUP(C987,MATERIAUX!$C$3:$G$1002,3,FALSE),"")</f>
        <v/>
      </c>
      <c r="G987" s="71" t="str">
        <f>IFERROR(VLOOKUP(C987,MATERIAUX!$C$3:$G$1002,5,FALSE),"")</f>
        <v/>
      </c>
      <c r="H987" s="71" t="str">
        <f t="shared" si="408"/>
        <v/>
      </c>
      <c r="I987" s="394"/>
      <c r="J987" s="72"/>
      <c r="K987" s="72"/>
      <c r="L987" s="72" t="str">
        <f>IFERROR(VLOOKUP(J987,'MAIN D OEUVRE'!$A$4:$B$99,2,FALSE)*$N$2,"")</f>
        <v/>
      </c>
      <c r="M987" s="73" t="str">
        <f t="shared" si="418"/>
        <v/>
      </c>
      <c r="N987" s="397"/>
      <c r="O987">
        <f t="shared" si="422"/>
        <v>0</v>
      </c>
      <c r="P987">
        <f t="shared" si="420"/>
        <v>0</v>
      </c>
      <c r="Q987">
        <f t="shared" si="421"/>
        <v>0</v>
      </c>
    </row>
    <row r="988" spans="1:17">
      <c r="A988" s="388"/>
      <c r="B988" s="391"/>
      <c r="C988" s="69"/>
      <c r="D988" s="70"/>
      <c r="E988" s="146"/>
      <c r="F988" s="70" t="str">
        <f>IFERROR(VLOOKUP(C988,MATERIAUX!$C$3:$G$1002,3,FALSE),"")</f>
        <v/>
      </c>
      <c r="G988" s="71" t="str">
        <f>IFERROR(VLOOKUP(C988,MATERIAUX!$C$3:$G$1002,5,FALSE),"")</f>
        <v/>
      </c>
      <c r="H988" s="71" t="str">
        <f t="shared" si="408"/>
        <v/>
      </c>
      <c r="I988" s="394"/>
      <c r="J988" s="72"/>
      <c r="K988" s="72"/>
      <c r="L988" s="72" t="str">
        <f>IFERROR(VLOOKUP(J988,'MAIN D OEUVRE'!$A$4:$B$99,2,FALSE)*$N$2,"")</f>
        <v/>
      </c>
      <c r="M988" s="73" t="str">
        <f t="shared" si="418"/>
        <v/>
      </c>
      <c r="N988" s="397"/>
      <c r="O988">
        <f t="shared" si="422"/>
        <v>0</v>
      </c>
      <c r="P988">
        <f t="shared" si="420"/>
        <v>0</v>
      </c>
      <c r="Q988">
        <f t="shared" si="421"/>
        <v>0</v>
      </c>
    </row>
    <row r="989" spans="1:17">
      <c r="A989" s="388"/>
      <c r="B989" s="391"/>
      <c r="C989" s="69"/>
      <c r="D989" s="70"/>
      <c r="E989" s="146"/>
      <c r="F989" s="70" t="str">
        <f>IFERROR(VLOOKUP(C989,MATERIAUX!$C$3:$G$1002,3,FALSE),"")</f>
        <v/>
      </c>
      <c r="G989" s="71" t="str">
        <f>IFERROR(VLOOKUP(C989,MATERIAUX!$C$3:$G$1002,5,FALSE),"")</f>
        <v/>
      </c>
      <c r="H989" s="71" t="str">
        <f t="shared" si="408"/>
        <v/>
      </c>
      <c r="I989" s="394"/>
      <c r="J989" s="72"/>
      <c r="K989" s="72"/>
      <c r="L989" s="72" t="str">
        <f>IFERROR(VLOOKUP(J989,'MAIN D OEUVRE'!$A$4:$B$99,2,FALSE)*$N$2,"")</f>
        <v/>
      </c>
      <c r="M989" s="73" t="str">
        <f t="shared" si="418"/>
        <v/>
      </c>
      <c r="N989" s="397"/>
      <c r="O989">
        <f t="shared" si="422"/>
        <v>0</v>
      </c>
      <c r="P989">
        <f t="shared" si="420"/>
        <v>0</v>
      </c>
      <c r="Q989">
        <f t="shared" si="421"/>
        <v>0</v>
      </c>
    </row>
    <row r="990" spans="1:17">
      <c r="A990" s="388"/>
      <c r="B990" s="391"/>
      <c r="C990" s="69"/>
      <c r="D990" s="70"/>
      <c r="E990" s="146"/>
      <c r="F990" s="70" t="str">
        <f>IFERROR(VLOOKUP(C990,MATERIAUX!$C$3:$G$1002,3,FALSE),"")</f>
        <v/>
      </c>
      <c r="G990" s="71" t="str">
        <f>IFERROR(VLOOKUP(C990,MATERIAUX!$C$3:$G$1002,5,FALSE),"")</f>
        <v/>
      </c>
      <c r="H990" s="71" t="str">
        <f t="shared" si="408"/>
        <v/>
      </c>
      <c r="I990" s="394"/>
      <c r="J990" s="72"/>
      <c r="K990" s="72"/>
      <c r="L990" s="72" t="str">
        <f>IFERROR(VLOOKUP(J990,'MAIN D OEUVRE'!$A$4:$B$99,2,FALSE)*$N$2,"")</f>
        <v/>
      </c>
      <c r="M990" s="73" t="str">
        <f t="shared" si="418"/>
        <v/>
      </c>
      <c r="N990" s="397"/>
      <c r="O990">
        <f t="shared" si="422"/>
        <v>0</v>
      </c>
      <c r="P990">
        <f t="shared" si="420"/>
        <v>0</v>
      </c>
      <c r="Q990">
        <f t="shared" si="421"/>
        <v>0</v>
      </c>
    </row>
    <row r="991" spans="1:17">
      <c r="A991" s="388"/>
      <c r="B991" s="391"/>
      <c r="C991" s="69"/>
      <c r="D991" s="70"/>
      <c r="E991" s="146"/>
      <c r="F991" s="70" t="str">
        <f>IFERROR(VLOOKUP(C991,MATERIAUX!$C$3:$G$1002,3,FALSE),"")</f>
        <v/>
      </c>
      <c r="G991" s="71" t="str">
        <f>IFERROR(VLOOKUP(C991,MATERIAUX!$C$3:$G$1002,5,FALSE),"")</f>
        <v/>
      </c>
      <c r="H991" s="71" t="str">
        <f t="shared" si="408"/>
        <v/>
      </c>
      <c r="I991" s="394"/>
      <c r="J991" s="72"/>
      <c r="K991" s="72"/>
      <c r="L991" s="72"/>
      <c r="M991" s="73"/>
      <c r="N991" s="397"/>
      <c r="O991">
        <f t="shared" si="422"/>
        <v>0</v>
      </c>
      <c r="P991">
        <f t="shared" si="420"/>
        <v>0</v>
      </c>
      <c r="Q991">
        <f t="shared" si="421"/>
        <v>0</v>
      </c>
    </row>
    <row r="992" spans="1:17" ht="15" thickBot="1">
      <c r="A992" s="389"/>
      <c r="B992" s="392"/>
      <c r="C992" s="74"/>
      <c r="D992" s="75"/>
      <c r="E992" s="147"/>
      <c r="F992" s="70" t="str">
        <f>IFERROR(VLOOKUP(C992,MATERIAUX!$C$3:$G$1002,3,FALSE),"")</f>
        <v/>
      </c>
      <c r="G992" s="71" t="str">
        <f>IFERROR(VLOOKUP(C992,MATERIAUX!$C$3:$G$1002,5,FALSE),"")</f>
        <v/>
      </c>
      <c r="H992" s="71" t="str">
        <f t="shared" si="408"/>
        <v/>
      </c>
      <c r="I992" s="395"/>
      <c r="J992" s="77"/>
      <c r="K992" s="77"/>
      <c r="L992" s="77"/>
      <c r="M992" s="78"/>
      <c r="N992" s="398"/>
      <c r="O992">
        <f t="shared" si="422"/>
        <v>0</v>
      </c>
      <c r="P992">
        <f t="shared" si="420"/>
        <v>0</v>
      </c>
      <c r="Q992">
        <f t="shared" si="421"/>
        <v>0</v>
      </c>
    </row>
    <row r="993" spans="1:17">
      <c r="A993" s="387" t="s">
        <v>521</v>
      </c>
      <c r="B993" s="390" t="s">
        <v>127</v>
      </c>
      <c r="C993" s="64" t="s">
        <v>102</v>
      </c>
      <c r="D993" s="65">
        <f>2.8*0.5</f>
        <v>1.4</v>
      </c>
      <c r="E993" s="145">
        <v>0.1</v>
      </c>
      <c r="F993" s="65" t="str">
        <f>IFERROR(VLOOKUP(C993,MATERIAUX!$C$3:$G$1002,3,FALSE),"")</f>
        <v>m2</v>
      </c>
      <c r="G993" s="66">
        <f>IFERROR(VLOOKUP(C993,MATERIAUX!$C$3:$G$1002,5,FALSE),"")</f>
        <v>6.3257731958762893</v>
      </c>
      <c r="H993" s="66">
        <f t="shared" si="408"/>
        <v>9.74</v>
      </c>
      <c r="I993" s="393">
        <f t="shared" ref="I993" si="423">SUM(H993:H1002)</f>
        <v>14.82</v>
      </c>
      <c r="J993" s="67" t="s">
        <v>52</v>
      </c>
      <c r="K993" s="67">
        <v>1.5</v>
      </c>
      <c r="L993" s="67">
        <f>IFERROR(VLOOKUP(J993,'MAIN D OEUVRE'!$A$4:$B$99,2,FALSE)*$N$2,"")</f>
        <v>2.75</v>
      </c>
      <c r="M993" s="68">
        <f t="shared" ref="M993:M1000" si="424">IFERROR(ROUND(L993*K993,2),"")</f>
        <v>4.13</v>
      </c>
      <c r="N993" s="396">
        <f t="shared" ref="N993" si="425">SUM(M993:M1002)</f>
        <v>4.13</v>
      </c>
      <c r="O993" s="350">
        <v>0</v>
      </c>
      <c r="P993">
        <f t="shared" si="420"/>
        <v>0</v>
      </c>
      <c r="Q993">
        <f t="shared" si="421"/>
        <v>0</v>
      </c>
    </row>
    <row r="994" spans="1:17">
      <c r="A994" s="388"/>
      <c r="B994" s="391"/>
      <c r="C994" s="69" t="s">
        <v>323</v>
      </c>
      <c r="D994" s="70">
        <v>27</v>
      </c>
      <c r="E994" s="146">
        <v>0.05</v>
      </c>
      <c r="F994" s="70" t="str">
        <f>IFERROR(VLOOKUP(C994,MATERIAUX!$C$3:$G$1002,3,FALSE),"")</f>
        <v>buc</v>
      </c>
      <c r="G994" s="71">
        <f>IFERROR(VLOOKUP(C994,MATERIAUX!$C$3:$G$1002,5,FALSE),"")</f>
        <v>2.771134020618557E-3</v>
      </c>
      <c r="H994" s="71">
        <f t="shared" si="408"/>
        <v>0.08</v>
      </c>
      <c r="I994" s="394"/>
      <c r="J994" s="72"/>
      <c r="K994" s="72"/>
      <c r="L994" s="72" t="str">
        <f>IFERROR(VLOOKUP(J994,'MAIN D OEUVRE'!$A$4:$B$99,2,FALSE)*$N$2,"")</f>
        <v/>
      </c>
      <c r="M994" s="73" t="str">
        <f t="shared" si="424"/>
        <v/>
      </c>
      <c r="N994" s="397"/>
      <c r="O994">
        <f>O993</f>
        <v>0</v>
      </c>
      <c r="P994">
        <f t="shared" si="420"/>
        <v>0</v>
      </c>
      <c r="Q994">
        <f t="shared" si="421"/>
        <v>0</v>
      </c>
    </row>
    <row r="995" spans="1:17">
      <c r="A995" s="388"/>
      <c r="B995" s="391"/>
      <c r="C995" s="69" t="s">
        <v>325</v>
      </c>
      <c r="D995" s="70">
        <v>18</v>
      </c>
      <c r="E995" s="146">
        <v>0.05</v>
      </c>
      <c r="F995" s="70" t="str">
        <f>IFERROR(VLOOKUP(C995,MATERIAUX!$C$3:$G$1002,3,FALSE),"")</f>
        <v>buc</v>
      </c>
      <c r="G995" s="71">
        <f>IFERROR(VLOOKUP(C995,MATERIAUX!$C$3:$G$1002,5,FALSE),"")</f>
        <v>7.4494845360824749E-2</v>
      </c>
      <c r="H995" s="71">
        <f t="shared" si="408"/>
        <v>1.41</v>
      </c>
      <c r="I995" s="394"/>
      <c r="J995" s="72"/>
      <c r="K995" s="72"/>
      <c r="L995" s="72" t="str">
        <f>IFERROR(VLOOKUP(J995,'MAIN D OEUVRE'!$A$4:$B$99,2,FALSE)*$N$2,"")</f>
        <v/>
      </c>
      <c r="M995" s="73" t="str">
        <f t="shared" si="424"/>
        <v/>
      </c>
      <c r="N995" s="397"/>
      <c r="O995">
        <f t="shared" ref="O995:O1002" si="426">O994</f>
        <v>0</v>
      </c>
      <c r="P995">
        <f t="shared" si="420"/>
        <v>0</v>
      </c>
      <c r="Q995">
        <f t="shared" si="421"/>
        <v>0</v>
      </c>
    </row>
    <row r="996" spans="1:17">
      <c r="A996" s="388"/>
      <c r="B996" s="391"/>
      <c r="C996" s="69" t="s">
        <v>424</v>
      </c>
      <c r="D996" s="70">
        <f>9*0.5</f>
        <v>4.5</v>
      </c>
      <c r="E996" s="146">
        <v>0.15</v>
      </c>
      <c r="F996" s="70" t="str">
        <f>IFERROR(VLOOKUP(C996,MATERIAUX!$C$3:$G$1002,3,FALSE),"")</f>
        <v>ml</v>
      </c>
      <c r="G996" s="71">
        <f>IFERROR(VLOOKUP(C996,MATERIAUX!$C$3:$G$1002,5,FALSE),"")</f>
        <v>0.69278350515463916</v>
      </c>
      <c r="H996" s="71">
        <f t="shared" si="408"/>
        <v>3.59</v>
      </c>
      <c r="I996" s="394"/>
      <c r="J996" s="72"/>
      <c r="K996" s="72"/>
      <c r="L996" s="72" t="str">
        <f>IFERROR(VLOOKUP(J996,'MAIN D OEUVRE'!$A$4:$B$99,2,FALSE)*$N$2,"")</f>
        <v/>
      </c>
      <c r="M996" s="73" t="str">
        <f t="shared" si="424"/>
        <v/>
      </c>
      <c r="N996" s="397"/>
      <c r="O996">
        <f t="shared" si="426"/>
        <v>0</v>
      </c>
      <c r="P996">
        <f t="shared" si="420"/>
        <v>0</v>
      </c>
      <c r="Q996">
        <f t="shared" si="421"/>
        <v>0</v>
      </c>
    </row>
    <row r="997" spans="1:17">
      <c r="A997" s="388"/>
      <c r="B997" s="391"/>
      <c r="C997" s="69"/>
      <c r="D997" s="70"/>
      <c r="E997" s="146"/>
      <c r="F997" s="70" t="str">
        <f>IFERROR(VLOOKUP(C997,MATERIAUX!$C$3:$G$1002,3,FALSE),"")</f>
        <v/>
      </c>
      <c r="G997" s="71" t="str">
        <f>IFERROR(VLOOKUP(C997,MATERIAUX!$C$3:$G$1002,5,FALSE),"")</f>
        <v/>
      </c>
      <c r="H997" s="71" t="str">
        <f t="shared" si="408"/>
        <v/>
      </c>
      <c r="I997" s="394"/>
      <c r="J997" s="72"/>
      <c r="K997" s="72"/>
      <c r="L997" s="72" t="str">
        <f>IFERROR(VLOOKUP(J997,'MAIN D OEUVRE'!$A$4:$B$99,2,FALSE)*$N$2,"")</f>
        <v/>
      </c>
      <c r="M997" s="73" t="str">
        <f t="shared" si="424"/>
        <v/>
      </c>
      <c r="N997" s="397"/>
      <c r="O997">
        <f t="shared" si="426"/>
        <v>0</v>
      </c>
      <c r="P997">
        <f t="shared" si="420"/>
        <v>0</v>
      </c>
      <c r="Q997">
        <f t="shared" si="421"/>
        <v>0</v>
      </c>
    </row>
    <row r="998" spans="1:17">
      <c r="A998" s="388"/>
      <c r="B998" s="391"/>
      <c r="C998" s="69"/>
      <c r="D998" s="70"/>
      <c r="E998" s="146"/>
      <c r="F998" s="70" t="str">
        <f>IFERROR(VLOOKUP(C998,MATERIAUX!$C$3:$G$1002,3,FALSE),"")</f>
        <v/>
      </c>
      <c r="G998" s="71" t="str">
        <f>IFERROR(VLOOKUP(C998,MATERIAUX!$C$3:$G$1002,5,FALSE),"")</f>
        <v/>
      </c>
      <c r="H998" s="71" t="str">
        <f t="shared" si="408"/>
        <v/>
      </c>
      <c r="I998" s="394"/>
      <c r="J998" s="72"/>
      <c r="K998" s="72"/>
      <c r="L998" s="72" t="str">
        <f>IFERROR(VLOOKUP(J998,'MAIN D OEUVRE'!$A$4:$B$99,2,FALSE)*$N$2,"")</f>
        <v/>
      </c>
      <c r="M998" s="73" t="str">
        <f t="shared" si="424"/>
        <v/>
      </c>
      <c r="N998" s="397"/>
      <c r="O998">
        <f t="shared" si="426"/>
        <v>0</v>
      </c>
      <c r="P998">
        <f t="shared" si="420"/>
        <v>0</v>
      </c>
      <c r="Q998">
        <f t="shared" si="421"/>
        <v>0</v>
      </c>
    </row>
    <row r="999" spans="1:17">
      <c r="A999" s="388"/>
      <c r="B999" s="391"/>
      <c r="C999" s="69"/>
      <c r="D999" s="70"/>
      <c r="E999" s="146"/>
      <c r="F999" s="70" t="str">
        <f>IFERROR(VLOOKUP(C999,MATERIAUX!$C$3:$G$1002,3,FALSE),"")</f>
        <v/>
      </c>
      <c r="G999" s="71" t="str">
        <f>IFERROR(VLOOKUP(C999,MATERIAUX!$C$3:$G$1002,5,FALSE),"")</f>
        <v/>
      </c>
      <c r="H999" s="71" t="str">
        <f t="shared" si="408"/>
        <v/>
      </c>
      <c r="I999" s="394"/>
      <c r="J999" s="72"/>
      <c r="K999" s="72"/>
      <c r="L999" s="72" t="str">
        <f>IFERROR(VLOOKUP(J999,'MAIN D OEUVRE'!$A$4:$B$99,2,FALSE)*$N$2,"")</f>
        <v/>
      </c>
      <c r="M999" s="73" t="str">
        <f t="shared" si="424"/>
        <v/>
      </c>
      <c r="N999" s="397"/>
      <c r="O999">
        <f t="shared" si="426"/>
        <v>0</v>
      </c>
      <c r="P999">
        <f t="shared" si="420"/>
        <v>0</v>
      </c>
      <c r="Q999">
        <f t="shared" si="421"/>
        <v>0</v>
      </c>
    </row>
    <row r="1000" spans="1:17">
      <c r="A1000" s="388"/>
      <c r="B1000" s="391"/>
      <c r="C1000" s="69"/>
      <c r="D1000" s="70"/>
      <c r="E1000" s="146"/>
      <c r="F1000" s="70" t="str">
        <f>IFERROR(VLOOKUP(C1000,MATERIAUX!$C$3:$G$1002,3,FALSE),"")</f>
        <v/>
      </c>
      <c r="G1000" s="71" t="str">
        <f>IFERROR(VLOOKUP(C1000,MATERIAUX!$C$3:$G$1002,5,FALSE),"")</f>
        <v/>
      </c>
      <c r="H1000" s="71" t="str">
        <f t="shared" si="408"/>
        <v/>
      </c>
      <c r="I1000" s="394"/>
      <c r="J1000" s="72"/>
      <c r="K1000" s="72"/>
      <c r="L1000" s="72" t="str">
        <f>IFERROR(VLOOKUP(J1000,'MAIN D OEUVRE'!$A$4:$B$99,2,FALSE)*$N$2,"")</f>
        <v/>
      </c>
      <c r="M1000" s="73" t="str">
        <f t="shared" si="424"/>
        <v/>
      </c>
      <c r="N1000" s="397"/>
      <c r="O1000">
        <f t="shared" si="426"/>
        <v>0</v>
      </c>
      <c r="P1000">
        <f t="shared" si="420"/>
        <v>0</v>
      </c>
      <c r="Q1000">
        <f t="shared" si="421"/>
        <v>0</v>
      </c>
    </row>
    <row r="1001" spans="1:17">
      <c r="A1001" s="388"/>
      <c r="B1001" s="391"/>
      <c r="C1001" s="69"/>
      <c r="D1001" s="70"/>
      <c r="E1001" s="146"/>
      <c r="F1001" s="70" t="str">
        <f>IFERROR(VLOOKUP(C1001,MATERIAUX!$C$3:$G$1002,3,FALSE),"")</f>
        <v/>
      </c>
      <c r="G1001" s="71" t="str">
        <f>IFERROR(VLOOKUP(C1001,MATERIAUX!$C$3:$G$1002,5,FALSE),"")</f>
        <v/>
      </c>
      <c r="H1001" s="71" t="str">
        <f t="shared" si="408"/>
        <v/>
      </c>
      <c r="I1001" s="394"/>
      <c r="J1001" s="72"/>
      <c r="K1001" s="72"/>
      <c r="L1001" s="72"/>
      <c r="M1001" s="73"/>
      <c r="N1001" s="397"/>
      <c r="O1001">
        <f t="shared" si="426"/>
        <v>0</v>
      </c>
      <c r="P1001">
        <f t="shared" si="420"/>
        <v>0</v>
      </c>
      <c r="Q1001">
        <f t="shared" si="421"/>
        <v>0</v>
      </c>
    </row>
    <row r="1002" spans="1:17" ht="15" thickBot="1">
      <c r="A1002" s="389"/>
      <c r="B1002" s="392"/>
      <c r="C1002" s="74"/>
      <c r="D1002" s="75"/>
      <c r="E1002" s="147"/>
      <c r="F1002" s="70" t="str">
        <f>IFERROR(VLOOKUP(C1002,MATERIAUX!$C$3:$G$1002,3,FALSE),"")</f>
        <v/>
      </c>
      <c r="G1002" s="71" t="str">
        <f>IFERROR(VLOOKUP(C1002,MATERIAUX!$C$3:$G$1002,5,FALSE),"")</f>
        <v/>
      </c>
      <c r="H1002" s="71" t="str">
        <f t="shared" si="408"/>
        <v/>
      </c>
      <c r="I1002" s="395"/>
      <c r="J1002" s="77"/>
      <c r="K1002" s="77"/>
      <c r="L1002" s="77"/>
      <c r="M1002" s="78"/>
      <c r="N1002" s="398"/>
      <c r="O1002">
        <f t="shared" si="426"/>
        <v>0</v>
      </c>
      <c r="P1002">
        <f t="shared" si="420"/>
        <v>0</v>
      </c>
      <c r="Q1002">
        <f t="shared" si="421"/>
        <v>0</v>
      </c>
    </row>
    <row r="1003" spans="1:17">
      <c r="A1003" s="387" t="s">
        <v>525</v>
      </c>
      <c r="B1003" s="390" t="s">
        <v>127</v>
      </c>
      <c r="C1003" s="64" t="s">
        <v>90</v>
      </c>
      <c r="D1003" s="65">
        <v>3.3999999999999998E-3</v>
      </c>
      <c r="E1003" s="145">
        <v>0.1</v>
      </c>
      <c r="F1003" s="65" t="str">
        <f>IFERROR(VLOOKUP(C1003,MATERIAUX!$C$3:$G$1002,3,FALSE),"")</f>
        <v>m3</v>
      </c>
      <c r="G1003" s="66">
        <f>IFERROR(VLOOKUP(C1003,MATERIAUX!$C$3:$G$1002,5,FALSE),"")</f>
        <v>575.25773195876297</v>
      </c>
      <c r="H1003" s="66">
        <f t="shared" si="408"/>
        <v>2.15</v>
      </c>
      <c r="I1003" s="393">
        <f t="shared" ref="I1003" si="427">SUM(H1003:H1012)</f>
        <v>1.3699999999999999</v>
      </c>
      <c r="J1003" s="67"/>
      <c r="K1003" s="67"/>
      <c r="L1003" s="67" t="str">
        <f>IFERROR(VLOOKUP(J1003,'MAIN D OEUVRE'!$A$4:$B$99,2,FALSE)*$N$2,"")</f>
        <v/>
      </c>
      <c r="M1003" s="68" t="str">
        <f t="shared" ref="M1003:M1010" si="428">IFERROR(ROUND(L1003*K1003,2),"")</f>
        <v/>
      </c>
      <c r="N1003" s="396">
        <f t="shared" ref="N1003" si="429">SUM(M1003:M1012)</f>
        <v>0</v>
      </c>
      <c r="O1003" s="350">
        <v>0</v>
      </c>
      <c r="P1003">
        <f t="shared" si="420"/>
        <v>0</v>
      </c>
      <c r="Q1003">
        <f t="shared" si="421"/>
        <v>0</v>
      </c>
    </row>
    <row r="1004" spans="1:17">
      <c r="A1004" s="388"/>
      <c r="B1004" s="391"/>
      <c r="C1004" s="69"/>
      <c r="D1004" s="70"/>
      <c r="E1004" s="146"/>
      <c r="F1004" s="70" t="str">
        <f>IFERROR(VLOOKUP(C1004,MATERIAUX!$C$3:$G$1002,3,FALSE),"")</f>
        <v/>
      </c>
      <c r="G1004" s="71" t="str">
        <f>IFERROR(VLOOKUP(C1004,MATERIAUX!$C$3:$G$1002,5,FALSE),"")</f>
        <v/>
      </c>
      <c r="H1004" s="71">
        <v>-0.78</v>
      </c>
      <c r="I1004" s="394"/>
      <c r="J1004" s="72"/>
      <c r="K1004" s="72"/>
      <c r="L1004" s="72" t="str">
        <f>IFERROR(VLOOKUP(J1004,'MAIN D OEUVRE'!$A$4:$B$99,2,FALSE)*$N$2,"")</f>
        <v/>
      </c>
      <c r="M1004" s="73" t="str">
        <f t="shared" si="428"/>
        <v/>
      </c>
      <c r="N1004" s="397"/>
      <c r="O1004">
        <f t="shared" ref="O1004:O1011" si="430">O1003</f>
        <v>0</v>
      </c>
      <c r="P1004">
        <f t="shared" si="420"/>
        <v>0</v>
      </c>
      <c r="Q1004">
        <f t="shared" si="421"/>
        <v>0</v>
      </c>
    </row>
    <row r="1005" spans="1:17">
      <c r="A1005" s="388"/>
      <c r="B1005" s="391"/>
      <c r="C1005" s="69"/>
      <c r="D1005" s="70"/>
      <c r="E1005" s="146"/>
      <c r="F1005" s="70" t="str">
        <f>IFERROR(VLOOKUP(C1005,MATERIAUX!$C$3:$G$1002,3,FALSE),"")</f>
        <v/>
      </c>
      <c r="G1005" s="71" t="str">
        <f>IFERROR(VLOOKUP(C1005,MATERIAUX!$C$3:$G$1002,5,FALSE),"")</f>
        <v/>
      </c>
      <c r="H1005" s="71" t="str">
        <f t="shared" si="408"/>
        <v/>
      </c>
      <c r="I1005" s="394"/>
      <c r="J1005" s="72"/>
      <c r="K1005" s="72"/>
      <c r="L1005" s="72" t="str">
        <f>IFERROR(VLOOKUP(J1005,'MAIN D OEUVRE'!$A$4:$B$99,2,FALSE)*$N$2,"")</f>
        <v/>
      </c>
      <c r="M1005" s="73" t="str">
        <f t="shared" si="428"/>
        <v/>
      </c>
      <c r="N1005" s="397"/>
      <c r="O1005">
        <f t="shared" si="430"/>
        <v>0</v>
      </c>
      <c r="P1005">
        <f t="shared" si="420"/>
        <v>0</v>
      </c>
      <c r="Q1005">
        <f t="shared" si="421"/>
        <v>0</v>
      </c>
    </row>
    <row r="1006" spans="1:17">
      <c r="A1006" s="388"/>
      <c r="B1006" s="391"/>
      <c r="C1006" s="69"/>
      <c r="D1006" s="70"/>
      <c r="E1006" s="146"/>
      <c r="F1006" s="70" t="str">
        <f>IFERROR(VLOOKUP(C1006,MATERIAUX!$C$3:$G$1002,3,FALSE),"")</f>
        <v/>
      </c>
      <c r="G1006" s="71" t="str">
        <f>IFERROR(VLOOKUP(C1006,MATERIAUX!$C$3:$G$1002,5,FALSE),"")</f>
        <v/>
      </c>
      <c r="H1006" s="71" t="str">
        <f t="shared" si="408"/>
        <v/>
      </c>
      <c r="I1006" s="394"/>
      <c r="J1006" s="72"/>
      <c r="K1006" s="72"/>
      <c r="L1006" s="72" t="str">
        <f>IFERROR(VLOOKUP(J1006,'MAIN D OEUVRE'!$A$4:$B$99,2,FALSE)*$N$2,"")</f>
        <v/>
      </c>
      <c r="M1006" s="73" t="str">
        <f t="shared" si="428"/>
        <v/>
      </c>
      <c r="N1006" s="397"/>
      <c r="O1006">
        <f t="shared" si="430"/>
        <v>0</v>
      </c>
      <c r="P1006">
        <f t="shared" si="420"/>
        <v>0</v>
      </c>
      <c r="Q1006">
        <f t="shared" si="421"/>
        <v>0</v>
      </c>
    </row>
    <row r="1007" spans="1:17">
      <c r="A1007" s="388"/>
      <c r="B1007" s="391"/>
      <c r="C1007" s="69"/>
      <c r="D1007" s="70"/>
      <c r="E1007" s="146"/>
      <c r="F1007" s="70" t="str">
        <f>IFERROR(VLOOKUP(C1007,MATERIAUX!$C$3:$G$1002,3,FALSE),"")</f>
        <v/>
      </c>
      <c r="G1007" s="71" t="str">
        <f>IFERROR(VLOOKUP(C1007,MATERIAUX!$C$3:$G$1002,5,FALSE),"")</f>
        <v/>
      </c>
      <c r="H1007" s="71" t="str">
        <f t="shared" si="408"/>
        <v/>
      </c>
      <c r="I1007" s="394"/>
      <c r="J1007" s="72"/>
      <c r="K1007" s="72"/>
      <c r="L1007" s="72" t="str">
        <f>IFERROR(VLOOKUP(J1007,'MAIN D OEUVRE'!$A$4:$B$99,2,FALSE)*$N$2,"")</f>
        <v/>
      </c>
      <c r="M1007" s="73" t="str">
        <f t="shared" si="428"/>
        <v/>
      </c>
      <c r="N1007" s="397"/>
      <c r="O1007">
        <f t="shared" si="430"/>
        <v>0</v>
      </c>
      <c r="P1007">
        <f t="shared" si="420"/>
        <v>0</v>
      </c>
      <c r="Q1007">
        <f t="shared" si="421"/>
        <v>0</v>
      </c>
    </row>
    <row r="1008" spans="1:17">
      <c r="A1008" s="388"/>
      <c r="B1008" s="391"/>
      <c r="C1008" s="69"/>
      <c r="D1008" s="70"/>
      <c r="E1008" s="146"/>
      <c r="F1008" s="70" t="str">
        <f>IFERROR(VLOOKUP(C1008,MATERIAUX!$C$3:$G$1002,3,FALSE),"")</f>
        <v/>
      </c>
      <c r="G1008" s="71" t="str">
        <f>IFERROR(VLOOKUP(C1008,MATERIAUX!$C$3:$G$1002,5,FALSE),"")</f>
        <v/>
      </c>
      <c r="H1008" s="71" t="str">
        <f t="shared" si="408"/>
        <v/>
      </c>
      <c r="I1008" s="394"/>
      <c r="J1008" s="72"/>
      <c r="K1008" s="72"/>
      <c r="L1008" s="72" t="str">
        <f>IFERROR(VLOOKUP(J1008,'MAIN D OEUVRE'!$A$4:$B$99,2,FALSE)*$N$2,"")</f>
        <v/>
      </c>
      <c r="M1008" s="73" t="str">
        <f t="shared" si="428"/>
        <v/>
      </c>
      <c r="N1008" s="397"/>
      <c r="O1008">
        <f t="shared" si="430"/>
        <v>0</v>
      </c>
      <c r="P1008">
        <f t="shared" si="420"/>
        <v>0</v>
      </c>
      <c r="Q1008">
        <f t="shared" si="421"/>
        <v>0</v>
      </c>
    </row>
    <row r="1009" spans="1:17">
      <c r="A1009" s="388"/>
      <c r="B1009" s="391"/>
      <c r="C1009" s="69"/>
      <c r="D1009" s="70"/>
      <c r="E1009" s="146"/>
      <c r="F1009" s="70" t="str">
        <f>IFERROR(VLOOKUP(C1009,MATERIAUX!$C$3:$G$1002,3,FALSE),"")</f>
        <v/>
      </c>
      <c r="G1009" s="71" t="str">
        <f>IFERROR(VLOOKUP(C1009,MATERIAUX!$C$3:$G$1002,5,FALSE),"")</f>
        <v/>
      </c>
      <c r="H1009" s="71" t="str">
        <f t="shared" si="408"/>
        <v/>
      </c>
      <c r="I1009" s="394"/>
      <c r="J1009" s="72"/>
      <c r="K1009" s="72"/>
      <c r="L1009" s="72" t="str">
        <f>IFERROR(VLOOKUP(J1009,'MAIN D OEUVRE'!$A$4:$B$99,2,FALSE)*$N$2,"")</f>
        <v/>
      </c>
      <c r="M1009" s="73" t="str">
        <f t="shared" si="428"/>
        <v/>
      </c>
      <c r="N1009" s="397"/>
      <c r="O1009">
        <f t="shared" si="430"/>
        <v>0</v>
      </c>
      <c r="P1009">
        <f t="shared" si="420"/>
        <v>0</v>
      </c>
      <c r="Q1009">
        <f t="shared" si="421"/>
        <v>0</v>
      </c>
    </row>
    <row r="1010" spans="1:17">
      <c r="A1010" s="388"/>
      <c r="B1010" s="391"/>
      <c r="C1010" s="69"/>
      <c r="D1010" s="70"/>
      <c r="E1010" s="146"/>
      <c r="F1010" s="70" t="str">
        <f>IFERROR(VLOOKUP(C1010,MATERIAUX!$C$3:$G$1002,3,FALSE),"")</f>
        <v/>
      </c>
      <c r="G1010" s="71" t="str">
        <f>IFERROR(VLOOKUP(C1010,MATERIAUX!$C$3:$G$1002,5,FALSE),"")</f>
        <v/>
      </c>
      <c r="H1010" s="71" t="str">
        <f t="shared" si="408"/>
        <v/>
      </c>
      <c r="I1010" s="394"/>
      <c r="J1010" s="72"/>
      <c r="K1010" s="72"/>
      <c r="L1010" s="72" t="str">
        <f>IFERROR(VLOOKUP(J1010,'MAIN D OEUVRE'!$A$4:$B$99,2,FALSE)*$N$2,"")</f>
        <v/>
      </c>
      <c r="M1010" s="73" t="str">
        <f t="shared" si="428"/>
        <v/>
      </c>
      <c r="N1010" s="397"/>
      <c r="O1010">
        <f t="shared" si="430"/>
        <v>0</v>
      </c>
      <c r="P1010">
        <f t="shared" si="420"/>
        <v>0</v>
      </c>
      <c r="Q1010">
        <f t="shared" si="421"/>
        <v>0</v>
      </c>
    </row>
    <row r="1011" spans="1:17">
      <c r="A1011" s="388"/>
      <c r="B1011" s="391"/>
      <c r="C1011" s="69"/>
      <c r="D1011" s="70"/>
      <c r="E1011" s="146"/>
      <c r="F1011" s="70" t="str">
        <f>IFERROR(VLOOKUP(C1011,MATERIAUX!$C$3:$G$1002,3,FALSE),"")</f>
        <v/>
      </c>
      <c r="G1011" s="71" t="str">
        <f>IFERROR(VLOOKUP(C1011,MATERIAUX!$C$3:$G$1002,5,FALSE),"")</f>
        <v/>
      </c>
      <c r="H1011" s="71" t="str">
        <f t="shared" si="408"/>
        <v/>
      </c>
      <c r="I1011" s="394"/>
      <c r="J1011" s="72"/>
      <c r="K1011" s="72"/>
      <c r="L1011" s="72"/>
      <c r="M1011" s="73"/>
      <c r="N1011" s="397"/>
      <c r="O1011">
        <f t="shared" si="430"/>
        <v>0</v>
      </c>
      <c r="P1011">
        <f t="shared" si="420"/>
        <v>0</v>
      </c>
      <c r="Q1011">
        <f t="shared" si="421"/>
        <v>0</v>
      </c>
    </row>
    <row r="1012" spans="1:17" ht="15" thickBot="1">
      <c r="A1012" s="389"/>
      <c r="B1012" s="392"/>
      <c r="C1012" s="74"/>
      <c r="D1012" s="75"/>
      <c r="E1012" s="147"/>
      <c r="F1012" s="70" t="str">
        <f>IFERROR(VLOOKUP(C1012,MATERIAUX!$C$3:$G$1002,3,FALSE),"")</f>
        <v/>
      </c>
      <c r="G1012" s="71" t="str">
        <f>IFERROR(VLOOKUP(C1012,MATERIAUX!$C$3:$G$1002,5,FALSE),"")</f>
        <v/>
      </c>
      <c r="H1012" s="71" t="str">
        <f t="shared" si="408"/>
        <v/>
      </c>
      <c r="I1012" s="395"/>
      <c r="J1012" s="77"/>
      <c r="K1012" s="77"/>
      <c r="L1012" s="77"/>
      <c r="M1012" s="78"/>
      <c r="N1012" s="398"/>
      <c r="O1012">
        <f t="shared" ref="O1012" si="431">O1011</f>
        <v>0</v>
      </c>
      <c r="P1012">
        <f t="shared" si="405"/>
        <v>0</v>
      </c>
      <c r="Q1012">
        <f t="shared" si="406"/>
        <v>0</v>
      </c>
    </row>
    <row r="1013" spans="1:17">
      <c r="A1013" s="387" t="s">
        <v>527</v>
      </c>
      <c r="B1013" s="390" t="s">
        <v>127</v>
      </c>
      <c r="C1013" s="64" t="s">
        <v>102</v>
      </c>
      <c r="D1013" s="65">
        <v>1.57</v>
      </c>
      <c r="E1013" s="145">
        <v>0.05</v>
      </c>
      <c r="F1013" s="65" t="str">
        <f>IFERROR(VLOOKUP(C1013,MATERIAUX!$C$3:$G$1002,3,FALSE),"")</f>
        <v>m2</v>
      </c>
      <c r="G1013" s="66">
        <f>IFERROR(VLOOKUP(C1013,MATERIAUX!$C$3:$G$1002,5,FALSE),"")</f>
        <v>6.3257731958762893</v>
      </c>
      <c r="H1013" s="66">
        <f t="shared" si="408"/>
        <v>10.43</v>
      </c>
      <c r="I1013" s="393">
        <f t="shared" ref="I1013" si="432">SUM(H1013:H1022)</f>
        <v>10.43</v>
      </c>
      <c r="J1013" s="67"/>
      <c r="K1013" s="67"/>
      <c r="L1013" s="67" t="str">
        <f>IFERROR(VLOOKUP(J1013,'MAIN D OEUVRE'!$A$4:$B$99,2,FALSE)*$N$2,"")</f>
        <v/>
      </c>
      <c r="M1013" s="68" t="str">
        <f t="shared" ref="M1013:M1020" si="433">IFERROR(ROUND(L1013*K1013,2),"")</f>
        <v/>
      </c>
      <c r="N1013" s="396">
        <f t="shared" ref="N1013" si="434">SUM(M1013:M1022)</f>
        <v>0</v>
      </c>
      <c r="O1013" s="350">
        <v>0</v>
      </c>
      <c r="P1013">
        <f t="shared" ref="P1013:P1041" si="435">(D1013+D1013*E1013)*O1013</f>
        <v>0</v>
      </c>
      <c r="Q1013">
        <f t="shared" ref="Q1013:Q1041" si="436">IF(P1013=0,0,P1013*G1013)</f>
        <v>0</v>
      </c>
    </row>
    <row r="1014" spans="1:17">
      <c r="A1014" s="388"/>
      <c r="B1014" s="391"/>
      <c r="C1014" s="69"/>
      <c r="D1014" s="70"/>
      <c r="E1014" s="146"/>
      <c r="F1014" s="70" t="str">
        <f>IFERROR(VLOOKUP(C1014,MATERIAUX!$C$3:$G$1002,3,FALSE),"")</f>
        <v/>
      </c>
      <c r="G1014" s="71" t="str">
        <f>IFERROR(VLOOKUP(C1014,MATERIAUX!$C$3:$G$1002,5,FALSE),"")</f>
        <v/>
      </c>
      <c r="H1014" s="71" t="str">
        <f t="shared" si="408"/>
        <v/>
      </c>
      <c r="I1014" s="394"/>
      <c r="J1014" s="72"/>
      <c r="K1014" s="72"/>
      <c r="L1014" s="72" t="str">
        <f>IFERROR(VLOOKUP(J1014,'MAIN D OEUVRE'!$A$4:$B$99,2,FALSE)*$N$2,"")</f>
        <v/>
      </c>
      <c r="M1014" s="73" t="str">
        <f t="shared" si="433"/>
        <v/>
      </c>
      <c r="N1014" s="397"/>
      <c r="O1014">
        <f>O1013</f>
        <v>0</v>
      </c>
      <c r="P1014">
        <f t="shared" si="435"/>
        <v>0</v>
      </c>
      <c r="Q1014">
        <f t="shared" si="436"/>
        <v>0</v>
      </c>
    </row>
    <row r="1015" spans="1:17">
      <c r="A1015" s="388"/>
      <c r="B1015" s="391"/>
      <c r="C1015" s="69"/>
      <c r="D1015" s="70"/>
      <c r="E1015" s="146"/>
      <c r="F1015" s="70" t="str">
        <f>IFERROR(VLOOKUP(C1015,MATERIAUX!$C$3:$G$1002,3,FALSE),"")</f>
        <v/>
      </c>
      <c r="G1015" s="71" t="str">
        <f>IFERROR(VLOOKUP(C1015,MATERIAUX!$C$3:$G$1002,5,FALSE),"")</f>
        <v/>
      </c>
      <c r="H1015" s="71" t="str">
        <f t="shared" si="408"/>
        <v/>
      </c>
      <c r="I1015" s="394"/>
      <c r="J1015" s="72"/>
      <c r="K1015" s="72"/>
      <c r="L1015" s="72" t="str">
        <f>IFERROR(VLOOKUP(J1015,'MAIN D OEUVRE'!$A$4:$B$99,2,FALSE)*$N$2,"")</f>
        <v/>
      </c>
      <c r="M1015" s="73" t="str">
        <f t="shared" si="433"/>
        <v/>
      </c>
      <c r="N1015" s="397"/>
      <c r="O1015">
        <f t="shared" ref="O1015:O1022" si="437">O1014</f>
        <v>0</v>
      </c>
      <c r="P1015">
        <f t="shared" si="435"/>
        <v>0</v>
      </c>
      <c r="Q1015">
        <f t="shared" si="436"/>
        <v>0</v>
      </c>
    </row>
    <row r="1016" spans="1:17">
      <c r="A1016" s="388"/>
      <c r="B1016" s="391"/>
      <c r="C1016" s="69"/>
      <c r="D1016" s="70"/>
      <c r="E1016" s="146"/>
      <c r="F1016" s="70" t="str">
        <f>IFERROR(VLOOKUP(C1016,MATERIAUX!$C$3:$G$1002,3,FALSE),"")</f>
        <v/>
      </c>
      <c r="G1016" s="71" t="str">
        <f>IFERROR(VLOOKUP(C1016,MATERIAUX!$C$3:$G$1002,5,FALSE),"")</f>
        <v/>
      </c>
      <c r="H1016" s="71" t="str">
        <f t="shared" si="408"/>
        <v/>
      </c>
      <c r="I1016" s="394"/>
      <c r="J1016" s="72"/>
      <c r="K1016" s="72"/>
      <c r="L1016" s="72" t="str">
        <f>IFERROR(VLOOKUP(J1016,'MAIN D OEUVRE'!$A$4:$B$99,2,FALSE)*$N$2,"")</f>
        <v/>
      </c>
      <c r="M1016" s="73" t="str">
        <f t="shared" si="433"/>
        <v/>
      </c>
      <c r="N1016" s="397"/>
      <c r="O1016">
        <f t="shared" si="437"/>
        <v>0</v>
      </c>
      <c r="P1016">
        <f t="shared" si="435"/>
        <v>0</v>
      </c>
      <c r="Q1016">
        <f t="shared" si="436"/>
        <v>0</v>
      </c>
    </row>
    <row r="1017" spans="1:17">
      <c r="A1017" s="388"/>
      <c r="B1017" s="391"/>
      <c r="C1017" s="69"/>
      <c r="D1017" s="70"/>
      <c r="E1017" s="146"/>
      <c r="F1017" s="70" t="str">
        <f>IFERROR(VLOOKUP(C1017,MATERIAUX!$C$3:$G$1002,3,FALSE),"")</f>
        <v/>
      </c>
      <c r="G1017" s="71" t="str">
        <f>IFERROR(VLOOKUP(C1017,MATERIAUX!$C$3:$G$1002,5,FALSE),"")</f>
        <v/>
      </c>
      <c r="H1017" s="71" t="str">
        <f t="shared" si="408"/>
        <v/>
      </c>
      <c r="I1017" s="394"/>
      <c r="J1017" s="72"/>
      <c r="K1017" s="72"/>
      <c r="L1017" s="72" t="str">
        <f>IFERROR(VLOOKUP(J1017,'MAIN D OEUVRE'!$A$4:$B$99,2,FALSE)*$N$2,"")</f>
        <v/>
      </c>
      <c r="M1017" s="73" t="str">
        <f t="shared" si="433"/>
        <v/>
      </c>
      <c r="N1017" s="397"/>
      <c r="O1017">
        <f t="shared" si="437"/>
        <v>0</v>
      </c>
      <c r="P1017">
        <f t="shared" si="435"/>
        <v>0</v>
      </c>
      <c r="Q1017">
        <f t="shared" si="436"/>
        <v>0</v>
      </c>
    </row>
    <row r="1018" spans="1:17">
      <c r="A1018" s="388"/>
      <c r="B1018" s="391"/>
      <c r="C1018" s="69"/>
      <c r="D1018" s="70"/>
      <c r="E1018" s="146"/>
      <c r="F1018" s="70" t="str">
        <f>IFERROR(VLOOKUP(C1018,MATERIAUX!$C$3:$G$1002,3,FALSE),"")</f>
        <v/>
      </c>
      <c r="G1018" s="71" t="str">
        <f>IFERROR(VLOOKUP(C1018,MATERIAUX!$C$3:$G$1002,5,FALSE),"")</f>
        <v/>
      </c>
      <c r="H1018" s="71" t="str">
        <f t="shared" si="408"/>
        <v/>
      </c>
      <c r="I1018" s="394"/>
      <c r="J1018" s="72"/>
      <c r="K1018" s="72"/>
      <c r="L1018" s="72" t="str">
        <f>IFERROR(VLOOKUP(J1018,'MAIN D OEUVRE'!$A$4:$B$99,2,FALSE)*$N$2,"")</f>
        <v/>
      </c>
      <c r="M1018" s="73" t="str">
        <f t="shared" si="433"/>
        <v/>
      </c>
      <c r="N1018" s="397"/>
      <c r="O1018">
        <f t="shared" si="437"/>
        <v>0</v>
      </c>
      <c r="P1018">
        <f t="shared" si="435"/>
        <v>0</v>
      </c>
      <c r="Q1018">
        <f t="shared" si="436"/>
        <v>0</v>
      </c>
    </row>
    <row r="1019" spans="1:17">
      <c r="A1019" s="388"/>
      <c r="B1019" s="391"/>
      <c r="C1019" s="69"/>
      <c r="D1019" s="70"/>
      <c r="E1019" s="146"/>
      <c r="F1019" s="70" t="str">
        <f>IFERROR(VLOOKUP(C1019,MATERIAUX!$C$3:$G$1002,3,FALSE),"")</f>
        <v/>
      </c>
      <c r="G1019" s="71" t="str">
        <f>IFERROR(VLOOKUP(C1019,MATERIAUX!$C$3:$G$1002,5,FALSE),"")</f>
        <v/>
      </c>
      <c r="H1019" s="71" t="str">
        <f t="shared" si="408"/>
        <v/>
      </c>
      <c r="I1019" s="394"/>
      <c r="J1019" s="72"/>
      <c r="K1019" s="72"/>
      <c r="L1019" s="72" t="str">
        <f>IFERROR(VLOOKUP(J1019,'MAIN D OEUVRE'!$A$4:$B$99,2,FALSE)*$N$2,"")</f>
        <v/>
      </c>
      <c r="M1019" s="73" t="str">
        <f t="shared" si="433"/>
        <v/>
      </c>
      <c r="N1019" s="397"/>
      <c r="O1019">
        <f t="shared" si="437"/>
        <v>0</v>
      </c>
      <c r="P1019">
        <f t="shared" si="435"/>
        <v>0</v>
      </c>
      <c r="Q1019">
        <f t="shared" si="436"/>
        <v>0</v>
      </c>
    </row>
    <row r="1020" spans="1:17">
      <c r="A1020" s="388"/>
      <c r="B1020" s="391"/>
      <c r="C1020" s="69"/>
      <c r="D1020" s="70"/>
      <c r="E1020" s="146"/>
      <c r="F1020" s="70" t="str">
        <f>IFERROR(VLOOKUP(C1020,MATERIAUX!$C$3:$G$1002,3,FALSE),"")</f>
        <v/>
      </c>
      <c r="G1020" s="71" t="str">
        <f>IFERROR(VLOOKUP(C1020,MATERIAUX!$C$3:$G$1002,5,FALSE),"")</f>
        <v/>
      </c>
      <c r="H1020" s="71" t="str">
        <f t="shared" si="408"/>
        <v/>
      </c>
      <c r="I1020" s="394"/>
      <c r="J1020" s="72"/>
      <c r="K1020" s="72"/>
      <c r="L1020" s="72" t="str">
        <f>IFERROR(VLOOKUP(J1020,'MAIN D OEUVRE'!$A$4:$B$99,2,FALSE)*$N$2,"")</f>
        <v/>
      </c>
      <c r="M1020" s="73" t="str">
        <f t="shared" si="433"/>
        <v/>
      </c>
      <c r="N1020" s="397"/>
      <c r="O1020">
        <f t="shared" si="437"/>
        <v>0</v>
      </c>
      <c r="P1020">
        <f t="shared" si="435"/>
        <v>0</v>
      </c>
      <c r="Q1020">
        <f t="shared" si="436"/>
        <v>0</v>
      </c>
    </row>
    <row r="1021" spans="1:17">
      <c r="A1021" s="388"/>
      <c r="B1021" s="391"/>
      <c r="C1021" s="69"/>
      <c r="D1021" s="70"/>
      <c r="E1021" s="146"/>
      <c r="F1021" s="70" t="str">
        <f>IFERROR(VLOOKUP(C1021,MATERIAUX!$C$3:$G$1002,3,FALSE),"")</f>
        <v/>
      </c>
      <c r="G1021" s="71" t="str">
        <f>IFERROR(VLOOKUP(C1021,MATERIAUX!$C$3:$G$1002,5,FALSE),"")</f>
        <v/>
      </c>
      <c r="H1021" s="71" t="str">
        <f t="shared" si="408"/>
        <v/>
      </c>
      <c r="I1021" s="394"/>
      <c r="J1021" s="72"/>
      <c r="K1021" s="72"/>
      <c r="L1021" s="72"/>
      <c r="M1021" s="73"/>
      <c r="N1021" s="397"/>
      <c r="O1021">
        <f t="shared" si="437"/>
        <v>0</v>
      </c>
      <c r="P1021">
        <f t="shared" si="435"/>
        <v>0</v>
      </c>
      <c r="Q1021">
        <f t="shared" si="436"/>
        <v>0</v>
      </c>
    </row>
    <row r="1022" spans="1:17" ht="15" thickBot="1">
      <c r="A1022" s="389"/>
      <c r="B1022" s="392"/>
      <c r="C1022" s="74"/>
      <c r="D1022" s="75"/>
      <c r="E1022" s="147"/>
      <c r="F1022" s="70" t="str">
        <f>IFERROR(VLOOKUP(C1022,MATERIAUX!$C$3:$G$1002,3,FALSE),"")</f>
        <v/>
      </c>
      <c r="G1022" s="71" t="str">
        <f>IFERROR(VLOOKUP(C1022,MATERIAUX!$C$3:$G$1002,5,FALSE),"")</f>
        <v/>
      </c>
      <c r="H1022" s="71" t="str">
        <f t="shared" si="408"/>
        <v/>
      </c>
      <c r="I1022" s="395"/>
      <c r="J1022" s="77"/>
      <c r="K1022" s="77"/>
      <c r="L1022" s="77"/>
      <c r="M1022" s="78"/>
      <c r="N1022" s="398"/>
      <c r="O1022">
        <f t="shared" si="437"/>
        <v>0</v>
      </c>
      <c r="P1022">
        <f t="shared" si="435"/>
        <v>0</v>
      </c>
      <c r="Q1022">
        <f t="shared" si="436"/>
        <v>0</v>
      </c>
    </row>
    <row r="1023" spans="1:17">
      <c r="A1023" s="387" t="s">
        <v>543</v>
      </c>
      <c r="B1023" s="390" t="s">
        <v>127</v>
      </c>
      <c r="C1023" s="64" t="s">
        <v>93</v>
      </c>
      <c r="D1023" s="65">
        <v>0.26800000000000002</v>
      </c>
      <c r="E1023" s="145">
        <v>0</v>
      </c>
      <c r="F1023" s="65" t="str">
        <f>IFERROR(VLOOKUP(C1023,MATERIAUX!$C$3:$G$1002,3,FALSE),"")</f>
        <v>m3</v>
      </c>
      <c r="G1023" s="66">
        <f>IFERROR(VLOOKUP(C1023,MATERIAUX!$C$3:$G$1002,5,FALSE),"")</f>
        <v>575.25773195876297</v>
      </c>
      <c r="H1023" s="66">
        <f>IFERROR(ROUND(G1023*(1+E1023)*D1023,2),"")*0.45</f>
        <v>69.376499999999993</v>
      </c>
      <c r="I1023" s="393">
        <f t="shared" ref="I1023" si="438">SUM(H1023:H1032)</f>
        <v>75.996499999999997</v>
      </c>
      <c r="J1023" s="67" t="s">
        <v>52</v>
      </c>
      <c r="K1023" s="67">
        <v>13</v>
      </c>
      <c r="L1023" s="67">
        <f>IFERROR(VLOOKUP(J1023,'MAIN D OEUVRE'!$A$4:$B$99,2,FALSE)*$N$2,"")</f>
        <v>2.75</v>
      </c>
      <c r="M1023" s="68">
        <f t="shared" ref="M1023:M1030" si="439">IFERROR(ROUND(L1023*K1023,2),"")</f>
        <v>35.75</v>
      </c>
      <c r="N1023" s="396">
        <f t="shared" ref="N1023" si="440">SUM(M1023:M1032)</f>
        <v>35.75</v>
      </c>
      <c r="O1023" s="350">
        <v>0</v>
      </c>
      <c r="P1023">
        <f t="shared" si="435"/>
        <v>0</v>
      </c>
      <c r="Q1023">
        <f t="shared" si="436"/>
        <v>0</v>
      </c>
    </row>
    <row r="1024" spans="1:17">
      <c r="A1024" s="388"/>
      <c r="B1024" s="391"/>
      <c r="C1024" s="69" t="s">
        <v>317</v>
      </c>
      <c r="D1024" s="70">
        <v>20</v>
      </c>
      <c r="E1024" s="146">
        <v>0.05</v>
      </c>
      <c r="F1024" s="70" t="str">
        <f>IFERROR(VLOOKUP(C1024,MATERIAUX!$C$3:$G$1002,3,FALSE),"")</f>
        <v>u</v>
      </c>
      <c r="G1024" s="71">
        <f>IFERROR(VLOOKUP(C1024,MATERIAUX!$C$3:$G$1002,5,FALSE),"")</f>
        <v>4.1030927835051551E-2</v>
      </c>
      <c r="H1024" s="71">
        <f t="shared" ref="H1024:H1087" si="441">IFERROR(ROUND(G1024*(1+E1024)*D1024,2),"")</f>
        <v>0.86</v>
      </c>
      <c r="I1024" s="394"/>
      <c r="J1024" s="72"/>
      <c r="K1024" s="72"/>
      <c r="L1024" s="72" t="str">
        <f>IFERROR(VLOOKUP(J1024,'MAIN D OEUVRE'!$A$4:$B$99,2,FALSE)*$N$2,"")</f>
        <v/>
      </c>
      <c r="M1024" s="73" t="str">
        <f t="shared" si="439"/>
        <v/>
      </c>
      <c r="N1024" s="397"/>
      <c r="O1024">
        <f>O1023</f>
        <v>0</v>
      </c>
      <c r="P1024">
        <f t="shared" si="435"/>
        <v>0</v>
      </c>
      <c r="Q1024">
        <f t="shared" si="436"/>
        <v>0</v>
      </c>
    </row>
    <row r="1025" spans="1:17">
      <c r="A1025" s="388"/>
      <c r="B1025" s="391"/>
      <c r="C1025" s="69" t="s">
        <v>84</v>
      </c>
      <c r="D1025" s="70">
        <v>140</v>
      </c>
      <c r="E1025" s="146">
        <v>0.05</v>
      </c>
      <c r="F1025" s="70" t="str">
        <f>IFERROR(VLOOKUP(C1025,MATERIAUX!$C$3:$G$1002,3,FALSE),"")</f>
        <v>u</v>
      </c>
      <c r="G1025" s="71">
        <f>IFERROR(VLOOKUP(C1025,MATERIAUX!$C$3:$G$1002,5,FALSE),"")</f>
        <v>3.9175257731958769E-2</v>
      </c>
      <c r="H1025" s="71">
        <f t="shared" si="441"/>
        <v>5.76</v>
      </c>
      <c r="I1025" s="394"/>
      <c r="J1025" s="72"/>
      <c r="K1025" s="72"/>
      <c r="L1025" s="72" t="str">
        <f>IFERROR(VLOOKUP(J1025,'MAIN D OEUVRE'!$A$4:$B$99,2,FALSE)*$N$2,"")</f>
        <v/>
      </c>
      <c r="M1025" s="73" t="str">
        <f t="shared" si="439"/>
        <v/>
      </c>
      <c r="N1025" s="397"/>
      <c r="O1025">
        <f t="shared" ref="O1025:O1032" si="442">O1024</f>
        <v>0</v>
      </c>
      <c r="P1025">
        <f t="shared" si="435"/>
        <v>0</v>
      </c>
      <c r="Q1025">
        <f t="shared" si="436"/>
        <v>0</v>
      </c>
    </row>
    <row r="1026" spans="1:17">
      <c r="A1026" s="388"/>
      <c r="B1026" s="391"/>
      <c r="C1026" s="69"/>
      <c r="D1026" s="70"/>
      <c r="E1026" s="146"/>
      <c r="F1026" s="70" t="str">
        <f>IFERROR(VLOOKUP(C1026,MATERIAUX!$C$3:$G$1002,3,FALSE),"")</f>
        <v/>
      </c>
      <c r="G1026" s="71" t="str">
        <f>IFERROR(VLOOKUP(C1026,MATERIAUX!$C$3:$G$1002,5,FALSE),"")</f>
        <v/>
      </c>
      <c r="H1026" s="71" t="str">
        <f t="shared" si="441"/>
        <v/>
      </c>
      <c r="I1026" s="394"/>
      <c r="J1026" s="72"/>
      <c r="K1026" s="72"/>
      <c r="L1026" s="72" t="str">
        <f>IFERROR(VLOOKUP(J1026,'MAIN D OEUVRE'!$A$4:$B$99,2,FALSE)*$N$2,"")</f>
        <v/>
      </c>
      <c r="M1026" s="73" t="str">
        <f t="shared" si="439"/>
        <v/>
      </c>
      <c r="N1026" s="397"/>
      <c r="O1026">
        <f t="shared" si="442"/>
        <v>0</v>
      </c>
      <c r="P1026">
        <f t="shared" si="435"/>
        <v>0</v>
      </c>
      <c r="Q1026">
        <f t="shared" si="436"/>
        <v>0</v>
      </c>
    </row>
    <row r="1027" spans="1:17">
      <c r="A1027" s="388"/>
      <c r="B1027" s="391"/>
      <c r="C1027" s="69"/>
      <c r="D1027" s="70"/>
      <c r="E1027" s="146"/>
      <c r="F1027" s="70" t="str">
        <f>IFERROR(VLOOKUP(C1027,MATERIAUX!$C$3:$G$1002,3,FALSE),"")</f>
        <v/>
      </c>
      <c r="G1027" s="71" t="str">
        <f>IFERROR(VLOOKUP(C1027,MATERIAUX!$C$3:$G$1002,5,FALSE),"")</f>
        <v/>
      </c>
      <c r="H1027" s="71" t="str">
        <f t="shared" si="441"/>
        <v/>
      </c>
      <c r="I1027" s="394"/>
      <c r="J1027" s="72"/>
      <c r="K1027" s="72"/>
      <c r="L1027" s="72" t="str">
        <f>IFERROR(VLOOKUP(J1027,'MAIN D OEUVRE'!$A$4:$B$99,2,FALSE)*$N$2,"")</f>
        <v/>
      </c>
      <c r="M1027" s="73" t="str">
        <f t="shared" si="439"/>
        <v/>
      </c>
      <c r="N1027" s="397"/>
      <c r="O1027">
        <f t="shared" si="442"/>
        <v>0</v>
      </c>
      <c r="P1027">
        <f t="shared" si="435"/>
        <v>0</v>
      </c>
      <c r="Q1027">
        <f t="shared" si="436"/>
        <v>0</v>
      </c>
    </row>
    <row r="1028" spans="1:17">
      <c r="A1028" s="388"/>
      <c r="B1028" s="391"/>
      <c r="C1028" s="69"/>
      <c r="D1028" s="70"/>
      <c r="E1028" s="146"/>
      <c r="F1028" s="70" t="str">
        <f>IFERROR(VLOOKUP(C1028,MATERIAUX!$C$3:$G$1002,3,FALSE),"")</f>
        <v/>
      </c>
      <c r="G1028" s="71" t="str">
        <f>IFERROR(VLOOKUP(C1028,MATERIAUX!$C$3:$G$1002,5,FALSE),"")</f>
        <v/>
      </c>
      <c r="H1028" s="71" t="str">
        <f t="shared" si="441"/>
        <v/>
      </c>
      <c r="I1028" s="394"/>
      <c r="J1028" s="72"/>
      <c r="K1028" s="72"/>
      <c r="L1028" s="72" t="str">
        <f>IFERROR(VLOOKUP(J1028,'MAIN D OEUVRE'!$A$4:$B$99,2,FALSE)*$N$2,"")</f>
        <v/>
      </c>
      <c r="M1028" s="73" t="str">
        <f t="shared" si="439"/>
        <v/>
      </c>
      <c r="N1028" s="397"/>
      <c r="O1028">
        <f t="shared" si="442"/>
        <v>0</v>
      </c>
      <c r="P1028">
        <f t="shared" si="435"/>
        <v>0</v>
      </c>
      <c r="Q1028">
        <f t="shared" si="436"/>
        <v>0</v>
      </c>
    </row>
    <row r="1029" spans="1:17">
      <c r="A1029" s="388"/>
      <c r="B1029" s="391"/>
      <c r="C1029" s="69"/>
      <c r="D1029" s="70"/>
      <c r="E1029" s="146"/>
      <c r="F1029" s="70" t="str">
        <f>IFERROR(VLOOKUP(C1029,MATERIAUX!$C$3:$G$1002,3,FALSE),"")</f>
        <v/>
      </c>
      <c r="G1029" s="71" t="str">
        <f>IFERROR(VLOOKUP(C1029,MATERIAUX!$C$3:$G$1002,5,FALSE),"")</f>
        <v/>
      </c>
      <c r="H1029" s="71" t="str">
        <f t="shared" si="441"/>
        <v/>
      </c>
      <c r="I1029" s="394"/>
      <c r="J1029" s="72"/>
      <c r="K1029" s="72"/>
      <c r="L1029" s="72" t="str">
        <f>IFERROR(VLOOKUP(J1029,'MAIN D OEUVRE'!$A$4:$B$99,2,FALSE)*$N$2,"")</f>
        <v/>
      </c>
      <c r="M1029" s="73" t="str">
        <f t="shared" si="439"/>
        <v/>
      </c>
      <c r="N1029" s="397"/>
      <c r="O1029">
        <f t="shared" si="442"/>
        <v>0</v>
      </c>
      <c r="P1029">
        <f t="shared" si="435"/>
        <v>0</v>
      </c>
      <c r="Q1029">
        <f t="shared" si="436"/>
        <v>0</v>
      </c>
    </row>
    <row r="1030" spans="1:17">
      <c r="A1030" s="388"/>
      <c r="B1030" s="391"/>
      <c r="C1030" s="69"/>
      <c r="D1030" s="70"/>
      <c r="E1030" s="146"/>
      <c r="F1030" s="70" t="str">
        <f>IFERROR(VLOOKUP(C1030,MATERIAUX!$C$3:$G$1002,3,FALSE),"")</f>
        <v/>
      </c>
      <c r="G1030" s="71" t="str">
        <f>IFERROR(VLOOKUP(C1030,MATERIAUX!$C$3:$G$1002,5,FALSE),"")</f>
        <v/>
      </c>
      <c r="H1030" s="71" t="str">
        <f t="shared" si="441"/>
        <v/>
      </c>
      <c r="I1030" s="394"/>
      <c r="J1030" s="72"/>
      <c r="K1030" s="72"/>
      <c r="L1030" s="72" t="str">
        <f>IFERROR(VLOOKUP(J1030,'MAIN D OEUVRE'!$A$4:$B$99,2,FALSE)*$N$2,"")</f>
        <v/>
      </c>
      <c r="M1030" s="73" t="str">
        <f t="shared" si="439"/>
        <v/>
      </c>
      <c r="N1030" s="397"/>
      <c r="O1030">
        <f t="shared" si="442"/>
        <v>0</v>
      </c>
      <c r="P1030">
        <f t="shared" si="435"/>
        <v>0</v>
      </c>
      <c r="Q1030">
        <f t="shared" si="436"/>
        <v>0</v>
      </c>
    </row>
    <row r="1031" spans="1:17">
      <c r="A1031" s="388"/>
      <c r="B1031" s="391"/>
      <c r="C1031" s="69"/>
      <c r="D1031" s="70"/>
      <c r="E1031" s="146"/>
      <c r="F1031" s="70" t="str">
        <f>IFERROR(VLOOKUP(C1031,MATERIAUX!$C$3:$G$1002,3,FALSE),"")</f>
        <v/>
      </c>
      <c r="G1031" s="71" t="str">
        <f>IFERROR(VLOOKUP(C1031,MATERIAUX!$C$3:$G$1002,5,FALSE),"")</f>
        <v/>
      </c>
      <c r="H1031" s="71" t="str">
        <f t="shared" si="441"/>
        <v/>
      </c>
      <c r="I1031" s="394"/>
      <c r="J1031" s="72"/>
      <c r="K1031" s="72"/>
      <c r="L1031" s="72"/>
      <c r="M1031" s="73"/>
      <c r="N1031" s="397"/>
      <c r="O1031">
        <f t="shared" si="442"/>
        <v>0</v>
      </c>
      <c r="P1031">
        <f t="shared" si="435"/>
        <v>0</v>
      </c>
      <c r="Q1031">
        <f t="shared" si="436"/>
        <v>0</v>
      </c>
    </row>
    <row r="1032" spans="1:17" ht="15" thickBot="1">
      <c r="A1032" s="389"/>
      <c r="B1032" s="392"/>
      <c r="C1032" s="74"/>
      <c r="D1032" s="75"/>
      <c r="E1032" s="147"/>
      <c r="F1032" s="70" t="str">
        <f>IFERROR(VLOOKUP(C1032,MATERIAUX!$C$3:$G$1002,3,FALSE),"")</f>
        <v/>
      </c>
      <c r="G1032" s="71" t="str">
        <f>IFERROR(VLOOKUP(C1032,MATERIAUX!$C$3:$G$1002,5,FALSE),"")</f>
        <v/>
      </c>
      <c r="H1032" s="71" t="str">
        <f t="shared" si="441"/>
        <v/>
      </c>
      <c r="I1032" s="395"/>
      <c r="J1032" s="77"/>
      <c r="K1032" s="77"/>
      <c r="L1032" s="77"/>
      <c r="M1032" s="78"/>
      <c r="N1032" s="398"/>
      <c r="O1032">
        <f t="shared" si="442"/>
        <v>0</v>
      </c>
      <c r="P1032">
        <f t="shared" si="435"/>
        <v>0</v>
      </c>
      <c r="Q1032">
        <f t="shared" si="436"/>
        <v>0</v>
      </c>
    </row>
    <row r="1033" spans="1:17">
      <c r="A1033" s="402" t="s">
        <v>556</v>
      </c>
      <c r="B1033" s="390" t="s">
        <v>21</v>
      </c>
      <c r="C1033" s="64" t="s">
        <v>557</v>
      </c>
      <c r="D1033" s="65">
        <v>1</v>
      </c>
      <c r="E1033" s="145">
        <v>0.15</v>
      </c>
      <c r="F1033" s="65" t="str">
        <f>IFERROR(VLOOKUP(C1033,MATERIAUX!$C$3:$G$1002,3,FALSE),"")</f>
        <v>m2</v>
      </c>
      <c r="G1033" s="66">
        <f>IFERROR(VLOOKUP(C1033,MATERIAUX!$C$3:$G$1002,5,FALSE),"")</f>
        <v>14.845360824742269</v>
      </c>
      <c r="H1033" s="66">
        <f t="shared" si="441"/>
        <v>17.07</v>
      </c>
      <c r="I1033" s="393">
        <f t="shared" ref="I1033" si="443">SUM(H1033:H1042)</f>
        <v>17.52</v>
      </c>
      <c r="J1033" s="67" t="s">
        <v>52</v>
      </c>
      <c r="K1033" s="67">
        <v>1</v>
      </c>
      <c r="L1033" s="67">
        <f>IFERROR(VLOOKUP(J1033,'MAIN D OEUVRE'!$A$4:$B$99,2,FALSE)*$N$2,"")</f>
        <v>2.75</v>
      </c>
      <c r="M1033" s="68">
        <f t="shared" ref="M1033:M1040" si="444">IFERROR(ROUND(L1033*K1033,2),"")</f>
        <v>2.75</v>
      </c>
      <c r="N1033" s="396">
        <f t="shared" ref="N1033" si="445">SUM(M1033:M1042)</f>
        <v>3.02</v>
      </c>
      <c r="O1033" s="350">
        <v>514</v>
      </c>
      <c r="P1033">
        <f t="shared" si="435"/>
        <v>591.09999999999991</v>
      </c>
      <c r="Q1033">
        <f t="shared" si="436"/>
        <v>8775.0927835051534</v>
      </c>
    </row>
    <row r="1034" spans="1:17">
      <c r="A1034" s="403"/>
      <c r="B1034" s="391"/>
      <c r="C1034" s="69" t="s">
        <v>324</v>
      </c>
      <c r="D1034" s="70">
        <v>20</v>
      </c>
      <c r="E1034" s="146">
        <v>0.05</v>
      </c>
      <c r="F1034" s="70" t="str">
        <f>IFERROR(VLOOKUP(C1034,MATERIAUX!$C$3:$G$1002,3,FALSE),"")</f>
        <v>buc</v>
      </c>
      <c r="G1034" s="71">
        <f>IFERROR(VLOOKUP(C1034,MATERIAUX!$C$3:$G$1002,5,FALSE),"")</f>
        <v>2.1649484536082474E-2</v>
      </c>
      <c r="H1034" s="71">
        <f t="shared" si="441"/>
        <v>0.45</v>
      </c>
      <c r="I1034" s="394"/>
      <c r="J1034" s="72" t="s">
        <v>438</v>
      </c>
      <c r="K1034" s="72">
        <v>1.4E-2</v>
      </c>
      <c r="L1034" s="72">
        <f>IFERROR(VLOOKUP(J1034,'MAIN D OEUVRE'!$A$4:$B$99,2,FALSE)*$N$2,"")</f>
        <v>19.25</v>
      </c>
      <c r="M1034" s="73">
        <f t="shared" si="444"/>
        <v>0.27</v>
      </c>
      <c r="N1034" s="397"/>
      <c r="O1034">
        <f t="shared" ref="O1034:O1041" si="446">O1033</f>
        <v>514</v>
      </c>
      <c r="P1034">
        <f>(D1034+D1034*E1034)*O1034</f>
        <v>10794</v>
      </c>
      <c r="Q1034">
        <f t="shared" si="436"/>
        <v>233.68453608247421</v>
      </c>
    </row>
    <row r="1035" spans="1:17">
      <c r="A1035" s="403"/>
      <c r="B1035" s="391"/>
      <c r="C1035" s="69"/>
      <c r="D1035" s="70"/>
      <c r="E1035" s="146"/>
      <c r="F1035" s="70" t="str">
        <f>IFERROR(VLOOKUP(C1035,MATERIAUX!$C$3:$G$1002,3,FALSE),"")</f>
        <v/>
      </c>
      <c r="G1035" s="71" t="str">
        <f>IFERROR(VLOOKUP(C1035,MATERIAUX!$C$3:$G$1002,5,FALSE),"")</f>
        <v/>
      </c>
      <c r="H1035" s="71" t="str">
        <f t="shared" si="441"/>
        <v/>
      </c>
      <c r="I1035" s="394"/>
      <c r="J1035" s="72"/>
      <c r="K1035" s="72"/>
      <c r="L1035" s="72" t="str">
        <f>IFERROR(VLOOKUP(J1035,'MAIN D OEUVRE'!$A$4:$B$99,2,FALSE)*$N$2,"")</f>
        <v/>
      </c>
      <c r="M1035" s="73" t="str">
        <f t="shared" si="444"/>
        <v/>
      </c>
      <c r="N1035" s="397"/>
      <c r="O1035">
        <f t="shared" si="446"/>
        <v>514</v>
      </c>
      <c r="P1035">
        <f t="shared" si="435"/>
        <v>0</v>
      </c>
      <c r="Q1035">
        <f t="shared" si="436"/>
        <v>0</v>
      </c>
    </row>
    <row r="1036" spans="1:17">
      <c r="A1036" s="403"/>
      <c r="B1036" s="391"/>
      <c r="C1036" s="69"/>
      <c r="D1036" s="70"/>
      <c r="E1036" s="146"/>
      <c r="F1036" s="70" t="str">
        <f>IFERROR(VLOOKUP(C1036,MATERIAUX!$C$3:$G$1002,3,FALSE),"")</f>
        <v/>
      </c>
      <c r="G1036" s="71" t="str">
        <f>IFERROR(VLOOKUP(C1036,MATERIAUX!$C$3:$G$1002,5,FALSE),"")</f>
        <v/>
      </c>
      <c r="H1036" s="71" t="str">
        <f t="shared" si="441"/>
        <v/>
      </c>
      <c r="I1036" s="394"/>
      <c r="J1036" s="72"/>
      <c r="K1036" s="72"/>
      <c r="L1036" s="72" t="str">
        <f>IFERROR(VLOOKUP(J1036,'MAIN D OEUVRE'!$A$4:$B$99,2,FALSE)*$N$2,"")</f>
        <v/>
      </c>
      <c r="M1036" s="73" t="str">
        <f t="shared" si="444"/>
        <v/>
      </c>
      <c r="N1036" s="397"/>
      <c r="O1036">
        <f t="shared" si="446"/>
        <v>514</v>
      </c>
      <c r="P1036">
        <f t="shared" si="435"/>
        <v>0</v>
      </c>
      <c r="Q1036">
        <f t="shared" si="436"/>
        <v>0</v>
      </c>
    </row>
    <row r="1037" spans="1:17">
      <c r="A1037" s="403"/>
      <c r="B1037" s="391"/>
      <c r="C1037" s="69"/>
      <c r="D1037" s="70"/>
      <c r="E1037" s="146"/>
      <c r="F1037" s="70" t="str">
        <f>IFERROR(VLOOKUP(C1037,MATERIAUX!$C$3:$G$1002,3,FALSE),"")</f>
        <v/>
      </c>
      <c r="G1037" s="71" t="str">
        <f>IFERROR(VLOOKUP(C1037,MATERIAUX!$C$3:$G$1002,5,FALSE),"")</f>
        <v/>
      </c>
      <c r="H1037" s="71" t="str">
        <f t="shared" si="441"/>
        <v/>
      </c>
      <c r="I1037" s="394"/>
      <c r="J1037" s="72"/>
      <c r="K1037" s="72"/>
      <c r="L1037" s="72" t="str">
        <f>IFERROR(VLOOKUP(J1037,'MAIN D OEUVRE'!$A$4:$B$99,2,FALSE)*$N$2,"")</f>
        <v/>
      </c>
      <c r="M1037" s="73" t="str">
        <f t="shared" si="444"/>
        <v/>
      </c>
      <c r="N1037" s="397"/>
      <c r="O1037">
        <f t="shared" si="446"/>
        <v>514</v>
      </c>
      <c r="P1037">
        <f t="shared" si="435"/>
        <v>0</v>
      </c>
      <c r="Q1037">
        <f t="shared" si="436"/>
        <v>0</v>
      </c>
    </row>
    <row r="1038" spans="1:17">
      <c r="A1038" s="403"/>
      <c r="B1038" s="391"/>
      <c r="C1038" s="69"/>
      <c r="D1038" s="70"/>
      <c r="E1038" s="146"/>
      <c r="F1038" s="70" t="str">
        <f>IFERROR(VLOOKUP(C1038,MATERIAUX!$C$3:$G$1002,3,FALSE),"")</f>
        <v/>
      </c>
      <c r="G1038" s="71" t="str">
        <f>IFERROR(VLOOKUP(C1038,MATERIAUX!$C$3:$G$1002,5,FALSE),"")</f>
        <v/>
      </c>
      <c r="H1038" s="71" t="str">
        <f t="shared" si="441"/>
        <v/>
      </c>
      <c r="I1038" s="394"/>
      <c r="J1038" s="72"/>
      <c r="K1038" s="72"/>
      <c r="L1038" s="72" t="str">
        <f>IFERROR(VLOOKUP(J1038,'MAIN D OEUVRE'!$A$4:$B$99,2,FALSE)*$N$2,"")</f>
        <v/>
      </c>
      <c r="M1038" s="73" t="str">
        <f t="shared" si="444"/>
        <v/>
      </c>
      <c r="N1038" s="397"/>
      <c r="O1038">
        <f t="shared" si="446"/>
        <v>514</v>
      </c>
      <c r="P1038">
        <f t="shared" si="435"/>
        <v>0</v>
      </c>
      <c r="Q1038">
        <f t="shared" si="436"/>
        <v>0</v>
      </c>
    </row>
    <row r="1039" spans="1:17">
      <c r="A1039" s="403"/>
      <c r="B1039" s="391"/>
      <c r="C1039" s="69"/>
      <c r="D1039" s="70"/>
      <c r="E1039" s="146"/>
      <c r="F1039" s="70" t="str">
        <f>IFERROR(VLOOKUP(C1039,MATERIAUX!$C$3:$G$1002,3,FALSE),"")</f>
        <v/>
      </c>
      <c r="G1039" s="71" t="str">
        <f>IFERROR(VLOOKUP(C1039,MATERIAUX!$C$3:$G$1002,5,FALSE),"")</f>
        <v/>
      </c>
      <c r="H1039" s="71" t="str">
        <f t="shared" si="441"/>
        <v/>
      </c>
      <c r="I1039" s="394"/>
      <c r="J1039" s="72"/>
      <c r="K1039" s="72"/>
      <c r="L1039" s="72" t="str">
        <f>IFERROR(VLOOKUP(J1039,'MAIN D OEUVRE'!$A$4:$B$99,2,FALSE)*$N$2,"")</f>
        <v/>
      </c>
      <c r="M1039" s="73" t="str">
        <f t="shared" si="444"/>
        <v/>
      </c>
      <c r="N1039" s="397"/>
      <c r="O1039">
        <f t="shared" si="446"/>
        <v>514</v>
      </c>
      <c r="P1039">
        <f t="shared" si="435"/>
        <v>0</v>
      </c>
      <c r="Q1039">
        <f t="shared" si="436"/>
        <v>0</v>
      </c>
    </row>
    <row r="1040" spans="1:17">
      <c r="A1040" s="403"/>
      <c r="B1040" s="391"/>
      <c r="C1040" s="69"/>
      <c r="D1040" s="70"/>
      <c r="E1040" s="146"/>
      <c r="F1040" s="70" t="str">
        <f>IFERROR(VLOOKUP(C1040,MATERIAUX!$C$3:$G$1002,3,FALSE),"")</f>
        <v/>
      </c>
      <c r="G1040" s="71" t="str">
        <f>IFERROR(VLOOKUP(C1040,MATERIAUX!$C$3:$G$1002,5,FALSE),"")</f>
        <v/>
      </c>
      <c r="H1040" s="71" t="str">
        <f t="shared" si="441"/>
        <v/>
      </c>
      <c r="I1040" s="394"/>
      <c r="J1040" s="72"/>
      <c r="K1040" s="72"/>
      <c r="L1040" s="72" t="str">
        <f>IFERROR(VLOOKUP(J1040,'MAIN D OEUVRE'!$A$4:$B$99,2,FALSE)*$N$2,"")</f>
        <v/>
      </c>
      <c r="M1040" s="73" t="str">
        <f t="shared" si="444"/>
        <v/>
      </c>
      <c r="N1040" s="397"/>
      <c r="O1040">
        <f t="shared" si="446"/>
        <v>514</v>
      </c>
      <c r="P1040">
        <f t="shared" si="435"/>
        <v>0</v>
      </c>
      <c r="Q1040">
        <f t="shared" si="436"/>
        <v>0</v>
      </c>
    </row>
    <row r="1041" spans="1:17">
      <c r="A1041" s="403"/>
      <c r="B1041" s="391"/>
      <c r="C1041" s="69"/>
      <c r="D1041" s="70"/>
      <c r="E1041" s="146"/>
      <c r="F1041" s="70" t="str">
        <f>IFERROR(VLOOKUP(C1041,MATERIAUX!$C$3:$G$1002,3,FALSE),"")</f>
        <v/>
      </c>
      <c r="G1041" s="71" t="str">
        <f>IFERROR(VLOOKUP(C1041,MATERIAUX!$C$3:$G$1002,5,FALSE),"")</f>
        <v/>
      </c>
      <c r="H1041" s="71" t="str">
        <f t="shared" si="441"/>
        <v/>
      </c>
      <c r="I1041" s="394"/>
      <c r="J1041" s="72"/>
      <c r="K1041" s="72"/>
      <c r="L1041" s="72"/>
      <c r="M1041" s="73"/>
      <c r="N1041" s="397"/>
      <c r="O1041">
        <f t="shared" si="446"/>
        <v>514</v>
      </c>
      <c r="P1041">
        <f t="shared" si="435"/>
        <v>0</v>
      </c>
      <c r="Q1041">
        <f t="shared" si="436"/>
        <v>0</v>
      </c>
    </row>
    <row r="1042" spans="1:17" ht="15" thickBot="1">
      <c r="A1042" s="404"/>
      <c r="B1042" s="392"/>
      <c r="C1042" s="74"/>
      <c r="D1042" s="75"/>
      <c r="E1042" s="147"/>
      <c r="F1042" s="70" t="str">
        <f>IFERROR(VLOOKUP(C1042,MATERIAUX!$C$3:$G$1002,3,FALSE),"")</f>
        <v/>
      </c>
      <c r="G1042" s="71" t="str">
        <f>IFERROR(VLOOKUP(C1042,MATERIAUX!$C$3:$G$1002,5,FALSE),"")</f>
        <v/>
      </c>
      <c r="H1042" s="71" t="str">
        <f t="shared" si="441"/>
        <v/>
      </c>
      <c r="I1042" s="395"/>
      <c r="J1042" s="77"/>
      <c r="K1042" s="77"/>
      <c r="L1042" s="77"/>
      <c r="M1042" s="78"/>
      <c r="N1042" s="398"/>
      <c r="O1042">
        <f t="shared" ref="O1042" si="447">O1041</f>
        <v>514</v>
      </c>
      <c r="P1042">
        <f t="shared" ref="P1042" si="448">(D1042+D1042*E1042)*O1042</f>
        <v>0</v>
      </c>
      <c r="Q1042">
        <f t="shared" ref="Q1042" si="449">IF(P1042=0,0,P1042*G1042)</f>
        <v>0</v>
      </c>
    </row>
    <row r="1043" spans="1:17">
      <c r="A1043" s="387"/>
      <c r="B1043" s="390"/>
      <c r="C1043" s="64"/>
      <c r="D1043" s="65"/>
      <c r="E1043" s="145"/>
      <c r="F1043" s="65" t="str">
        <f>IFERROR(VLOOKUP(C1043,MATERIAUX!$C$3:$G$1002,3,FALSE),"")</f>
        <v/>
      </c>
      <c r="G1043" s="66" t="str">
        <f>IFERROR(VLOOKUP(C1043,MATERIAUX!$C$3:$G$1002,5,FALSE),"")</f>
        <v/>
      </c>
      <c r="H1043" s="66" t="str">
        <f t="shared" si="441"/>
        <v/>
      </c>
      <c r="I1043" s="393">
        <f t="shared" ref="I1043" si="450">SUM(H1043:H1052)</f>
        <v>0</v>
      </c>
      <c r="J1043" s="67"/>
      <c r="K1043" s="67"/>
      <c r="L1043" s="67" t="str">
        <f>IFERROR(VLOOKUP(J1043,'MAIN D OEUVRE'!$A$4:$B$99,2,FALSE)*$N$2,"")</f>
        <v/>
      </c>
      <c r="M1043" s="68" t="str">
        <f t="shared" ref="M1043:M1050" si="451">IFERROR(ROUND(L1043*K1043,2),"")</f>
        <v/>
      </c>
      <c r="N1043" s="396">
        <f t="shared" ref="N1043" si="452">SUM(M1043:M1052)</f>
        <v>0</v>
      </c>
    </row>
    <row r="1044" spans="1:17">
      <c r="A1044" s="388"/>
      <c r="B1044" s="391"/>
      <c r="C1044" s="69"/>
      <c r="D1044" s="70"/>
      <c r="E1044" s="146"/>
      <c r="F1044" s="70" t="str">
        <f>IFERROR(VLOOKUP(C1044,MATERIAUX!$C$3:$G$1002,3,FALSE),"")</f>
        <v/>
      </c>
      <c r="G1044" s="71" t="str">
        <f>IFERROR(VLOOKUP(C1044,MATERIAUX!$C$3:$G$1002,5,FALSE),"")</f>
        <v/>
      </c>
      <c r="H1044" s="71" t="str">
        <f t="shared" si="441"/>
        <v/>
      </c>
      <c r="I1044" s="394"/>
      <c r="J1044" s="72"/>
      <c r="K1044" s="72"/>
      <c r="L1044" s="72" t="str">
        <f>IFERROR(VLOOKUP(J1044,'MAIN D OEUVRE'!$A$4:$B$99,2,FALSE)*$N$2,"")</f>
        <v/>
      </c>
      <c r="M1044" s="73" t="str">
        <f t="shared" si="451"/>
        <v/>
      </c>
      <c r="N1044" s="397"/>
    </row>
    <row r="1045" spans="1:17">
      <c r="A1045" s="388"/>
      <c r="B1045" s="391"/>
      <c r="C1045" s="69"/>
      <c r="D1045" s="70"/>
      <c r="E1045" s="146"/>
      <c r="F1045" s="70" t="str">
        <f>IFERROR(VLOOKUP(C1045,MATERIAUX!$C$3:$G$1002,3,FALSE),"")</f>
        <v/>
      </c>
      <c r="G1045" s="71" t="str">
        <f>IFERROR(VLOOKUP(C1045,MATERIAUX!$C$3:$G$1002,5,FALSE),"")</f>
        <v/>
      </c>
      <c r="H1045" s="71" t="str">
        <f t="shared" si="441"/>
        <v/>
      </c>
      <c r="I1045" s="394"/>
      <c r="J1045" s="72"/>
      <c r="K1045" s="72"/>
      <c r="L1045" s="72" t="str">
        <f>IFERROR(VLOOKUP(J1045,'MAIN D OEUVRE'!$A$4:$B$99,2,FALSE)*$N$2,"")</f>
        <v/>
      </c>
      <c r="M1045" s="73" t="str">
        <f t="shared" si="451"/>
        <v/>
      </c>
      <c r="N1045" s="397"/>
    </row>
    <row r="1046" spans="1:17">
      <c r="A1046" s="388"/>
      <c r="B1046" s="391"/>
      <c r="C1046" s="69"/>
      <c r="D1046" s="70"/>
      <c r="E1046" s="146"/>
      <c r="F1046" s="70" t="str">
        <f>IFERROR(VLOOKUP(C1046,MATERIAUX!$C$3:$G$1002,3,FALSE),"")</f>
        <v/>
      </c>
      <c r="G1046" s="71" t="str">
        <f>IFERROR(VLOOKUP(C1046,MATERIAUX!$C$3:$G$1002,5,FALSE),"")</f>
        <v/>
      </c>
      <c r="H1046" s="71" t="str">
        <f t="shared" si="441"/>
        <v/>
      </c>
      <c r="I1046" s="394"/>
      <c r="J1046" s="72"/>
      <c r="K1046" s="72"/>
      <c r="L1046" s="72" t="str">
        <f>IFERROR(VLOOKUP(J1046,'MAIN D OEUVRE'!$A$4:$B$99,2,FALSE)*$N$2,"")</f>
        <v/>
      </c>
      <c r="M1046" s="73" t="str">
        <f t="shared" si="451"/>
        <v/>
      </c>
      <c r="N1046" s="397"/>
    </row>
    <row r="1047" spans="1:17">
      <c r="A1047" s="388"/>
      <c r="B1047" s="391"/>
      <c r="C1047" s="69"/>
      <c r="D1047" s="70"/>
      <c r="E1047" s="146"/>
      <c r="F1047" s="70" t="str">
        <f>IFERROR(VLOOKUP(C1047,MATERIAUX!$C$3:$G$1002,3,FALSE),"")</f>
        <v/>
      </c>
      <c r="G1047" s="71" t="str">
        <f>IFERROR(VLOOKUP(C1047,MATERIAUX!$C$3:$G$1002,5,FALSE),"")</f>
        <v/>
      </c>
      <c r="H1047" s="71" t="str">
        <f t="shared" si="441"/>
        <v/>
      </c>
      <c r="I1047" s="394"/>
      <c r="J1047" s="72"/>
      <c r="K1047" s="72"/>
      <c r="L1047" s="72" t="str">
        <f>IFERROR(VLOOKUP(J1047,'MAIN D OEUVRE'!$A$4:$B$99,2,FALSE)*$N$2,"")</f>
        <v/>
      </c>
      <c r="M1047" s="73" t="str">
        <f t="shared" si="451"/>
        <v/>
      </c>
      <c r="N1047" s="397"/>
    </row>
    <row r="1048" spans="1:17">
      <c r="A1048" s="388"/>
      <c r="B1048" s="391"/>
      <c r="C1048" s="69"/>
      <c r="D1048" s="70"/>
      <c r="E1048" s="146"/>
      <c r="F1048" s="70" t="str">
        <f>IFERROR(VLOOKUP(C1048,MATERIAUX!$C$3:$G$1002,3,FALSE),"")</f>
        <v/>
      </c>
      <c r="G1048" s="71" t="str">
        <f>IFERROR(VLOOKUP(C1048,MATERIAUX!$C$3:$G$1002,5,FALSE),"")</f>
        <v/>
      </c>
      <c r="H1048" s="71" t="str">
        <f t="shared" si="441"/>
        <v/>
      </c>
      <c r="I1048" s="394"/>
      <c r="J1048" s="72"/>
      <c r="K1048" s="72"/>
      <c r="L1048" s="72" t="str">
        <f>IFERROR(VLOOKUP(J1048,'MAIN D OEUVRE'!$A$4:$B$99,2,FALSE)*$N$2,"")</f>
        <v/>
      </c>
      <c r="M1048" s="73" t="str">
        <f t="shared" si="451"/>
        <v/>
      </c>
      <c r="N1048" s="397"/>
    </row>
    <row r="1049" spans="1:17">
      <c r="A1049" s="388"/>
      <c r="B1049" s="391"/>
      <c r="C1049" s="69"/>
      <c r="D1049" s="70"/>
      <c r="E1049" s="146"/>
      <c r="F1049" s="70" t="str">
        <f>IFERROR(VLOOKUP(C1049,MATERIAUX!$C$3:$G$1002,3,FALSE),"")</f>
        <v/>
      </c>
      <c r="G1049" s="71" t="str">
        <f>IFERROR(VLOOKUP(C1049,MATERIAUX!$C$3:$G$1002,5,FALSE),"")</f>
        <v/>
      </c>
      <c r="H1049" s="71" t="str">
        <f t="shared" si="441"/>
        <v/>
      </c>
      <c r="I1049" s="394"/>
      <c r="J1049" s="72"/>
      <c r="K1049" s="72"/>
      <c r="L1049" s="72" t="str">
        <f>IFERROR(VLOOKUP(J1049,'MAIN D OEUVRE'!$A$4:$B$99,2,FALSE)*$N$2,"")</f>
        <v/>
      </c>
      <c r="M1049" s="73" t="str">
        <f t="shared" si="451"/>
        <v/>
      </c>
      <c r="N1049" s="397"/>
    </row>
    <row r="1050" spans="1:17">
      <c r="A1050" s="388"/>
      <c r="B1050" s="391"/>
      <c r="C1050" s="69"/>
      <c r="D1050" s="70"/>
      <c r="E1050" s="146"/>
      <c r="F1050" s="70" t="str">
        <f>IFERROR(VLOOKUP(C1050,MATERIAUX!$C$3:$G$1002,3,FALSE),"")</f>
        <v/>
      </c>
      <c r="G1050" s="71" t="str">
        <f>IFERROR(VLOOKUP(C1050,MATERIAUX!$C$3:$G$1002,5,FALSE),"")</f>
        <v/>
      </c>
      <c r="H1050" s="71" t="str">
        <f t="shared" si="441"/>
        <v/>
      </c>
      <c r="I1050" s="394"/>
      <c r="J1050" s="72"/>
      <c r="K1050" s="72"/>
      <c r="L1050" s="72" t="str">
        <f>IFERROR(VLOOKUP(J1050,'MAIN D OEUVRE'!$A$4:$B$99,2,FALSE)*$N$2,"")</f>
        <v/>
      </c>
      <c r="M1050" s="73" t="str">
        <f t="shared" si="451"/>
        <v/>
      </c>
      <c r="N1050" s="397"/>
    </row>
    <row r="1051" spans="1:17">
      <c r="A1051" s="388"/>
      <c r="B1051" s="391"/>
      <c r="C1051" s="69"/>
      <c r="D1051" s="70"/>
      <c r="E1051" s="146"/>
      <c r="F1051" s="70" t="str">
        <f>IFERROR(VLOOKUP(C1051,MATERIAUX!$C$3:$G$1002,3,FALSE),"")</f>
        <v/>
      </c>
      <c r="G1051" s="71" t="str">
        <f>IFERROR(VLOOKUP(C1051,MATERIAUX!$C$3:$G$1002,5,FALSE),"")</f>
        <v/>
      </c>
      <c r="H1051" s="71" t="str">
        <f t="shared" si="441"/>
        <v/>
      </c>
      <c r="I1051" s="394"/>
      <c r="J1051" s="72"/>
      <c r="K1051" s="72"/>
      <c r="L1051" s="72"/>
      <c r="M1051" s="73"/>
      <c r="N1051" s="397"/>
    </row>
    <row r="1052" spans="1:17" ht="15" thickBot="1">
      <c r="A1052" s="389"/>
      <c r="B1052" s="392"/>
      <c r="C1052" s="74"/>
      <c r="D1052" s="75"/>
      <c r="E1052" s="147"/>
      <c r="F1052" s="70" t="str">
        <f>IFERROR(VLOOKUP(C1052,MATERIAUX!$C$3:$G$1002,3,FALSE),"")</f>
        <v/>
      </c>
      <c r="G1052" s="71" t="str">
        <f>IFERROR(VLOOKUP(C1052,MATERIAUX!$C$3:$G$1002,5,FALSE),"")</f>
        <v/>
      </c>
      <c r="H1052" s="71" t="str">
        <f t="shared" si="441"/>
        <v/>
      </c>
      <c r="I1052" s="395"/>
      <c r="J1052" s="77"/>
      <c r="K1052" s="77"/>
      <c r="L1052" s="77"/>
      <c r="M1052" s="78"/>
      <c r="N1052" s="398"/>
    </row>
    <row r="1053" spans="1:17">
      <c r="A1053" s="387"/>
      <c r="B1053" s="390"/>
      <c r="C1053" s="64"/>
      <c r="D1053" s="65"/>
      <c r="E1053" s="145"/>
      <c r="F1053" s="65" t="str">
        <f>IFERROR(VLOOKUP(C1053,MATERIAUX!$C$3:$G$1002,3,FALSE),"")</f>
        <v/>
      </c>
      <c r="G1053" s="66" t="str">
        <f>IFERROR(VLOOKUP(C1053,MATERIAUX!$C$3:$G$1002,5,FALSE),"")</f>
        <v/>
      </c>
      <c r="H1053" s="66" t="str">
        <f t="shared" si="441"/>
        <v/>
      </c>
      <c r="I1053" s="393">
        <f t="shared" ref="I1053" si="453">SUM(H1053:H1062)</f>
        <v>0</v>
      </c>
      <c r="J1053" s="67"/>
      <c r="K1053" s="67"/>
      <c r="L1053" s="67" t="str">
        <f>IFERROR(VLOOKUP(J1053,'MAIN D OEUVRE'!$A$4:$B$99,2,FALSE)*$N$2,"")</f>
        <v/>
      </c>
      <c r="M1053" s="68" t="str">
        <f t="shared" ref="M1053:M1060" si="454">IFERROR(ROUND(L1053*K1053,2),"")</f>
        <v/>
      </c>
      <c r="N1053" s="396">
        <f t="shared" ref="N1053" si="455">SUM(M1053:M1062)</f>
        <v>0</v>
      </c>
    </row>
    <row r="1054" spans="1:17">
      <c r="A1054" s="388"/>
      <c r="B1054" s="391"/>
      <c r="C1054" s="69"/>
      <c r="D1054" s="70"/>
      <c r="E1054" s="146"/>
      <c r="F1054" s="70" t="str">
        <f>IFERROR(VLOOKUP(C1054,MATERIAUX!$C$3:$G$1002,3,FALSE),"")</f>
        <v/>
      </c>
      <c r="G1054" s="71" t="str">
        <f>IFERROR(VLOOKUP(C1054,MATERIAUX!$C$3:$G$1002,5,FALSE),"")</f>
        <v/>
      </c>
      <c r="H1054" s="71" t="str">
        <f t="shared" si="441"/>
        <v/>
      </c>
      <c r="I1054" s="394"/>
      <c r="J1054" s="72"/>
      <c r="K1054" s="72"/>
      <c r="L1054" s="72" t="str">
        <f>IFERROR(VLOOKUP(J1054,'MAIN D OEUVRE'!$A$4:$B$99,2,FALSE)*$N$2,"")</f>
        <v/>
      </c>
      <c r="M1054" s="73" t="str">
        <f t="shared" si="454"/>
        <v/>
      </c>
      <c r="N1054" s="397"/>
    </row>
    <row r="1055" spans="1:17">
      <c r="A1055" s="388"/>
      <c r="B1055" s="391"/>
      <c r="C1055" s="69"/>
      <c r="D1055" s="70"/>
      <c r="E1055" s="146"/>
      <c r="F1055" s="70" t="str">
        <f>IFERROR(VLOOKUP(C1055,MATERIAUX!$C$3:$G$1002,3,FALSE),"")</f>
        <v/>
      </c>
      <c r="G1055" s="71" t="str">
        <f>IFERROR(VLOOKUP(C1055,MATERIAUX!$C$3:$G$1002,5,FALSE),"")</f>
        <v/>
      </c>
      <c r="H1055" s="71" t="str">
        <f t="shared" si="441"/>
        <v/>
      </c>
      <c r="I1055" s="394"/>
      <c r="J1055" s="72"/>
      <c r="K1055" s="72"/>
      <c r="L1055" s="72" t="str">
        <f>IFERROR(VLOOKUP(J1055,'MAIN D OEUVRE'!$A$4:$B$99,2,FALSE)*$N$2,"")</f>
        <v/>
      </c>
      <c r="M1055" s="73" t="str">
        <f t="shared" si="454"/>
        <v/>
      </c>
      <c r="N1055" s="397"/>
    </row>
    <row r="1056" spans="1:17">
      <c r="A1056" s="388"/>
      <c r="B1056" s="391"/>
      <c r="C1056" s="69"/>
      <c r="D1056" s="70"/>
      <c r="E1056" s="146"/>
      <c r="F1056" s="70" t="str">
        <f>IFERROR(VLOOKUP(C1056,MATERIAUX!$C$3:$G$1002,3,FALSE),"")</f>
        <v/>
      </c>
      <c r="G1056" s="71" t="str">
        <f>IFERROR(VLOOKUP(C1056,MATERIAUX!$C$3:$G$1002,5,FALSE),"")</f>
        <v/>
      </c>
      <c r="H1056" s="71" t="str">
        <f t="shared" si="441"/>
        <v/>
      </c>
      <c r="I1056" s="394"/>
      <c r="J1056" s="72"/>
      <c r="K1056" s="72"/>
      <c r="L1056" s="72" t="str">
        <f>IFERROR(VLOOKUP(J1056,'MAIN D OEUVRE'!$A$4:$B$99,2,FALSE)*$N$2,"")</f>
        <v/>
      </c>
      <c r="M1056" s="73" t="str">
        <f t="shared" si="454"/>
        <v/>
      </c>
      <c r="N1056" s="397"/>
    </row>
    <row r="1057" spans="1:14">
      <c r="A1057" s="388"/>
      <c r="B1057" s="391"/>
      <c r="C1057" s="69"/>
      <c r="D1057" s="70"/>
      <c r="E1057" s="146"/>
      <c r="F1057" s="70" t="str">
        <f>IFERROR(VLOOKUP(C1057,MATERIAUX!$C$3:$G$1002,3,FALSE),"")</f>
        <v/>
      </c>
      <c r="G1057" s="71" t="str">
        <f>IFERROR(VLOOKUP(C1057,MATERIAUX!$C$3:$G$1002,5,FALSE),"")</f>
        <v/>
      </c>
      <c r="H1057" s="71" t="str">
        <f t="shared" si="441"/>
        <v/>
      </c>
      <c r="I1057" s="394"/>
      <c r="J1057" s="72"/>
      <c r="K1057" s="72"/>
      <c r="L1057" s="72" t="str">
        <f>IFERROR(VLOOKUP(J1057,'MAIN D OEUVRE'!$A$4:$B$99,2,FALSE)*$N$2,"")</f>
        <v/>
      </c>
      <c r="M1057" s="73" t="str">
        <f t="shared" si="454"/>
        <v/>
      </c>
      <c r="N1057" s="397"/>
    </row>
    <row r="1058" spans="1:14">
      <c r="A1058" s="388"/>
      <c r="B1058" s="391"/>
      <c r="C1058" s="69"/>
      <c r="D1058" s="70"/>
      <c r="E1058" s="146"/>
      <c r="F1058" s="70" t="str">
        <f>IFERROR(VLOOKUP(C1058,MATERIAUX!$C$3:$G$1002,3,FALSE),"")</f>
        <v/>
      </c>
      <c r="G1058" s="71" t="str">
        <f>IFERROR(VLOOKUP(C1058,MATERIAUX!$C$3:$G$1002,5,FALSE),"")</f>
        <v/>
      </c>
      <c r="H1058" s="71" t="str">
        <f t="shared" si="441"/>
        <v/>
      </c>
      <c r="I1058" s="394"/>
      <c r="J1058" s="72"/>
      <c r="K1058" s="72"/>
      <c r="L1058" s="72" t="str">
        <f>IFERROR(VLOOKUP(J1058,'MAIN D OEUVRE'!$A$4:$B$99,2,FALSE)*$N$2,"")</f>
        <v/>
      </c>
      <c r="M1058" s="73" t="str">
        <f t="shared" si="454"/>
        <v/>
      </c>
      <c r="N1058" s="397"/>
    </row>
    <row r="1059" spans="1:14">
      <c r="A1059" s="388"/>
      <c r="B1059" s="391"/>
      <c r="C1059" s="69"/>
      <c r="D1059" s="70"/>
      <c r="E1059" s="146"/>
      <c r="F1059" s="70" t="str">
        <f>IFERROR(VLOOKUP(C1059,MATERIAUX!$C$3:$G$1002,3,FALSE),"")</f>
        <v/>
      </c>
      <c r="G1059" s="71" t="str">
        <f>IFERROR(VLOOKUP(C1059,MATERIAUX!$C$3:$G$1002,5,FALSE),"")</f>
        <v/>
      </c>
      <c r="H1059" s="71" t="str">
        <f t="shared" si="441"/>
        <v/>
      </c>
      <c r="I1059" s="394"/>
      <c r="J1059" s="72"/>
      <c r="K1059" s="72"/>
      <c r="L1059" s="72" t="str">
        <f>IFERROR(VLOOKUP(J1059,'MAIN D OEUVRE'!$A$4:$B$99,2,FALSE)*$N$2,"")</f>
        <v/>
      </c>
      <c r="M1059" s="73" t="str">
        <f t="shared" si="454"/>
        <v/>
      </c>
      <c r="N1059" s="397"/>
    </row>
    <row r="1060" spans="1:14">
      <c r="A1060" s="388"/>
      <c r="B1060" s="391"/>
      <c r="C1060" s="69"/>
      <c r="D1060" s="70"/>
      <c r="E1060" s="146"/>
      <c r="F1060" s="70" t="str">
        <f>IFERROR(VLOOKUP(C1060,MATERIAUX!$C$3:$G$1002,3,FALSE),"")</f>
        <v/>
      </c>
      <c r="G1060" s="71" t="str">
        <f>IFERROR(VLOOKUP(C1060,MATERIAUX!$C$3:$G$1002,5,FALSE),"")</f>
        <v/>
      </c>
      <c r="H1060" s="71" t="str">
        <f t="shared" si="441"/>
        <v/>
      </c>
      <c r="I1060" s="394"/>
      <c r="J1060" s="72"/>
      <c r="K1060" s="72"/>
      <c r="L1060" s="72" t="str">
        <f>IFERROR(VLOOKUP(J1060,'MAIN D OEUVRE'!$A$4:$B$99,2,FALSE)*$N$2,"")</f>
        <v/>
      </c>
      <c r="M1060" s="73" t="str">
        <f t="shared" si="454"/>
        <v/>
      </c>
      <c r="N1060" s="397"/>
    </row>
    <row r="1061" spans="1:14">
      <c r="A1061" s="388"/>
      <c r="B1061" s="391"/>
      <c r="C1061" s="69"/>
      <c r="D1061" s="70"/>
      <c r="E1061" s="146"/>
      <c r="F1061" s="70" t="str">
        <f>IFERROR(VLOOKUP(C1061,MATERIAUX!$C$3:$G$1002,3,FALSE),"")</f>
        <v/>
      </c>
      <c r="G1061" s="71" t="str">
        <f>IFERROR(VLOOKUP(C1061,MATERIAUX!$C$3:$G$1002,5,FALSE),"")</f>
        <v/>
      </c>
      <c r="H1061" s="71" t="str">
        <f t="shared" si="441"/>
        <v/>
      </c>
      <c r="I1061" s="394"/>
      <c r="J1061" s="72"/>
      <c r="K1061" s="72"/>
      <c r="L1061" s="72"/>
      <c r="M1061" s="73"/>
      <c r="N1061" s="397"/>
    </row>
    <row r="1062" spans="1:14" ht="15" thickBot="1">
      <c r="A1062" s="389"/>
      <c r="B1062" s="392"/>
      <c r="C1062" s="74"/>
      <c r="D1062" s="75"/>
      <c r="E1062" s="147"/>
      <c r="F1062" s="70" t="str">
        <f>IFERROR(VLOOKUP(C1062,MATERIAUX!$C$3:$G$1002,3,FALSE),"")</f>
        <v/>
      </c>
      <c r="G1062" s="71" t="str">
        <f>IFERROR(VLOOKUP(C1062,MATERIAUX!$C$3:$G$1002,5,FALSE),"")</f>
        <v/>
      </c>
      <c r="H1062" s="71" t="str">
        <f t="shared" si="441"/>
        <v/>
      </c>
      <c r="I1062" s="395"/>
      <c r="J1062" s="77"/>
      <c r="K1062" s="77"/>
      <c r="L1062" s="77"/>
      <c r="M1062" s="78"/>
      <c r="N1062" s="398"/>
    </row>
    <row r="1063" spans="1:14">
      <c r="A1063" s="387"/>
      <c r="B1063" s="390"/>
      <c r="C1063" s="64"/>
      <c r="D1063" s="65"/>
      <c r="E1063" s="145"/>
      <c r="F1063" s="65" t="str">
        <f>IFERROR(VLOOKUP(C1063,MATERIAUX!$C$3:$G$1002,3,FALSE),"")</f>
        <v/>
      </c>
      <c r="G1063" s="66" t="str">
        <f>IFERROR(VLOOKUP(C1063,MATERIAUX!$C$3:$G$1002,5,FALSE),"")</f>
        <v/>
      </c>
      <c r="H1063" s="66" t="str">
        <f t="shared" si="441"/>
        <v/>
      </c>
      <c r="I1063" s="393">
        <f t="shared" ref="I1063" si="456">SUM(H1063:H1072)</f>
        <v>0</v>
      </c>
      <c r="J1063" s="67"/>
      <c r="K1063" s="67"/>
      <c r="L1063" s="67" t="str">
        <f>IFERROR(VLOOKUP(J1063,'MAIN D OEUVRE'!$A$4:$B$99,2,FALSE)*$N$2,"")</f>
        <v/>
      </c>
      <c r="M1063" s="68" t="str">
        <f t="shared" ref="M1063:M1070" si="457">IFERROR(ROUND(L1063*K1063,2),"")</f>
        <v/>
      </c>
      <c r="N1063" s="396">
        <f t="shared" ref="N1063" si="458">SUM(M1063:M1072)</f>
        <v>0</v>
      </c>
    </row>
    <row r="1064" spans="1:14">
      <c r="A1064" s="388"/>
      <c r="B1064" s="391"/>
      <c r="C1064" s="69"/>
      <c r="D1064" s="70"/>
      <c r="E1064" s="146"/>
      <c r="F1064" s="70" t="str">
        <f>IFERROR(VLOOKUP(C1064,MATERIAUX!$C$3:$G$1002,3,FALSE),"")</f>
        <v/>
      </c>
      <c r="G1064" s="71" t="str">
        <f>IFERROR(VLOOKUP(C1064,MATERIAUX!$C$3:$G$1002,5,FALSE),"")</f>
        <v/>
      </c>
      <c r="H1064" s="71" t="str">
        <f t="shared" si="441"/>
        <v/>
      </c>
      <c r="I1064" s="394"/>
      <c r="J1064" s="72"/>
      <c r="K1064" s="72"/>
      <c r="L1064" s="72" t="str">
        <f>IFERROR(VLOOKUP(J1064,'MAIN D OEUVRE'!$A$4:$B$99,2,FALSE)*$N$2,"")</f>
        <v/>
      </c>
      <c r="M1064" s="73" t="str">
        <f t="shared" si="457"/>
        <v/>
      </c>
      <c r="N1064" s="397"/>
    </row>
    <row r="1065" spans="1:14">
      <c r="A1065" s="388"/>
      <c r="B1065" s="391"/>
      <c r="C1065" s="69"/>
      <c r="D1065" s="70"/>
      <c r="E1065" s="146"/>
      <c r="F1065" s="70" t="str">
        <f>IFERROR(VLOOKUP(C1065,MATERIAUX!$C$3:$G$1002,3,FALSE),"")</f>
        <v/>
      </c>
      <c r="G1065" s="71" t="str">
        <f>IFERROR(VLOOKUP(C1065,MATERIAUX!$C$3:$G$1002,5,FALSE),"")</f>
        <v/>
      </c>
      <c r="H1065" s="71" t="str">
        <f t="shared" si="441"/>
        <v/>
      </c>
      <c r="I1065" s="394"/>
      <c r="J1065" s="72"/>
      <c r="K1065" s="72"/>
      <c r="L1065" s="72" t="str">
        <f>IFERROR(VLOOKUP(J1065,'MAIN D OEUVRE'!$A$4:$B$99,2,FALSE)*$N$2,"")</f>
        <v/>
      </c>
      <c r="M1065" s="73" t="str">
        <f t="shared" si="457"/>
        <v/>
      </c>
      <c r="N1065" s="397"/>
    </row>
    <row r="1066" spans="1:14">
      <c r="A1066" s="388"/>
      <c r="B1066" s="391"/>
      <c r="C1066" s="69"/>
      <c r="D1066" s="70"/>
      <c r="E1066" s="146"/>
      <c r="F1066" s="70" t="str">
        <f>IFERROR(VLOOKUP(C1066,MATERIAUX!$C$3:$G$1002,3,FALSE),"")</f>
        <v/>
      </c>
      <c r="G1066" s="71" t="str">
        <f>IFERROR(VLOOKUP(C1066,MATERIAUX!$C$3:$G$1002,5,FALSE),"")</f>
        <v/>
      </c>
      <c r="H1066" s="71" t="str">
        <f t="shared" si="441"/>
        <v/>
      </c>
      <c r="I1066" s="394"/>
      <c r="J1066" s="72"/>
      <c r="K1066" s="72"/>
      <c r="L1066" s="72" t="str">
        <f>IFERROR(VLOOKUP(J1066,'MAIN D OEUVRE'!$A$4:$B$99,2,FALSE)*$N$2,"")</f>
        <v/>
      </c>
      <c r="M1066" s="73" t="str">
        <f t="shared" si="457"/>
        <v/>
      </c>
      <c r="N1066" s="397"/>
    </row>
    <row r="1067" spans="1:14">
      <c r="A1067" s="388"/>
      <c r="B1067" s="391"/>
      <c r="C1067" s="69"/>
      <c r="D1067" s="70"/>
      <c r="E1067" s="146"/>
      <c r="F1067" s="70" t="str">
        <f>IFERROR(VLOOKUP(C1067,MATERIAUX!$C$3:$G$1002,3,FALSE),"")</f>
        <v/>
      </c>
      <c r="G1067" s="71" t="str">
        <f>IFERROR(VLOOKUP(C1067,MATERIAUX!$C$3:$G$1002,5,FALSE),"")</f>
        <v/>
      </c>
      <c r="H1067" s="71" t="str">
        <f t="shared" si="441"/>
        <v/>
      </c>
      <c r="I1067" s="394"/>
      <c r="J1067" s="72"/>
      <c r="K1067" s="72"/>
      <c r="L1067" s="72" t="str">
        <f>IFERROR(VLOOKUP(J1067,'MAIN D OEUVRE'!$A$4:$B$99,2,FALSE)*$N$2,"")</f>
        <v/>
      </c>
      <c r="M1067" s="73" t="str">
        <f t="shared" si="457"/>
        <v/>
      </c>
      <c r="N1067" s="397"/>
    </row>
    <row r="1068" spans="1:14">
      <c r="A1068" s="388"/>
      <c r="B1068" s="391"/>
      <c r="C1068" s="69"/>
      <c r="D1068" s="70"/>
      <c r="E1068" s="146"/>
      <c r="F1068" s="70" t="str">
        <f>IFERROR(VLOOKUP(C1068,MATERIAUX!$C$3:$G$1002,3,FALSE),"")</f>
        <v/>
      </c>
      <c r="G1068" s="71" t="str">
        <f>IFERROR(VLOOKUP(C1068,MATERIAUX!$C$3:$G$1002,5,FALSE),"")</f>
        <v/>
      </c>
      <c r="H1068" s="71" t="str">
        <f t="shared" si="441"/>
        <v/>
      </c>
      <c r="I1068" s="394"/>
      <c r="J1068" s="72"/>
      <c r="K1068" s="72"/>
      <c r="L1068" s="72" t="str">
        <f>IFERROR(VLOOKUP(J1068,'MAIN D OEUVRE'!$A$4:$B$99,2,FALSE)*$N$2,"")</f>
        <v/>
      </c>
      <c r="M1068" s="73" t="str">
        <f t="shared" si="457"/>
        <v/>
      </c>
      <c r="N1068" s="397"/>
    </row>
    <row r="1069" spans="1:14">
      <c r="A1069" s="388"/>
      <c r="B1069" s="391"/>
      <c r="C1069" s="69"/>
      <c r="D1069" s="70"/>
      <c r="E1069" s="146"/>
      <c r="F1069" s="70" t="str">
        <f>IFERROR(VLOOKUP(C1069,MATERIAUX!$C$3:$G$1002,3,FALSE),"")</f>
        <v/>
      </c>
      <c r="G1069" s="71" t="str">
        <f>IFERROR(VLOOKUP(C1069,MATERIAUX!$C$3:$G$1002,5,FALSE),"")</f>
        <v/>
      </c>
      <c r="H1069" s="71" t="str">
        <f t="shared" si="441"/>
        <v/>
      </c>
      <c r="I1069" s="394"/>
      <c r="J1069" s="72"/>
      <c r="K1069" s="72"/>
      <c r="L1069" s="72" t="str">
        <f>IFERROR(VLOOKUP(J1069,'MAIN D OEUVRE'!$A$4:$B$99,2,FALSE)*$N$2,"")</f>
        <v/>
      </c>
      <c r="M1069" s="73" t="str">
        <f t="shared" si="457"/>
        <v/>
      </c>
      <c r="N1069" s="397"/>
    </row>
    <row r="1070" spans="1:14">
      <c r="A1070" s="388"/>
      <c r="B1070" s="391"/>
      <c r="C1070" s="69"/>
      <c r="D1070" s="70"/>
      <c r="E1070" s="146"/>
      <c r="F1070" s="70" t="str">
        <f>IFERROR(VLOOKUP(C1070,MATERIAUX!$C$3:$G$1002,3,FALSE),"")</f>
        <v/>
      </c>
      <c r="G1070" s="71" t="str">
        <f>IFERROR(VLOOKUP(C1070,MATERIAUX!$C$3:$G$1002,5,FALSE),"")</f>
        <v/>
      </c>
      <c r="H1070" s="71" t="str">
        <f t="shared" si="441"/>
        <v/>
      </c>
      <c r="I1070" s="394"/>
      <c r="J1070" s="72"/>
      <c r="K1070" s="72"/>
      <c r="L1070" s="72" t="str">
        <f>IFERROR(VLOOKUP(J1070,'MAIN D OEUVRE'!$A$4:$B$99,2,FALSE)*$N$2,"")</f>
        <v/>
      </c>
      <c r="M1070" s="73" t="str">
        <f t="shared" si="457"/>
        <v/>
      </c>
      <c r="N1070" s="397"/>
    </row>
    <row r="1071" spans="1:14">
      <c r="A1071" s="388"/>
      <c r="B1071" s="391"/>
      <c r="C1071" s="69"/>
      <c r="D1071" s="70"/>
      <c r="E1071" s="146"/>
      <c r="F1071" s="70" t="str">
        <f>IFERROR(VLOOKUP(C1071,MATERIAUX!$C$3:$G$1002,3,FALSE),"")</f>
        <v/>
      </c>
      <c r="G1071" s="71" t="str">
        <f>IFERROR(VLOOKUP(C1071,MATERIAUX!$C$3:$G$1002,5,FALSE),"")</f>
        <v/>
      </c>
      <c r="H1071" s="71" t="str">
        <f t="shared" si="441"/>
        <v/>
      </c>
      <c r="I1071" s="394"/>
      <c r="J1071" s="72"/>
      <c r="K1071" s="72"/>
      <c r="L1071" s="72"/>
      <c r="M1071" s="73"/>
      <c r="N1071" s="397"/>
    </row>
    <row r="1072" spans="1:14" ht="15" thickBot="1">
      <c r="A1072" s="389"/>
      <c r="B1072" s="392"/>
      <c r="C1072" s="74"/>
      <c r="D1072" s="75"/>
      <c r="E1072" s="147"/>
      <c r="F1072" s="70" t="str">
        <f>IFERROR(VLOOKUP(C1072,MATERIAUX!$C$3:$G$1002,3,FALSE),"")</f>
        <v/>
      </c>
      <c r="G1072" s="71" t="str">
        <f>IFERROR(VLOOKUP(C1072,MATERIAUX!$C$3:$G$1002,5,FALSE),"")</f>
        <v/>
      </c>
      <c r="H1072" s="71" t="str">
        <f t="shared" si="441"/>
        <v/>
      </c>
      <c r="I1072" s="395"/>
      <c r="J1072" s="77"/>
      <c r="K1072" s="77"/>
      <c r="L1072" s="77"/>
      <c r="M1072" s="78"/>
      <c r="N1072" s="398"/>
    </row>
    <row r="1073" spans="1:14">
      <c r="A1073" s="387"/>
      <c r="B1073" s="390"/>
      <c r="C1073" s="64"/>
      <c r="D1073" s="65"/>
      <c r="E1073" s="145"/>
      <c r="F1073" s="65" t="str">
        <f>IFERROR(VLOOKUP(C1073,MATERIAUX!$C$3:$G$1002,3,FALSE),"")</f>
        <v/>
      </c>
      <c r="G1073" s="66" t="str">
        <f>IFERROR(VLOOKUP(C1073,MATERIAUX!$C$3:$G$1002,5,FALSE),"")</f>
        <v/>
      </c>
      <c r="H1073" s="66" t="str">
        <f t="shared" si="441"/>
        <v/>
      </c>
      <c r="I1073" s="393">
        <f t="shared" ref="I1073" si="459">SUM(H1073:H1082)</f>
        <v>0</v>
      </c>
      <c r="J1073" s="67"/>
      <c r="K1073" s="67"/>
      <c r="L1073" s="67" t="str">
        <f>IFERROR(VLOOKUP(J1073,'MAIN D OEUVRE'!$A$4:$B$99,2,FALSE)*$N$2,"")</f>
        <v/>
      </c>
      <c r="M1073" s="68" t="str">
        <f t="shared" ref="M1073:M1080" si="460">IFERROR(ROUND(L1073*K1073,2),"")</f>
        <v/>
      </c>
      <c r="N1073" s="396">
        <f t="shared" ref="N1073" si="461">SUM(M1073:M1082)</f>
        <v>0</v>
      </c>
    </row>
    <row r="1074" spans="1:14">
      <c r="A1074" s="388"/>
      <c r="B1074" s="391"/>
      <c r="C1074" s="69"/>
      <c r="D1074" s="70"/>
      <c r="E1074" s="146"/>
      <c r="F1074" s="70" t="str">
        <f>IFERROR(VLOOKUP(C1074,MATERIAUX!$C$3:$G$1002,3,FALSE),"")</f>
        <v/>
      </c>
      <c r="G1074" s="71" t="str">
        <f>IFERROR(VLOOKUP(C1074,MATERIAUX!$C$3:$G$1002,5,FALSE),"")</f>
        <v/>
      </c>
      <c r="H1074" s="71" t="str">
        <f t="shared" si="441"/>
        <v/>
      </c>
      <c r="I1074" s="394"/>
      <c r="J1074" s="72"/>
      <c r="K1074" s="72"/>
      <c r="L1074" s="72" t="str">
        <f>IFERROR(VLOOKUP(J1074,'MAIN D OEUVRE'!$A$4:$B$99,2,FALSE)*$N$2,"")</f>
        <v/>
      </c>
      <c r="M1074" s="73" t="str">
        <f t="shared" si="460"/>
        <v/>
      </c>
      <c r="N1074" s="397"/>
    </row>
    <row r="1075" spans="1:14">
      <c r="A1075" s="388"/>
      <c r="B1075" s="391"/>
      <c r="C1075" s="69"/>
      <c r="D1075" s="70"/>
      <c r="E1075" s="146"/>
      <c r="F1075" s="70" t="str">
        <f>IFERROR(VLOOKUP(C1075,MATERIAUX!$C$3:$G$1002,3,FALSE),"")</f>
        <v/>
      </c>
      <c r="G1075" s="71" t="str">
        <f>IFERROR(VLOOKUP(C1075,MATERIAUX!$C$3:$G$1002,5,FALSE),"")</f>
        <v/>
      </c>
      <c r="H1075" s="71" t="str">
        <f t="shared" si="441"/>
        <v/>
      </c>
      <c r="I1075" s="394"/>
      <c r="J1075" s="72"/>
      <c r="K1075" s="72"/>
      <c r="L1075" s="72" t="str">
        <f>IFERROR(VLOOKUP(J1075,'MAIN D OEUVRE'!$A$4:$B$99,2,FALSE)*$N$2,"")</f>
        <v/>
      </c>
      <c r="M1075" s="73" t="str">
        <f t="shared" si="460"/>
        <v/>
      </c>
      <c r="N1075" s="397"/>
    </row>
    <row r="1076" spans="1:14">
      <c r="A1076" s="388"/>
      <c r="B1076" s="391"/>
      <c r="C1076" s="69"/>
      <c r="D1076" s="70"/>
      <c r="E1076" s="146"/>
      <c r="F1076" s="70" t="str">
        <f>IFERROR(VLOOKUP(C1076,MATERIAUX!$C$3:$G$1002,3,FALSE),"")</f>
        <v/>
      </c>
      <c r="G1076" s="71" t="str">
        <f>IFERROR(VLOOKUP(C1076,MATERIAUX!$C$3:$G$1002,5,FALSE),"")</f>
        <v/>
      </c>
      <c r="H1076" s="71" t="str">
        <f t="shared" si="441"/>
        <v/>
      </c>
      <c r="I1076" s="394"/>
      <c r="J1076" s="72"/>
      <c r="K1076" s="72"/>
      <c r="L1076" s="72" t="str">
        <f>IFERROR(VLOOKUP(J1076,'MAIN D OEUVRE'!$A$4:$B$99,2,FALSE)*$N$2,"")</f>
        <v/>
      </c>
      <c r="M1076" s="73" t="str">
        <f t="shared" si="460"/>
        <v/>
      </c>
      <c r="N1076" s="397"/>
    </row>
    <row r="1077" spans="1:14">
      <c r="A1077" s="388"/>
      <c r="B1077" s="391"/>
      <c r="C1077" s="69"/>
      <c r="D1077" s="70"/>
      <c r="E1077" s="146"/>
      <c r="F1077" s="70" t="str">
        <f>IFERROR(VLOOKUP(C1077,MATERIAUX!$C$3:$G$1002,3,FALSE),"")</f>
        <v/>
      </c>
      <c r="G1077" s="71" t="str">
        <f>IFERROR(VLOOKUP(C1077,MATERIAUX!$C$3:$G$1002,5,FALSE),"")</f>
        <v/>
      </c>
      <c r="H1077" s="71" t="str">
        <f t="shared" si="441"/>
        <v/>
      </c>
      <c r="I1077" s="394"/>
      <c r="J1077" s="72"/>
      <c r="K1077" s="72"/>
      <c r="L1077" s="72" t="str">
        <f>IFERROR(VLOOKUP(J1077,'MAIN D OEUVRE'!$A$4:$B$99,2,FALSE)*$N$2,"")</f>
        <v/>
      </c>
      <c r="M1077" s="73" t="str">
        <f t="shared" si="460"/>
        <v/>
      </c>
      <c r="N1077" s="397"/>
    </row>
    <row r="1078" spans="1:14">
      <c r="A1078" s="388"/>
      <c r="B1078" s="391"/>
      <c r="C1078" s="69"/>
      <c r="D1078" s="70"/>
      <c r="E1078" s="146"/>
      <c r="F1078" s="70" t="str">
        <f>IFERROR(VLOOKUP(C1078,MATERIAUX!$C$3:$G$1002,3,FALSE),"")</f>
        <v/>
      </c>
      <c r="G1078" s="71" t="str">
        <f>IFERROR(VLOOKUP(C1078,MATERIAUX!$C$3:$G$1002,5,FALSE),"")</f>
        <v/>
      </c>
      <c r="H1078" s="71" t="str">
        <f t="shared" si="441"/>
        <v/>
      </c>
      <c r="I1078" s="394"/>
      <c r="J1078" s="72"/>
      <c r="K1078" s="72"/>
      <c r="L1078" s="72" t="str">
        <f>IFERROR(VLOOKUP(J1078,'MAIN D OEUVRE'!$A$4:$B$99,2,FALSE)*$N$2,"")</f>
        <v/>
      </c>
      <c r="M1078" s="73" t="str">
        <f t="shared" si="460"/>
        <v/>
      </c>
      <c r="N1078" s="397"/>
    </row>
    <row r="1079" spans="1:14">
      <c r="A1079" s="388"/>
      <c r="B1079" s="391"/>
      <c r="C1079" s="69"/>
      <c r="D1079" s="70"/>
      <c r="E1079" s="146"/>
      <c r="F1079" s="70" t="str">
        <f>IFERROR(VLOOKUP(C1079,MATERIAUX!$C$3:$G$1002,3,FALSE),"")</f>
        <v/>
      </c>
      <c r="G1079" s="71" t="str">
        <f>IFERROR(VLOOKUP(C1079,MATERIAUX!$C$3:$G$1002,5,FALSE),"")</f>
        <v/>
      </c>
      <c r="H1079" s="71" t="str">
        <f t="shared" si="441"/>
        <v/>
      </c>
      <c r="I1079" s="394"/>
      <c r="J1079" s="72"/>
      <c r="K1079" s="72"/>
      <c r="L1079" s="72" t="str">
        <f>IFERROR(VLOOKUP(J1079,'MAIN D OEUVRE'!$A$4:$B$99,2,FALSE)*$N$2,"")</f>
        <v/>
      </c>
      <c r="M1079" s="73" t="str">
        <f t="shared" si="460"/>
        <v/>
      </c>
      <c r="N1079" s="397"/>
    </row>
    <row r="1080" spans="1:14">
      <c r="A1080" s="388"/>
      <c r="B1080" s="391"/>
      <c r="C1080" s="69"/>
      <c r="D1080" s="70"/>
      <c r="E1080" s="146"/>
      <c r="F1080" s="70" t="str">
        <f>IFERROR(VLOOKUP(C1080,MATERIAUX!$C$3:$G$1002,3,FALSE),"")</f>
        <v/>
      </c>
      <c r="G1080" s="71" t="str">
        <f>IFERROR(VLOOKUP(C1080,MATERIAUX!$C$3:$G$1002,5,FALSE),"")</f>
        <v/>
      </c>
      <c r="H1080" s="71" t="str">
        <f t="shared" si="441"/>
        <v/>
      </c>
      <c r="I1080" s="394"/>
      <c r="J1080" s="72"/>
      <c r="K1080" s="72"/>
      <c r="L1080" s="72" t="str">
        <f>IFERROR(VLOOKUP(J1080,'MAIN D OEUVRE'!$A$4:$B$99,2,FALSE)*$N$2,"")</f>
        <v/>
      </c>
      <c r="M1080" s="73" t="str">
        <f t="shared" si="460"/>
        <v/>
      </c>
      <c r="N1080" s="397"/>
    </row>
    <row r="1081" spans="1:14">
      <c r="A1081" s="388"/>
      <c r="B1081" s="391"/>
      <c r="C1081" s="69"/>
      <c r="D1081" s="70"/>
      <c r="E1081" s="146"/>
      <c r="F1081" s="70" t="str">
        <f>IFERROR(VLOOKUP(C1081,MATERIAUX!$C$3:$G$1002,3,FALSE),"")</f>
        <v/>
      </c>
      <c r="G1081" s="71" t="str">
        <f>IFERROR(VLOOKUP(C1081,MATERIAUX!$C$3:$G$1002,5,FALSE),"")</f>
        <v/>
      </c>
      <c r="H1081" s="71" t="str">
        <f t="shared" si="441"/>
        <v/>
      </c>
      <c r="I1081" s="394"/>
      <c r="J1081" s="72"/>
      <c r="K1081" s="72"/>
      <c r="L1081" s="72"/>
      <c r="M1081" s="73"/>
      <c r="N1081" s="397"/>
    </row>
    <row r="1082" spans="1:14" ht="15" thickBot="1">
      <c r="A1082" s="389"/>
      <c r="B1082" s="392"/>
      <c r="C1082" s="74"/>
      <c r="D1082" s="75"/>
      <c r="E1082" s="147"/>
      <c r="F1082" s="70" t="str">
        <f>IFERROR(VLOOKUP(C1082,MATERIAUX!$C$3:$G$1002,3,FALSE),"")</f>
        <v/>
      </c>
      <c r="G1082" s="71" t="str">
        <f>IFERROR(VLOOKUP(C1082,MATERIAUX!$C$3:$G$1002,5,FALSE),"")</f>
        <v/>
      </c>
      <c r="H1082" s="71" t="str">
        <f t="shared" si="441"/>
        <v/>
      </c>
      <c r="I1082" s="395"/>
      <c r="J1082" s="77"/>
      <c r="K1082" s="77"/>
      <c r="L1082" s="77"/>
      <c r="M1082" s="78"/>
      <c r="N1082" s="398"/>
    </row>
    <row r="1083" spans="1:14">
      <c r="A1083" s="387"/>
      <c r="B1083" s="390"/>
      <c r="C1083" s="64"/>
      <c r="D1083" s="65"/>
      <c r="E1083" s="145"/>
      <c r="F1083" s="65" t="str">
        <f>IFERROR(VLOOKUP(C1083,MATERIAUX!$C$3:$G$1002,3,FALSE),"")</f>
        <v/>
      </c>
      <c r="G1083" s="66" t="str">
        <f>IFERROR(VLOOKUP(C1083,MATERIAUX!$C$3:$G$1002,5,FALSE),"")</f>
        <v/>
      </c>
      <c r="H1083" s="66" t="str">
        <f t="shared" si="441"/>
        <v/>
      </c>
      <c r="I1083" s="393">
        <f t="shared" ref="I1083" si="462">SUM(H1083:H1092)</f>
        <v>0</v>
      </c>
      <c r="J1083" s="67"/>
      <c r="K1083" s="67"/>
      <c r="L1083" s="67" t="str">
        <f>IFERROR(VLOOKUP(J1083,'MAIN D OEUVRE'!$A$4:$B$99,2,FALSE)*$N$2,"")</f>
        <v/>
      </c>
      <c r="M1083" s="68" t="str">
        <f t="shared" ref="M1083:M1090" si="463">IFERROR(ROUND(L1083*K1083,2),"")</f>
        <v/>
      </c>
      <c r="N1083" s="396">
        <f t="shared" ref="N1083" si="464">SUM(M1083:M1092)</f>
        <v>0</v>
      </c>
    </row>
    <row r="1084" spans="1:14">
      <c r="A1084" s="388"/>
      <c r="B1084" s="391"/>
      <c r="C1084" s="69"/>
      <c r="D1084" s="70"/>
      <c r="E1084" s="146"/>
      <c r="F1084" s="70" t="str">
        <f>IFERROR(VLOOKUP(C1084,MATERIAUX!$C$3:$G$1002,3,FALSE),"")</f>
        <v/>
      </c>
      <c r="G1084" s="71" t="str">
        <f>IFERROR(VLOOKUP(C1084,MATERIAUX!$C$3:$G$1002,5,FALSE),"")</f>
        <v/>
      </c>
      <c r="H1084" s="71" t="str">
        <f t="shared" si="441"/>
        <v/>
      </c>
      <c r="I1084" s="394"/>
      <c r="J1084" s="72"/>
      <c r="K1084" s="72"/>
      <c r="L1084" s="72" t="str">
        <f>IFERROR(VLOOKUP(J1084,'MAIN D OEUVRE'!$A$4:$B$99,2,FALSE)*$N$2,"")</f>
        <v/>
      </c>
      <c r="M1084" s="73" t="str">
        <f t="shared" si="463"/>
        <v/>
      </c>
      <c r="N1084" s="397"/>
    </row>
    <row r="1085" spans="1:14">
      <c r="A1085" s="388"/>
      <c r="B1085" s="391"/>
      <c r="C1085" s="69"/>
      <c r="D1085" s="70"/>
      <c r="E1085" s="146"/>
      <c r="F1085" s="70" t="str">
        <f>IFERROR(VLOOKUP(C1085,MATERIAUX!$C$3:$G$1002,3,FALSE),"")</f>
        <v/>
      </c>
      <c r="G1085" s="71" t="str">
        <f>IFERROR(VLOOKUP(C1085,MATERIAUX!$C$3:$G$1002,5,FALSE),"")</f>
        <v/>
      </c>
      <c r="H1085" s="71" t="str">
        <f t="shared" si="441"/>
        <v/>
      </c>
      <c r="I1085" s="394"/>
      <c r="J1085" s="72"/>
      <c r="K1085" s="72"/>
      <c r="L1085" s="72" t="str">
        <f>IFERROR(VLOOKUP(J1085,'MAIN D OEUVRE'!$A$4:$B$99,2,FALSE)*$N$2,"")</f>
        <v/>
      </c>
      <c r="M1085" s="73" t="str">
        <f t="shared" si="463"/>
        <v/>
      </c>
      <c r="N1085" s="397"/>
    </row>
    <row r="1086" spans="1:14">
      <c r="A1086" s="388"/>
      <c r="B1086" s="391"/>
      <c r="C1086" s="69"/>
      <c r="D1086" s="70"/>
      <c r="E1086" s="146"/>
      <c r="F1086" s="70" t="str">
        <f>IFERROR(VLOOKUP(C1086,MATERIAUX!$C$3:$G$1002,3,FALSE),"")</f>
        <v/>
      </c>
      <c r="G1086" s="71" t="str">
        <f>IFERROR(VLOOKUP(C1086,MATERIAUX!$C$3:$G$1002,5,FALSE),"")</f>
        <v/>
      </c>
      <c r="H1086" s="71" t="str">
        <f t="shared" si="441"/>
        <v/>
      </c>
      <c r="I1086" s="394"/>
      <c r="J1086" s="72"/>
      <c r="K1086" s="72"/>
      <c r="L1086" s="72" t="str">
        <f>IFERROR(VLOOKUP(J1086,'MAIN D OEUVRE'!$A$4:$B$99,2,FALSE)*$N$2,"")</f>
        <v/>
      </c>
      <c r="M1086" s="73" t="str">
        <f t="shared" si="463"/>
        <v/>
      </c>
      <c r="N1086" s="397"/>
    </row>
    <row r="1087" spans="1:14">
      <c r="A1087" s="388"/>
      <c r="B1087" s="391"/>
      <c r="C1087" s="69"/>
      <c r="D1087" s="70"/>
      <c r="E1087" s="146"/>
      <c r="F1087" s="70" t="str">
        <f>IFERROR(VLOOKUP(C1087,MATERIAUX!$C$3:$G$1002,3,FALSE),"")</f>
        <v/>
      </c>
      <c r="G1087" s="71" t="str">
        <f>IFERROR(VLOOKUP(C1087,MATERIAUX!$C$3:$G$1002,5,FALSE),"")</f>
        <v/>
      </c>
      <c r="H1087" s="71" t="str">
        <f t="shared" si="441"/>
        <v/>
      </c>
      <c r="I1087" s="394"/>
      <c r="J1087" s="72"/>
      <c r="K1087" s="72"/>
      <c r="L1087" s="72" t="str">
        <f>IFERROR(VLOOKUP(J1087,'MAIN D OEUVRE'!$A$4:$B$99,2,FALSE)*$N$2,"")</f>
        <v/>
      </c>
      <c r="M1087" s="73" t="str">
        <f t="shared" si="463"/>
        <v/>
      </c>
      <c r="N1087" s="397"/>
    </row>
    <row r="1088" spans="1:14">
      <c r="A1088" s="388"/>
      <c r="B1088" s="391"/>
      <c r="C1088" s="69"/>
      <c r="D1088" s="70"/>
      <c r="E1088" s="146"/>
      <c r="F1088" s="70" t="str">
        <f>IFERROR(VLOOKUP(C1088,MATERIAUX!$C$3:$G$1002,3,FALSE),"")</f>
        <v/>
      </c>
      <c r="G1088" s="71" t="str">
        <f>IFERROR(VLOOKUP(C1088,MATERIAUX!$C$3:$G$1002,5,FALSE),"")</f>
        <v/>
      </c>
      <c r="H1088" s="71" t="str">
        <f t="shared" ref="H1088:H1151" si="465">IFERROR(ROUND(G1088*(1+E1088)*D1088,2),"")</f>
        <v/>
      </c>
      <c r="I1088" s="394"/>
      <c r="J1088" s="72"/>
      <c r="K1088" s="72"/>
      <c r="L1088" s="72" t="str">
        <f>IFERROR(VLOOKUP(J1088,'MAIN D OEUVRE'!$A$4:$B$99,2,FALSE)*$N$2,"")</f>
        <v/>
      </c>
      <c r="M1088" s="73" t="str">
        <f t="shared" si="463"/>
        <v/>
      </c>
      <c r="N1088" s="397"/>
    </row>
    <row r="1089" spans="1:14">
      <c r="A1089" s="388"/>
      <c r="B1089" s="391"/>
      <c r="C1089" s="69"/>
      <c r="D1089" s="70"/>
      <c r="E1089" s="146"/>
      <c r="F1089" s="70" t="str">
        <f>IFERROR(VLOOKUP(C1089,MATERIAUX!$C$3:$G$1002,3,FALSE),"")</f>
        <v/>
      </c>
      <c r="G1089" s="71" t="str">
        <f>IFERROR(VLOOKUP(C1089,MATERIAUX!$C$3:$G$1002,5,FALSE),"")</f>
        <v/>
      </c>
      <c r="H1089" s="71" t="str">
        <f t="shared" si="465"/>
        <v/>
      </c>
      <c r="I1089" s="394"/>
      <c r="J1089" s="72"/>
      <c r="K1089" s="72"/>
      <c r="L1089" s="72" t="str">
        <f>IFERROR(VLOOKUP(J1089,'MAIN D OEUVRE'!$A$4:$B$99,2,FALSE)*$N$2,"")</f>
        <v/>
      </c>
      <c r="M1089" s="73" t="str">
        <f t="shared" si="463"/>
        <v/>
      </c>
      <c r="N1089" s="397"/>
    </row>
    <row r="1090" spans="1:14">
      <c r="A1090" s="388"/>
      <c r="B1090" s="391"/>
      <c r="C1090" s="69"/>
      <c r="D1090" s="70"/>
      <c r="E1090" s="146"/>
      <c r="F1090" s="70" t="str">
        <f>IFERROR(VLOOKUP(C1090,MATERIAUX!$C$3:$G$1002,3,FALSE),"")</f>
        <v/>
      </c>
      <c r="G1090" s="71" t="str">
        <f>IFERROR(VLOOKUP(C1090,MATERIAUX!$C$3:$G$1002,5,FALSE),"")</f>
        <v/>
      </c>
      <c r="H1090" s="71" t="str">
        <f t="shared" si="465"/>
        <v/>
      </c>
      <c r="I1090" s="394"/>
      <c r="J1090" s="72"/>
      <c r="K1090" s="72"/>
      <c r="L1090" s="72" t="str">
        <f>IFERROR(VLOOKUP(J1090,'MAIN D OEUVRE'!$A$4:$B$99,2,FALSE)*$N$2,"")</f>
        <v/>
      </c>
      <c r="M1090" s="73" t="str">
        <f t="shared" si="463"/>
        <v/>
      </c>
      <c r="N1090" s="397"/>
    </row>
    <row r="1091" spans="1:14">
      <c r="A1091" s="388"/>
      <c r="B1091" s="391"/>
      <c r="C1091" s="69"/>
      <c r="D1091" s="70"/>
      <c r="E1091" s="146"/>
      <c r="F1091" s="70" t="str">
        <f>IFERROR(VLOOKUP(C1091,MATERIAUX!$C$3:$G$1002,3,FALSE),"")</f>
        <v/>
      </c>
      <c r="G1091" s="71" t="str">
        <f>IFERROR(VLOOKUP(C1091,MATERIAUX!$C$3:$G$1002,5,FALSE),"")</f>
        <v/>
      </c>
      <c r="H1091" s="71" t="str">
        <f t="shared" si="465"/>
        <v/>
      </c>
      <c r="I1091" s="394"/>
      <c r="J1091" s="72"/>
      <c r="K1091" s="72"/>
      <c r="L1091" s="72"/>
      <c r="M1091" s="73"/>
      <c r="N1091" s="397"/>
    </row>
    <row r="1092" spans="1:14" ht="15" thickBot="1">
      <c r="A1092" s="389"/>
      <c r="B1092" s="392"/>
      <c r="C1092" s="74"/>
      <c r="D1092" s="75"/>
      <c r="E1092" s="147"/>
      <c r="F1092" s="70" t="str">
        <f>IFERROR(VLOOKUP(C1092,MATERIAUX!$C$3:$G$1002,3,FALSE),"")</f>
        <v/>
      </c>
      <c r="G1092" s="71" t="str">
        <f>IFERROR(VLOOKUP(C1092,MATERIAUX!$C$3:$G$1002,5,FALSE),"")</f>
        <v/>
      </c>
      <c r="H1092" s="71" t="str">
        <f t="shared" si="465"/>
        <v/>
      </c>
      <c r="I1092" s="395"/>
      <c r="J1092" s="77"/>
      <c r="K1092" s="77"/>
      <c r="L1092" s="77"/>
      <c r="M1092" s="78"/>
      <c r="N1092" s="398"/>
    </row>
    <row r="1093" spans="1:14">
      <c r="A1093" s="387"/>
      <c r="B1093" s="390"/>
      <c r="C1093" s="64"/>
      <c r="D1093" s="65"/>
      <c r="E1093" s="145"/>
      <c r="F1093" s="65" t="str">
        <f>IFERROR(VLOOKUP(C1093,MATERIAUX!$C$3:$G$1002,3,FALSE),"")</f>
        <v/>
      </c>
      <c r="G1093" s="66" t="str">
        <f>IFERROR(VLOOKUP(C1093,MATERIAUX!$C$3:$G$1002,5,FALSE),"")</f>
        <v/>
      </c>
      <c r="H1093" s="66" t="str">
        <f t="shared" si="465"/>
        <v/>
      </c>
      <c r="I1093" s="393">
        <f t="shared" ref="I1093" si="466">SUM(H1093:H1102)</f>
        <v>0</v>
      </c>
      <c r="J1093" s="67"/>
      <c r="K1093" s="67"/>
      <c r="L1093" s="67" t="str">
        <f>IFERROR(VLOOKUP(J1093,'MAIN D OEUVRE'!$A$4:$B$99,2,FALSE)*$N$2,"")</f>
        <v/>
      </c>
      <c r="M1093" s="68" t="str">
        <f t="shared" ref="M1093:M1100" si="467">IFERROR(ROUND(L1093*K1093,2),"")</f>
        <v/>
      </c>
      <c r="N1093" s="396">
        <f t="shared" ref="N1093" si="468">SUM(M1093:M1102)</f>
        <v>0</v>
      </c>
    </row>
    <row r="1094" spans="1:14">
      <c r="A1094" s="388"/>
      <c r="B1094" s="391"/>
      <c r="C1094" s="69"/>
      <c r="D1094" s="70"/>
      <c r="E1094" s="146"/>
      <c r="F1094" s="70" t="str">
        <f>IFERROR(VLOOKUP(C1094,MATERIAUX!$C$3:$G$1002,3,FALSE),"")</f>
        <v/>
      </c>
      <c r="G1094" s="71" t="str">
        <f>IFERROR(VLOOKUP(C1094,MATERIAUX!$C$3:$G$1002,5,FALSE),"")</f>
        <v/>
      </c>
      <c r="H1094" s="71" t="str">
        <f t="shared" si="465"/>
        <v/>
      </c>
      <c r="I1094" s="394"/>
      <c r="J1094" s="72"/>
      <c r="K1094" s="72"/>
      <c r="L1094" s="72" t="str">
        <f>IFERROR(VLOOKUP(J1094,'MAIN D OEUVRE'!$A$4:$B$99,2,FALSE)*$N$2,"")</f>
        <v/>
      </c>
      <c r="M1094" s="73" t="str">
        <f t="shared" si="467"/>
        <v/>
      </c>
      <c r="N1094" s="397"/>
    </row>
    <row r="1095" spans="1:14">
      <c r="A1095" s="388"/>
      <c r="B1095" s="391"/>
      <c r="C1095" s="69"/>
      <c r="D1095" s="70"/>
      <c r="E1095" s="146"/>
      <c r="F1095" s="70" t="str">
        <f>IFERROR(VLOOKUP(C1095,MATERIAUX!$C$3:$G$1002,3,FALSE),"")</f>
        <v/>
      </c>
      <c r="G1095" s="71" t="str">
        <f>IFERROR(VLOOKUP(C1095,MATERIAUX!$C$3:$G$1002,5,FALSE),"")</f>
        <v/>
      </c>
      <c r="H1095" s="71" t="str">
        <f t="shared" si="465"/>
        <v/>
      </c>
      <c r="I1095" s="394"/>
      <c r="J1095" s="72"/>
      <c r="K1095" s="72"/>
      <c r="L1095" s="72" t="str">
        <f>IFERROR(VLOOKUP(J1095,'MAIN D OEUVRE'!$A$4:$B$99,2,FALSE)*$N$2,"")</f>
        <v/>
      </c>
      <c r="M1095" s="73" t="str">
        <f t="shared" si="467"/>
        <v/>
      </c>
      <c r="N1095" s="397"/>
    </row>
    <row r="1096" spans="1:14">
      <c r="A1096" s="388"/>
      <c r="B1096" s="391"/>
      <c r="C1096" s="69"/>
      <c r="D1096" s="70"/>
      <c r="E1096" s="146"/>
      <c r="F1096" s="70" t="str">
        <f>IFERROR(VLOOKUP(C1096,MATERIAUX!$C$3:$G$1002,3,FALSE),"")</f>
        <v/>
      </c>
      <c r="G1096" s="71" t="str">
        <f>IFERROR(VLOOKUP(C1096,MATERIAUX!$C$3:$G$1002,5,FALSE),"")</f>
        <v/>
      </c>
      <c r="H1096" s="71" t="str">
        <f t="shared" si="465"/>
        <v/>
      </c>
      <c r="I1096" s="394"/>
      <c r="J1096" s="72"/>
      <c r="K1096" s="72"/>
      <c r="L1096" s="72" t="str">
        <f>IFERROR(VLOOKUP(J1096,'MAIN D OEUVRE'!$A$4:$B$99,2,FALSE)*$N$2,"")</f>
        <v/>
      </c>
      <c r="M1096" s="73" t="str">
        <f t="shared" si="467"/>
        <v/>
      </c>
      <c r="N1096" s="397"/>
    </row>
    <row r="1097" spans="1:14">
      <c r="A1097" s="388"/>
      <c r="B1097" s="391"/>
      <c r="C1097" s="69"/>
      <c r="D1097" s="70"/>
      <c r="E1097" s="146"/>
      <c r="F1097" s="70" t="str">
        <f>IFERROR(VLOOKUP(C1097,MATERIAUX!$C$3:$G$1002,3,FALSE),"")</f>
        <v/>
      </c>
      <c r="G1097" s="71" t="str">
        <f>IFERROR(VLOOKUP(C1097,MATERIAUX!$C$3:$G$1002,5,FALSE),"")</f>
        <v/>
      </c>
      <c r="H1097" s="71" t="str">
        <f t="shared" si="465"/>
        <v/>
      </c>
      <c r="I1097" s="394"/>
      <c r="J1097" s="72"/>
      <c r="K1097" s="72"/>
      <c r="L1097" s="72" t="str">
        <f>IFERROR(VLOOKUP(J1097,'MAIN D OEUVRE'!$A$4:$B$99,2,FALSE)*$N$2,"")</f>
        <v/>
      </c>
      <c r="M1097" s="73" t="str">
        <f t="shared" si="467"/>
        <v/>
      </c>
      <c r="N1097" s="397"/>
    </row>
    <row r="1098" spans="1:14">
      <c r="A1098" s="388"/>
      <c r="B1098" s="391"/>
      <c r="C1098" s="69"/>
      <c r="D1098" s="70"/>
      <c r="E1098" s="146"/>
      <c r="F1098" s="70" t="str">
        <f>IFERROR(VLOOKUP(C1098,MATERIAUX!$C$3:$G$1002,3,FALSE),"")</f>
        <v/>
      </c>
      <c r="G1098" s="71" t="str">
        <f>IFERROR(VLOOKUP(C1098,MATERIAUX!$C$3:$G$1002,5,FALSE),"")</f>
        <v/>
      </c>
      <c r="H1098" s="71" t="str">
        <f t="shared" si="465"/>
        <v/>
      </c>
      <c r="I1098" s="394"/>
      <c r="J1098" s="72"/>
      <c r="K1098" s="72"/>
      <c r="L1098" s="72" t="str">
        <f>IFERROR(VLOOKUP(J1098,'MAIN D OEUVRE'!$A$4:$B$99,2,FALSE)*$N$2,"")</f>
        <v/>
      </c>
      <c r="M1098" s="73" t="str">
        <f t="shared" si="467"/>
        <v/>
      </c>
      <c r="N1098" s="397"/>
    </row>
    <row r="1099" spans="1:14">
      <c r="A1099" s="388"/>
      <c r="B1099" s="391"/>
      <c r="C1099" s="69"/>
      <c r="D1099" s="70"/>
      <c r="E1099" s="146"/>
      <c r="F1099" s="70" t="str">
        <f>IFERROR(VLOOKUP(C1099,MATERIAUX!$C$3:$G$1002,3,FALSE),"")</f>
        <v/>
      </c>
      <c r="G1099" s="71" t="str">
        <f>IFERROR(VLOOKUP(C1099,MATERIAUX!$C$3:$G$1002,5,FALSE),"")</f>
        <v/>
      </c>
      <c r="H1099" s="71" t="str">
        <f t="shared" si="465"/>
        <v/>
      </c>
      <c r="I1099" s="394"/>
      <c r="J1099" s="72"/>
      <c r="K1099" s="72"/>
      <c r="L1099" s="72" t="str">
        <f>IFERROR(VLOOKUP(J1099,'MAIN D OEUVRE'!$A$4:$B$99,2,FALSE)*$N$2,"")</f>
        <v/>
      </c>
      <c r="M1099" s="73" t="str">
        <f t="shared" si="467"/>
        <v/>
      </c>
      <c r="N1099" s="397"/>
    </row>
    <row r="1100" spans="1:14">
      <c r="A1100" s="388"/>
      <c r="B1100" s="391"/>
      <c r="C1100" s="69"/>
      <c r="D1100" s="70"/>
      <c r="E1100" s="146"/>
      <c r="F1100" s="70" t="str">
        <f>IFERROR(VLOOKUP(C1100,MATERIAUX!$C$3:$G$1002,3,FALSE),"")</f>
        <v/>
      </c>
      <c r="G1100" s="71" t="str">
        <f>IFERROR(VLOOKUP(C1100,MATERIAUX!$C$3:$G$1002,5,FALSE),"")</f>
        <v/>
      </c>
      <c r="H1100" s="71" t="str">
        <f t="shared" si="465"/>
        <v/>
      </c>
      <c r="I1100" s="394"/>
      <c r="J1100" s="72"/>
      <c r="K1100" s="72"/>
      <c r="L1100" s="72" t="str">
        <f>IFERROR(VLOOKUP(J1100,'MAIN D OEUVRE'!$A$4:$B$99,2,FALSE)*$N$2,"")</f>
        <v/>
      </c>
      <c r="M1100" s="73" t="str">
        <f t="shared" si="467"/>
        <v/>
      </c>
      <c r="N1100" s="397"/>
    </row>
    <row r="1101" spans="1:14">
      <c r="A1101" s="388"/>
      <c r="B1101" s="391"/>
      <c r="C1101" s="69"/>
      <c r="D1101" s="70"/>
      <c r="E1101" s="146"/>
      <c r="F1101" s="70" t="str">
        <f>IFERROR(VLOOKUP(C1101,MATERIAUX!$C$3:$G$1002,3,FALSE),"")</f>
        <v/>
      </c>
      <c r="G1101" s="71" t="str">
        <f>IFERROR(VLOOKUP(C1101,MATERIAUX!$C$3:$G$1002,5,FALSE),"")</f>
        <v/>
      </c>
      <c r="H1101" s="71" t="str">
        <f t="shared" si="465"/>
        <v/>
      </c>
      <c r="I1101" s="394"/>
      <c r="J1101" s="72"/>
      <c r="K1101" s="72"/>
      <c r="L1101" s="72"/>
      <c r="M1101" s="73"/>
      <c r="N1101" s="397"/>
    </row>
    <row r="1102" spans="1:14" ht="15" thickBot="1">
      <c r="A1102" s="389"/>
      <c r="B1102" s="392"/>
      <c r="C1102" s="74"/>
      <c r="D1102" s="75"/>
      <c r="E1102" s="147"/>
      <c r="F1102" s="70" t="str">
        <f>IFERROR(VLOOKUP(C1102,MATERIAUX!$C$3:$G$1002,3,FALSE),"")</f>
        <v/>
      </c>
      <c r="G1102" s="71" t="str">
        <f>IFERROR(VLOOKUP(C1102,MATERIAUX!$C$3:$G$1002,5,FALSE),"")</f>
        <v/>
      </c>
      <c r="H1102" s="71" t="str">
        <f t="shared" si="465"/>
        <v/>
      </c>
      <c r="I1102" s="395"/>
      <c r="J1102" s="77"/>
      <c r="K1102" s="77"/>
      <c r="L1102" s="77"/>
      <c r="M1102" s="78"/>
      <c r="N1102" s="398"/>
    </row>
    <row r="1103" spans="1:14">
      <c r="A1103" s="387"/>
      <c r="B1103" s="390"/>
      <c r="C1103" s="64"/>
      <c r="D1103" s="65"/>
      <c r="E1103" s="145"/>
      <c r="F1103" s="65" t="str">
        <f>IFERROR(VLOOKUP(C1103,MATERIAUX!$C$3:$G$1002,3,FALSE),"")</f>
        <v/>
      </c>
      <c r="G1103" s="66" t="str">
        <f>IFERROR(VLOOKUP(C1103,MATERIAUX!$C$3:$G$1002,5,FALSE),"")</f>
        <v/>
      </c>
      <c r="H1103" s="66" t="str">
        <f t="shared" si="465"/>
        <v/>
      </c>
      <c r="I1103" s="393">
        <f t="shared" ref="I1103" si="469">SUM(H1103:H1112)</f>
        <v>0</v>
      </c>
      <c r="J1103" s="67"/>
      <c r="K1103" s="67"/>
      <c r="L1103" s="67" t="str">
        <f>IFERROR(VLOOKUP(J1103,'MAIN D OEUVRE'!$A$4:$B$99,2,FALSE)*$N$2,"")</f>
        <v/>
      </c>
      <c r="M1103" s="68" t="str">
        <f t="shared" ref="M1103:M1110" si="470">IFERROR(ROUND(L1103*K1103,2),"")</f>
        <v/>
      </c>
      <c r="N1103" s="396">
        <f t="shared" ref="N1103" si="471">SUM(M1103:M1112)</f>
        <v>0</v>
      </c>
    </row>
    <row r="1104" spans="1:14">
      <c r="A1104" s="388"/>
      <c r="B1104" s="391"/>
      <c r="C1104" s="69"/>
      <c r="D1104" s="70"/>
      <c r="E1104" s="146"/>
      <c r="F1104" s="70" t="str">
        <f>IFERROR(VLOOKUP(C1104,MATERIAUX!$C$3:$G$1002,3,FALSE),"")</f>
        <v/>
      </c>
      <c r="G1104" s="71" t="str">
        <f>IFERROR(VLOOKUP(C1104,MATERIAUX!$C$3:$G$1002,5,FALSE),"")</f>
        <v/>
      </c>
      <c r="H1104" s="71" t="str">
        <f t="shared" si="465"/>
        <v/>
      </c>
      <c r="I1104" s="394"/>
      <c r="J1104" s="72"/>
      <c r="K1104" s="72"/>
      <c r="L1104" s="72" t="str">
        <f>IFERROR(VLOOKUP(J1104,'MAIN D OEUVRE'!$A$4:$B$99,2,FALSE)*$N$2,"")</f>
        <v/>
      </c>
      <c r="M1104" s="73" t="str">
        <f t="shared" si="470"/>
        <v/>
      </c>
      <c r="N1104" s="397"/>
    </row>
    <row r="1105" spans="1:14">
      <c r="A1105" s="388"/>
      <c r="B1105" s="391"/>
      <c r="C1105" s="69"/>
      <c r="D1105" s="70"/>
      <c r="E1105" s="146"/>
      <c r="F1105" s="70" t="str">
        <f>IFERROR(VLOOKUP(C1105,MATERIAUX!$C$3:$G$1002,3,FALSE),"")</f>
        <v/>
      </c>
      <c r="G1105" s="71" t="str">
        <f>IFERROR(VLOOKUP(C1105,MATERIAUX!$C$3:$G$1002,5,FALSE),"")</f>
        <v/>
      </c>
      <c r="H1105" s="71" t="str">
        <f t="shared" si="465"/>
        <v/>
      </c>
      <c r="I1105" s="394"/>
      <c r="J1105" s="72"/>
      <c r="K1105" s="72"/>
      <c r="L1105" s="72" t="str">
        <f>IFERROR(VLOOKUP(J1105,'MAIN D OEUVRE'!$A$4:$B$99,2,FALSE)*$N$2,"")</f>
        <v/>
      </c>
      <c r="M1105" s="73" t="str">
        <f t="shared" si="470"/>
        <v/>
      </c>
      <c r="N1105" s="397"/>
    </row>
    <row r="1106" spans="1:14">
      <c r="A1106" s="388"/>
      <c r="B1106" s="391"/>
      <c r="C1106" s="69"/>
      <c r="D1106" s="70"/>
      <c r="E1106" s="146"/>
      <c r="F1106" s="70" t="str">
        <f>IFERROR(VLOOKUP(C1106,MATERIAUX!$C$3:$G$1002,3,FALSE),"")</f>
        <v/>
      </c>
      <c r="G1106" s="71" t="str">
        <f>IFERROR(VLOOKUP(C1106,MATERIAUX!$C$3:$G$1002,5,FALSE),"")</f>
        <v/>
      </c>
      <c r="H1106" s="71" t="str">
        <f t="shared" si="465"/>
        <v/>
      </c>
      <c r="I1106" s="394"/>
      <c r="J1106" s="72"/>
      <c r="K1106" s="72"/>
      <c r="L1106" s="72" t="str">
        <f>IFERROR(VLOOKUP(J1106,'MAIN D OEUVRE'!$A$4:$B$99,2,FALSE)*$N$2,"")</f>
        <v/>
      </c>
      <c r="M1106" s="73" t="str">
        <f t="shared" si="470"/>
        <v/>
      </c>
      <c r="N1106" s="397"/>
    </row>
    <row r="1107" spans="1:14">
      <c r="A1107" s="388"/>
      <c r="B1107" s="391"/>
      <c r="C1107" s="69"/>
      <c r="D1107" s="70"/>
      <c r="E1107" s="146"/>
      <c r="F1107" s="70" t="str">
        <f>IFERROR(VLOOKUP(C1107,MATERIAUX!$C$3:$G$1002,3,FALSE),"")</f>
        <v/>
      </c>
      <c r="G1107" s="71" t="str">
        <f>IFERROR(VLOOKUP(C1107,MATERIAUX!$C$3:$G$1002,5,FALSE),"")</f>
        <v/>
      </c>
      <c r="H1107" s="71" t="str">
        <f t="shared" si="465"/>
        <v/>
      </c>
      <c r="I1107" s="394"/>
      <c r="J1107" s="72"/>
      <c r="K1107" s="72"/>
      <c r="L1107" s="72" t="str">
        <f>IFERROR(VLOOKUP(J1107,'MAIN D OEUVRE'!$A$4:$B$99,2,FALSE)*$N$2,"")</f>
        <v/>
      </c>
      <c r="M1107" s="73" t="str">
        <f t="shared" si="470"/>
        <v/>
      </c>
      <c r="N1107" s="397"/>
    </row>
    <row r="1108" spans="1:14">
      <c r="A1108" s="388"/>
      <c r="B1108" s="391"/>
      <c r="C1108" s="69"/>
      <c r="D1108" s="70"/>
      <c r="E1108" s="146"/>
      <c r="F1108" s="70" t="str">
        <f>IFERROR(VLOOKUP(C1108,MATERIAUX!$C$3:$G$1002,3,FALSE),"")</f>
        <v/>
      </c>
      <c r="G1108" s="71" t="str">
        <f>IFERROR(VLOOKUP(C1108,MATERIAUX!$C$3:$G$1002,5,FALSE),"")</f>
        <v/>
      </c>
      <c r="H1108" s="71" t="str">
        <f t="shared" si="465"/>
        <v/>
      </c>
      <c r="I1108" s="394"/>
      <c r="J1108" s="72"/>
      <c r="K1108" s="72"/>
      <c r="L1108" s="72" t="str">
        <f>IFERROR(VLOOKUP(J1108,'MAIN D OEUVRE'!$A$4:$B$99,2,FALSE)*$N$2,"")</f>
        <v/>
      </c>
      <c r="M1108" s="73" t="str">
        <f t="shared" si="470"/>
        <v/>
      </c>
      <c r="N1108" s="397"/>
    </row>
    <row r="1109" spans="1:14">
      <c r="A1109" s="388"/>
      <c r="B1109" s="391"/>
      <c r="C1109" s="69"/>
      <c r="D1109" s="70"/>
      <c r="E1109" s="146"/>
      <c r="F1109" s="70" t="str">
        <f>IFERROR(VLOOKUP(C1109,MATERIAUX!$C$3:$G$1002,3,FALSE),"")</f>
        <v/>
      </c>
      <c r="G1109" s="71" t="str">
        <f>IFERROR(VLOOKUP(C1109,MATERIAUX!$C$3:$G$1002,5,FALSE),"")</f>
        <v/>
      </c>
      <c r="H1109" s="71" t="str">
        <f t="shared" si="465"/>
        <v/>
      </c>
      <c r="I1109" s="394"/>
      <c r="J1109" s="72"/>
      <c r="K1109" s="72"/>
      <c r="L1109" s="72" t="str">
        <f>IFERROR(VLOOKUP(J1109,'MAIN D OEUVRE'!$A$4:$B$99,2,FALSE)*$N$2,"")</f>
        <v/>
      </c>
      <c r="M1109" s="73" t="str">
        <f t="shared" si="470"/>
        <v/>
      </c>
      <c r="N1109" s="397"/>
    </row>
    <row r="1110" spans="1:14">
      <c r="A1110" s="388"/>
      <c r="B1110" s="391"/>
      <c r="C1110" s="69"/>
      <c r="D1110" s="70"/>
      <c r="E1110" s="146"/>
      <c r="F1110" s="70" t="str">
        <f>IFERROR(VLOOKUP(C1110,MATERIAUX!$C$3:$G$1002,3,FALSE),"")</f>
        <v/>
      </c>
      <c r="G1110" s="71" t="str">
        <f>IFERROR(VLOOKUP(C1110,MATERIAUX!$C$3:$G$1002,5,FALSE),"")</f>
        <v/>
      </c>
      <c r="H1110" s="71" t="str">
        <f t="shared" si="465"/>
        <v/>
      </c>
      <c r="I1110" s="394"/>
      <c r="J1110" s="72"/>
      <c r="K1110" s="72"/>
      <c r="L1110" s="72" t="str">
        <f>IFERROR(VLOOKUP(J1110,'MAIN D OEUVRE'!$A$4:$B$99,2,FALSE)*$N$2,"")</f>
        <v/>
      </c>
      <c r="M1110" s="73" t="str">
        <f t="shared" si="470"/>
        <v/>
      </c>
      <c r="N1110" s="397"/>
    </row>
    <row r="1111" spans="1:14">
      <c r="A1111" s="388"/>
      <c r="B1111" s="391"/>
      <c r="C1111" s="69"/>
      <c r="D1111" s="70"/>
      <c r="E1111" s="146"/>
      <c r="F1111" s="70" t="str">
        <f>IFERROR(VLOOKUP(C1111,MATERIAUX!$C$3:$G$1002,3,FALSE),"")</f>
        <v/>
      </c>
      <c r="G1111" s="71" t="str">
        <f>IFERROR(VLOOKUP(C1111,MATERIAUX!$C$3:$G$1002,5,FALSE),"")</f>
        <v/>
      </c>
      <c r="H1111" s="71" t="str">
        <f t="shared" si="465"/>
        <v/>
      </c>
      <c r="I1111" s="394"/>
      <c r="J1111" s="72"/>
      <c r="K1111" s="72"/>
      <c r="L1111" s="72"/>
      <c r="M1111" s="73"/>
      <c r="N1111" s="397"/>
    </row>
    <row r="1112" spans="1:14" ht="15" thickBot="1">
      <c r="A1112" s="389"/>
      <c r="B1112" s="392"/>
      <c r="C1112" s="74"/>
      <c r="D1112" s="75"/>
      <c r="E1112" s="147"/>
      <c r="F1112" s="70" t="str">
        <f>IFERROR(VLOOKUP(C1112,MATERIAUX!$C$3:$G$1002,3,FALSE),"")</f>
        <v/>
      </c>
      <c r="G1112" s="71" t="str">
        <f>IFERROR(VLOOKUP(C1112,MATERIAUX!$C$3:$G$1002,5,FALSE),"")</f>
        <v/>
      </c>
      <c r="H1112" s="71" t="str">
        <f t="shared" si="465"/>
        <v/>
      </c>
      <c r="I1112" s="395"/>
      <c r="J1112" s="77"/>
      <c r="K1112" s="77"/>
      <c r="L1112" s="77"/>
      <c r="M1112" s="78"/>
      <c r="N1112" s="398"/>
    </row>
    <row r="1113" spans="1:14">
      <c r="A1113" s="387"/>
      <c r="B1113" s="390"/>
      <c r="C1113" s="64"/>
      <c r="D1113" s="65"/>
      <c r="E1113" s="145"/>
      <c r="F1113" s="65" t="str">
        <f>IFERROR(VLOOKUP(C1113,MATERIAUX!$C$3:$G$1002,3,FALSE),"")</f>
        <v/>
      </c>
      <c r="G1113" s="66" t="str">
        <f>IFERROR(VLOOKUP(C1113,MATERIAUX!$C$3:$G$1002,5,FALSE),"")</f>
        <v/>
      </c>
      <c r="H1113" s="66" t="str">
        <f t="shared" si="465"/>
        <v/>
      </c>
      <c r="I1113" s="393">
        <f t="shared" ref="I1113" si="472">SUM(H1113:H1122)</f>
        <v>0</v>
      </c>
      <c r="J1113" s="67"/>
      <c r="K1113" s="67"/>
      <c r="L1113" s="67" t="str">
        <f>IFERROR(VLOOKUP(J1113,'MAIN D OEUVRE'!$A$4:$B$99,2,FALSE)*$N$2,"")</f>
        <v/>
      </c>
      <c r="M1113" s="68" t="str">
        <f t="shared" ref="M1113:M1120" si="473">IFERROR(ROUND(L1113*K1113,2),"")</f>
        <v/>
      </c>
      <c r="N1113" s="396">
        <f t="shared" ref="N1113" si="474">SUM(M1113:M1122)</f>
        <v>0</v>
      </c>
    </row>
    <row r="1114" spans="1:14">
      <c r="A1114" s="388"/>
      <c r="B1114" s="391"/>
      <c r="C1114" s="69"/>
      <c r="D1114" s="70"/>
      <c r="E1114" s="146"/>
      <c r="F1114" s="70" t="str">
        <f>IFERROR(VLOOKUP(C1114,MATERIAUX!$C$3:$G$1002,3,FALSE),"")</f>
        <v/>
      </c>
      <c r="G1114" s="71" t="str">
        <f>IFERROR(VLOOKUP(C1114,MATERIAUX!$C$3:$G$1002,5,FALSE),"")</f>
        <v/>
      </c>
      <c r="H1114" s="71" t="str">
        <f t="shared" si="465"/>
        <v/>
      </c>
      <c r="I1114" s="394"/>
      <c r="J1114" s="72"/>
      <c r="K1114" s="72"/>
      <c r="L1114" s="72" t="str">
        <f>IFERROR(VLOOKUP(J1114,'MAIN D OEUVRE'!$A$4:$B$99,2,FALSE)*$N$2,"")</f>
        <v/>
      </c>
      <c r="M1114" s="73" t="str">
        <f t="shared" si="473"/>
        <v/>
      </c>
      <c r="N1114" s="397"/>
    </row>
    <row r="1115" spans="1:14">
      <c r="A1115" s="388"/>
      <c r="B1115" s="391"/>
      <c r="C1115" s="69"/>
      <c r="D1115" s="70"/>
      <c r="E1115" s="146"/>
      <c r="F1115" s="70" t="str">
        <f>IFERROR(VLOOKUP(C1115,MATERIAUX!$C$3:$G$1002,3,FALSE),"")</f>
        <v/>
      </c>
      <c r="G1115" s="71" t="str">
        <f>IFERROR(VLOOKUP(C1115,MATERIAUX!$C$3:$G$1002,5,FALSE),"")</f>
        <v/>
      </c>
      <c r="H1115" s="71" t="str">
        <f t="shared" si="465"/>
        <v/>
      </c>
      <c r="I1115" s="394"/>
      <c r="J1115" s="72"/>
      <c r="K1115" s="72"/>
      <c r="L1115" s="72" t="str">
        <f>IFERROR(VLOOKUP(J1115,'MAIN D OEUVRE'!$A$4:$B$99,2,FALSE)*$N$2,"")</f>
        <v/>
      </c>
      <c r="M1115" s="73" t="str">
        <f t="shared" si="473"/>
        <v/>
      </c>
      <c r="N1115" s="397"/>
    </row>
    <row r="1116" spans="1:14">
      <c r="A1116" s="388"/>
      <c r="B1116" s="391"/>
      <c r="C1116" s="69"/>
      <c r="D1116" s="70"/>
      <c r="E1116" s="146"/>
      <c r="F1116" s="70" t="str">
        <f>IFERROR(VLOOKUP(C1116,MATERIAUX!$C$3:$G$1002,3,FALSE),"")</f>
        <v/>
      </c>
      <c r="G1116" s="71" t="str">
        <f>IFERROR(VLOOKUP(C1116,MATERIAUX!$C$3:$G$1002,5,FALSE),"")</f>
        <v/>
      </c>
      <c r="H1116" s="71" t="str">
        <f t="shared" si="465"/>
        <v/>
      </c>
      <c r="I1116" s="394"/>
      <c r="J1116" s="72"/>
      <c r="K1116" s="72"/>
      <c r="L1116" s="72" t="str">
        <f>IFERROR(VLOOKUP(J1116,'MAIN D OEUVRE'!$A$4:$B$99,2,FALSE)*$N$2,"")</f>
        <v/>
      </c>
      <c r="M1116" s="73" t="str">
        <f t="shared" si="473"/>
        <v/>
      </c>
      <c r="N1116" s="397"/>
    </row>
    <row r="1117" spans="1:14">
      <c r="A1117" s="388"/>
      <c r="B1117" s="391"/>
      <c r="C1117" s="69"/>
      <c r="D1117" s="70"/>
      <c r="E1117" s="146"/>
      <c r="F1117" s="70" t="str">
        <f>IFERROR(VLOOKUP(C1117,MATERIAUX!$C$3:$G$1002,3,FALSE),"")</f>
        <v/>
      </c>
      <c r="G1117" s="71" t="str">
        <f>IFERROR(VLOOKUP(C1117,MATERIAUX!$C$3:$G$1002,5,FALSE),"")</f>
        <v/>
      </c>
      <c r="H1117" s="71" t="str">
        <f t="shared" si="465"/>
        <v/>
      </c>
      <c r="I1117" s="394"/>
      <c r="J1117" s="72"/>
      <c r="K1117" s="72"/>
      <c r="L1117" s="72" t="str">
        <f>IFERROR(VLOOKUP(J1117,'MAIN D OEUVRE'!$A$4:$B$99,2,FALSE)*$N$2,"")</f>
        <v/>
      </c>
      <c r="M1117" s="73" t="str">
        <f t="shared" si="473"/>
        <v/>
      </c>
      <c r="N1117" s="397"/>
    </row>
    <row r="1118" spans="1:14">
      <c r="A1118" s="388"/>
      <c r="B1118" s="391"/>
      <c r="C1118" s="69"/>
      <c r="D1118" s="70"/>
      <c r="E1118" s="146"/>
      <c r="F1118" s="70" t="str">
        <f>IFERROR(VLOOKUP(C1118,MATERIAUX!$C$3:$G$1002,3,FALSE),"")</f>
        <v/>
      </c>
      <c r="G1118" s="71" t="str">
        <f>IFERROR(VLOOKUP(C1118,MATERIAUX!$C$3:$G$1002,5,FALSE),"")</f>
        <v/>
      </c>
      <c r="H1118" s="71" t="str">
        <f t="shared" si="465"/>
        <v/>
      </c>
      <c r="I1118" s="394"/>
      <c r="J1118" s="72"/>
      <c r="K1118" s="72"/>
      <c r="L1118" s="72" t="str">
        <f>IFERROR(VLOOKUP(J1118,'MAIN D OEUVRE'!$A$4:$B$99,2,FALSE)*$N$2,"")</f>
        <v/>
      </c>
      <c r="M1118" s="73" t="str">
        <f t="shared" si="473"/>
        <v/>
      </c>
      <c r="N1118" s="397"/>
    </row>
    <row r="1119" spans="1:14">
      <c r="A1119" s="388"/>
      <c r="B1119" s="391"/>
      <c r="C1119" s="69"/>
      <c r="D1119" s="70"/>
      <c r="E1119" s="146"/>
      <c r="F1119" s="70" t="str">
        <f>IFERROR(VLOOKUP(C1119,MATERIAUX!$C$3:$G$1002,3,FALSE),"")</f>
        <v/>
      </c>
      <c r="G1119" s="71" t="str">
        <f>IFERROR(VLOOKUP(C1119,MATERIAUX!$C$3:$G$1002,5,FALSE),"")</f>
        <v/>
      </c>
      <c r="H1119" s="71" t="str">
        <f t="shared" si="465"/>
        <v/>
      </c>
      <c r="I1119" s="394"/>
      <c r="J1119" s="72"/>
      <c r="K1119" s="72"/>
      <c r="L1119" s="72" t="str">
        <f>IFERROR(VLOOKUP(J1119,'MAIN D OEUVRE'!$A$4:$B$99,2,FALSE)*$N$2,"")</f>
        <v/>
      </c>
      <c r="M1119" s="73" t="str">
        <f t="shared" si="473"/>
        <v/>
      </c>
      <c r="N1119" s="397"/>
    </row>
    <row r="1120" spans="1:14">
      <c r="A1120" s="388"/>
      <c r="B1120" s="391"/>
      <c r="C1120" s="69"/>
      <c r="D1120" s="70"/>
      <c r="E1120" s="146"/>
      <c r="F1120" s="70" t="str">
        <f>IFERROR(VLOOKUP(C1120,MATERIAUX!$C$3:$G$1002,3,FALSE),"")</f>
        <v/>
      </c>
      <c r="G1120" s="71" t="str">
        <f>IFERROR(VLOOKUP(C1120,MATERIAUX!$C$3:$G$1002,5,FALSE),"")</f>
        <v/>
      </c>
      <c r="H1120" s="71" t="str">
        <f t="shared" si="465"/>
        <v/>
      </c>
      <c r="I1120" s="394"/>
      <c r="J1120" s="72"/>
      <c r="K1120" s="72"/>
      <c r="L1120" s="72" t="str">
        <f>IFERROR(VLOOKUP(J1120,'MAIN D OEUVRE'!$A$4:$B$99,2,FALSE)*$N$2,"")</f>
        <v/>
      </c>
      <c r="M1120" s="73" t="str">
        <f t="shared" si="473"/>
        <v/>
      </c>
      <c r="N1120" s="397"/>
    </row>
    <row r="1121" spans="1:14">
      <c r="A1121" s="388"/>
      <c r="B1121" s="391"/>
      <c r="C1121" s="69"/>
      <c r="D1121" s="70"/>
      <c r="E1121" s="146"/>
      <c r="F1121" s="70" t="str">
        <f>IFERROR(VLOOKUP(C1121,MATERIAUX!$C$3:$G$1002,3,FALSE),"")</f>
        <v/>
      </c>
      <c r="G1121" s="71" t="str">
        <f>IFERROR(VLOOKUP(C1121,MATERIAUX!$C$3:$G$1002,5,FALSE),"")</f>
        <v/>
      </c>
      <c r="H1121" s="71" t="str">
        <f t="shared" si="465"/>
        <v/>
      </c>
      <c r="I1121" s="394"/>
      <c r="J1121" s="72"/>
      <c r="K1121" s="72"/>
      <c r="L1121" s="72"/>
      <c r="M1121" s="73"/>
      <c r="N1121" s="397"/>
    </row>
    <row r="1122" spans="1:14" ht="15" thickBot="1">
      <c r="A1122" s="389"/>
      <c r="B1122" s="392"/>
      <c r="C1122" s="74"/>
      <c r="D1122" s="75"/>
      <c r="E1122" s="147"/>
      <c r="F1122" s="70" t="str">
        <f>IFERROR(VLOOKUP(C1122,MATERIAUX!$C$3:$G$1002,3,FALSE),"")</f>
        <v/>
      </c>
      <c r="G1122" s="71" t="str">
        <f>IFERROR(VLOOKUP(C1122,MATERIAUX!$C$3:$G$1002,5,FALSE),"")</f>
        <v/>
      </c>
      <c r="H1122" s="71" t="str">
        <f t="shared" si="465"/>
        <v/>
      </c>
      <c r="I1122" s="395"/>
      <c r="J1122" s="77"/>
      <c r="K1122" s="77"/>
      <c r="L1122" s="77"/>
      <c r="M1122" s="78"/>
      <c r="N1122" s="398"/>
    </row>
    <row r="1123" spans="1:14">
      <c r="A1123" s="387"/>
      <c r="B1123" s="390"/>
      <c r="C1123" s="64"/>
      <c r="D1123" s="65"/>
      <c r="E1123" s="145"/>
      <c r="F1123" s="65" t="str">
        <f>IFERROR(VLOOKUP(C1123,MATERIAUX!$C$3:$G$1002,3,FALSE),"")</f>
        <v/>
      </c>
      <c r="G1123" s="66" t="str">
        <f>IFERROR(VLOOKUP(C1123,MATERIAUX!$C$3:$G$1002,5,FALSE),"")</f>
        <v/>
      </c>
      <c r="H1123" s="66" t="str">
        <f t="shared" si="465"/>
        <v/>
      </c>
      <c r="I1123" s="393">
        <f t="shared" ref="I1123" si="475">SUM(H1123:H1132)</f>
        <v>0</v>
      </c>
      <c r="J1123" s="67"/>
      <c r="K1123" s="67"/>
      <c r="L1123" s="67" t="str">
        <f>IFERROR(VLOOKUP(J1123,'MAIN D OEUVRE'!$A$4:$B$99,2,FALSE)*$N$2,"")</f>
        <v/>
      </c>
      <c r="M1123" s="68" t="str">
        <f t="shared" ref="M1123:M1130" si="476">IFERROR(ROUND(L1123*K1123,2),"")</f>
        <v/>
      </c>
      <c r="N1123" s="396">
        <f t="shared" ref="N1123" si="477">SUM(M1123:M1132)</f>
        <v>0</v>
      </c>
    </row>
    <row r="1124" spans="1:14">
      <c r="A1124" s="388"/>
      <c r="B1124" s="391"/>
      <c r="C1124" s="69"/>
      <c r="D1124" s="70"/>
      <c r="E1124" s="146"/>
      <c r="F1124" s="70" t="str">
        <f>IFERROR(VLOOKUP(C1124,MATERIAUX!$C$3:$G$1002,3,FALSE),"")</f>
        <v/>
      </c>
      <c r="G1124" s="71" t="str">
        <f>IFERROR(VLOOKUP(C1124,MATERIAUX!$C$3:$G$1002,5,FALSE),"")</f>
        <v/>
      </c>
      <c r="H1124" s="71" t="str">
        <f t="shared" si="465"/>
        <v/>
      </c>
      <c r="I1124" s="394"/>
      <c r="J1124" s="72"/>
      <c r="K1124" s="72"/>
      <c r="L1124" s="72" t="str">
        <f>IFERROR(VLOOKUP(J1124,'MAIN D OEUVRE'!$A$4:$B$99,2,FALSE)*$N$2,"")</f>
        <v/>
      </c>
      <c r="M1124" s="73" t="str">
        <f t="shared" si="476"/>
        <v/>
      </c>
      <c r="N1124" s="397"/>
    </row>
    <row r="1125" spans="1:14">
      <c r="A1125" s="388"/>
      <c r="B1125" s="391"/>
      <c r="C1125" s="69"/>
      <c r="D1125" s="70"/>
      <c r="E1125" s="146"/>
      <c r="F1125" s="70" t="str">
        <f>IFERROR(VLOOKUP(C1125,MATERIAUX!$C$3:$G$1002,3,FALSE),"")</f>
        <v/>
      </c>
      <c r="G1125" s="71" t="str">
        <f>IFERROR(VLOOKUP(C1125,MATERIAUX!$C$3:$G$1002,5,FALSE),"")</f>
        <v/>
      </c>
      <c r="H1125" s="71" t="str">
        <f t="shared" si="465"/>
        <v/>
      </c>
      <c r="I1125" s="394"/>
      <c r="J1125" s="72"/>
      <c r="K1125" s="72"/>
      <c r="L1125" s="72" t="str">
        <f>IFERROR(VLOOKUP(J1125,'MAIN D OEUVRE'!$A$4:$B$99,2,FALSE)*$N$2,"")</f>
        <v/>
      </c>
      <c r="M1125" s="73" t="str">
        <f t="shared" si="476"/>
        <v/>
      </c>
      <c r="N1125" s="397"/>
    </row>
    <row r="1126" spans="1:14">
      <c r="A1126" s="388"/>
      <c r="B1126" s="391"/>
      <c r="C1126" s="69"/>
      <c r="D1126" s="70"/>
      <c r="E1126" s="146"/>
      <c r="F1126" s="70" t="str">
        <f>IFERROR(VLOOKUP(C1126,MATERIAUX!$C$3:$G$1002,3,FALSE),"")</f>
        <v/>
      </c>
      <c r="G1126" s="71" t="str">
        <f>IFERROR(VLOOKUP(C1126,MATERIAUX!$C$3:$G$1002,5,FALSE),"")</f>
        <v/>
      </c>
      <c r="H1126" s="71" t="str">
        <f t="shared" si="465"/>
        <v/>
      </c>
      <c r="I1126" s="394"/>
      <c r="J1126" s="72"/>
      <c r="K1126" s="72"/>
      <c r="L1126" s="72" t="str">
        <f>IFERROR(VLOOKUP(J1126,'MAIN D OEUVRE'!$A$4:$B$99,2,FALSE)*$N$2,"")</f>
        <v/>
      </c>
      <c r="M1126" s="73" t="str">
        <f t="shared" si="476"/>
        <v/>
      </c>
      <c r="N1126" s="397"/>
    </row>
    <row r="1127" spans="1:14">
      <c r="A1127" s="388"/>
      <c r="B1127" s="391"/>
      <c r="C1127" s="69"/>
      <c r="D1127" s="70"/>
      <c r="E1127" s="146"/>
      <c r="F1127" s="70" t="str">
        <f>IFERROR(VLOOKUP(C1127,MATERIAUX!$C$3:$G$1002,3,FALSE),"")</f>
        <v/>
      </c>
      <c r="G1127" s="71" t="str">
        <f>IFERROR(VLOOKUP(C1127,MATERIAUX!$C$3:$G$1002,5,FALSE),"")</f>
        <v/>
      </c>
      <c r="H1127" s="71" t="str">
        <f t="shared" si="465"/>
        <v/>
      </c>
      <c r="I1127" s="394"/>
      <c r="J1127" s="72"/>
      <c r="K1127" s="72"/>
      <c r="L1127" s="72" t="str">
        <f>IFERROR(VLOOKUP(J1127,'MAIN D OEUVRE'!$A$4:$B$99,2,FALSE)*$N$2,"")</f>
        <v/>
      </c>
      <c r="M1127" s="73" t="str">
        <f t="shared" si="476"/>
        <v/>
      </c>
      <c r="N1127" s="397"/>
    </row>
    <row r="1128" spans="1:14">
      <c r="A1128" s="388"/>
      <c r="B1128" s="391"/>
      <c r="C1128" s="69"/>
      <c r="D1128" s="70"/>
      <c r="E1128" s="146"/>
      <c r="F1128" s="70" t="str">
        <f>IFERROR(VLOOKUP(C1128,MATERIAUX!$C$3:$G$1002,3,FALSE),"")</f>
        <v/>
      </c>
      <c r="G1128" s="71" t="str">
        <f>IFERROR(VLOOKUP(C1128,MATERIAUX!$C$3:$G$1002,5,FALSE),"")</f>
        <v/>
      </c>
      <c r="H1128" s="71" t="str">
        <f t="shared" si="465"/>
        <v/>
      </c>
      <c r="I1128" s="394"/>
      <c r="J1128" s="72"/>
      <c r="K1128" s="72"/>
      <c r="L1128" s="72" t="str">
        <f>IFERROR(VLOOKUP(J1128,'MAIN D OEUVRE'!$A$4:$B$99,2,FALSE)*$N$2,"")</f>
        <v/>
      </c>
      <c r="M1128" s="73" t="str">
        <f t="shared" si="476"/>
        <v/>
      </c>
      <c r="N1128" s="397"/>
    </row>
    <row r="1129" spans="1:14">
      <c r="A1129" s="388"/>
      <c r="B1129" s="391"/>
      <c r="C1129" s="69"/>
      <c r="D1129" s="70"/>
      <c r="E1129" s="146"/>
      <c r="F1129" s="70" t="str">
        <f>IFERROR(VLOOKUP(C1129,MATERIAUX!$C$3:$G$1002,3,FALSE),"")</f>
        <v/>
      </c>
      <c r="G1129" s="71" t="str">
        <f>IFERROR(VLOOKUP(C1129,MATERIAUX!$C$3:$G$1002,5,FALSE),"")</f>
        <v/>
      </c>
      <c r="H1129" s="71" t="str">
        <f t="shared" si="465"/>
        <v/>
      </c>
      <c r="I1129" s="394"/>
      <c r="J1129" s="72"/>
      <c r="K1129" s="72"/>
      <c r="L1129" s="72" t="str">
        <f>IFERROR(VLOOKUP(J1129,'MAIN D OEUVRE'!$A$4:$B$99,2,FALSE)*$N$2,"")</f>
        <v/>
      </c>
      <c r="M1129" s="73" t="str">
        <f t="shared" si="476"/>
        <v/>
      </c>
      <c r="N1129" s="397"/>
    </row>
    <row r="1130" spans="1:14">
      <c r="A1130" s="388"/>
      <c r="B1130" s="391"/>
      <c r="C1130" s="69"/>
      <c r="D1130" s="70"/>
      <c r="E1130" s="146"/>
      <c r="F1130" s="70" t="str">
        <f>IFERROR(VLOOKUP(C1130,MATERIAUX!$C$3:$G$1002,3,FALSE),"")</f>
        <v/>
      </c>
      <c r="G1130" s="71" t="str">
        <f>IFERROR(VLOOKUP(C1130,MATERIAUX!$C$3:$G$1002,5,FALSE),"")</f>
        <v/>
      </c>
      <c r="H1130" s="71" t="str">
        <f t="shared" si="465"/>
        <v/>
      </c>
      <c r="I1130" s="394"/>
      <c r="J1130" s="72"/>
      <c r="K1130" s="72"/>
      <c r="L1130" s="72" t="str">
        <f>IFERROR(VLOOKUP(J1130,'MAIN D OEUVRE'!$A$4:$B$99,2,FALSE)*$N$2,"")</f>
        <v/>
      </c>
      <c r="M1130" s="73" t="str">
        <f t="shared" si="476"/>
        <v/>
      </c>
      <c r="N1130" s="397"/>
    </row>
    <row r="1131" spans="1:14">
      <c r="A1131" s="388"/>
      <c r="B1131" s="391"/>
      <c r="C1131" s="69"/>
      <c r="D1131" s="70"/>
      <c r="E1131" s="146"/>
      <c r="F1131" s="70" t="str">
        <f>IFERROR(VLOOKUP(C1131,MATERIAUX!$C$3:$G$1002,3,FALSE),"")</f>
        <v/>
      </c>
      <c r="G1131" s="71" t="str">
        <f>IFERROR(VLOOKUP(C1131,MATERIAUX!$C$3:$G$1002,5,FALSE),"")</f>
        <v/>
      </c>
      <c r="H1131" s="71" t="str">
        <f t="shared" si="465"/>
        <v/>
      </c>
      <c r="I1131" s="394"/>
      <c r="J1131" s="72"/>
      <c r="K1131" s="72"/>
      <c r="L1131" s="72"/>
      <c r="M1131" s="73"/>
      <c r="N1131" s="397"/>
    </row>
    <row r="1132" spans="1:14" ht="15" thickBot="1">
      <c r="A1132" s="389"/>
      <c r="B1132" s="392"/>
      <c r="C1132" s="74"/>
      <c r="D1132" s="75"/>
      <c r="E1132" s="147"/>
      <c r="F1132" s="70" t="str">
        <f>IFERROR(VLOOKUP(C1132,MATERIAUX!$C$3:$G$1002,3,FALSE),"")</f>
        <v/>
      </c>
      <c r="G1132" s="71" t="str">
        <f>IFERROR(VLOOKUP(C1132,MATERIAUX!$C$3:$G$1002,5,FALSE),"")</f>
        <v/>
      </c>
      <c r="H1132" s="71" t="str">
        <f t="shared" si="465"/>
        <v/>
      </c>
      <c r="I1132" s="395"/>
      <c r="J1132" s="77"/>
      <c r="K1132" s="77"/>
      <c r="L1132" s="77"/>
      <c r="M1132" s="78"/>
      <c r="N1132" s="398"/>
    </row>
    <row r="1133" spans="1:14">
      <c r="A1133" s="387"/>
      <c r="B1133" s="390"/>
      <c r="C1133" s="64"/>
      <c r="D1133" s="65"/>
      <c r="E1133" s="145"/>
      <c r="F1133" s="65" t="str">
        <f>IFERROR(VLOOKUP(C1133,MATERIAUX!$C$3:$G$1002,3,FALSE),"")</f>
        <v/>
      </c>
      <c r="G1133" s="66" t="str">
        <f>IFERROR(VLOOKUP(C1133,MATERIAUX!$C$3:$G$1002,5,FALSE),"")</f>
        <v/>
      </c>
      <c r="H1133" s="66" t="str">
        <f t="shared" si="465"/>
        <v/>
      </c>
      <c r="I1133" s="393">
        <f t="shared" ref="I1133" si="478">SUM(H1133:H1142)</f>
        <v>0</v>
      </c>
      <c r="J1133" s="67"/>
      <c r="K1133" s="67"/>
      <c r="L1133" s="67" t="str">
        <f>IFERROR(VLOOKUP(J1133,'MAIN D OEUVRE'!$A$4:$B$99,2,FALSE)*$N$2,"")</f>
        <v/>
      </c>
      <c r="M1133" s="68" t="str">
        <f t="shared" ref="M1133:M1140" si="479">IFERROR(ROUND(L1133*K1133,2),"")</f>
        <v/>
      </c>
      <c r="N1133" s="396">
        <f t="shared" ref="N1133" si="480">SUM(M1133:M1142)</f>
        <v>0</v>
      </c>
    </row>
    <row r="1134" spans="1:14">
      <c r="A1134" s="388"/>
      <c r="B1134" s="391"/>
      <c r="C1134" s="69"/>
      <c r="D1134" s="70"/>
      <c r="E1134" s="146"/>
      <c r="F1134" s="70" t="str">
        <f>IFERROR(VLOOKUP(C1134,MATERIAUX!$C$3:$G$1002,3,FALSE),"")</f>
        <v/>
      </c>
      <c r="G1134" s="71" t="str">
        <f>IFERROR(VLOOKUP(C1134,MATERIAUX!$C$3:$G$1002,5,FALSE),"")</f>
        <v/>
      </c>
      <c r="H1134" s="71" t="str">
        <f t="shared" si="465"/>
        <v/>
      </c>
      <c r="I1134" s="394"/>
      <c r="J1134" s="72"/>
      <c r="K1134" s="72"/>
      <c r="L1134" s="72" t="str">
        <f>IFERROR(VLOOKUP(J1134,'MAIN D OEUVRE'!$A$4:$B$99,2,FALSE)*$N$2,"")</f>
        <v/>
      </c>
      <c r="M1134" s="73" t="str">
        <f t="shared" si="479"/>
        <v/>
      </c>
      <c r="N1134" s="397"/>
    </row>
    <row r="1135" spans="1:14">
      <c r="A1135" s="388"/>
      <c r="B1135" s="391"/>
      <c r="C1135" s="69"/>
      <c r="D1135" s="70"/>
      <c r="E1135" s="146"/>
      <c r="F1135" s="70" t="str">
        <f>IFERROR(VLOOKUP(C1135,MATERIAUX!$C$3:$G$1002,3,FALSE),"")</f>
        <v/>
      </c>
      <c r="G1135" s="71" t="str">
        <f>IFERROR(VLOOKUP(C1135,MATERIAUX!$C$3:$G$1002,5,FALSE),"")</f>
        <v/>
      </c>
      <c r="H1135" s="71" t="str">
        <f t="shared" si="465"/>
        <v/>
      </c>
      <c r="I1135" s="394"/>
      <c r="J1135" s="72"/>
      <c r="K1135" s="72"/>
      <c r="L1135" s="72" t="str">
        <f>IFERROR(VLOOKUP(J1135,'MAIN D OEUVRE'!$A$4:$B$99,2,FALSE)*$N$2,"")</f>
        <v/>
      </c>
      <c r="M1135" s="73" t="str">
        <f t="shared" si="479"/>
        <v/>
      </c>
      <c r="N1135" s="397"/>
    </row>
    <row r="1136" spans="1:14">
      <c r="A1136" s="388"/>
      <c r="B1136" s="391"/>
      <c r="C1136" s="69"/>
      <c r="D1136" s="70"/>
      <c r="E1136" s="146"/>
      <c r="F1136" s="70" t="str">
        <f>IFERROR(VLOOKUP(C1136,MATERIAUX!$C$3:$G$1002,3,FALSE),"")</f>
        <v/>
      </c>
      <c r="G1136" s="71" t="str">
        <f>IFERROR(VLOOKUP(C1136,MATERIAUX!$C$3:$G$1002,5,FALSE),"")</f>
        <v/>
      </c>
      <c r="H1136" s="71" t="str">
        <f t="shared" si="465"/>
        <v/>
      </c>
      <c r="I1136" s="394"/>
      <c r="J1136" s="72"/>
      <c r="K1136" s="72"/>
      <c r="L1136" s="72" t="str">
        <f>IFERROR(VLOOKUP(J1136,'MAIN D OEUVRE'!$A$4:$B$99,2,FALSE)*$N$2,"")</f>
        <v/>
      </c>
      <c r="M1136" s="73" t="str">
        <f t="shared" si="479"/>
        <v/>
      </c>
      <c r="N1136" s="397"/>
    </row>
    <row r="1137" spans="1:14">
      <c r="A1137" s="388"/>
      <c r="B1137" s="391"/>
      <c r="C1137" s="69"/>
      <c r="D1137" s="70"/>
      <c r="E1137" s="146"/>
      <c r="F1137" s="70" t="str">
        <f>IFERROR(VLOOKUP(C1137,MATERIAUX!$C$3:$G$1002,3,FALSE),"")</f>
        <v/>
      </c>
      <c r="G1137" s="71" t="str">
        <f>IFERROR(VLOOKUP(C1137,MATERIAUX!$C$3:$G$1002,5,FALSE),"")</f>
        <v/>
      </c>
      <c r="H1137" s="71" t="str">
        <f t="shared" si="465"/>
        <v/>
      </c>
      <c r="I1137" s="394"/>
      <c r="J1137" s="72"/>
      <c r="K1137" s="72"/>
      <c r="L1137" s="72" t="str">
        <f>IFERROR(VLOOKUP(J1137,'MAIN D OEUVRE'!$A$4:$B$99,2,FALSE)*$N$2,"")</f>
        <v/>
      </c>
      <c r="M1137" s="73" t="str">
        <f t="shared" si="479"/>
        <v/>
      </c>
      <c r="N1137" s="397"/>
    </row>
    <row r="1138" spans="1:14">
      <c r="A1138" s="388"/>
      <c r="B1138" s="391"/>
      <c r="C1138" s="69"/>
      <c r="D1138" s="70"/>
      <c r="E1138" s="146"/>
      <c r="F1138" s="70" t="str">
        <f>IFERROR(VLOOKUP(C1138,MATERIAUX!$C$3:$G$1002,3,FALSE),"")</f>
        <v/>
      </c>
      <c r="G1138" s="71" t="str">
        <f>IFERROR(VLOOKUP(C1138,MATERIAUX!$C$3:$G$1002,5,FALSE),"")</f>
        <v/>
      </c>
      <c r="H1138" s="71" t="str">
        <f t="shared" si="465"/>
        <v/>
      </c>
      <c r="I1138" s="394"/>
      <c r="J1138" s="72"/>
      <c r="K1138" s="72"/>
      <c r="L1138" s="72" t="str">
        <f>IFERROR(VLOOKUP(J1138,'MAIN D OEUVRE'!$A$4:$B$99,2,FALSE)*$N$2,"")</f>
        <v/>
      </c>
      <c r="M1138" s="73" t="str">
        <f t="shared" si="479"/>
        <v/>
      </c>
      <c r="N1138" s="397"/>
    </row>
    <row r="1139" spans="1:14">
      <c r="A1139" s="388"/>
      <c r="B1139" s="391"/>
      <c r="C1139" s="69"/>
      <c r="D1139" s="70"/>
      <c r="E1139" s="146"/>
      <c r="F1139" s="70" t="str">
        <f>IFERROR(VLOOKUP(C1139,MATERIAUX!$C$3:$G$1002,3,FALSE),"")</f>
        <v/>
      </c>
      <c r="G1139" s="71" t="str">
        <f>IFERROR(VLOOKUP(C1139,MATERIAUX!$C$3:$G$1002,5,FALSE),"")</f>
        <v/>
      </c>
      <c r="H1139" s="71" t="str">
        <f t="shared" si="465"/>
        <v/>
      </c>
      <c r="I1139" s="394"/>
      <c r="J1139" s="72"/>
      <c r="K1139" s="72"/>
      <c r="L1139" s="72" t="str">
        <f>IFERROR(VLOOKUP(J1139,'MAIN D OEUVRE'!$A$4:$B$99,2,FALSE)*$N$2,"")</f>
        <v/>
      </c>
      <c r="M1139" s="73" t="str">
        <f t="shared" si="479"/>
        <v/>
      </c>
      <c r="N1139" s="397"/>
    </row>
    <row r="1140" spans="1:14">
      <c r="A1140" s="388"/>
      <c r="B1140" s="391"/>
      <c r="C1140" s="69"/>
      <c r="D1140" s="70"/>
      <c r="E1140" s="146"/>
      <c r="F1140" s="70" t="str">
        <f>IFERROR(VLOOKUP(C1140,MATERIAUX!$C$3:$G$1002,3,FALSE),"")</f>
        <v/>
      </c>
      <c r="G1140" s="71" t="str">
        <f>IFERROR(VLOOKUP(C1140,MATERIAUX!$C$3:$G$1002,5,FALSE),"")</f>
        <v/>
      </c>
      <c r="H1140" s="71" t="str">
        <f t="shared" si="465"/>
        <v/>
      </c>
      <c r="I1140" s="394"/>
      <c r="J1140" s="72"/>
      <c r="K1140" s="72"/>
      <c r="L1140" s="72" t="str">
        <f>IFERROR(VLOOKUP(J1140,'MAIN D OEUVRE'!$A$4:$B$99,2,FALSE)*$N$2,"")</f>
        <v/>
      </c>
      <c r="M1140" s="73" t="str">
        <f t="shared" si="479"/>
        <v/>
      </c>
      <c r="N1140" s="397"/>
    </row>
    <row r="1141" spans="1:14">
      <c r="A1141" s="388"/>
      <c r="B1141" s="391"/>
      <c r="C1141" s="69"/>
      <c r="D1141" s="70"/>
      <c r="E1141" s="146"/>
      <c r="F1141" s="70" t="str">
        <f>IFERROR(VLOOKUP(C1141,MATERIAUX!$C$3:$G$1002,3,FALSE),"")</f>
        <v/>
      </c>
      <c r="G1141" s="71" t="str">
        <f>IFERROR(VLOOKUP(C1141,MATERIAUX!$C$3:$G$1002,5,FALSE),"")</f>
        <v/>
      </c>
      <c r="H1141" s="71" t="str">
        <f t="shared" si="465"/>
        <v/>
      </c>
      <c r="I1141" s="394"/>
      <c r="J1141" s="72"/>
      <c r="K1141" s="72"/>
      <c r="L1141" s="72"/>
      <c r="M1141" s="73"/>
      <c r="N1141" s="397"/>
    </row>
    <row r="1142" spans="1:14" ht="15" thickBot="1">
      <c r="A1142" s="389"/>
      <c r="B1142" s="392"/>
      <c r="C1142" s="74"/>
      <c r="D1142" s="75"/>
      <c r="E1142" s="147"/>
      <c r="F1142" s="70" t="str">
        <f>IFERROR(VLOOKUP(C1142,MATERIAUX!$C$3:$G$1002,3,FALSE),"")</f>
        <v/>
      </c>
      <c r="G1142" s="71" t="str">
        <f>IFERROR(VLOOKUP(C1142,MATERIAUX!$C$3:$G$1002,5,FALSE),"")</f>
        <v/>
      </c>
      <c r="H1142" s="71" t="str">
        <f t="shared" si="465"/>
        <v/>
      </c>
      <c r="I1142" s="395"/>
      <c r="J1142" s="77"/>
      <c r="K1142" s="77"/>
      <c r="L1142" s="77"/>
      <c r="M1142" s="78"/>
      <c r="N1142" s="398"/>
    </row>
    <row r="1143" spans="1:14">
      <c r="A1143" s="387"/>
      <c r="B1143" s="390"/>
      <c r="C1143" s="64"/>
      <c r="D1143" s="65"/>
      <c r="E1143" s="145"/>
      <c r="F1143" s="65" t="str">
        <f>IFERROR(VLOOKUP(C1143,MATERIAUX!$C$3:$G$1002,3,FALSE),"")</f>
        <v/>
      </c>
      <c r="G1143" s="66" t="str">
        <f>IFERROR(VLOOKUP(C1143,MATERIAUX!$C$3:$G$1002,5,FALSE),"")</f>
        <v/>
      </c>
      <c r="H1143" s="66" t="str">
        <f t="shared" si="465"/>
        <v/>
      </c>
      <c r="I1143" s="393">
        <f t="shared" ref="I1143" si="481">SUM(H1143:H1152)</f>
        <v>0</v>
      </c>
      <c r="J1143" s="67"/>
      <c r="K1143" s="67"/>
      <c r="L1143" s="67" t="str">
        <f>IFERROR(VLOOKUP(J1143,'MAIN D OEUVRE'!$A$4:$B$99,2,FALSE)*$N$2,"")</f>
        <v/>
      </c>
      <c r="M1143" s="68" t="str">
        <f t="shared" ref="M1143:M1150" si="482">IFERROR(ROUND(L1143*K1143,2),"")</f>
        <v/>
      </c>
      <c r="N1143" s="396">
        <f t="shared" ref="N1143" si="483">SUM(M1143:M1152)</f>
        <v>0</v>
      </c>
    </row>
    <row r="1144" spans="1:14">
      <c r="A1144" s="388"/>
      <c r="B1144" s="391"/>
      <c r="C1144" s="69"/>
      <c r="D1144" s="70"/>
      <c r="E1144" s="146"/>
      <c r="F1144" s="70" t="str">
        <f>IFERROR(VLOOKUP(C1144,MATERIAUX!$C$3:$G$1002,3,FALSE),"")</f>
        <v/>
      </c>
      <c r="G1144" s="71" t="str">
        <f>IFERROR(VLOOKUP(C1144,MATERIAUX!$C$3:$G$1002,5,FALSE),"")</f>
        <v/>
      </c>
      <c r="H1144" s="71" t="str">
        <f t="shared" si="465"/>
        <v/>
      </c>
      <c r="I1144" s="394"/>
      <c r="J1144" s="72"/>
      <c r="K1144" s="72"/>
      <c r="L1144" s="72" t="str">
        <f>IFERROR(VLOOKUP(J1144,'MAIN D OEUVRE'!$A$4:$B$99,2,FALSE)*$N$2,"")</f>
        <v/>
      </c>
      <c r="M1144" s="73" t="str">
        <f t="shared" si="482"/>
        <v/>
      </c>
      <c r="N1144" s="397"/>
    </row>
    <row r="1145" spans="1:14">
      <c r="A1145" s="388"/>
      <c r="B1145" s="391"/>
      <c r="C1145" s="69"/>
      <c r="D1145" s="70"/>
      <c r="E1145" s="146"/>
      <c r="F1145" s="70" t="str">
        <f>IFERROR(VLOOKUP(C1145,MATERIAUX!$C$3:$G$1002,3,FALSE),"")</f>
        <v/>
      </c>
      <c r="G1145" s="71" t="str">
        <f>IFERROR(VLOOKUP(C1145,MATERIAUX!$C$3:$G$1002,5,FALSE),"")</f>
        <v/>
      </c>
      <c r="H1145" s="71" t="str">
        <f t="shared" si="465"/>
        <v/>
      </c>
      <c r="I1145" s="394"/>
      <c r="J1145" s="72"/>
      <c r="K1145" s="72"/>
      <c r="L1145" s="72" t="str">
        <f>IFERROR(VLOOKUP(J1145,'MAIN D OEUVRE'!$A$4:$B$99,2,FALSE)*$N$2,"")</f>
        <v/>
      </c>
      <c r="M1145" s="73" t="str">
        <f t="shared" si="482"/>
        <v/>
      </c>
      <c r="N1145" s="397"/>
    </row>
    <row r="1146" spans="1:14">
      <c r="A1146" s="388"/>
      <c r="B1146" s="391"/>
      <c r="C1146" s="69"/>
      <c r="D1146" s="70"/>
      <c r="E1146" s="146"/>
      <c r="F1146" s="70" t="str">
        <f>IFERROR(VLOOKUP(C1146,MATERIAUX!$C$3:$G$1002,3,FALSE),"")</f>
        <v/>
      </c>
      <c r="G1146" s="71" t="str">
        <f>IFERROR(VLOOKUP(C1146,MATERIAUX!$C$3:$G$1002,5,FALSE),"")</f>
        <v/>
      </c>
      <c r="H1146" s="71" t="str">
        <f t="shared" si="465"/>
        <v/>
      </c>
      <c r="I1146" s="394"/>
      <c r="J1146" s="72"/>
      <c r="K1146" s="72"/>
      <c r="L1146" s="72" t="str">
        <f>IFERROR(VLOOKUP(J1146,'MAIN D OEUVRE'!$A$4:$B$99,2,FALSE)*$N$2,"")</f>
        <v/>
      </c>
      <c r="M1146" s="73" t="str">
        <f t="shared" si="482"/>
        <v/>
      </c>
      <c r="N1146" s="397"/>
    </row>
    <row r="1147" spans="1:14">
      <c r="A1147" s="388"/>
      <c r="B1147" s="391"/>
      <c r="C1147" s="69"/>
      <c r="D1147" s="70"/>
      <c r="E1147" s="146"/>
      <c r="F1147" s="70" t="str">
        <f>IFERROR(VLOOKUP(C1147,MATERIAUX!$C$3:$G$1002,3,FALSE),"")</f>
        <v/>
      </c>
      <c r="G1147" s="71" t="str">
        <f>IFERROR(VLOOKUP(C1147,MATERIAUX!$C$3:$G$1002,5,FALSE),"")</f>
        <v/>
      </c>
      <c r="H1147" s="71" t="str">
        <f t="shared" si="465"/>
        <v/>
      </c>
      <c r="I1147" s="394"/>
      <c r="J1147" s="72"/>
      <c r="K1147" s="72"/>
      <c r="L1147" s="72" t="str">
        <f>IFERROR(VLOOKUP(J1147,'MAIN D OEUVRE'!$A$4:$B$99,2,FALSE)*$N$2,"")</f>
        <v/>
      </c>
      <c r="M1147" s="73" t="str">
        <f t="shared" si="482"/>
        <v/>
      </c>
      <c r="N1147" s="397"/>
    </row>
    <row r="1148" spans="1:14">
      <c r="A1148" s="388"/>
      <c r="B1148" s="391"/>
      <c r="C1148" s="69"/>
      <c r="D1148" s="70"/>
      <c r="E1148" s="146"/>
      <c r="F1148" s="70" t="str">
        <f>IFERROR(VLOOKUP(C1148,MATERIAUX!$C$3:$G$1002,3,FALSE),"")</f>
        <v/>
      </c>
      <c r="G1148" s="71" t="str">
        <f>IFERROR(VLOOKUP(C1148,MATERIAUX!$C$3:$G$1002,5,FALSE),"")</f>
        <v/>
      </c>
      <c r="H1148" s="71" t="str">
        <f t="shared" si="465"/>
        <v/>
      </c>
      <c r="I1148" s="394"/>
      <c r="J1148" s="72"/>
      <c r="K1148" s="72"/>
      <c r="L1148" s="72" t="str">
        <f>IFERROR(VLOOKUP(J1148,'MAIN D OEUVRE'!$A$4:$B$99,2,FALSE)*$N$2,"")</f>
        <v/>
      </c>
      <c r="M1148" s="73" t="str">
        <f t="shared" si="482"/>
        <v/>
      </c>
      <c r="N1148" s="397"/>
    </row>
    <row r="1149" spans="1:14">
      <c r="A1149" s="388"/>
      <c r="B1149" s="391"/>
      <c r="C1149" s="69"/>
      <c r="D1149" s="70"/>
      <c r="E1149" s="146"/>
      <c r="F1149" s="70" t="str">
        <f>IFERROR(VLOOKUP(C1149,MATERIAUX!$C$3:$G$1002,3,FALSE),"")</f>
        <v/>
      </c>
      <c r="G1149" s="71" t="str">
        <f>IFERROR(VLOOKUP(C1149,MATERIAUX!$C$3:$G$1002,5,FALSE),"")</f>
        <v/>
      </c>
      <c r="H1149" s="71" t="str">
        <f t="shared" si="465"/>
        <v/>
      </c>
      <c r="I1149" s="394"/>
      <c r="J1149" s="72"/>
      <c r="K1149" s="72"/>
      <c r="L1149" s="72" t="str">
        <f>IFERROR(VLOOKUP(J1149,'MAIN D OEUVRE'!$A$4:$B$99,2,FALSE)*$N$2,"")</f>
        <v/>
      </c>
      <c r="M1149" s="73" t="str">
        <f t="shared" si="482"/>
        <v/>
      </c>
      <c r="N1149" s="397"/>
    </row>
    <row r="1150" spans="1:14">
      <c r="A1150" s="388"/>
      <c r="B1150" s="391"/>
      <c r="C1150" s="69"/>
      <c r="D1150" s="70"/>
      <c r="E1150" s="146"/>
      <c r="F1150" s="70" t="str">
        <f>IFERROR(VLOOKUP(C1150,MATERIAUX!$C$3:$G$1002,3,FALSE),"")</f>
        <v/>
      </c>
      <c r="G1150" s="71" t="str">
        <f>IFERROR(VLOOKUP(C1150,MATERIAUX!$C$3:$G$1002,5,FALSE),"")</f>
        <v/>
      </c>
      <c r="H1150" s="71" t="str">
        <f t="shared" si="465"/>
        <v/>
      </c>
      <c r="I1150" s="394"/>
      <c r="J1150" s="72"/>
      <c r="K1150" s="72"/>
      <c r="L1150" s="72" t="str">
        <f>IFERROR(VLOOKUP(J1150,'MAIN D OEUVRE'!$A$4:$B$99,2,FALSE)*$N$2,"")</f>
        <v/>
      </c>
      <c r="M1150" s="73" t="str">
        <f t="shared" si="482"/>
        <v/>
      </c>
      <c r="N1150" s="397"/>
    </row>
    <row r="1151" spans="1:14">
      <c r="A1151" s="388"/>
      <c r="B1151" s="391"/>
      <c r="C1151" s="69"/>
      <c r="D1151" s="70"/>
      <c r="E1151" s="146"/>
      <c r="F1151" s="70" t="str">
        <f>IFERROR(VLOOKUP(C1151,MATERIAUX!$C$3:$G$1002,3,FALSE),"")</f>
        <v/>
      </c>
      <c r="G1151" s="71" t="str">
        <f>IFERROR(VLOOKUP(C1151,MATERIAUX!$C$3:$G$1002,5,FALSE),"")</f>
        <v/>
      </c>
      <c r="H1151" s="71" t="str">
        <f t="shared" si="465"/>
        <v/>
      </c>
      <c r="I1151" s="394"/>
      <c r="J1151" s="72"/>
      <c r="K1151" s="72"/>
      <c r="L1151" s="72"/>
      <c r="M1151" s="73"/>
      <c r="N1151" s="397"/>
    </row>
    <row r="1152" spans="1:14" ht="15" thickBot="1">
      <c r="A1152" s="389"/>
      <c r="B1152" s="392"/>
      <c r="C1152" s="74"/>
      <c r="D1152" s="75"/>
      <c r="E1152" s="147"/>
      <c r="F1152" s="70" t="str">
        <f>IFERROR(VLOOKUP(C1152,MATERIAUX!$C$3:$G$1002,3,FALSE),"")</f>
        <v/>
      </c>
      <c r="G1152" s="71" t="str">
        <f>IFERROR(VLOOKUP(C1152,MATERIAUX!$C$3:$G$1002,5,FALSE),"")</f>
        <v/>
      </c>
      <c r="H1152" s="71" t="str">
        <f t="shared" ref="H1152:H1162" si="484">IFERROR(ROUND(G1152*(1+E1152)*D1152,2),"")</f>
        <v/>
      </c>
      <c r="I1152" s="395"/>
      <c r="J1152" s="77"/>
      <c r="K1152" s="77"/>
      <c r="L1152" s="77"/>
      <c r="M1152" s="78"/>
      <c r="N1152" s="398"/>
    </row>
    <row r="1153" spans="1:14">
      <c r="A1153" s="387"/>
      <c r="B1153" s="390"/>
      <c r="C1153" s="64"/>
      <c r="D1153" s="65"/>
      <c r="E1153" s="145"/>
      <c r="F1153" s="65" t="str">
        <f>IFERROR(VLOOKUP(C1153,MATERIAUX!$C$3:$G$1002,3,FALSE),"")</f>
        <v/>
      </c>
      <c r="G1153" s="66" t="str">
        <f>IFERROR(VLOOKUP(C1153,MATERIAUX!$C$3:$G$1002,5,FALSE),"")</f>
        <v/>
      </c>
      <c r="H1153" s="66" t="str">
        <f t="shared" si="484"/>
        <v/>
      </c>
      <c r="I1153" s="393">
        <f t="shared" ref="I1153" si="485">SUM(H1153:H1162)</f>
        <v>0</v>
      </c>
      <c r="J1153" s="67"/>
      <c r="K1153" s="67"/>
      <c r="L1153" s="67" t="str">
        <f>IFERROR(VLOOKUP(J1153,'MAIN D OEUVRE'!$A$4:$B$99,2,FALSE)*$N$2,"")</f>
        <v/>
      </c>
      <c r="M1153" s="68" t="str">
        <f t="shared" ref="M1153:M1160" si="486">IFERROR(ROUND(L1153*K1153,2),"")</f>
        <v/>
      </c>
      <c r="N1153" s="396">
        <f t="shared" ref="N1153" si="487">SUM(M1153:M1162)</f>
        <v>0</v>
      </c>
    </row>
    <row r="1154" spans="1:14">
      <c r="A1154" s="388"/>
      <c r="B1154" s="391"/>
      <c r="C1154" s="69"/>
      <c r="D1154" s="70"/>
      <c r="E1154" s="146"/>
      <c r="F1154" s="70" t="str">
        <f>IFERROR(VLOOKUP(C1154,MATERIAUX!$C$3:$G$1002,3,FALSE),"")</f>
        <v/>
      </c>
      <c r="G1154" s="71" t="str">
        <f>IFERROR(VLOOKUP(C1154,MATERIAUX!$C$3:$G$1002,5,FALSE),"")</f>
        <v/>
      </c>
      <c r="H1154" s="71" t="str">
        <f t="shared" si="484"/>
        <v/>
      </c>
      <c r="I1154" s="394"/>
      <c r="J1154" s="72"/>
      <c r="K1154" s="72"/>
      <c r="L1154" s="72" t="str">
        <f>IFERROR(VLOOKUP(J1154,'MAIN D OEUVRE'!$A$4:$B$99,2,FALSE)*$N$2,"")</f>
        <v/>
      </c>
      <c r="M1154" s="73" t="str">
        <f t="shared" si="486"/>
        <v/>
      </c>
      <c r="N1154" s="397"/>
    </row>
    <row r="1155" spans="1:14">
      <c r="A1155" s="388"/>
      <c r="B1155" s="391"/>
      <c r="C1155" s="69"/>
      <c r="D1155" s="70"/>
      <c r="E1155" s="146"/>
      <c r="F1155" s="70" t="str">
        <f>IFERROR(VLOOKUP(C1155,MATERIAUX!$C$3:$G$1002,3,FALSE),"")</f>
        <v/>
      </c>
      <c r="G1155" s="71" t="str">
        <f>IFERROR(VLOOKUP(C1155,MATERIAUX!$C$3:$G$1002,5,FALSE),"")</f>
        <v/>
      </c>
      <c r="H1155" s="71" t="str">
        <f t="shared" si="484"/>
        <v/>
      </c>
      <c r="I1155" s="394"/>
      <c r="J1155" s="72"/>
      <c r="K1155" s="72"/>
      <c r="L1155" s="72" t="str">
        <f>IFERROR(VLOOKUP(J1155,'MAIN D OEUVRE'!$A$4:$B$99,2,FALSE)*$N$2,"")</f>
        <v/>
      </c>
      <c r="M1155" s="73" t="str">
        <f t="shared" si="486"/>
        <v/>
      </c>
      <c r="N1155" s="397"/>
    </row>
    <row r="1156" spans="1:14">
      <c r="A1156" s="388"/>
      <c r="B1156" s="391"/>
      <c r="C1156" s="69"/>
      <c r="D1156" s="70"/>
      <c r="E1156" s="146"/>
      <c r="F1156" s="70" t="str">
        <f>IFERROR(VLOOKUP(C1156,MATERIAUX!$C$3:$G$1002,3,FALSE),"")</f>
        <v/>
      </c>
      <c r="G1156" s="71" t="str">
        <f>IFERROR(VLOOKUP(C1156,MATERIAUX!$C$3:$G$1002,5,FALSE),"")</f>
        <v/>
      </c>
      <c r="H1156" s="71" t="str">
        <f t="shared" si="484"/>
        <v/>
      </c>
      <c r="I1156" s="394"/>
      <c r="J1156" s="72"/>
      <c r="K1156" s="72"/>
      <c r="L1156" s="72" t="str">
        <f>IFERROR(VLOOKUP(J1156,'MAIN D OEUVRE'!$A$4:$B$99,2,FALSE)*$N$2,"")</f>
        <v/>
      </c>
      <c r="M1156" s="73" t="str">
        <f t="shared" si="486"/>
        <v/>
      </c>
      <c r="N1156" s="397"/>
    </row>
    <row r="1157" spans="1:14">
      <c r="A1157" s="388"/>
      <c r="B1157" s="391"/>
      <c r="C1157" s="69"/>
      <c r="D1157" s="70"/>
      <c r="E1157" s="146"/>
      <c r="F1157" s="70" t="str">
        <f>IFERROR(VLOOKUP(C1157,MATERIAUX!$C$3:$G$1002,3,FALSE),"")</f>
        <v/>
      </c>
      <c r="G1157" s="71" t="str">
        <f>IFERROR(VLOOKUP(C1157,MATERIAUX!$C$3:$G$1002,5,FALSE),"")</f>
        <v/>
      </c>
      <c r="H1157" s="71" t="str">
        <f t="shared" si="484"/>
        <v/>
      </c>
      <c r="I1157" s="394"/>
      <c r="J1157" s="72"/>
      <c r="K1157" s="72"/>
      <c r="L1157" s="72" t="str">
        <f>IFERROR(VLOOKUP(J1157,'MAIN D OEUVRE'!$A$4:$B$99,2,FALSE)*$N$2,"")</f>
        <v/>
      </c>
      <c r="M1157" s="73" t="str">
        <f t="shared" si="486"/>
        <v/>
      </c>
      <c r="N1157" s="397"/>
    </row>
    <row r="1158" spans="1:14">
      <c r="A1158" s="388"/>
      <c r="B1158" s="391"/>
      <c r="C1158" s="69"/>
      <c r="D1158" s="70"/>
      <c r="E1158" s="146"/>
      <c r="F1158" s="70" t="str">
        <f>IFERROR(VLOOKUP(C1158,MATERIAUX!$C$3:$G$1002,3,FALSE),"")</f>
        <v/>
      </c>
      <c r="G1158" s="71" t="str">
        <f>IFERROR(VLOOKUP(C1158,MATERIAUX!$C$3:$G$1002,5,FALSE),"")</f>
        <v/>
      </c>
      <c r="H1158" s="71" t="str">
        <f t="shared" si="484"/>
        <v/>
      </c>
      <c r="I1158" s="394"/>
      <c r="J1158" s="72"/>
      <c r="K1158" s="72"/>
      <c r="L1158" s="72" t="str">
        <f>IFERROR(VLOOKUP(J1158,'MAIN D OEUVRE'!$A$4:$B$99,2,FALSE)*$N$2,"")</f>
        <v/>
      </c>
      <c r="M1158" s="73" t="str">
        <f t="shared" si="486"/>
        <v/>
      </c>
      <c r="N1158" s="397"/>
    </row>
    <row r="1159" spans="1:14">
      <c r="A1159" s="388"/>
      <c r="B1159" s="391"/>
      <c r="C1159" s="69"/>
      <c r="D1159" s="70"/>
      <c r="E1159" s="146"/>
      <c r="F1159" s="70" t="str">
        <f>IFERROR(VLOOKUP(C1159,MATERIAUX!$C$3:$G$1002,3,FALSE),"")</f>
        <v/>
      </c>
      <c r="G1159" s="71" t="str">
        <f>IFERROR(VLOOKUP(C1159,MATERIAUX!$C$3:$G$1002,5,FALSE),"")</f>
        <v/>
      </c>
      <c r="H1159" s="71" t="str">
        <f t="shared" si="484"/>
        <v/>
      </c>
      <c r="I1159" s="394"/>
      <c r="J1159" s="72"/>
      <c r="K1159" s="72"/>
      <c r="L1159" s="72" t="str">
        <f>IFERROR(VLOOKUP(J1159,'MAIN D OEUVRE'!$A$4:$B$99,2,FALSE)*$N$2,"")</f>
        <v/>
      </c>
      <c r="M1159" s="73" t="str">
        <f t="shared" si="486"/>
        <v/>
      </c>
      <c r="N1159" s="397"/>
    </row>
    <row r="1160" spans="1:14">
      <c r="A1160" s="388"/>
      <c r="B1160" s="391"/>
      <c r="C1160" s="69"/>
      <c r="D1160" s="70"/>
      <c r="E1160" s="146"/>
      <c r="F1160" s="70" t="str">
        <f>IFERROR(VLOOKUP(C1160,MATERIAUX!$C$3:$G$1002,3,FALSE),"")</f>
        <v/>
      </c>
      <c r="G1160" s="71" t="str">
        <f>IFERROR(VLOOKUP(C1160,MATERIAUX!$C$3:$G$1002,5,FALSE),"")</f>
        <v/>
      </c>
      <c r="H1160" s="71" t="str">
        <f t="shared" si="484"/>
        <v/>
      </c>
      <c r="I1160" s="394"/>
      <c r="J1160" s="72"/>
      <c r="K1160" s="72"/>
      <c r="L1160" s="72" t="str">
        <f>IFERROR(VLOOKUP(J1160,'MAIN D OEUVRE'!$A$4:$B$99,2,FALSE)*$N$2,"")</f>
        <v/>
      </c>
      <c r="M1160" s="73" t="str">
        <f t="shared" si="486"/>
        <v/>
      </c>
      <c r="N1160" s="397"/>
    </row>
    <row r="1161" spans="1:14">
      <c r="A1161" s="388"/>
      <c r="B1161" s="391"/>
      <c r="C1161" s="69"/>
      <c r="D1161" s="70"/>
      <c r="E1161" s="146"/>
      <c r="F1161" s="70" t="str">
        <f>IFERROR(VLOOKUP(C1161,MATERIAUX!$C$3:$G$1002,3,FALSE),"")</f>
        <v/>
      </c>
      <c r="G1161" s="71" t="str">
        <f>IFERROR(VLOOKUP(C1161,MATERIAUX!$C$3:$G$1002,5,FALSE),"")</f>
        <v/>
      </c>
      <c r="H1161" s="71" t="str">
        <f t="shared" si="484"/>
        <v/>
      </c>
      <c r="I1161" s="394"/>
      <c r="J1161" s="72"/>
      <c r="K1161" s="72"/>
      <c r="L1161" s="72"/>
      <c r="M1161" s="73"/>
      <c r="N1161" s="397"/>
    </row>
    <row r="1162" spans="1:14" ht="15" thickBot="1">
      <c r="A1162" s="389"/>
      <c r="B1162" s="392"/>
      <c r="C1162" s="74"/>
      <c r="D1162" s="75"/>
      <c r="E1162" s="147"/>
      <c r="F1162" s="70" t="str">
        <f>IFERROR(VLOOKUP(C1162,MATERIAUX!$C$3:$G$1002,3,FALSE),"")</f>
        <v/>
      </c>
      <c r="G1162" s="71" t="str">
        <f>IFERROR(VLOOKUP(C1162,MATERIAUX!$C$3:$G$1002,5,FALSE),"")</f>
        <v/>
      </c>
      <c r="H1162" s="71" t="str">
        <f t="shared" si="484"/>
        <v/>
      </c>
      <c r="I1162" s="395"/>
      <c r="J1162" s="77"/>
      <c r="K1162" s="77"/>
      <c r="L1162" s="77"/>
      <c r="M1162" s="78"/>
      <c r="N1162" s="398"/>
    </row>
    <row r="1163" spans="1:14">
      <c r="A1163" s="387"/>
      <c r="B1163" s="390"/>
      <c r="C1163" s="64"/>
      <c r="D1163" s="65"/>
      <c r="E1163" s="145"/>
      <c r="F1163" s="65" t="str">
        <f>IFERROR(VLOOKUP(C1163,MATERIAUX!$C$3:$G$1002,3,FALSE),"")</f>
        <v/>
      </c>
      <c r="G1163" s="66" t="str">
        <f>IFERROR(VLOOKUP(C1163,MATERIAUX!$C$3:$G$1002,5,FALSE),"")</f>
        <v/>
      </c>
      <c r="H1163" s="66" t="str">
        <f t="shared" ref="H1163:H1212" si="488">IFERROR(ROUND(G1163*(1+E1163)*D1163,2),"")</f>
        <v/>
      </c>
      <c r="I1163" s="393">
        <f t="shared" ref="I1163" si="489">SUM(H1163:H1172)</f>
        <v>0</v>
      </c>
      <c r="J1163" s="67"/>
      <c r="K1163" s="67"/>
      <c r="L1163" s="67" t="str">
        <f>IFERROR(VLOOKUP(J1163,'MAIN D OEUVRE'!$A$4:$B$99,2,FALSE)*$N$2,"")</f>
        <v/>
      </c>
      <c r="M1163" s="68" t="str">
        <f t="shared" ref="M1163:M1170" si="490">IFERROR(ROUND(L1163*K1163,2),"")</f>
        <v/>
      </c>
      <c r="N1163" s="396">
        <f t="shared" ref="N1163" si="491">SUM(M1163:M1172)</f>
        <v>0</v>
      </c>
    </row>
    <row r="1164" spans="1:14">
      <c r="A1164" s="388"/>
      <c r="B1164" s="391"/>
      <c r="C1164" s="69"/>
      <c r="D1164" s="70"/>
      <c r="E1164" s="146"/>
      <c r="F1164" s="70" t="str">
        <f>IFERROR(VLOOKUP(C1164,MATERIAUX!$C$3:$G$1002,3,FALSE),"")</f>
        <v/>
      </c>
      <c r="G1164" s="71" t="str">
        <f>IFERROR(VLOOKUP(C1164,MATERIAUX!$C$3:$G$1002,5,FALSE),"")</f>
        <v/>
      </c>
      <c r="H1164" s="71" t="str">
        <f t="shared" si="488"/>
        <v/>
      </c>
      <c r="I1164" s="394"/>
      <c r="J1164" s="72"/>
      <c r="K1164" s="72"/>
      <c r="L1164" s="72" t="str">
        <f>IFERROR(VLOOKUP(J1164,'MAIN D OEUVRE'!$A$4:$B$99,2,FALSE)*$N$2,"")</f>
        <v/>
      </c>
      <c r="M1164" s="73" t="str">
        <f t="shared" si="490"/>
        <v/>
      </c>
      <c r="N1164" s="397"/>
    </row>
    <row r="1165" spans="1:14">
      <c r="A1165" s="388"/>
      <c r="B1165" s="391"/>
      <c r="C1165" s="69"/>
      <c r="D1165" s="70"/>
      <c r="E1165" s="146"/>
      <c r="F1165" s="70" t="str">
        <f>IFERROR(VLOOKUP(C1165,MATERIAUX!$C$3:$G$1002,3,FALSE),"")</f>
        <v/>
      </c>
      <c r="G1165" s="71" t="str">
        <f>IFERROR(VLOOKUP(C1165,MATERIAUX!$C$3:$G$1002,5,FALSE),"")</f>
        <v/>
      </c>
      <c r="H1165" s="71" t="str">
        <f t="shared" si="488"/>
        <v/>
      </c>
      <c r="I1165" s="394"/>
      <c r="J1165" s="72"/>
      <c r="K1165" s="72"/>
      <c r="L1165" s="72" t="str">
        <f>IFERROR(VLOOKUP(J1165,'MAIN D OEUVRE'!$A$4:$B$99,2,FALSE)*$N$2,"")</f>
        <v/>
      </c>
      <c r="M1165" s="73" t="str">
        <f t="shared" si="490"/>
        <v/>
      </c>
      <c r="N1165" s="397"/>
    </row>
    <row r="1166" spans="1:14">
      <c r="A1166" s="388"/>
      <c r="B1166" s="391"/>
      <c r="C1166" s="69"/>
      <c r="D1166" s="70"/>
      <c r="E1166" s="146"/>
      <c r="F1166" s="70" t="str">
        <f>IFERROR(VLOOKUP(C1166,MATERIAUX!$C$3:$G$1002,3,FALSE),"")</f>
        <v/>
      </c>
      <c r="G1166" s="71" t="str">
        <f>IFERROR(VLOOKUP(C1166,MATERIAUX!$C$3:$G$1002,5,FALSE),"")</f>
        <v/>
      </c>
      <c r="H1166" s="71" t="str">
        <f t="shared" si="488"/>
        <v/>
      </c>
      <c r="I1166" s="394"/>
      <c r="J1166" s="72"/>
      <c r="K1166" s="72"/>
      <c r="L1166" s="72" t="str">
        <f>IFERROR(VLOOKUP(J1166,'MAIN D OEUVRE'!$A$4:$B$99,2,FALSE)*$N$2,"")</f>
        <v/>
      </c>
      <c r="M1166" s="73" t="str">
        <f t="shared" si="490"/>
        <v/>
      </c>
      <c r="N1166" s="397"/>
    </row>
    <row r="1167" spans="1:14">
      <c r="A1167" s="388"/>
      <c r="B1167" s="391"/>
      <c r="C1167" s="69"/>
      <c r="D1167" s="70"/>
      <c r="E1167" s="146"/>
      <c r="F1167" s="70" t="str">
        <f>IFERROR(VLOOKUP(C1167,MATERIAUX!$C$3:$G$1002,3,FALSE),"")</f>
        <v/>
      </c>
      <c r="G1167" s="71" t="str">
        <f>IFERROR(VLOOKUP(C1167,MATERIAUX!$C$3:$G$1002,5,FALSE),"")</f>
        <v/>
      </c>
      <c r="H1167" s="71" t="str">
        <f t="shared" si="488"/>
        <v/>
      </c>
      <c r="I1167" s="394"/>
      <c r="J1167" s="72"/>
      <c r="K1167" s="72"/>
      <c r="L1167" s="72" t="str">
        <f>IFERROR(VLOOKUP(J1167,'MAIN D OEUVRE'!$A$4:$B$99,2,FALSE)*$N$2,"")</f>
        <v/>
      </c>
      <c r="M1167" s="73" t="str">
        <f t="shared" si="490"/>
        <v/>
      </c>
      <c r="N1167" s="397"/>
    </row>
    <row r="1168" spans="1:14">
      <c r="A1168" s="388"/>
      <c r="B1168" s="391"/>
      <c r="C1168" s="69"/>
      <c r="D1168" s="70"/>
      <c r="E1168" s="146"/>
      <c r="F1168" s="70" t="str">
        <f>IFERROR(VLOOKUP(C1168,MATERIAUX!$C$3:$G$1002,3,FALSE),"")</f>
        <v/>
      </c>
      <c r="G1168" s="71" t="str">
        <f>IFERROR(VLOOKUP(C1168,MATERIAUX!$C$3:$G$1002,5,FALSE),"")</f>
        <v/>
      </c>
      <c r="H1168" s="71" t="str">
        <f t="shared" si="488"/>
        <v/>
      </c>
      <c r="I1168" s="394"/>
      <c r="J1168" s="72"/>
      <c r="K1168" s="72"/>
      <c r="L1168" s="72" t="str">
        <f>IFERROR(VLOOKUP(J1168,'MAIN D OEUVRE'!$A$4:$B$99,2,FALSE)*$N$2,"")</f>
        <v/>
      </c>
      <c r="M1168" s="73" t="str">
        <f t="shared" si="490"/>
        <v/>
      </c>
      <c r="N1168" s="397"/>
    </row>
    <row r="1169" spans="1:14">
      <c r="A1169" s="388"/>
      <c r="B1169" s="391"/>
      <c r="C1169" s="69"/>
      <c r="D1169" s="70"/>
      <c r="E1169" s="146"/>
      <c r="F1169" s="70" t="str">
        <f>IFERROR(VLOOKUP(C1169,MATERIAUX!$C$3:$G$1002,3,FALSE),"")</f>
        <v/>
      </c>
      <c r="G1169" s="71" t="str">
        <f>IFERROR(VLOOKUP(C1169,MATERIAUX!$C$3:$G$1002,5,FALSE),"")</f>
        <v/>
      </c>
      <c r="H1169" s="71" t="str">
        <f t="shared" si="488"/>
        <v/>
      </c>
      <c r="I1169" s="394"/>
      <c r="J1169" s="72"/>
      <c r="K1169" s="72"/>
      <c r="L1169" s="72" t="str">
        <f>IFERROR(VLOOKUP(J1169,'MAIN D OEUVRE'!$A$4:$B$99,2,FALSE)*$N$2,"")</f>
        <v/>
      </c>
      <c r="M1169" s="73" t="str">
        <f t="shared" si="490"/>
        <v/>
      </c>
      <c r="N1169" s="397"/>
    </row>
    <row r="1170" spans="1:14">
      <c r="A1170" s="388"/>
      <c r="B1170" s="391"/>
      <c r="C1170" s="69"/>
      <c r="D1170" s="70"/>
      <c r="E1170" s="146"/>
      <c r="F1170" s="70" t="str">
        <f>IFERROR(VLOOKUP(C1170,MATERIAUX!$C$3:$G$1002,3,FALSE),"")</f>
        <v/>
      </c>
      <c r="G1170" s="71" t="str">
        <f>IFERROR(VLOOKUP(C1170,MATERIAUX!$C$3:$G$1002,5,FALSE),"")</f>
        <v/>
      </c>
      <c r="H1170" s="71" t="str">
        <f t="shared" si="488"/>
        <v/>
      </c>
      <c r="I1170" s="394"/>
      <c r="J1170" s="72"/>
      <c r="K1170" s="72"/>
      <c r="L1170" s="72" t="str">
        <f>IFERROR(VLOOKUP(J1170,'MAIN D OEUVRE'!$A$4:$B$99,2,FALSE)*$N$2,"")</f>
        <v/>
      </c>
      <c r="M1170" s="73" t="str">
        <f t="shared" si="490"/>
        <v/>
      </c>
      <c r="N1170" s="397"/>
    </row>
    <row r="1171" spans="1:14">
      <c r="A1171" s="388"/>
      <c r="B1171" s="391"/>
      <c r="C1171" s="69"/>
      <c r="D1171" s="70"/>
      <c r="E1171" s="146"/>
      <c r="F1171" s="70" t="str">
        <f>IFERROR(VLOOKUP(C1171,MATERIAUX!$C$3:$G$1002,3,FALSE),"")</f>
        <v/>
      </c>
      <c r="G1171" s="71" t="str">
        <f>IFERROR(VLOOKUP(C1171,MATERIAUX!$C$3:$G$1002,5,FALSE),"")</f>
        <v/>
      </c>
      <c r="H1171" s="71" t="str">
        <f t="shared" si="488"/>
        <v/>
      </c>
      <c r="I1171" s="394"/>
      <c r="J1171" s="72"/>
      <c r="K1171" s="72"/>
      <c r="L1171" s="72"/>
      <c r="M1171" s="73"/>
      <c r="N1171" s="397"/>
    </row>
    <row r="1172" spans="1:14" ht="15" thickBot="1">
      <c r="A1172" s="389"/>
      <c r="B1172" s="392"/>
      <c r="C1172" s="74"/>
      <c r="D1172" s="75"/>
      <c r="E1172" s="147"/>
      <c r="F1172" s="70" t="str">
        <f>IFERROR(VLOOKUP(C1172,MATERIAUX!$C$3:$G$1002,3,FALSE),"")</f>
        <v/>
      </c>
      <c r="G1172" s="71" t="str">
        <f>IFERROR(VLOOKUP(C1172,MATERIAUX!$C$3:$G$1002,5,FALSE),"")</f>
        <v/>
      </c>
      <c r="H1172" s="71" t="str">
        <f t="shared" si="488"/>
        <v/>
      </c>
      <c r="I1172" s="395"/>
      <c r="J1172" s="77"/>
      <c r="K1172" s="77"/>
      <c r="L1172" s="77"/>
      <c r="M1172" s="78"/>
      <c r="N1172" s="398"/>
    </row>
    <row r="1173" spans="1:14">
      <c r="A1173" s="387"/>
      <c r="B1173" s="390"/>
      <c r="C1173" s="64"/>
      <c r="D1173" s="65"/>
      <c r="E1173" s="145"/>
      <c r="F1173" s="65" t="str">
        <f>IFERROR(VLOOKUP(C1173,MATERIAUX!$C$3:$G$1002,3,FALSE),"")</f>
        <v/>
      </c>
      <c r="G1173" s="66" t="str">
        <f>IFERROR(VLOOKUP(C1173,MATERIAUX!$C$3:$G$1002,5,FALSE),"")</f>
        <v/>
      </c>
      <c r="H1173" s="66" t="str">
        <f t="shared" si="488"/>
        <v/>
      </c>
      <c r="I1173" s="393">
        <f t="shared" ref="I1173" si="492">SUM(H1173:H1182)</f>
        <v>0</v>
      </c>
      <c r="J1173" s="67"/>
      <c r="K1173" s="67"/>
      <c r="L1173" s="67" t="str">
        <f>IFERROR(VLOOKUP(J1173,'MAIN D OEUVRE'!$A$4:$B$99,2,FALSE)*$N$2,"")</f>
        <v/>
      </c>
      <c r="M1173" s="68" t="str">
        <f t="shared" ref="M1173:M1180" si="493">IFERROR(ROUND(L1173*K1173,2),"")</f>
        <v/>
      </c>
      <c r="N1173" s="396">
        <f t="shared" ref="N1173" si="494">SUM(M1173:M1182)</f>
        <v>0</v>
      </c>
    </row>
    <row r="1174" spans="1:14">
      <c r="A1174" s="388"/>
      <c r="B1174" s="391"/>
      <c r="C1174" s="69"/>
      <c r="D1174" s="70"/>
      <c r="E1174" s="146"/>
      <c r="F1174" s="70" t="str">
        <f>IFERROR(VLOOKUP(C1174,MATERIAUX!$C$3:$G$1002,3,FALSE),"")</f>
        <v/>
      </c>
      <c r="G1174" s="71" t="str">
        <f>IFERROR(VLOOKUP(C1174,MATERIAUX!$C$3:$G$1002,5,FALSE),"")</f>
        <v/>
      </c>
      <c r="H1174" s="71" t="str">
        <f t="shared" si="488"/>
        <v/>
      </c>
      <c r="I1174" s="394"/>
      <c r="J1174" s="72"/>
      <c r="K1174" s="72"/>
      <c r="L1174" s="72" t="str">
        <f>IFERROR(VLOOKUP(J1174,'MAIN D OEUVRE'!$A$4:$B$99,2,FALSE)*$N$2,"")</f>
        <v/>
      </c>
      <c r="M1174" s="73" t="str">
        <f t="shared" si="493"/>
        <v/>
      </c>
      <c r="N1174" s="397"/>
    </row>
    <row r="1175" spans="1:14">
      <c r="A1175" s="388"/>
      <c r="B1175" s="391"/>
      <c r="C1175" s="69"/>
      <c r="D1175" s="70"/>
      <c r="E1175" s="146"/>
      <c r="F1175" s="70" t="str">
        <f>IFERROR(VLOOKUP(C1175,MATERIAUX!$C$3:$G$1002,3,FALSE),"")</f>
        <v/>
      </c>
      <c r="G1175" s="71" t="str">
        <f>IFERROR(VLOOKUP(C1175,MATERIAUX!$C$3:$G$1002,5,FALSE),"")</f>
        <v/>
      </c>
      <c r="H1175" s="71" t="str">
        <f t="shared" si="488"/>
        <v/>
      </c>
      <c r="I1175" s="394"/>
      <c r="J1175" s="72"/>
      <c r="K1175" s="72"/>
      <c r="L1175" s="72" t="str">
        <f>IFERROR(VLOOKUP(J1175,'MAIN D OEUVRE'!$A$4:$B$99,2,FALSE)*$N$2,"")</f>
        <v/>
      </c>
      <c r="M1175" s="73" t="str">
        <f t="shared" si="493"/>
        <v/>
      </c>
      <c r="N1175" s="397"/>
    </row>
    <row r="1176" spans="1:14">
      <c r="A1176" s="388"/>
      <c r="B1176" s="391"/>
      <c r="C1176" s="69"/>
      <c r="D1176" s="70"/>
      <c r="E1176" s="146"/>
      <c r="F1176" s="70" t="str">
        <f>IFERROR(VLOOKUP(C1176,MATERIAUX!$C$3:$G$1002,3,FALSE),"")</f>
        <v/>
      </c>
      <c r="G1176" s="71" t="str">
        <f>IFERROR(VLOOKUP(C1176,MATERIAUX!$C$3:$G$1002,5,FALSE),"")</f>
        <v/>
      </c>
      <c r="H1176" s="71" t="str">
        <f t="shared" si="488"/>
        <v/>
      </c>
      <c r="I1176" s="394"/>
      <c r="J1176" s="72"/>
      <c r="K1176" s="72"/>
      <c r="L1176" s="72" t="str">
        <f>IFERROR(VLOOKUP(J1176,'MAIN D OEUVRE'!$A$4:$B$99,2,FALSE)*$N$2,"")</f>
        <v/>
      </c>
      <c r="M1176" s="73" t="str">
        <f t="shared" si="493"/>
        <v/>
      </c>
      <c r="N1176" s="397"/>
    </row>
    <row r="1177" spans="1:14">
      <c r="A1177" s="388"/>
      <c r="B1177" s="391"/>
      <c r="C1177" s="69"/>
      <c r="D1177" s="70"/>
      <c r="E1177" s="146"/>
      <c r="F1177" s="70" t="str">
        <f>IFERROR(VLOOKUP(C1177,MATERIAUX!$C$3:$G$1002,3,FALSE),"")</f>
        <v/>
      </c>
      <c r="G1177" s="71" t="str">
        <f>IFERROR(VLOOKUP(C1177,MATERIAUX!$C$3:$G$1002,5,FALSE),"")</f>
        <v/>
      </c>
      <c r="H1177" s="71" t="str">
        <f t="shared" si="488"/>
        <v/>
      </c>
      <c r="I1177" s="394"/>
      <c r="J1177" s="72"/>
      <c r="K1177" s="72"/>
      <c r="L1177" s="72" t="str">
        <f>IFERROR(VLOOKUP(J1177,'MAIN D OEUVRE'!$A$4:$B$99,2,FALSE)*$N$2,"")</f>
        <v/>
      </c>
      <c r="M1177" s="73" t="str">
        <f t="shared" si="493"/>
        <v/>
      </c>
      <c r="N1177" s="397"/>
    </row>
    <row r="1178" spans="1:14">
      <c r="A1178" s="388"/>
      <c r="B1178" s="391"/>
      <c r="C1178" s="69"/>
      <c r="D1178" s="70"/>
      <c r="E1178" s="146"/>
      <c r="F1178" s="70" t="str">
        <f>IFERROR(VLOOKUP(C1178,MATERIAUX!$C$3:$G$1002,3,FALSE),"")</f>
        <v/>
      </c>
      <c r="G1178" s="71" t="str">
        <f>IFERROR(VLOOKUP(C1178,MATERIAUX!$C$3:$G$1002,5,FALSE),"")</f>
        <v/>
      </c>
      <c r="H1178" s="71" t="str">
        <f t="shared" si="488"/>
        <v/>
      </c>
      <c r="I1178" s="394"/>
      <c r="J1178" s="72"/>
      <c r="K1178" s="72"/>
      <c r="L1178" s="72" t="str">
        <f>IFERROR(VLOOKUP(J1178,'MAIN D OEUVRE'!$A$4:$B$99,2,FALSE)*$N$2,"")</f>
        <v/>
      </c>
      <c r="M1178" s="73" t="str">
        <f t="shared" si="493"/>
        <v/>
      </c>
      <c r="N1178" s="397"/>
    </row>
    <row r="1179" spans="1:14">
      <c r="A1179" s="388"/>
      <c r="B1179" s="391"/>
      <c r="C1179" s="69"/>
      <c r="D1179" s="70"/>
      <c r="E1179" s="146"/>
      <c r="F1179" s="70" t="str">
        <f>IFERROR(VLOOKUP(C1179,MATERIAUX!$C$3:$G$1002,3,FALSE),"")</f>
        <v/>
      </c>
      <c r="G1179" s="71" t="str">
        <f>IFERROR(VLOOKUP(C1179,MATERIAUX!$C$3:$G$1002,5,FALSE),"")</f>
        <v/>
      </c>
      <c r="H1179" s="71" t="str">
        <f t="shared" si="488"/>
        <v/>
      </c>
      <c r="I1179" s="394"/>
      <c r="J1179" s="72"/>
      <c r="K1179" s="72"/>
      <c r="L1179" s="72" t="str">
        <f>IFERROR(VLOOKUP(J1179,'MAIN D OEUVRE'!$A$4:$B$99,2,FALSE)*$N$2,"")</f>
        <v/>
      </c>
      <c r="M1179" s="73" t="str">
        <f t="shared" si="493"/>
        <v/>
      </c>
      <c r="N1179" s="397"/>
    </row>
    <row r="1180" spans="1:14">
      <c r="A1180" s="388"/>
      <c r="B1180" s="391"/>
      <c r="C1180" s="69"/>
      <c r="D1180" s="70"/>
      <c r="E1180" s="146"/>
      <c r="F1180" s="70" t="str">
        <f>IFERROR(VLOOKUP(C1180,MATERIAUX!$C$3:$G$1002,3,FALSE),"")</f>
        <v/>
      </c>
      <c r="G1180" s="71" t="str">
        <f>IFERROR(VLOOKUP(C1180,MATERIAUX!$C$3:$G$1002,5,FALSE),"")</f>
        <v/>
      </c>
      <c r="H1180" s="71" t="str">
        <f t="shared" si="488"/>
        <v/>
      </c>
      <c r="I1180" s="394"/>
      <c r="J1180" s="72"/>
      <c r="K1180" s="72"/>
      <c r="L1180" s="72" t="str">
        <f>IFERROR(VLOOKUP(J1180,'MAIN D OEUVRE'!$A$4:$B$99,2,FALSE)*$N$2,"")</f>
        <v/>
      </c>
      <c r="M1180" s="73" t="str">
        <f t="shared" si="493"/>
        <v/>
      </c>
      <c r="N1180" s="397"/>
    </row>
    <row r="1181" spans="1:14">
      <c r="A1181" s="388"/>
      <c r="B1181" s="391"/>
      <c r="C1181" s="69"/>
      <c r="D1181" s="70"/>
      <c r="E1181" s="146"/>
      <c r="F1181" s="70" t="str">
        <f>IFERROR(VLOOKUP(C1181,MATERIAUX!$C$3:$G$1002,3,FALSE),"")</f>
        <v/>
      </c>
      <c r="G1181" s="71" t="str">
        <f>IFERROR(VLOOKUP(C1181,MATERIAUX!$C$3:$G$1002,5,FALSE),"")</f>
        <v/>
      </c>
      <c r="H1181" s="71" t="str">
        <f t="shared" si="488"/>
        <v/>
      </c>
      <c r="I1181" s="394"/>
      <c r="J1181" s="72"/>
      <c r="K1181" s="72"/>
      <c r="L1181" s="72"/>
      <c r="M1181" s="73"/>
      <c r="N1181" s="397"/>
    </row>
    <row r="1182" spans="1:14" ht="15" thickBot="1">
      <c r="A1182" s="389"/>
      <c r="B1182" s="392"/>
      <c r="C1182" s="74"/>
      <c r="D1182" s="75"/>
      <c r="E1182" s="147"/>
      <c r="F1182" s="70" t="str">
        <f>IFERROR(VLOOKUP(C1182,MATERIAUX!$C$3:$G$1002,3,FALSE),"")</f>
        <v/>
      </c>
      <c r="G1182" s="71" t="str">
        <f>IFERROR(VLOOKUP(C1182,MATERIAUX!$C$3:$G$1002,5,FALSE),"")</f>
        <v/>
      </c>
      <c r="H1182" s="71" t="str">
        <f t="shared" si="488"/>
        <v/>
      </c>
      <c r="I1182" s="395"/>
      <c r="J1182" s="77"/>
      <c r="K1182" s="77"/>
      <c r="L1182" s="77"/>
      <c r="M1182" s="78"/>
      <c r="N1182" s="398"/>
    </row>
    <row r="1183" spans="1:14">
      <c r="A1183" s="387"/>
      <c r="B1183" s="390"/>
      <c r="C1183" s="64"/>
      <c r="D1183" s="65"/>
      <c r="E1183" s="145"/>
      <c r="F1183" s="65" t="str">
        <f>IFERROR(VLOOKUP(C1183,MATERIAUX!$C$3:$G$1002,3,FALSE),"")</f>
        <v/>
      </c>
      <c r="G1183" s="66" t="str">
        <f>IFERROR(VLOOKUP(C1183,MATERIAUX!$C$3:$G$1002,5,FALSE),"")</f>
        <v/>
      </c>
      <c r="H1183" s="66" t="str">
        <f t="shared" si="488"/>
        <v/>
      </c>
      <c r="I1183" s="393">
        <f t="shared" ref="I1183" si="495">SUM(H1183:H1192)</f>
        <v>0</v>
      </c>
      <c r="J1183" s="67"/>
      <c r="K1183" s="67"/>
      <c r="L1183" s="67" t="str">
        <f>IFERROR(VLOOKUP(J1183,'MAIN D OEUVRE'!$A$4:$B$99,2,FALSE)*$N$2,"")</f>
        <v/>
      </c>
      <c r="M1183" s="68" t="str">
        <f t="shared" ref="M1183:M1190" si="496">IFERROR(ROUND(L1183*K1183,2),"")</f>
        <v/>
      </c>
      <c r="N1183" s="396">
        <f t="shared" ref="N1183" si="497">SUM(M1183:M1192)</f>
        <v>0</v>
      </c>
    </row>
    <row r="1184" spans="1:14">
      <c r="A1184" s="388"/>
      <c r="B1184" s="391"/>
      <c r="C1184" s="69"/>
      <c r="D1184" s="70"/>
      <c r="E1184" s="146"/>
      <c r="F1184" s="70" t="str">
        <f>IFERROR(VLOOKUP(C1184,MATERIAUX!$C$3:$G$1002,3,FALSE),"")</f>
        <v/>
      </c>
      <c r="G1184" s="71" t="str">
        <f>IFERROR(VLOOKUP(C1184,MATERIAUX!$C$3:$G$1002,5,FALSE),"")</f>
        <v/>
      </c>
      <c r="H1184" s="71" t="str">
        <f t="shared" si="488"/>
        <v/>
      </c>
      <c r="I1184" s="394"/>
      <c r="J1184" s="72"/>
      <c r="K1184" s="72"/>
      <c r="L1184" s="72" t="str">
        <f>IFERROR(VLOOKUP(J1184,'MAIN D OEUVRE'!$A$4:$B$99,2,FALSE)*$N$2,"")</f>
        <v/>
      </c>
      <c r="M1184" s="73" t="str">
        <f t="shared" si="496"/>
        <v/>
      </c>
      <c r="N1184" s="397"/>
    </row>
    <row r="1185" spans="1:14">
      <c r="A1185" s="388"/>
      <c r="B1185" s="391"/>
      <c r="C1185" s="69"/>
      <c r="D1185" s="70"/>
      <c r="E1185" s="146"/>
      <c r="F1185" s="70" t="str">
        <f>IFERROR(VLOOKUP(C1185,MATERIAUX!$C$3:$G$1002,3,FALSE),"")</f>
        <v/>
      </c>
      <c r="G1185" s="71" t="str">
        <f>IFERROR(VLOOKUP(C1185,MATERIAUX!$C$3:$G$1002,5,FALSE),"")</f>
        <v/>
      </c>
      <c r="H1185" s="71" t="str">
        <f t="shared" si="488"/>
        <v/>
      </c>
      <c r="I1185" s="394"/>
      <c r="J1185" s="72"/>
      <c r="K1185" s="72"/>
      <c r="L1185" s="72" t="str">
        <f>IFERROR(VLOOKUP(J1185,'MAIN D OEUVRE'!$A$4:$B$99,2,FALSE)*$N$2,"")</f>
        <v/>
      </c>
      <c r="M1185" s="73" t="str">
        <f t="shared" si="496"/>
        <v/>
      </c>
      <c r="N1185" s="397"/>
    </row>
    <row r="1186" spans="1:14">
      <c r="A1186" s="388"/>
      <c r="B1186" s="391"/>
      <c r="C1186" s="69"/>
      <c r="D1186" s="70"/>
      <c r="E1186" s="146"/>
      <c r="F1186" s="70" t="str">
        <f>IFERROR(VLOOKUP(C1186,MATERIAUX!$C$3:$G$1002,3,FALSE),"")</f>
        <v/>
      </c>
      <c r="G1186" s="71" t="str">
        <f>IFERROR(VLOOKUP(C1186,MATERIAUX!$C$3:$G$1002,5,FALSE),"")</f>
        <v/>
      </c>
      <c r="H1186" s="71" t="str">
        <f t="shared" si="488"/>
        <v/>
      </c>
      <c r="I1186" s="394"/>
      <c r="J1186" s="72"/>
      <c r="K1186" s="72"/>
      <c r="L1186" s="72" t="str">
        <f>IFERROR(VLOOKUP(J1186,'MAIN D OEUVRE'!$A$4:$B$99,2,FALSE)*$N$2,"")</f>
        <v/>
      </c>
      <c r="M1186" s="73" t="str">
        <f t="shared" si="496"/>
        <v/>
      </c>
      <c r="N1186" s="397"/>
    </row>
    <row r="1187" spans="1:14">
      <c r="A1187" s="388"/>
      <c r="B1187" s="391"/>
      <c r="C1187" s="69"/>
      <c r="D1187" s="70"/>
      <c r="E1187" s="146"/>
      <c r="F1187" s="70" t="str">
        <f>IFERROR(VLOOKUP(C1187,MATERIAUX!$C$3:$G$1002,3,FALSE),"")</f>
        <v/>
      </c>
      <c r="G1187" s="71" t="str">
        <f>IFERROR(VLOOKUP(C1187,MATERIAUX!$C$3:$G$1002,5,FALSE),"")</f>
        <v/>
      </c>
      <c r="H1187" s="71" t="str">
        <f t="shared" si="488"/>
        <v/>
      </c>
      <c r="I1187" s="394"/>
      <c r="J1187" s="72"/>
      <c r="K1187" s="72"/>
      <c r="L1187" s="72" t="str">
        <f>IFERROR(VLOOKUP(J1187,'MAIN D OEUVRE'!$A$4:$B$99,2,FALSE)*$N$2,"")</f>
        <v/>
      </c>
      <c r="M1187" s="73" t="str">
        <f t="shared" si="496"/>
        <v/>
      </c>
      <c r="N1187" s="397"/>
    </row>
    <row r="1188" spans="1:14">
      <c r="A1188" s="388"/>
      <c r="B1188" s="391"/>
      <c r="C1188" s="69"/>
      <c r="D1188" s="70"/>
      <c r="E1188" s="146"/>
      <c r="F1188" s="70" t="str">
        <f>IFERROR(VLOOKUP(C1188,MATERIAUX!$C$3:$G$1002,3,FALSE),"")</f>
        <v/>
      </c>
      <c r="G1188" s="71" t="str">
        <f>IFERROR(VLOOKUP(C1188,MATERIAUX!$C$3:$G$1002,5,FALSE),"")</f>
        <v/>
      </c>
      <c r="H1188" s="71" t="str">
        <f t="shared" si="488"/>
        <v/>
      </c>
      <c r="I1188" s="394"/>
      <c r="J1188" s="72"/>
      <c r="K1188" s="72"/>
      <c r="L1188" s="72" t="str">
        <f>IFERROR(VLOOKUP(J1188,'MAIN D OEUVRE'!$A$4:$B$99,2,FALSE)*$N$2,"")</f>
        <v/>
      </c>
      <c r="M1188" s="73" t="str">
        <f t="shared" si="496"/>
        <v/>
      </c>
      <c r="N1188" s="397"/>
    </row>
    <row r="1189" spans="1:14">
      <c r="A1189" s="388"/>
      <c r="B1189" s="391"/>
      <c r="C1189" s="69"/>
      <c r="D1189" s="70"/>
      <c r="E1189" s="146"/>
      <c r="F1189" s="70" t="str">
        <f>IFERROR(VLOOKUP(C1189,MATERIAUX!$C$3:$G$1002,3,FALSE),"")</f>
        <v/>
      </c>
      <c r="G1189" s="71" t="str">
        <f>IFERROR(VLOOKUP(C1189,MATERIAUX!$C$3:$G$1002,5,FALSE),"")</f>
        <v/>
      </c>
      <c r="H1189" s="71" t="str">
        <f t="shared" si="488"/>
        <v/>
      </c>
      <c r="I1189" s="394"/>
      <c r="J1189" s="72"/>
      <c r="K1189" s="72"/>
      <c r="L1189" s="72" t="str">
        <f>IFERROR(VLOOKUP(J1189,'MAIN D OEUVRE'!$A$4:$B$99,2,FALSE)*$N$2,"")</f>
        <v/>
      </c>
      <c r="M1189" s="73" t="str">
        <f t="shared" si="496"/>
        <v/>
      </c>
      <c r="N1189" s="397"/>
    </row>
    <row r="1190" spans="1:14">
      <c r="A1190" s="388"/>
      <c r="B1190" s="391"/>
      <c r="C1190" s="69"/>
      <c r="D1190" s="70"/>
      <c r="E1190" s="146"/>
      <c r="F1190" s="70" t="str">
        <f>IFERROR(VLOOKUP(C1190,MATERIAUX!$C$3:$G$1002,3,FALSE),"")</f>
        <v/>
      </c>
      <c r="G1190" s="71" t="str">
        <f>IFERROR(VLOOKUP(C1190,MATERIAUX!$C$3:$G$1002,5,FALSE),"")</f>
        <v/>
      </c>
      <c r="H1190" s="71" t="str">
        <f t="shared" si="488"/>
        <v/>
      </c>
      <c r="I1190" s="394"/>
      <c r="J1190" s="72"/>
      <c r="K1190" s="72"/>
      <c r="L1190" s="72" t="str">
        <f>IFERROR(VLOOKUP(J1190,'MAIN D OEUVRE'!$A$4:$B$99,2,FALSE)*$N$2,"")</f>
        <v/>
      </c>
      <c r="M1190" s="73" t="str">
        <f t="shared" si="496"/>
        <v/>
      </c>
      <c r="N1190" s="397"/>
    </row>
    <row r="1191" spans="1:14">
      <c r="A1191" s="388"/>
      <c r="B1191" s="391"/>
      <c r="C1191" s="69"/>
      <c r="D1191" s="70"/>
      <c r="E1191" s="146"/>
      <c r="F1191" s="70" t="str">
        <f>IFERROR(VLOOKUP(C1191,MATERIAUX!$C$3:$G$1002,3,FALSE),"")</f>
        <v/>
      </c>
      <c r="G1191" s="71" t="str">
        <f>IFERROR(VLOOKUP(C1191,MATERIAUX!$C$3:$G$1002,5,FALSE),"")</f>
        <v/>
      </c>
      <c r="H1191" s="71" t="str">
        <f t="shared" si="488"/>
        <v/>
      </c>
      <c r="I1191" s="394"/>
      <c r="J1191" s="72"/>
      <c r="K1191" s="72"/>
      <c r="L1191" s="72"/>
      <c r="M1191" s="73"/>
      <c r="N1191" s="397"/>
    </row>
    <row r="1192" spans="1:14" ht="15" thickBot="1">
      <c r="A1192" s="389"/>
      <c r="B1192" s="392"/>
      <c r="C1192" s="74"/>
      <c r="D1192" s="75"/>
      <c r="E1192" s="147"/>
      <c r="F1192" s="70" t="str">
        <f>IFERROR(VLOOKUP(C1192,MATERIAUX!$C$3:$G$1002,3,FALSE),"")</f>
        <v/>
      </c>
      <c r="G1192" s="71" t="str">
        <f>IFERROR(VLOOKUP(C1192,MATERIAUX!$C$3:$G$1002,5,FALSE),"")</f>
        <v/>
      </c>
      <c r="H1192" s="71" t="str">
        <f t="shared" si="488"/>
        <v/>
      </c>
      <c r="I1192" s="395"/>
      <c r="J1192" s="77"/>
      <c r="K1192" s="77"/>
      <c r="L1192" s="77"/>
      <c r="M1192" s="78"/>
      <c r="N1192" s="398"/>
    </row>
    <row r="1193" spans="1:14">
      <c r="A1193" s="387"/>
      <c r="B1193" s="390"/>
      <c r="C1193" s="64"/>
      <c r="D1193" s="65"/>
      <c r="E1193" s="145"/>
      <c r="F1193" s="65" t="str">
        <f>IFERROR(VLOOKUP(C1193,MATERIAUX!$C$3:$G$1002,3,FALSE),"")</f>
        <v/>
      </c>
      <c r="G1193" s="66" t="str">
        <f>IFERROR(VLOOKUP(C1193,MATERIAUX!$C$3:$G$1002,5,FALSE),"")</f>
        <v/>
      </c>
      <c r="H1193" s="66" t="str">
        <f t="shared" si="488"/>
        <v/>
      </c>
      <c r="I1193" s="393">
        <f t="shared" ref="I1193" si="498">SUM(H1193:H1202)</f>
        <v>0</v>
      </c>
      <c r="J1193" s="67"/>
      <c r="K1193" s="67"/>
      <c r="L1193" s="67" t="str">
        <f>IFERROR(VLOOKUP(J1193,'MAIN D OEUVRE'!$A$4:$B$99,2,FALSE)*$N$2,"")</f>
        <v/>
      </c>
      <c r="M1193" s="68" t="str">
        <f t="shared" ref="M1193:M1200" si="499">IFERROR(ROUND(L1193*K1193,2),"")</f>
        <v/>
      </c>
      <c r="N1193" s="396">
        <f t="shared" ref="N1193" si="500">SUM(M1193:M1202)</f>
        <v>0</v>
      </c>
    </row>
    <row r="1194" spans="1:14">
      <c r="A1194" s="388"/>
      <c r="B1194" s="391"/>
      <c r="C1194" s="69"/>
      <c r="D1194" s="70"/>
      <c r="E1194" s="146"/>
      <c r="F1194" s="70" t="str">
        <f>IFERROR(VLOOKUP(C1194,MATERIAUX!$C$3:$G$1002,3,FALSE),"")</f>
        <v/>
      </c>
      <c r="G1194" s="71" t="str">
        <f>IFERROR(VLOOKUP(C1194,MATERIAUX!$C$3:$G$1002,5,FALSE),"")</f>
        <v/>
      </c>
      <c r="H1194" s="71" t="str">
        <f t="shared" si="488"/>
        <v/>
      </c>
      <c r="I1194" s="394"/>
      <c r="J1194" s="72"/>
      <c r="K1194" s="72"/>
      <c r="L1194" s="72" t="str">
        <f>IFERROR(VLOOKUP(J1194,'MAIN D OEUVRE'!$A$4:$B$99,2,FALSE)*$N$2,"")</f>
        <v/>
      </c>
      <c r="M1194" s="73" t="str">
        <f t="shared" si="499"/>
        <v/>
      </c>
      <c r="N1194" s="397"/>
    </row>
    <row r="1195" spans="1:14">
      <c r="A1195" s="388"/>
      <c r="B1195" s="391"/>
      <c r="C1195" s="69"/>
      <c r="D1195" s="70"/>
      <c r="E1195" s="146"/>
      <c r="F1195" s="70" t="str">
        <f>IFERROR(VLOOKUP(C1195,MATERIAUX!$C$3:$G$1002,3,FALSE),"")</f>
        <v/>
      </c>
      <c r="G1195" s="71" t="str">
        <f>IFERROR(VLOOKUP(C1195,MATERIAUX!$C$3:$G$1002,5,FALSE),"")</f>
        <v/>
      </c>
      <c r="H1195" s="71" t="str">
        <f t="shared" si="488"/>
        <v/>
      </c>
      <c r="I1195" s="394"/>
      <c r="J1195" s="72"/>
      <c r="K1195" s="72"/>
      <c r="L1195" s="72" t="str">
        <f>IFERROR(VLOOKUP(J1195,'MAIN D OEUVRE'!$A$4:$B$99,2,FALSE)*$N$2,"")</f>
        <v/>
      </c>
      <c r="M1195" s="73" t="str">
        <f t="shared" si="499"/>
        <v/>
      </c>
      <c r="N1195" s="397"/>
    </row>
    <row r="1196" spans="1:14">
      <c r="A1196" s="388"/>
      <c r="B1196" s="391"/>
      <c r="C1196" s="69"/>
      <c r="D1196" s="70"/>
      <c r="E1196" s="146"/>
      <c r="F1196" s="70" t="str">
        <f>IFERROR(VLOOKUP(C1196,MATERIAUX!$C$3:$G$1002,3,FALSE),"")</f>
        <v/>
      </c>
      <c r="G1196" s="71" t="str">
        <f>IFERROR(VLOOKUP(C1196,MATERIAUX!$C$3:$G$1002,5,FALSE),"")</f>
        <v/>
      </c>
      <c r="H1196" s="71" t="str">
        <f t="shared" si="488"/>
        <v/>
      </c>
      <c r="I1196" s="394"/>
      <c r="J1196" s="72"/>
      <c r="K1196" s="72"/>
      <c r="L1196" s="72" t="str">
        <f>IFERROR(VLOOKUP(J1196,'MAIN D OEUVRE'!$A$4:$B$99,2,FALSE)*$N$2,"")</f>
        <v/>
      </c>
      <c r="M1196" s="73" t="str">
        <f t="shared" si="499"/>
        <v/>
      </c>
      <c r="N1196" s="397"/>
    </row>
    <row r="1197" spans="1:14">
      <c r="A1197" s="388"/>
      <c r="B1197" s="391"/>
      <c r="C1197" s="69"/>
      <c r="D1197" s="70"/>
      <c r="E1197" s="146"/>
      <c r="F1197" s="70" t="str">
        <f>IFERROR(VLOOKUP(C1197,MATERIAUX!$C$3:$G$1002,3,FALSE),"")</f>
        <v/>
      </c>
      <c r="G1197" s="71" t="str">
        <f>IFERROR(VLOOKUP(C1197,MATERIAUX!$C$3:$G$1002,5,FALSE),"")</f>
        <v/>
      </c>
      <c r="H1197" s="71" t="str">
        <f t="shared" si="488"/>
        <v/>
      </c>
      <c r="I1197" s="394"/>
      <c r="J1197" s="72"/>
      <c r="K1197" s="72"/>
      <c r="L1197" s="72" t="str">
        <f>IFERROR(VLOOKUP(J1197,'MAIN D OEUVRE'!$A$4:$B$99,2,FALSE)*$N$2,"")</f>
        <v/>
      </c>
      <c r="M1197" s="73" t="str">
        <f t="shared" si="499"/>
        <v/>
      </c>
      <c r="N1197" s="397"/>
    </row>
    <row r="1198" spans="1:14">
      <c r="A1198" s="388"/>
      <c r="B1198" s="391"/>
      <c r="C1198" s="69"/>
      <c r="D1198" s="70"/>
      <c r="E1198" s="146"/>
      <c r="F1198" s="70" t="str">
        <f>IFERROR(VLOOKUP(C1198,MATERIAUX!$C$3:$G$1002,3,FALSE),"")</f>
        <v/>
      </c>
      <c r="G1198" s="71" t="str">
        <f>IFERROR(VLOOKUP(C1198,MATERIAUX!$C$3:$G$1002,5,FALSE),"")</f>
        <v/>
      </c>
      <c r="H1198" s="71" t="str">
        <f t="shared" si="488"/>
        <v/>
      </c>
      <c r="I1198" s="394"/>
      <c r="J1198" s="72"/>
      <c r="K1198" s="72"/>
      <c r="L1198" s="72" t="str">
        <f>IFERROR(VLOOKUP(J1198,'MAIN D OEUVRE'!$A$4:$B$99,2,FALSE)*$N$2,"")</f>
        <v/>
      </c>
      <c r="M1198" s="73" t="str">
        <f t="shared" si="499"/>
        <v/>
      </c>
      <c r="N1198" s="397"/>
    </row>
    <row r="1199" spans="1:14">
      <c r="A1199" s="388"/>
      <c r="B1199" s="391"/>
      <c r="C1199" s="69"/>
      <c r="D1199" s="70"/>
      <c r="E1199" s="146"/>
      <c r="F1199" s="70" t="str">
        <f>IFERROR(VLOOKUP(C1199,MATERIAUX!$C$3:$G$1002,3,FALSE),"")</f>
        <v/>
      </c>
      <c r="G1199" s="71" t="str">
        <f>IFERROR(VLOOKUP(C1199,MATERIAUX!$C$3:$G$1002,5,FALSE),"")</f>
        <v/>
      </c>
      <c r="H1199" s="71" t="str">
        <f t="shared" si="488"/>
        <v/>
      </c>
      <c r="I1199" s="394"/>
      <c r="J1199" s="72"/>
      <c r="K1199" s="72"/>
      <c r="L1199" s="72" t="str">
        <f>IFERROR(VLOOKUP(J1199,'MAIN D OEUVRE'!$A$4:$B$99,2,FALSE)*$N$2,"")</f>
        <v/>
      </c>
      <c r="M1199" s="73" t="str">
        <f t="shared" si="499"/>
        <v/>
      </c>
      <c r="N1199" s="397"/>
    </row>
    <row r="1200" spans="1:14">
      <c r="A1200" s="388"/>
      <c r="B1200" s="391"/>
      <c r="C1200" s="69"/>
      <c r="D1200" s="70"/>
      <c r="E1200" s="146"/>
      <c r="F1200" s="70" t="str">
        <f>IFERROR(VLOOKUP(C1200,MATERIAUX!$C$3:$G$1002,3,FALSE),"")</f>
        <v/>
      </c>
      <c r="G1200" s="71" t="str">
        <f>IFERROR(VLOOKUP(C1200,MATERIAUX!$C$3:$G$1002,5,FALSE),"")</f>
        <v/>
      </c>
      <c r="H1200" s="71" t="str">
        <f t="shared" si="488"/>
        <v/>
      </c>
      <c r="I1200" s="394"/>
      <c r="J1200" s="72"/>
      <c r="K1200" s="72"/>
      <c r="L1200" s="72" t="str">
        <f>IFERROR(VLOOKUP(J1200,'MAIN D OEUVRE'!$A$4:$B$99,2,FALSE)*$N$2,"")</f>
        <v/>
      </c>
      <c r="M1200" s="73" t="str">
        <f t="shared" si="499"/>
        <v/>
      </c>
      <c r="N1200" s="397"/>
    </row>
    <row r="1201" spans="1:14">
      <c r="A1201" s="388"/>
      <c r="B1201" s="391"/>
      <c r="C1201" s="69"/>
      <c r="D1201" s="70"/>
      <c r="E1201" s="146"/>
      <c r="F1201" s="70" t="str">
        <f>IFERROR(VLOOKUP(C1201,MATERIAUX!$C$3:$G$1002,3,FALSE),"")</f>
        <v/>
      </c>
      <c r="G1201" s="71" t="str">
        <f>IFERROR(VLOOKUP(C1201,MATERIAUX!$C$3:$G$1002,5,FALSE),"")</f>
        <v/>
      </c>
      <c r="H1201" s="71" t="str">
        <f t="shared" si="488"/>
        <v/>
      </c>
      <c r="I1201" s="394"/>
      <c r="J1201" s="72"/>
      <c r="K1201" s="72"/>
      <c r="L1201" s="72"/>
      <c r="M1201" s="73"/>
      <c r="N1201" s="397"/>
    </row>
    <row r="1202" spans="1:14" ht="15" thickBot="1">
      <c r="A1202" s="389"/>
      <c r="B1202" s="392"/>
      <c r="C1202" s="74"/>
      <c r="D1202" s="75"/>
      <c r="E1202" s="147"/>
      <c r="F1202" s="70" t="str">
        <f>IFERROR(VLOOKUP(C1202,MATERIAUX!$C$3:$G$1002,3,FALSE),"")</f>
        <v/>
      </c>
      <c r="G1202" s="71" t="str">
        <f>IFERROR(VLOOKUP(C1202,MATERIAUX!$C$3:$G$1002,5,FALSE),"")</f>
        <v/>
      </c>
      <c r="H1202" s="71" t="str">
        <f t="shared" si="488"/>
        <v/>
      </c>
      <c r="I1202" s="395"/>
      <c r="J1202" s="77"/>
      <c r="K1202" s="77"/>
      <c r="L1202" s="77"/>
      <c r="M1202" s="78"/>
      <c r="N1202" s="398"/>
    </row>
    <row r="1203" spans="1:14">
      <c r="A1203" s="387"/>
      <c r="B1203" s="399"/>
      <c r="C1203" s="150"/>
      <c r="D1203" s="65"/>
      <c r="E1203" s="145"/>
      <c r="F1203" s="65" t="str">
        <f>IFERROR(VLOOKUP(C1203,MATERIAUX!$C$3:$G$1002,3,FALSE),"")</f>
        <v/>
      </c>
      <c r="G1203" s="66" t="str">
        <f>IFERROR(VLOOKUP(C1203,MATERIAUX!$C$3:$G$1002,5,FALSE),"")</f>
        <v/>
      </c>
      <c r="H1203" s="66" t="str">
        <f t="shared" si="488"/>
        <v/>
      </c>
      <c r="I1203" s="393">
        <f t="shared" ref="I1203" si="501">SUM(H1203:H1212)</f>
        <v>0</v>
      </c>
      <c r="J1203" s="67"/>
      <c r="K1203" s="67"/>
      <c r="L1203" s="67" t="str">
        <f>IFERROR(VLOOKUP(J1203,'MAIN D OEUVRE'!$A$4:$B$99,2,FALSE)*$N$2,"")</f>
        <v/>
      </c>
      <c r="M1203" s="68" t="str">
        <f t="shared" ref="M1203:M1210" si="502">IFERROR(ROUND(L1203*K1203,2),"")</f>
        <v/>
      </c>
      <c r="N1203" s="396">
        <f t="shared" ref="N1203" si="503">SUM(M1203:M1212)</f>
        <v>0</v>
      </c>
    </row>
    <row r="1204" spans="1:14">
      <c r="A1204" s="388"/>
      <c r="B1204" s="400"/>
      <c r="C1204" s="151"/>
      <c r="D1204" s="70"/>
      <c r="E1204" s="146"/>
      <c r="F1204" s="70" t="str">
        <f>IFERROR(VLOOKUP(C1204,MATERIAUX!$C$3:$G$1002,3,FALSE),"")</f>
        <v/>
      </c>
      <c r="G1204" s="71" t="str">
        <f>IFERROR(VLOOKUP(C1204,MATERIAUX!$C$3:$G$1002,5,FALSE),"")</f>
        <v/>
      </c>
      <c r="H1204" s="71" t="str">
        <f t="shared" si="488"/>
        <v/>
      </c>
      <c r="I1204" s="394"/>
      <c r="J1204" s="72"/>
      <c r="K1204" s="72"/>
      <c r="L1204" s="72" t="str">
        <f>IFERROR(VLOOKUP(J1204,'MAIN D OEUVRE'!$A$4:$B$99,2,FALSE)*$N$2,"")</f>
        <v/>
      </c>
      <c r="M1204" s="73" t="str">
        <f t="shared" si="502"/>
        <v/>
      </c>
      <c r="N1204" s="397"/>
    </row>
    <row r="1205" spans="1:14">
      <c r="A1205" s="388"/>
      <c r="B1205" s="400"/>
      <c r="C1205" s="151"/>
      <c r="D1205" s="70"/>
      <c r="E1205" s="146"/>
      <c r="F1205" s="70" t="str">
        <f>IFERROR(VLOOKUP(C1205,MATERIAUX!$C$3:$G$1002,3,FALSE),"")</f>
        <v/>
      </c>
      <c r="G1205" s="71" t="str">
        <f>IFERROR(VLOOKUP(C1205,MATERIAUX!$C$3:$G$1002,5,FALSE),"")</f>
        <v/>
      </c>
      <c r="H1205" s="71" t="str">
        <f t="shared" si="488"/>
        <v/>
      </c>
      <c r="I1205" s="394"/>
      <c r="J1205" s="72"/>
      <c r="K1205" s="72"/>
      <c r="L1205" s="72" t="str">
        <f>IFERROR(VLOOKUP(J1205,'MAIN D OEUVRE'!$A$4:$B$99,2,FALSE)*$N$2,"")</f>
        <v/>
      </c>
      <c r="M1205" s="73" t="str">
        <f t="shared" si="502"/>
        <v/>
      </c>
      <c r="N1205" s="397"/>
    </row>
    <row r="1206" spans="1:14">
      <c r="A1206" s="388"/>
      <c r="B1206" s="400"/>
      <c r="C1206" s="151"/>
      <c r="D1206" s="70"/>
      <c r="E1206" s="146"/>
      <c r="F1206" s="70" t="str">
        <f>IFERROR(VLOOKUP(C1206,MATERIAUX!$C$3:$G$1002,3,FALSE),"")</f>
        <v/>
      </c>
      <c r="G1206" s="71" t="str">
        <f>IFERROR(VLOOKUP(C1206,MATERIAUX!$C$3:$G$1002,5,FALSE),"")</f>
        <v/>
      </c>
      <c r="H1206" s="71" t="str">
        <f t="shared" si="488"/>
        <v/>
      </c>
      <c r="I1206" s="394"/>
      <c r="J1206" s="72"/>
      <c r="K1206" s="72"/>
      <c r="L1206" s="72" t="str">
        <f>IFERROR(VLOOKUP(J1206,'MAIN D OEUVRE'!$A$4:$B$99,2,FALSE)*$N$2,"")</f>
        <v/>
      </c>
      <c r="M1206" s="73" t="str">
        <f t="shared" si="502"/>
        <v/>
      </c>
      <c r="N1206" s="397"/>
    </row>
    <row r="1207" spans="1:14">
      <c r="A1207" s="388"/>
      <c r="B1207" s="400"/>
      <c r="C1207" s="151"/>
      <c r="D1207" s="70"/>
      <c r="E1207" s="146"/>
      <c r="F1207" s="70" t="str">
        <f>IFERROR(VLOOKUP(C1207,MATERIAUX!$C$3:$G$1002,3,FALSE),"")</f>
        <v/>
      </c>
      <c r="G1207" s="71" t="str">
        <f>IFERROR(VLOOKUP(C1207,MATERIAUX!$C$3:$G$1002,5,FALSE),"")</f>
        <v/>
      </c>
      <c r="H1207" s="71" t="str">
        <f t="shared" si="488"/>
        <v/>
      </c>
      <c r="I1207" s="394"/>
      <c r="J1207" s="72"/>
      <c r="K1207" s="72"/>
      <c r="L1207" s="72" t="str">
        <f>IFERROR(VLOOKUP(J1207,'MAIN D OEUVRE'!$A$4:$B$99,2,FALSE)*$N$2,"")</f>
        <v/>
      </c>
      <c r="M1207" s="73" t="str">
        <f t="shared" si="502"/>
        <v/>
      </c>
      <c r="N1207" s="397"/>
    </row>
    <row r="1208" spans="1:14">
      <c r="A1208" s="388"/>
      <c r="B1208" s="400"/>
      <c r="C1208" s="151"/>
      <c r="D1208" s="70"/>
      <c r="E1208" s="146"/>
      <c r="F1208" s="70" t="str">
        <f>IFERROR(VLOOKUP(C1208,MATERIAUX!$C$3:$G$1002,3,FALSE),"")</f>
        <v/>
      </c>
      <c r="G1208" s="71" t="str">
        <f>IFERROR(VLOOKUP(C1208,MATERIAUX!$C$3:$G$1002,5,FALSE),"")</f>
        <v/>
      </c>
      <c r="H1208" s="71" t="str">
        <f t="shared" si="488"/>
        <v/>
      </c>
      <c r="I1208" s="394"/>
      <c r="J1208" s="72"/>
      <c r="K1208" s="72"/>
      <c r="L1208" s="72" t="str">
        <f>IFERROR(VLOOKUP(J1208,'MAIN D OEUVRE'!$A$4:$B$99,2,FALSE)*$N$2,"")</f>
        <v/>
      </c>
      <c r="M1208" s="73" t="str">
        <f t="shared" si="502"/>
        <v/>
      </c>
      <c r="N1208" s="397"/>
    </row>
    <row r="1209" spans="1:14">
      <c r="A1209" s="388"/>
      <c r="B1209" s="400"/>
      <c r="C1209" s="151"/>
      <c r="D1209" s="70"/>
      <c r="E1209" s="146"/>
      <c r="F1209" s="70" t="str">
        <f>IFERROR(VLOOKUP(C1209,MATERIAUX!$C$3:$G$1002,3,FALSE),"")</f>
        <v/>
      </c>
      <c r="G1209" s="71" t="str">
        <f>IFERROR(VLOOKUP(C1209,MATERIAUX!$C$3:$G$1002,5,FALSE),"")</f>
        <v/>
      </c>
      <c r="H1209" s="71" t="str">
        <f t="shared" si="488"/>
        <v/>
      </c>
      <c r="I1209" s="394"/>
      <c r="J1209" s="72"/>
      <c r="K1209" s="72"/>
      <c r="L1209" s="72" t="str">
        <f>IFERROR(VLOOKUP(J1209,'MAIN D OEUVRE'!$A$4:$B$99,2,FALSE)*$N$2,"")</f>
        <v/>
      </c>
      <c r="M1209" s="73" t="str">
        <f t="shared" si="502"/>
        <v/>
      </c>
      <c r="N1209" s="397"/>
    </row>
    <row r="1210" spans="1:14">
      <c r="A1210" s="388"/>
      <c r="B1210" s="400"/>
      <c r="C1210" s="151"/>
      <c r="D1210" s="70"/>
      <c r="E1210" s="146"/>
      <c r="F1210" s="70" t="str">
        <f>IFERROR(VLOOKUP(C1210,MATERIAUX!$C$3:$G$1002,3,FALSE),"")</f>
        <v/>
      </c>
      <c r="G1210" s="71" t="str">
        <f>IFERROR(VLOOKUP(C1210,MATERIAUX!$C$3:$G$1002,5,FALSE),"")</f>
        <v/>
      </c>
      <c r="H1210" s="71" t="str">
        <f t="shared" si="488"/>
        <v/>
      </c>
      <c r="I1210" s="394"/>
      <c r="J1210" s="72"/>
      <c r="K1210" s="72"/>
      <c r="L1210" s="72" t="str">
        <f>IFERROR(VLOOKUP(J1210,'MAIN D OEUVRE'!$A$4:$B$99,2,FALSE)*$N$2,"")</f>
        <v/>
      </c>
      <c r="M1210" s="73" t="str">
        <f t="shared" si="502"/>
        <v/>
      </c>
      <c r="N1210" s="397"/>
    </row>
    <row r="1211" spans="1:14">
      <c r="A1211" s="388"/>
      <c r="B1211" s="400"/>
      <c r="C1211" s="151"/>
      <c r="D1211" s="70"/>
      <c r="E1211" s="146"/>
      <c r="F1211" s="70" t="str">
        <f>IFERROR(VLOOKUP(C1211,MATERIAUX!$C$3:$G$1002,3,FALSE),"")</f>
        <v/>
      </c>
      <c r="G1211" s="71" t="str">
        <f>IFERROR(VLOOKUP(C1211,MATERIAUX!$C$3:$G$1002,5,FALSE),"")</f>
        <v/>
      </c>
      <c r="H1211" s="71" t="str">
        <f t="shared" si="488"/>
        <v/>
      </c>
      <c r="I1211" s="394"/>
      <c r="J1211" s="72"/>
      <c r="K1211" s="72"/>
      <c r="L1211" s="72"/>
      <c r="M1211" s="73"/>
      <c r="N1211" s="397"/>
    </row>
    <row r="1212" spans="1:14" ht="15" thickBot="1">
      <c r="A1212" s="389"/>
      <c r="B1212" s="401"/>
      <c r="C1212" s="152"/>
      <c r="D1212" s="75"/>
      <c r="E1212" s="147"/>
      <c r="F1212" s="75" t="str">
        <f>IFERROR(VLOOKUP(C1212,MATERIAUX!$C$3:$G$1002,3,FALSE),"")</f>
        <v/>
      </c>
      <c r="G1212" s="71" t="str">
        <f>IFERROR(VLOOKUP(C1212,MATERIAUX!$C$3:$G$1002,5,FALSE),"")</f>
        <v/>
      </c>
      <c r="H1212" s="76" t="str">
        <f t="shared" si="488"/>
        <v/>
      </c>
      <c r="I1212" s="395"/>
      <c r="J1212" s="77"/>
      <c r="K1212" s="77"/>
      <c r="L1212" s="77"/>
      <c r="M1212" s="78"/>
      <c r="N1212" s="398"/>
    </row>
    <row r="1213" spans="1:14">
      <c r="A1213" s="49"/>
      <c r="B1213" s="49"/>
      <c r="C1213" s="42"/>
      <c r="D1213" s="42"/>
      <c r="E1213" s="60"/>
      <c r="F1213" s="42"/>
      <c r="G1213" s="42"/>
      <c r="H1213" s="42"/>
      <c r="I1213" s="42"/>
      <c r="J1213" s="42"/>
      <c r="K1213" s="42"/>
      <c r="L1213" s="42"/>
      <c r="M1213" s="42"/>
      <c r="N1213" s="42"/>
    </row>
    <row r="1214" spans="1:14">
      <c r="A1214" s="49"/>
      <c r="B1214" s="49"/>
      <c r="C1214" s="42"/>
      <c r="D1214" s="42"/>
      <c r="E1214" s="60"/>
      <c r="F1214" s="42"/>
      <c r="G1214" s="42"/>
      <c r="H1214" s="42"/>
      <c r="I1214" s="42"/>
      <c r="J1214" s="42"/>
      <c r="K1214" s="42"/>
      <c r="L1214" s="42"/>
      <c r="M1214" s="42"/>
      <c r="N1214" s="42"/>
    </row>
    <row r="1215" spans="1:14">
      <c r="A1215" s="49"/>
      <c r="B1215" s="49"/>
      <c r="C1215" s="42"/>
      <c r="D1215" s="42"/>
      <c r="E1215" s="60"/>
      <c r="F1215" s="42"/>
      <c r="G1215" s="42"/>
      <c r="H1215" s="42"/>
      <c r="I1215" s="42"/>
      <c r="J1215" s="42"/>
      <c r="K1215" s="42"/>
      <c r="L1215" s="42"/>
      <c r="M1215" s="42"/>
      <c r="N1215" s="42"/>
    </row>
    <row r="1216" spans="1:14">
      <c r="A1216" s="49"/>
      <c r="B1216" s="49"/>
      <c r="C1216" s="42"/>
      <c r="D1216" s="42"/>
      <c r="E1216" s="60"/>
      <c r="F1216" s="42"/>
      <c r="G1216" s="42"/>
      <c r="H1216" s="42"/>
      <c r="I1216" s="42"/>
      <c r="J1216" s="42"/>
      <c r="K1216" s="42"/>
      <c r="L1216" s="42"/>
      <c r="M1216" s="42"/>
      <c r="N1216" s="42"/>
    </row>
    <row r="1217" spans="1:14">
      <c r="A1217" s="49"/>
      <c r="B1217" s="49"/>
      <c r="C1217" s="42"/>
      <c r="D1217" s="42"/>
      <c r="E1217" s="60"/>
      <c r="F1217" s="42"/>
      <c r="G1217" s="42"/>
      <c r="H1217" s="42"/>
      <c r="I1217" s="42"/>
      <c r="J1217" s="42"/>
      <c r="K1217" s="42"/>
      <c r="L1217" s="42"/>
      <c r="M1217" s="42"/>
      <c r="N1217" s="42"/>
    </row>
    <row r="1218" spans="1:14">
      <c r="A1218" s="49"/>
      <c r="B1218" s="49"/>
      <c r="C1218" s="42"/>
      <c r="D1218" s="42"/>
      <c r="E1218" s="60"/>
      <c r="F1218" s="42"/>
      <c r="G1218" s="42"/>
      <c r="H1218" s="42"/>
      <c r="I1218" s="42"/>
      <c r="J1218" s="42"/>
      <c r="K1218" s="42"/>
      <c r="L1218" s="42"/>
      <c r="M1218" s="42"/>
      <c r="N1218" s="42"/>
    </row>
    <row r="1219" spans="1:14">
      <c r="A1219" s="49"/>
      <c r="B1219" s="49"/>
      <c r="C1219" s="42"/>
      <c r="D1219" s="42"/>
      <c r="E1219" s="60"/>
      <c r="F1219" s="42"/>
      <c r="G1219" s="42"/>
      <c r="H1219" s="42"/>
      <c r="I1219" s="42"/>
      <c r="J1219" s="42"/>
      <c r="K1219" s="42"/>
      <c r="L1219" s="42"/>
      <c r="M1219" s="42"/>
      <c r="N1219" s="42"/>
    </row>
    <row r="1220" spans="1:14">
      <c r="A1220" s="49"/>
      <c r="B1220" s="49"/>
      <c r="C1220" s="42"/>
      <c r="D1220" s="42"/>
      <c r="E1220" s="60"/>
      <c r="F1220" s="42"/>
      <c r="G1220" s="42"/>
      <c r="H1220" s="42"/>
      <c r="I1220" s="42"/>
      <c r="J1220" s="42"/>
      <c r="K1220" s="42"/>
      <c r="L1220" s="42"/>
      <c r="M1220" s="42"/>
      <c r="N1220" s="42"/>
    </row>
    <row r="1221" spans="1:14">
      <c r="A1221" s="49"/>
      <c r="B1221" s="49"/>
      <c r="C1221" s="42"/>
      <c r="D1221" s="42"/>
      <c r="E1221" s="60"/>
      <c r="F1221" s="42"/>
      <c r="G1221" s="42"/>
      <c r="H1221" s="42"/>
      <c r="I1221" s="42"/>
      <c r="J1221" s="42"/>
      <c r="K1221" s="42"/>
      <c r="L1221" s="42"/>
      <c r="M1221" s="42"/>
      <c r="N1221" s="42"/>
    </row>
    <row r="1222" spans="1:14">
      <c r="A1222" s="49"/>
      <c r="B1222" s="49"/>
      <c r="C1222" s="42"/>
      <c r="D1222" s="42"/>
      <c r="E1222" s="60"/>
      <c r="F1222" s="42"/>
      <c r="G1222" s="42"/>
      <c r="H1222" s="42"/>
      <c r="I1222" s="42"/>
      <c r="J1222" s="42"/>
      <c r="K1222" s="42"/>
      <c r="L1222" s="42"/>
      <c r="M1222" s="42"/>
      <c r="N1222" s="42"/>
    </row>
    <row r="1223" spans="1:14">
      <c r="A1223" s="49"/>
      <c r="B1223" s="49"/>
      <c r="C1223" s="42"/>
      <c r="D1223" s="42"/>
      <c r="E1223" s="60"/>
      <c r="F1223" s="42"/>
      <c r="G1223" s="42"/>
      <c r="H1223" s="42"/>
      <c r="I1223" s="42"/>
      <c r="J1223" s="42"/>
      <c r="K1223" s="42"/>
      <c r="L1223" s="42"/>
      <c r="M1223" s="42"/>
      <c r="N1223" s="42"/>
    </row>
    <row r="1224" spans="1:14">
      <c r="A1224" s="49"/>
      <c r="B1224" s="49"/>
      <c r="C1224" s="42"/>
      <c r="D1224" s="42"/>
      <c r="E1224" s="60"/>
      <c r="F1224" s="42"/>
      <c r="G1224" s="42"/>
      <c r="H1224" s="42"/>
      <c r="I1224" s="42"/>
      <c r="J1224" s="42"/>
      <c r="K1224" s="42"/>
      <c r="L1224" s="42"/>
      <c r="M1224" s="42"/>
      <c r="N1224" s="42"/>
    </row>
    <row r="1225" spans="1:14">
      <c r="A1225" s="49"/>
      <c r="B1225" s="49"/>
      <c r="C1225" s="42"/>
      <c r="D1225" s="42"/>
      <c r="E1225" s="60"/>
      <c r="F1225" s="42"/>
      <c r="G1225" s="42"/>
      <c r="H1225" s="42"/>
      <c r="I1225" s="42"/>
      <c r="J1225" s="42"/>
      <c r="K1225" s="42"/>
      <c r="L1225" s="42"/>
      <c r="M1225" s="42"/>
      <c r="N1225" s="42"/>
    </row>
    <row r="1226" spans="1:14">
      <c r="A1226" s="49"/>
      <c r="B1226" s="49"/>
      <c r="C1226" s="42"/>
      <c r="D1226" s="42"/>
      <c r="E1226" s="60"/>
      <c r="F1226" s="42"/>
      <c r="G1226" s="42"/>
      <c r="H1226" s="42"/>
      <c r="I1226" s="42"/>
      <c r="J1226" s="42"/>
      <c r="K1226" s="42"/>
      <c r="L1226" s="42"/>
      <c r="M1226" s="42"/>
      <c r="N1226" s="42"/>
    </row>
    <row r="1227" spans="1:14">
      <c r="A1227" s="49"/>
      <c r="B1227" s="49"/>
      <c r="C1227" s="42"/>
      <c r="D1227" s="42"/>
      <c r="E1227" s="60"/>
      <c r="F1227" s="42"/>
      <c r="G1227" s="42"/>
      <c r="H1227" s="42"/>
      <c r="I1227" s="42"/>
      <c r="J1227" s="42"/>
      <c r="K1227" s="42"/>
      <c r="L1227" s="42"/>
      <c r="M1227" s="42"/>
      <c r="N1227" s="42"/>
    </row>
    <row r="1228" spans="1:14">
      <c r="A1228" s="49"/>
      <c r="B1228" s="49"/>
      <c r="C1228" s="42"/>
      <c r="D1228" s="42"/>
      <c r="E1228" s="60"/>
      <c r="F1228" s="42"/>
      <c r="G1228" s="42"/>
      <c r="H1228" s="42"/>
      <c r="I1228" s="42"/>
      <c r="J1228" s="42"/>
      <c r="K1228" s="42"/>
      <c r="L1228" s="42"/>
      <c r="M1228" s="42"/>
      <c r="N1228" s="42"/>
    </row>
    <row r="1229" spans="1:14">
      <c r="A1229" s="49"/>
      <c r="B1229" s="49"/>
      <c r="C1229" s="42"/>
      <c r="D1229" s="42"/>
      <c r="E1229" s="60"/>
      <c r="F1229" s="42"/>
      <c r="G1229" s="42"/>
      <c r="H1229" s="42"/>
      <c r="I1229" s="42"/>
      <c r="J1229" s="42"/>
      <c r="K1229" s="42"/>
      <c r="L1229" s="42"/>
      <c r="M1229" s="42"/>
      <c r="N1229" s="42"/>
    </row>
    <row r="1230" spans="1:14">
      <c r="A1230" s="49"/>
      <c r="B1230" s="49"/>
      <c r="C1230" s="42"/>
      <c r="D1230" s="42"/>
      <c r="E1230" s="60"/>
      <c r="F1230" s="42"/>
      <c r="G1230" s="42"/>
      <c r="H1230" s="42"/>
      <c r="I1230" s="42"/>
      <c r="J1230" s="42"/>
      <c r="K1230" s="42"/>
      <c r="L1230" s="42"/>
      <c r="M1230" s="42"/>
      <c r="N1230" s="42"/>
    </row>
    <row r="1231" spans="1:14">
      <c r="A1231" s="49"/>
      <c r="B1231" s="49"/>
      <c r="C1231" s="42"/>
      <c r="D1231" s="42"/>
      <c r="E1231" s="60"/>
      <c r="F1231" s="42"/>
      <c r="G1231" s="42"/>
      <c r="H1231" s="42"/>
      <c r="I1231" s="42"/>
      <c r="J1231" s="42"/>
      <c r="K1231" s="42"/>
      <c r="L1231" s="42"/>
      <c r="M1231" s="42"/>
      <c r="N1231" s="42"/>
    </row>
    <row r="1232" spans="1:14">
      <c r="A1232" s="49"/>
      <c r="B1232" s="49"/>
      <c r="C1232" s="42"/>
      <c r="D1232" s="42"/>
      <c r="E1232" s="60"/>
      <c r="F1232" s="42"/>
      <c r="G1232" s="42"/>
      <c r="H1232" s="42"/>
      <c r="I1232" s="42"/>
      <c r="J1232" s="42"/>
      <c r="K1232" s="42"/>
      <c r="L1232" s="42"/>
      <c r="M1232" s="42"/>
      <c r="N1232" s="42"/>
    </row>
    <row r="1233" spans="1:14">
      <c r="A1233" s="49"/>
      <c r="B1233" s="49"/>
      <c r="C1233" s="42"/>
      <c r="D1233" s="42"/>
      <c r="E1233" s="60"/>
      <c r="F1233" s="42"/>
      <c r="G1233" s="42"/>
      <c r="H1233" s="42"/>
      <c r="I1233" s="42"/>
      <c r="J1233" s="42"/>
      <c r="K1233" s="42"/>
      <c r="L1233" s="42"/>
      <c r="M1233" s="42"/>
      <c r="N1233" s="42"/>
    </row>
    <row r="1234" spans="1:14">
      <c r="A1234" s="49"/>
      <c r="B1234" s="49"/>
      <c r="C1234" s="42"/>
      <c r="D1234" s="42"/>
      <c r="E1234" s="60"/>
      <c r="F1234" s="42"/>
      <c r="G1234" s="42"/>
      <c r="H1234" s="42"/>
      <c r="I1234" s="42"/>
      <c r="J1234" s="42"/>
      <c r="K1234" s="42"/>
      <c r="L1234" s="42"/>
      <c r="M1234" s="42"/>
      <c r="N1234" s="42"/>
    </row>
    <row r="1235" spans="1:14">
      <c r="A1235" s="49"/>
      <c r="B1235" s="49"/>
      <c r="C1235" s="42"/>
      <c r="D1235" s="42"/>
      <c r="E1235" s="60"/>
      <c r="F1235" s="42"/>
      <c r="G1235" s="42"/>
      <c r="H1235" s="42"/>
      <c r="I1235" s="42"/>
      <c r="J1235" s="42"/>
      <c r="K1235" s="42"/>
      <c r="L1235" s="42"/>
      <c r="M1235" s="42"/>
      <c r="N1235" s="42"/>
    </row>
    <row r="1236" spans="1:14">
      <c r="A1236" s="49"/>
      <c r="B1236" s="49"/>
      <c r="C1236" s="42"/>
      <c r="D1236" s="42"/>
      <c r="E1236" s="60"/>
      <c r="F1236" s="42"/>
      <c r="G1236" s="42"/>
      <c r="H1236" s="42"/>
      <c r="I1236" s="42"/>
      <c r="J1236" s="42"/>
      <c r="K1236" s="42"/>
      <c r="L1236" s="42"/>
      <c r="M1236" s="42"/>
      <c r="N1236" s="42"/>
    </row>
    <row r="1237" spans="1:14">
      <c r="A1237" s="49"/>
      <c r="B1237" s="49"/>
      <c r="C1237" s="42"/>
      <c r="D1237" s="42"/>
      <c r="E1237" s="60"/>
      <c r="F1237" s="42"/>
      <c r="G1237" s="42"/>
      <c r="H1237" s="42"/>
      <c r="I1237" s="42"/>
      <c r="J1237" s="42"/>
      <c r="K1237" s="42"/>
      <c r="L1237" s="42"/>
      <c r="M1237" s="42"/>
      <c r="N1237" s="42"/>
    </row>
    <row r="1238" spans="1:14">
      <c r="A1238" s="49"/>
      <c r="B1238" s="49"/>
      <c r="C1238" s="42"/>
      <c r="D1238" s="42"/>
      <c r="E1238" s="60"/>
      <c r="F1238" s="42"/>
      <c r="G1238" s="42"/>
      <c r="H1238" s="42"/>
      <c r="I1238" s="42"/>
      <c r="J1238" s="42"/>
      <c r="K1238" s="42"/>
      <c r="L1238" s="42"/>
      <c r="M1238" s="42"/>
      <c r="N1238" s="42"/>
    </row>
    <row r="1239" spans="1:14">
      <c r="A1239" s="49"/>
      <c r="B1239" s="49"/>
      <c r="C1239" s="42"/>
      <c r="D1239" s="42"/>
      <c r="E1239" s="60"/>
      <c r="F1239" s="42"/>
      <c r="G1239" s="42"/>
      <c r="H1239" s="42"/>
      <c r="I1239" s="42"/>
      <c r="J1239" s="42"/>
      <c r="K1239" s="42"/>
      <c r="L1239" s="42"/>
      <c r="M1239" s="42"/>
      <c r="N1239" s="42"/>
    </row>
    <row r="1240" spans="1:14">
      <c r="A1240" s="49"/>
      <c r="B1240" s="49"/>
      <c r="C1240" s="42"/>
      <c r="D1240" s="42"/>
      <c r="E1240" s="60"/>
      <c r="F1240" s="42"/>
      <c r="G1240" s="42"/>
      <c r="H1240" s="42"/>
      <c r="I1240" s="42"/>
      <c r="J1240" s="42"/>
      <c r="K1240" s="42"/>
      <c r="L1240" s="42"/>
      <c r="M1240" s="42"/>
      <c r="N1240" s="42"/>
    </row>
    <row r="1241" spans="1:14">
      <c r="A1241" s="49"/>
      <c r="B1241" s="49"/>
      <c r="C1241" s="42"/>
      <c r="D1241" s="42"/>
      <c r="E1241" s="60"/>
      <c r="F1241" s="42"/>
      <c r="G1241" s="42"/>
      <c r="H1241" s="42"/>
      <c r="I1241" s="42"/>
      <c r="J1241" s="42"/>
      <c r="K1241" s="42"/>
      <c r="L1241" s="42"/>
      <c r="M1241" s="42"/>
      <c r="N1241" s="42"/>
    </row>
    <row r="1242" spans="1:14">
      <c r="A1242" s="49"/>
      <c r="B1242" s="49"/>
      <c r="C1242" s="42"/>
      <c r="D1242" s="42"/>
      <c r="E1242" s="60"/>
      <c r="F1242" s="42"/>
      <c r="G1242" s="42"/>
      <c r="H1242" s="42"/>
      <c r="I1242" s="42"/>
      <c r="J1242" s="42"/>
      <c r="K1242" s="42"/>
      <c r="L1242" s="42"/>
      <c r="M1242" s="42"/>
      <c r="N1242" s="42"/>
    </row>
    <row r="1243" spans="1:14">
      <c r="A1243" s="49"/>
      <c r="B1243" s="49"/>
      <c r="C1243" s="42"/>
      <c r="D1243" s="42"/>
      <c r="E1243" s="60"/>
      <c r="F1243" s="42"/>
      <c r="G1243" s="42"/>
      <c r="H1243" s="42"/>
      <c r="I1243" s="42"/>
      <c r="J1243" s="42"/>
      <c r="K1243" s="42"/>
      <c r="L1243" s="42"/>
      <c r="M1243" s="42"/>
      <c r="N1243" s="42"/>
    </row>
    <row r="1244" spans="1:14">
      <c r="A1244" s="49"/>
      <c r="B1244" s="49"/>
      <c r="C1244" s="42"/>
      <c r="D1244" s="42"/>
      <c r="E1244" s="60"/>
      <c r="F1244" s="42"/>
      <c r="G1244" s="42"/>
      <c r="H1244" s="42"/>
      <c r="I1244" s="42"/>
      <c r="J1244" s="42"/>
      <c r="K1244" s="42"/>
      <c r="L1244" s="42"/>
      <c r="M1244" s="42"/>
      <c r="N1244" s="42"/>
    </row>
    <row r="1245" spans="1:14">
      <c r="A1245" s="49"/>
      <c r="B1245" s="49"/>
      <c r="C1245" s="42"/>
      <c r="D1245" s="42"/>
      <c r="E1245" s="60"/>
      <c r="F1245" s="42"/>
      <c r="G1245" s="42"/>
      <c r="H1245" s="42"/>
      <c r="I1245" s="42"/>
      <c r="J1245" s="42"/>
      <c r="K1245" s="42"/>
      <c r="L1245" s="42"/>
      <c r="M1245" s="42"/>
      <c r="N1245" s="42"/>
    </row>
    <row r="1246" spans="1:14">
      <c r="A1246" s="49"/>
      <c r="B1246" s="49"/>
      <c r="C1246" s="42"/>
      <c r="D1246" s="42"/>
      <c r="E1246" s="60"/>
      <c r="F1246" s="42"/>
      <c r="G1246" s="42"/>
      <c r="H1246" s="42"/>
      <c r="I1246" s="42"/>
      <c r="J1246" s="42"/>
      <c r="K1246" s="42"/>
      <c r="L1246" s="42"/>
      <c r="M1246" s="42"/>
      <c r="N1246" s="42"/>
    </row>
    <row r="1247" spans="1:14">
      <c r="A1247" s="49"/>
      <c r="B1247" s="49"/>
      <c r="C1247" s="42"/>
      <c r="D1247" s="42"/>
      <c r="E1247" s="60"/>
      <c r="F1247" s="42"/>
      <c r="G1247" s="42"/>
      <c r="H1247" s="42"/>
      <c r="I1247" s="42"/>
      <c r="J1247" s="42"/>
      <c r="K1247" s="42"/>
      <c r="L1247" s="42"/>
      <c r="M1247" s="42"/>
      <c r="N1247" s="42"/>
    </row>
    <row r="1248" spans="1:14">
      <c r="A1248" s="49"/>
      <c r="B1248" s="49"/>
      <c r="C1248" s="42"/>
      <c r="D1248" s="42"/>
      <c r="E1248" s="60"/>
      <c r="F1248" s="42"/>
      <c r="G1248" s="42"/>
      <c r="H1248" s="42"/>
      <c r="I1248" s="42"/>
      <c r="J1248" s="42"/>
      <c r="K1248" s="42"/>
      <c r="L1248" s="42"/>
      <c r="M1248" s="42"/>
      <c r="N1248" s="42"/>
    </row>
    <row r="1249" spans="1:14">
      <c r="A1249" s="49"/>
      <c r="B1249" s="49"/>
      <c r="C1249" s="42"/>
      <c r="D1249" s="42"/>
      <c r="E1249" s="60"/>
      <c r="F1249" s="42"/>
      <c r="G1249" s="42"/>
      <c r="H1249" s="42"/>
      <c r="I1249" s="42"/>
      <c r="J1249" s="42"/>
      <c r="K1249" s="42"/>
      <c r="L1249" s="42"/>
      <c r="M1249" s="42"/>
      <c r="N1249" s="42"/>
    </row>
    <row r="1250" spans="1:14">
      <c r="A1250" s="49"/>
      <c r="B1250" s="49"/>
      <c r="C1250" s="42"/>
      <c r="D1250" s="42"/>
      <c r="E1250" s="60"/>
      <c r="F1250" s="42"/>
      <c r="G1250" s="42"/>
      <c r="H1250" s="42"/>
      <c r="I1250" s="42"/>
      <c r="J1250" s="42"/>
      <c r="K1250" s="42"/>
      <c r="L1250" s="42"/>
      <c r="M1250" s="42"/>
      <c r="N1250" s="42"/>
    </row>
    <row r="1251" spans="1:14">
      <c r="A1251" s="49"/>
      <c r="B1251" s="49"/>
      <c r="C1251" s="42"/>
      <c r="D1251" s="42"/>
      <c r="E1251" s="60"/>
      <c r="F1251" s="42"/>
      <c r="G1251" s="42"/>
      <c r="H1251" s="42"/>
      <c r="I1251" s="42"/>
      <c r="J1251" s="42"/>
      <c r="K1251" s="42"/>
      <c r="L1251" s="42"/>
      <c r="M1251" s="42"/>
      <c r="N1251" s="42"/>
    </row>
    <row r="1252" spans="1:14">
      <c r="A1252" s="49"/>
      <c r="B1252" s="49"/>
      <c r="C1252" s="42"/>
      <c r="D1252" s="42"/>
      <c r="E1252" s="60"/>
      <c r="F1252" s="42"/>
      <c r="G1252" s="42"/>
      <c r="H1252" s="42"/>
      <c r="I1252" s="42"/>
      <c r="J1252" s="42"/>
      <c r="K1252" s="42"/>
      <c r="L1252" s="42"/>
      <c r="M1252" s="42"/>
      <c r="N1252" s="42"/>
    </row>
    <row r="1253" spans="1:14">
      <c r="A1253" s="49"/>
      <c r="B1253" s="49"/>
      <c r="C1253" s="42"/>
      <c r="D1253" s="42"/>
      <c r="E1253" s="60"/>
      <c r="F1253" s="42"/>
      <c r="G1253" s="42"/>
      <c r="H1253" s="42"/>
      <c r="I1253" s="42"/>
      <c r="J1253" s="42"/>
      <c r="K1253" s="42"/>
      <c r="L1253" s="42"/>
      <c r="M1253" s="42"/>
      <c r="N1253" s="42"/>
    </row>
    <row r="1254" spans="1:14">
      <c r="A1254" s="49"/>
      <c r="B1254" s="49"/>
      <c r="C1254" s="42"/>
      <c r="D1254" s="42"/>
      <c r="E1254" s="60"/>
      <c r="F1254" s="42"/>
      <c r="G1254" s="42"/>
      <c r="H1254" s="42"/>
      <c r="I1254" s="42"/>
      <c r="J1254" s="42"/>
      <c r="K1254" s="42"/>
      <c r="L1254" s="42"/>
      <c r="M1254" s="42"/>
      <c r="N1254" s="42"/>
    </row>
    <row r="1255" spans="1:14">
      <c r="A1255" s="49"/>
      <c r="B1255" s="49"/>
      <c r="C1255" s="42"/>
      <c r="D1255" s="42"/>
      <c r="E1255" s="60"/>
      <c r="F1255" s="42"/>
      <c r="G1255" s="42"/>
      <c r="H1255" s="42"/>
      <c r="I1255" s="42"/>
      <c r="J1255" s="42"/>
      <c r="K1255" s="42"/>
      <c r="L1255" s="42"/>
      <c r="M1255" s="42"/>
      <c r="N1255" s="42"/>
    </row>
    <row r="1256" spans="1:14">
      <c r="A1256" s="49"/>
      <c r="B1256" s="49"/>
      <c r="C1256" s="42"/>
      <c r="D1256" s="42"/>
      <c r="E1256" s="60"/>
      <c r="F1256" s="42"/>
      <c r="G1256" s="42"/>
      <c r="H1256" s="42"/>
      <c r="I1256" s="42"/>
      <c r="J1256" s="42"/>
      <c r="K1256" s="42"/>
      <c r="L1256" s="42"/>
      <c r="M1256" s="42"/>
      <c r="N1256" s="42"/>
    </row>
    <row r="1257" spans="1:14">
      <c r="A1257" s="49"/>
      <c r="B1257" s="49"/>
      <c r="C1257" s="42"/>
      <c r="D1257" s="42"/>
      <c r="E1257" s="60"/>
      <c r="F1257" s="42"/>
      <c r="G1257" s="42"/>
      <c r="H1257" s="42"/>
      <c r="I1257" s="42"/>
      <c r="J1257" s="42"/>
      <c r="K1257" s="42"/>
      <c r="L1257" s="42"/>
      <c r="M1257" s="42"/>
      <c r="N1257" s="42"/>
    </row>
    <row r="1258" spans="1:14">
      <c r="A1258" s="49"/>
      <c r="B1258" s="49"/>
      <c r="C1258" s="42"/>
      <c r="D1258" s="42"/>
      <c r="E1258" s="60"/>
      <c r="F1258" s="42"/>
      <c r="G1258" s="42"/>
      <c r="H1258" s="42"/>
      <c r="I1258" s="42"/>
      <c r="J1258" s="42"/>
      <c r="K1258" s="42"/>
      <c r="L1258" s="42"/>
      <c r="M1258" s="42"/>
      <c r="N1258" s="42"/>
    </row>
    <row r="1259" spans="1:14">
      <c r="A1259" s="49"/>
      <c r="B1259" s="49"/>
      <c r="C1259" s="42"/>
      <c r="D1259" s="42"/>
      <c r="E1259" s="60"/>
      <c r="F1259" s="42"/>
      <c r="G1259" s="42"/>
      <c r="H1259" s="42"/>
      <c r="I1259" s="42"/>
      <c r="J1259" s="42"/>
      <c r="K1259" s="42"/>
      <c r="L1259" s="42"/>
      <c r="M1259" s="42"/>
      <c r="N1259" s="42"/>
    </row>
    <row r="1260" spans="1:14">
      <c r="A1260" s="49"/>
      <c r="B1260" s="49"/>
      <c r="C1260" s="42"/>
      <c r="D1260" s="42"/>
      <c r="E1260" s="60"/>
      <c r="F1260" s="42"/>
      <c r="G1260" s="42"/>
      <c r="H1260" s="42"/>
      <c r="I1260" s="42"/>
      <c r="J1260" s="42"/>
      <c r="K1260" s="42"/>
      <c r="L1260" s="42"/>
      <c r="M1260" s="42"/>
      <c r="N1260" s="42"/>
    </row>
    <row r="1261" spans="1:14">
      <c r="A1261" s="49"/>
      <c r="B1261" s="49"/>
      <c r="C1261" s="42"/>
      <c r="D1261" s="42"/>
      <c r="E1261" s="60"/>
      <c r="F1261" s="42"/>
      <c r="G1261" s="42"/>
      <c r="H1261" s="42"/>
      <c r="I1261" s="42"/>
      <c r="J1261" s="42"/>
      <c r="K1261" s="42"/>
      <c r="L1261" s="42"/>
      <c r="M1261" s="42"/>
      <c r="N1261" s="42"/>
    </row>
    <row r="1262" spans="1:14">
      <c r="A1262" s="49"/>
      <c r="B1262" s="49"/>
      <c r="C1262" s="42"/>
      <c r="D1262" s="42"/>
      <c r="E1262" s="60"/>
      <c r="F1262" s="42"/>
      <c r="G1262" s="42"/>
      <c r="H1262" s="42"/>
      <c r="I1262" s="42"/>
      <c r="J1262" s="42"/>
      <c r="K1262" s="42"/>
      <c r="L1262" s="42"/>
      <c r="M1262" s="42"/>
      <c r="N1262" s="42"/>
    </row>
    <row r="1263" spans="1:14">
      <c r="A1263" s="49"/>
      <c r="B1263" s="49"/>
      <c r="C1263" s="42"/>
      <c r="D1263" s="42"/>
      <c r="E1263" s="60"/>
      <c r="F1263" s="42"/>
      <c r="G1263" s="42"/>
      <c r="H1263" s="42"/>
      <c r="I1263" s="42"/>
      <c r="J1263" s="42"/>
      <c r="K1263" s="42"/>
      <c r="L1263" s="42"/>
      <c r="M1263" s="42"/>
      <c r="N1263" s="42"/>
    </row>
    <row r="1264" spans="1:14">
      <c r="A1264" s="49"/>
      <c r="B1264" s="49"/>
      <c r="C1264" s="42"/>
      <c r="D1264" s="42"/>
      <c r="E1264" s="60"/>
      <c r="F1264" s="42"/>
      <c r="G1264" s="42"/>
      <c r="H1264" s="42"/>
      <c r="I1264" s="42"/>
      <c r="J1264" s="42"/>
      <c r="K1264" s="42"/>
      <c r="L1264" s="42"/>
      <c r="M1264" s="42"/>
      <c r="N1264" s="42"/>
    </row>
    <row r="1265" spans="1:14">
      <c r="A1265" s="49"/>
      <c r="B1265" s="49"/>
      <c r="C1265" s="42"/>
      <c r="D1265" s="42"/>
      <c r="E1265" s="60"/>
      <c r="F1265" s="42"/>
      <c r="G1265" s="42"/>
      <c r="H1265" s="42"/>
      <c r="I1265" s="42"/>
      <c r="J1265" s="42"/>
      <c r="K1265" s="42"/>
      <c r="L1265" s="42"/>
      <c r="M1265" s="42"/>
      <c r="N1265" s="42"/>
    </row>
    <row r="1266" spans="1:14">
      <c r="A1266" s="49"/>
      <c r="B1266" s="49"/>
      <c r="C1266" s="42"/>
      <c r="D1266" s="42"/>
      <c r="E1266" s="60"/>
      <c r="F1266" s="42"/>
      <c r="G1266" s="42"/>
      <c r="H1266" s="42"/>
      <c r="I1266" s="42"/>
      <c r="J1266" s="42"/>
      <c r="K1266" s="42"/>
      <c r="L1266" s="42"/>
      <c r="M1266" s="42"/>
      <c r="N1266" s="42"/>
    </row>
    <row r="1267" spans="1:14">
      <c r="A1267" s="49"/>
      <c r="B1267" s="49"/>
      <c r="C1267" s="42"/>
      <c r="D1267" s="42"/>
      <c r="E1267" s="60"/>
      <c r="F1267" s="42"/>
      <c r="G1267" s="42"/>
      <c r="H1267" s="42"/>
      <c r="I1267" s="42"/>
      <c r="J1267" s="42"/>
      <c r="K1267" s="42"/>
      <c r="L1267" s="42"/>
      <c r="M1267" s="42"/>
      <c r="N1267" s="42"/>
    </row>
    <row r="1268" spans="1:14">
      <c r="A1268" s="49"/>
      <c r="B1268" s="49"/>
      <c r="C1268" s="42"/>
      <c r="D1268" s="42"/>
      <c r="E1268" s="60"/>
      <c r="F1268" s="42"/>
      <c r="G1268" s="42"/>
      <c r="H1268" s="42"/>
      <c r="I1268" s="42"/>
      <c r="J1268" s="42"/>
      <c r="K1268" s="42"/>
      <c r="L1268" s="42"/>
      <c r="M1268" s="42"/>
      <c r="N1268" s="42"/>
    </row>
    <row r="1269" spans="1:14">
      <c r="A1269" s="49"/>
      <c r="B1269" s="49"/>
      <c r="C1269" s="42"/>
      <c r="D1269" s="42"/>
      <c r="E1269" s="60"/>
      <c r="F1269" s="42"/>
      <c r="G1269" s="42"/>
      <c r="H1269" s="42"/>
      <c r="I1269" s="42"/>
      <c r="J1269" s="42"/>
      <c r="K1269" s="42"/>
      <c r="L1269" s="42"/>
      <c r="M1269" s="42"/>
      <c r="N1269" s="42"/>
    </row>
    <row r="1270" spans="1:14">
      <c r="A1270" s="49"/>
      <c r="B1270" s="49"/>
      <c r="C1270" s="42"/>
      <c r="D1270" s="42"/>
      <c r="E1270" s="60"/>
      <c r="F1270" s="42"/>
      <c r="G1270" s="42"/>
      <c r="H1270" s="42"/>
      <c r="I1270" s="42"/>
      <c r="J1270" s="42"/>
      <c r="K1270" s="42"/>
      <c r="L1270" s="42"/>
      <c r="M1270" s="42"/>
      <c r="N1270" s="42"/>
    </row>
    <row r="1271" spans="1:14">
      <c r="A1271" s="49"/>
      <c r="B1271" s="49"/>
      <c r="C1271" s="42"/>
      <c r="D1271" s="42"/>
      <c r="E1271" s="60"/>
      <c r="F1271" s="42"/>
      <c r="G1271" s="42"/>
      <c r="H1271" s="42"/>
      <c r="I1271" s="42"/>
      <c r="J1271" s="42"/>
      <c r="K1271" s="42"/>
      <c r="L1271" s="42"/>
      <c r="M1271" s="42"/>
      <c r="N1271" s="42"/>
    </row>
    <row r="1272" spans="1:14">
      <c r="A1272" s="49"/>
      <c r="B1272" s="49"/>
      <c r="C1272" s="42"/>
      <c r="D1272" s="42"/>
      <c r="E1272" s="60"/>
      <c r="F1272" s="42"/>
      <c r="G1272" s="42"/>
      <c r="H1272" s="42"/>
      <c r="I1272" s="42"/>
      <c r="J1272" s="42"/>
      <c r="K1272" s="42"/>
      <c r="L1272" s="42"/>
      <c r="M1272" s="42"/>
      <c r="N1272" s="42"/>
    </row>
    <row r="1273" spans="1:14">
      <c r="A1273" s="49"/>
      <c r="B1273" s="49"/>
      <c r="C1273" s="42"/>
      <c r="D1273" s="42"/>
      <c r="E1273" s="60"/>
      <c r="F1273" s="42"/>
      <c r="G1273" s="42"/>
      <c r="H1273" s="42"/>
      <c r="I1273" s="42"/>
      <c r="J1273" s="42"/>
      <c r="K1273" s="42"/>
      <c r="L1273" s="42"/>
      <c r="M1273" s="42"/>
      <c r="N1273" s="42"/>
    </row>
    <row r="1274" spans="1:14">
      <c r="A1274" s="49"/>
      <c r="B1274" s="49"/>
      <c r="C1274" s="42"/>
      <c r="D1274" s="42"/>
      <c r="E1274" s="60"/>
      <c r="F1274" s="42"/>
      <c r="G1274" s="42"/>
      <c r="H1274" s="42"/>
      <c r="I1274" s="42"/>
      <c r="J1274" s="42"/>
      <c r="K1274" s="42"/>
      <c r="L1274" s="42"/>
      <c r="M1274" s="42"/>
      <c r="N1274" s="42"/>
    </row>
    <row r="1275" spans="1:14">
      <c r="A1275" s="49"/>
      <c r="B1275" s="49"/>
      <c r="C1275" s="42"/>
      <c r="D1275" s="42"/>
      <c r="E1275" s="60"/>
      <c r="F1275" s="42"/>
      <c r="G1275" s="42"/>
      <c r="H1275" s="42"/>
      <c r="I1275" s="42"/>
      <c r="J1275" s="42"/>
      <c r="K1275" s="42"/>
      <c r="L1275" s="42"/>
      <c r="M1275" s="42"/>
      <c r="N1275" s="42"/>
    </row>
    <row r="1276" spans="1:14">
      <c r="A1276" s="49"/>
      <c r="B1276" s="49"/>
      <c r="C1276" s="42"/>
      <c r="D1276" s="42"/>
      <c r="E1276" s="60"/>
      <c r="F1276" s="42"/>
      <c r="G1276" s="42"/>
      <c r="H1276" s="42"/>
      <c r="I1276" s="42"/>
      <c r="J1276" s="42"/>
      <c r="K1276" s="42"/>
      <c r="L1276" s="42"/>
      <c r="M1276" s="42"/>
      <c r="N1276" s="42"/>
    </row>
    <row r="1277" spans="1:14">
      <c r="A1277" s="49"/>
      <c r="B1277" s="49"/>
      <c r="C1277" s="42"/>
      <c r="D1277" s="42"/>
      <c r="E1277" s="60"/>
      <c r="F1277" s="42"/>
      <c r="G1277" s="42"/>
      <c r="H1277" s="42"/>
      <c r="I1277" s="42"/>
      <c r="J1277" s="42"/>
      <c r="K1277" s="42"/>
      <c r="L1277" s="42"/>
      <c r="M1277" s="42"/>
      <c r="N1277" s="42"/>
    </row>
    <row r="1278" spans="1:14">
      <c r="A1278" s="49"/>
      <c r="B1278" s="49"/>
      <c r="C1278" s="42"/>
      <c r="D1278" s="42"/>
      <c r="E1278" s="60"/>
      <c r="F1278" s="42"/>
      <c r="G1278" s="42"/>
      <c r="H1278" s="42"/>
      <c r="I1278" s="42"/>
      <c r="J1278" s="42"/>
      <c r="K1278" s="42"/>
      <c r="L1278" s="42"/>
      <c r="M1278" s="42"/>
      <c r="N1278" s="42"/>
    </row>
    <row r="1279" spans="1:14">
      <c r="A1279" s="49"/>
      <c r="B1279" s="49"/>
      <c r="C1279" s="42"/>
      <c r="D1279" s="42"/>
      <c r="E1279" s="60"/>
      <c r="F1279" s="42"/>
      <c r="G1279" s="42"/>
      <c r="H1279" s="42"/>
      <c r="I1279" s="42"/>
      <c r="J1279" s="42"/>
      <c r="K1279" s="42"/>
      <c r="L1279" s="42"/>
      <c r="M1279" s="42"/>
      <c r="N1279" s="42"/>
    </row>
    <row r="1280" spans="1:14">
      <c r="A1280" s="49"/>
      <c r="B1280" s="49"/>
      <c r="C1280" s="42"/>
      <c r="D1280" s="42"/>
      <c r="E1280" s="60"/>
      <c r="F1280" s="42"/>
      <c r="G1280" s="42"/>
      <c r="H1280" s="42"/>
      <c r="I1280" s="42"/>
      <c r="J1280" s="42"/>
      <c r="K1280" s="42"/>
      <c r="L1280" s="42"/>
      <c r="M1280" s="42"/>
      <c r="N1280" s="42"/>
    </row>
    <row r="1281" spans="1:14">
      <c r="A1281" s="49"/>
      <c r="B1281" s="49"/>
      <c r="C1281" s="42"/>
      <c r="D1281" s="42"/>
      <c r="E1281" s="60"/>
      <c r="F1281" s="42"/>
      <c r="G1281" s="42"/>
      <c r="H1281" s="42"/>
      <c r="I1281" s="42"/>
      <c r="J1281" s="42"/>
      <c r="K1281" s="42"/>
      <c r="L1281" s="42"/>
      <c r="M1281" s="42"/>
      <c r="N1281" s="42"/>
    </row>
    <row r="1282" spans="1:14">
      <c r="A1282" s="49"/>
      <c r="B1282" s="49"/>
      <c r="C1282" s="42"/>
      <c r="D1282" s="42"/>
      <c r="E1282" s="60"/>
      <c r="F1282" s="42"/>
      <c r="G1282" s="42"/>
      <c r="H1282" s="42"/>
      <c r="I1282" s="42"/>
      <c r="J1282" s="42"/>
      <c r="K1282" s="42"/>
      <c r="L1282" s="42"/>
      <c r="M1282" s="42"/>
      <c r="N1282" s="42"/>
    </row>
    <row r="1283" spans="1:14">
      <c r="A1283" s="49"/>
      <c r="B1283" s="49"/>
      <c r="C1283" s="42"/>
      <c r="D1283" s="42"/>
      <c r="E1283" s="60"/>
      <c r="F1283" s="42"/>
      <c r="G1283" s="42"/>
      <c r="H1283" s="42"/>
      <c r="I1283" s="42"/>
      <c r="J1283" s="42"/>
      <c r="K1283" s="42"/>
      <c r="L1283" s="42"/>
      <c r="M1283" s="42"/>
      <c r="N1283" s="42"/>
    </row>
    <row r="1284" spans="1:14">
      <c r="A1284" s="49"/>
      <c r="B1284" s="49"/>
      <c r="C1284" s="42"/>
      <c r="D1284" s="42"/>
      <c r="E1284" s="60"/>
      <c r="F1284" s="42"/>
      <c r="G1284" s="42"/>
      <c r="H1284" s="42"/>
      <c r="I1284" s="42"/>
      <c r="J1284" s="42"/>
      <c r="K1284" s="42"/>
      <c r="L1284" s="42"/>
      <c r="M1284" s="42"/>
      <c r="N1284" s="42"/>
    </row>
    <row r="1285" spans="1:14">
      <c r="A1285" s="49"/>
      <c r="B1285" s="49"/>
      <c r="C1285" s="42"/>
      <c r="D1285" s="42"/>
      <c r="E1285" s="60"/>
      <c r="F1285" s="42"/>
      <c r="G1285" s="42"/>
      <c r="H1285" s="42"/>
      <c r="I1285" s="42"/>
      <c r="J1285" s="42"/>
      <c r="K1285" s="42"/>
      <c r="L1285" s="42"/>
      <c r="M1285" s="42"/>
      <c r="N1285" s="42"/>
    </row>
    <row r="1286" spans="1:14">
      <c r="A1286" s="49"/>
      <c r="B1286" s="49"/>
      <c r="C1286" s="42"/>
      <c r="D1286" s="42"/>
      <c r="E1286" s="60"/>
      <c r="F1286" s="42"/>
      <c r="G1286" s="42"/>
      <c r="H1286" s="42"/>
      <c r="I1286" s="42"/>
      <c r="J1286" s="42"/>
      <c r="K1286" s="42"/>
      <c r="L1286" s="42"/>
      <c r="M1286" s="42"/>
      <c r="N1286" s="42"/>
    </row>
    <row r="1287" spans="1:14">
      <c r="A1287" s="49"/>
      <c r="B1287" s="49"/>
      <c r="C1287" s="42"/>
      <c r="D1287" s="42"/>
      <c r="E1287" s="60"/>
      <c r="F1287" s="42"/>
      <c r="G1287" s="42"/>
      <c r="H1287" s="42"/>
      <c r="I1287" s="42"/>
      <c r="J1287" s="42"/>
      <c r="K1287" s="42"/>
      <c r="L1287" s="42"/>
      <c r="M1287" s="42"/>
      <c r="N1287" s="42"/>
    </row>
    <row r="1288" spans="1:14">
      <c r="A1288" s="49"/>
      <c r="B1288" s="49"/>
      <c r="C1288" s="42"/>
      <c r="D1288" s="42"/>
      <c r="E1288" s="60"/>
      <c r="F1288" s="42"/>
      <c r="G1288" s="42"/>
      <c r="H1288" s="42"/>
      <c r="I1288" s="42"/>
      <c r="J1288" s="42"/>
      <c r="K1288" s="42"/>
      <c r="L1288" s="42"/>
      <c r="M1288" s="42"/>
      <c r="N1288" s="42"/>
    </row>
    <row r="1289" spans="1:14">
      <c r="A1289" s="49"/>
      <c r="B1289" s="49"/>
      <c r="C1289" s="42"/>
      <c r="D1289" s="42"/>
      <c r="E1289" s="60"/>
      <c r="F1289" s="42"/>
      <c r="G1289" s="42"/>
      <c r="H1289" s="42"/>
      <c r="I1289" s="42"/>
      <c r="J1289" s="42"/>
      <c r="K1289" s="42"/>
      <c r="L1289" s="42"/>
      <c r="M1289" s="42"/>
      <c r="N1289" s="42"/>
    </row>
    <row r="1290" spans="1:14">
      <c r="A1290" s="49"/>
      <c r="B1290" s="49"/>
      <c r="C1290" s="42"/>
      <c r="D1290" s="42"/>
      <c r="E1290" s="60"/>
      <c r="F1290" s="42"/>
      <c r="G1290" s="42"/>
      <c r="H1290" s="42"/>
      <c r="I1290" s="42"/>
      <c r="J1290" s="42"/>
      <c r="K1290" s="42"/>
      <c r="L1290" s="42"/>
      <c r="M1290" s="42"/>
      <c r="N1290" s="42"/>
    </row>
    <row r="1291" spans="1:14">
      <c r="A1291" s="49"/>
      <c r="B1291" s="49"/>
      <c r="C1291" s="42"/>
      <c r="D1291" s="42"/>
      <c r="E1291" s="60"/>
      <c r="F1291" s="42"/>
      <c r="G1291" s="42"/>
      <c r="H1291" s="42"/>
      <c r="I1291" s="42"/>
      <c r="J1291" s="42"/>
      <c r="K1291" s="42"/>
      <c r="L1291" s="42"/>
      <c r="M1291" s="42"/>
      <c r="N1291" s="42"/>
    </row>
    <row r="1292" spans="1:14">
      <c r="A1292" s="49"/>
      <c r="B1292" s="49"/>
      <c r="C1292" s="42"/>
      <c r="D1292" s="42"/>
      <c r="E1292" s="60"/>
      <c r="F1292" s="42"/>
      <c r="G1292" s="42"/>
      <c r="H1292" s="42"/>
      <c r="I1292" s="42"/>
      <c r="J1292" s="42"/>
      <c r="K1292" s="42"/>
      <c r="L1292" s="42"/>
      <c r="M1292" s="42"/>
      <c r="N1292" s="42"/>
    </row>
    <row r="1293" spans="1:14">
      <c r="A1293" s="49"/>
      <c r="B1293" s="49"/>
      <c r="C1293" s="42"/>
      <c r="D1293" s="42"/>
      <c r="E1293" s="60"/>
      <c r="F1293" s="42"/>
      <c r="G1293" s="42"/>
      <c r="H1293" s="42"/>
      <c r="I1293" s="42"/>
      <c r="J1293" s="42"/>
      <c r="K1293" s="42"/>
      <c r="L1293" s="42"/>
      <c r="M1293" s="42"/>
      <c r="N1293" s="42"/>
    </row>
    <row r="1294" spans="1:14">
      <c r="A1294" s="49"/>
      <c r="B1294" s="49"/>
      <c r="C1294" s="42"/>
      <c r="D1294" s="42"/>
      <c r="E1294" s="60"/>
      <c r="F1294" s="42"/>
      <c r="G1294" s="42"/>
      <c r="H1294" s="42"/>
      <c r="I1294" s="42"/>
      <c r="J1294" s="42"/>
      <c r="K1294" s="42"/>
      <c r="L1294" s="42"/>
      <c r="M1294" s="42"/>
      <c r="N1294" s="42"/>
    </row>
    <row r="1295" spans="1:14">
      <c r="A1295" s="49"/>
      <c r="B1295" s="49"/>
      <c r="C1295" s="42"/>
      <c r="D1295" s="42"/>
      <c r="E1295" s="60"/>
      <c r="F1295" s="42"/>
      <c r="G1295" s="42"/>
      <c r="H1295" s="42"/>
      <c r="I1295" s="42"/>
      <c r="J1295" s="42"/>
      <c r="K1295" s="42"/>
      <c r="L1295" s="42"/>
      <c r="M1295" s="42"/>
      <c r="N1295" s="42"/>
    </row>
    <row r="1296" spans="1:14">
      <c r="A1296" s="49"/>
      <c r="B1296" s="49"/>
      <c r="C1296" s="42"/>
      <c r="D1296" s="42"/>
      <c r="E1296" s="60"/>
      <c r="F1296" s="42"/>
      <c r="G1296" s="42"/>
      <c r="H1296" s="42"/>
      <c r="I1296" s="42"/>
      <c r="J1296" s="42"/>
      <c r="K1296" s="42"/>
      <c r="L1296" s="42"/>
      <c r="M1296" s="42"/>
      <c r="N1296" s="42"/>
    </row>
    <row r="1297" spans="1:14">
      <c r="A1297" s="49"/>
      <c r="B1297" s="49"/>
      <c r="C1297" s="42"/>
      <c r="D1297" s="42"/>
      <c r="E1297" s="60"/>
      <c r="F1297" s="42"/>
      <c r="G1297" s="42"/>
      <c r="H1297" s="42"/>
      <c r="I1297" s="42"/>
      <c r="J1297" s="42"/>
      <c r="K1297" s="42"/>
      <c r="L1297" s="42"/>
      <c r="M1297" s="42"/>
      <c r="N1297" s="42"/>
    </row>
    <row r="1298" spans="1:14">
      <c r="A1298" s="49"/>
      <c r="B1298" s="49"/>
      <c r="C1298" s="42"/>
      <c r="D1298" s="42"/>
      <c r="E1298" s="60"/>
      <c r="F1298" s="42"/>
      <c r="G1298" s="42"/>
      <c r="H1298" s="42"/>
      <c r="I1298" s="42"/>
      <c r="J1298" s="42"/>
      <c r="K1298" s="42"/>
      <c r="L1298" s="42"/>
      <c r="M1298" s="42"/>
      <c r="N1298" s="42"/>
    </row>
    <row r="1299" spans="1:14">
      <c r="A1299" s="49"/>
      <c r="B1299" s="49"/>
      <c r="C1299" s="42"/>
      <c r="D1299" s="42"/>
      <c r="E1299" s="60"/>
      <c r="F1299" s="42"/>
      <c r="G1299" s="42"/>
      <c r="H1299" s="42"/>
      <c r="I1299" s="42"/>
      <c r="J1299" s="42"/>
      <c r="K1299" s="42"/>
      <c r="L1299" s="42"/>
      <c r="M1299" s="42"/>
      <c r="N1299" s="42"/>
    </row>
    <row r="1300" spans="1:14">
      <c r="A1300" s="49"/>
      <c r="B1300" s="49"/>
      <c r="C1300" s="42"/>
      <c r="D1300" s="42"/>
      <c r="E1300" s="60"/>
      <c r="F1300" s="42"/>
      <c r="G1300" s="42"/>
      <c r="H1300" s="42"/>
      <c r="I1300" s="42"/>
      <c r="J1300" s="42"/>
      <c r="K1300" s="42"/>
      <c r="L1300" s="42"/>
      <c r="M1300" s="42"/>
      <c r="N1300" s="42"/>
    </row>
    <row r="1301" spans="1:14">
      <c r="A1301" s="49"/>
      <c r="B1301" s="49"/>
      <c r="C1301" s="42"/>
      <c r="D1301" s="42"/>
      <c r="E1301" s="60"/>
      <c r="F1301" s="42"/>
      <c r="G1301" s="42"/>
      <c r="H1301" s="42"/>
      <c r="I1301" s="42"/>
      <c r="J1301" s="42"/>
      <c r="K1301" s="42"/>
      <c r="L1301" s="42"/>
      <c r="M1301" s="42"/>
      <c r="N1301" s="42"/>
    </row>
    <row r="1302" spans="1:14">
      <c r="A1302" s="49"/>
      <c r="B1302" s="49"/>
      <c r="C1302" s="42"/>
      <c r="D1302" s="42"/>
      <c r="E1302" s="60"/>
      <c r="F1302" s="42"/>
      <c r="G1302" s="42"/>
      <c r="H1302" s="42"/>
      <c r="I1302" s="42"/>
      <c r="J1302" s="42"/>
      <c r="K1302" s="42"/>
      <c r="L1302" s="42"/>
      <c r="M1302" s="42"/>
      <c r="N1302" s="42"/>
    </row>
    <row r="1303" spans="1:14">
      <c r="A1303" s="49"/>
      <c r="B1303" s="49"/>
      <c r="C1303" s="42"/>
      <c r="D1303" s="42"/>
      <c r="E1303" s="60"/>
      <c r="F1303" s="42"/>
      <c r="G1303" s="42"/>
      <c r="H1303" s="42"/>
      <c r="I1303" s="42"/>
      <c r="J1303" s="42"/>
      <c r="K1303" s="42"/>
      <c r="L1303" s="42"/>
      <c r="M1303" s="42"/>
      <c r="N1303" s="42"/>
    </row>
    <row r="1304" spans="1:14">
      <c r="A1304" s="49"/>
      <c r="B1304" s="49"/>
      <c r="C1304" s="42"/>
      <c r="D1304" s="42"/>
      <c r="E1304" s="60"/>
      <c r="F1304" s="42"/>
      <c r="G1304" s="42"/>
      <c r="H1304" s="42"/>
      <c r="I1304" s="42"/>
      <c r="J1304" s="42"/>
      <c r="K1304" s="42"/>
      <c r="L1304" s="42"/>
      <c r="M1304" s="42"/>
      <c r="N1304" s="42"/>
    </row>
    <row r="1305" spans="1:14">
      <c r="A1305" s="49"/>
      <c r="B1305" s="49"/>
      <c r="C1305" s="42"/>
      <c r="D1305" s="42"/>
      <c r="E1305" s="60"/>
      <c r="F1305" s="42"/>
      <c r="G1305" s="42"/>
      <c r="H1305" s="42"/>
      <c r="I1305" s="42"/>
      <c r="J1305" s="42"/>
      <c r="K1305" s="42"/>
      <c r="L1305" s="42"/>
      <c r="M1305" s="42"/>
      <c r="N1305" s="42"/>
    </row>
    <row r="1306" spans="1:14">
      <c r="A1306" s="49"/>
      <c r="B1306" s="49"/>
      <c r="C1306" s="42"/>
      <c r="D1306" s="42"/>
      <c r="E1306" s="60"/>
      <c r="F1306" s="42"/>
      <c r="G1306" s="42"/>
      <c r="H1306" s="42"/>
      <c r="I1306" s="42"/>
      <c r="J1306" s="42"/>
      <c r="K1306" s="42"/>
      <c r="L1306" s="42"/>
      <c r="M1306" s="42"/>
      <c r="N1306" s="42"/>
    </row>
    <row r="1307" spans="1:14">
      <c r="A1307" s="49"/>
      <c r="B1307" s="49"/>
      <c r="C1307" s="42"/>
      <c r="D1307" s="42"/>
      <c r="E1307" s="60"/>
      <c r="F1307" s="42"/>
      <c r="G1307" s="42"/>
      <c r="H1307" s="42"/>
      <c r="I1307" s="42"/>
      <c r="J1307" s="42"/>
      <c r="K1307" s="42"/>
      <c r="L1307" s="42"/>
      <c r="M1307" s="42"/>
      <c r="N1307" s="42"/>
    </row>
    <row r="1308" spans="1:14">
      <c r="A1308" s="49"/>
      <c r="B1308" s="49"/>
      <c r="C1308" s="42"/>
      <c r="D1308" s="42"/>
      <c r="E1308" s="60"/>
      <c r="F1308" s="42"/>
      <c r="G1308" s="42"/>
      <c r="H1308" s="42"/>
      <c r="I1308" s="42"/>
      <c r="J1308" s="42"/>
      <c r="K1308" s="42"/>
      <c r="L1308" s="42"/>
      <c r="M1308" s="42"/>
      <c r="N1308" s="42"/>
    </row>
    <row r="1309" spans="1:14">
      <c r="A1309" s="49"/>
      <c r="B1309" s="49"/>
      <c r="C1309" s="42"/>
      <c r="D1309" s="42"/>
      <c r="E1309" s="60"/>
      <c r="F1309" s="42"/>
      <c r="G1309" s="42"/>
      <c r="H1309" s="42"/>
      <c r="I1309" s="42"/>
      <c r="J1309" s="42"/>
      <c r="K1309" s="42"/>
      <c r="L1309" s="42"/>
      <c r="M1309" s="42"/>
      <c r="N1309" s="42"/>
    </row>
    <row r="1310" spans="1:14">
      <c r="A1310" s="49"/>
      <c r="B1310" s="49"/>
      <c r="C1310" s="42"/>
      <c r="D1310" s="42"/>
      <c r="E1310" s="60"/>
      <c r="F1310" s="42"/>
      <c r="G1310" s="42"/>
      <c r="H1310" s="42"/>
      <c r="I1310" s="42"/>
      <c r="J1310" s="42"/>
      <c r="K1310" s="42"/>
      <c r="L1310" s="42"/>
      <c r="M1310" s="42"/>
      <c r="N1310" s="42"/>
    </row>
    <row r="1311" spans="1:14">
      <c r="A1311" s="49"/>
      <c r="B1311" s="49"/>
      <c r="C1311" s="42"/>
      <c r="D1311" s="42"/>
      <c r="E1311" s="60"/>
      <c r="F1311" s="42"/>
      <c r="G1311" s="42"/>
      <c r="H1311" s="42"/>
      <c r="I1311" s="42"/>
      <c r="J1311" s="42"/>
      <c r="K1311" s="42"/>
      <c r="L1311" s="42"/>
      <c r="M1311" s="42"/>
      <c r="N1311" s="42"/>
    </row>
    <row r="1312" spans="1:14">
      <c r="A1312" s="49"/>
      <c r="B1312" s="49"/>
      <c r="C1312" s="42"/>
      <c r="D1312" s="42"/>
      <c r="E1312" s="60"/>
      <c r="F1312" s="42"/>
      <c r="G1312" s="42"/>
      <c r="H1312" s="42"/>
      <c r="I1312" s="42"/>
      <c r="J1312" s="42"/>
      <c r="K1312" s="42"/>
      <c r="L1312" s="42"/>
      <c r="M1312" s="42"/>
      <c r="N1312" s="42"/>
    </row>
    <row r="1313" spans="1:14">
      <c r="A1313" s="49"/>
      <c r="B1313" s="49"/>
      <c r="C1313" s="42"/>
      <c r="D1313" s="42"/>
      <c r="E1313" s="60"/>
      <c r="F1313" s="42"/>
      <c r="G1313" s="42"/>
      <c r="H1313" s="42"/>
      <c r="I1313" s="42"/>
      <c r="J1313" s="42"/>
      <c r="K1313" s="42"/>
      <c r="L1313" s="42"/>
      <c r="M1313" s="42"/>
      <c r="N1313" s="42"/>
    </row>
    <row r="1314" spans="1:14">
      <c r="A1314" s="49"/>
      <c r="B1314" s="49"/>
      <c r="C1314" s="42"/>
      <c r="D1314" s="42"/>
      <c r="E1314" s="60"/>
      <c r="F1314" s="42"/>
      <c r="G1314" s="42"/>
      <c r="H1314" s="42"/>
      <c r="I1314" s="42"/>
      <c r="J1314" s="42"/>
      <c r="K1314" s="42"/>
      <c r="L1314" s="42"/>
      <c r="M1314" s="42"/>
      <c r="N1314" s="42"/>
    </row>
    <row r="1315" spans="1:14">
      <c r="A1315" s="49"/>
      <c r="B1315" s="49"/>
      <c r="C1315" s="42"/>
      <c r="D1315" s="42"/>
      <c r="E1315" s="60"/>
      <c r="F1315" s="42"/>
      <c r="G1315" s="42"/>
      <c r="H1315" s="42"/>
      <c r="I1315" s="42"/>
      <c r="J1315" s="42"/>
      <c r="K1315" s="42"/>
      <c r="L1315" s="42"/>
      <c r="M1315" s="42"/>
      <c r="N1315" s="42"/>
    </row>
    <row r="1316" spans="1:14">
      <c r="A1316" s="49"/>
      <c r="B1316" s="49"/>
      <c r="C1316" s="42"/>
      <c r="D1316" s="42"/>
      <c r="E1316" s="60"/>
      <c r="F1316" s="42"/>
      <c r="G1316" s="42"/>
      <c r="H1316" s="42"/>
      <c r="I1316" s="42"/>
      <c r="J1316" s="42"/>
      <c r="K1316" s="42"/>
      <c r="L1316" s="42"/>
      <c r="M1316" s="42"/>
      <c r="N1316" s="42"/>
    </row>
    <row r="1317" spans="1:14">
      <c r="A1317" s="49"/>
      <c r="B1317" s="49"/>
      <c r="C1317" s="42"/>
      <c r="D1317" s="42"/>
      <c r="E1317" s="60"/>
      <c r="F1317" s="42"/>
      <c r="G1317" s="42"/>
      <c r="H1317" s="42"/>
      <c r="I1317" s="42"/>
      <c r="J1317" s="42"/>
      <c r="K1317" s="42"/>
      <c r="L1317" s="42"/>
      <c r="M1317" s="42"/>
      <c r="N1317" s="42"/>
    </row>
    <row r="1318" spans="1:14">
      <c r="A1318" s="49"/>
      <c r="B1318" s="49"/>
      <c r="C1318" s="42"/>
      <c r="D1318" s="42"/>
      <c r="E1318" s="60"/>
      <c r="F1318" s="42"/>
      <c r="G1318" s="42"/>
      <c r="H1318" s="42"/>
      <c r="I1318" s="42"/>
      <c r="J1318" s="42"/>
      <c r="K1318" s="42"/>
      <c r="L1318" s="42"/>
      <c r="M1318" s="42"/>
      <c r="N1318" s="42"/>
    </row>
    <row r="1319" spans="1:14">
      <c r="A1319" s="49"/>
      <c r="B1319" s="49"/>
      <c r="C1319" s="42"/>
      <c r="D1319" s="42"/>
      <c r="E1319" s="60"/>
      <c r="F1319" s="42"/>
      <c r="G1319" s="42"/>
      <c r="H1319" s="42"/>
      <c r="I1319" s="42"/>
      <c r="J1319" s="42"/>
      <c r="K1319" s="42"/>
      <c r="L1319" s="42"/>
      <c r="M1319" s="42"/>
      <c r="N1319" s="42"/>
    </row>
    <row r="1320" spans="1:14">
      <c r="A1320" s="49"/>
      <c r="B1320" s="49"/>
      <c r="C1320" s="42"/>
      <c r="D1320" s="42"/>
      <c r="E1320" s="60"/>
      <c r="F1320" s="42"/>
      <c r="G1320" s="42"/>
      <c r="H1320" s="42"/>
      <c r="I1320" s="42"/>
      <c r="J1320" s="42"/>
      <c r="K1320" s="42"/>
      <c r="L1320" s="42"/>
      <c r="M1320" s="42"/>
      <c r="N1320" s="42"/>
    </row>
    <row r="1321" spans="1:14">
      <c r="A1321" s="49"/>
      <c r="B1321" s="49"/>
      <c r="C1321" s="42"/>
      <c r="D1321" s="42"/>
      <c r="E1321" s="60"/>
      <c r="F1321" s="42"/>
      <c r="G1321" s="42"/>
      <c r="H1321" s="42"/>
      <c r="I1321" s="42"/>
      <c r="J1321" s="42"/>
      <c r="K1321" s="42"/>
      <c r="L1321" s="42"/>
      <c r="M1321" s="42"/>
      <c r="N1321" s="42"/>
    </row>
    <row r="1322" spans="1:14">
      <c r="A1322" s="49"/>
      <c r="B1322" s="49"/>
      <c r="C1322" s="42"/>
      <c r="D1322" s="42"/>
      <c r="E1322" s="60"/>
      <c r="F1322" s="42"/>
      <c r="G1322" s="42"/>
      <c r="H1322" s="42"/>
      <c r="I1322" s="42"/>
      <c r="J1322" s="42"/>
      <c r="K1322" s="42"/>
      <c r="L1322" s="42"/>
      <c r="M1322" s="42"/>
      <c r="N1322" s="42"/>
    </row>
    <row r="1323" spans="1:14">
      <c r="A1323" s="49"/>
      <c r="B1323" s="49"/>
      <c r="C1323" s="42"/>
      <c r="D1323" s="42"/>
      <c r="E1323" s="60"/>
      <c r="F1323" s="42"/>
      <c r="G1323" s="42"/>
      <c r="H1323" s="42"/>
      <c r="I1323" s="42"/>
      <c r="J1323" s="42"/>
      <c r="K1323" s="42"/>
      <c r="L1323" s="42"/>
      <c r="M1323" s="42"/>
      <c r="N1323" s="42"/>
    </row>
    <row r="1324" spans="1:14">
      <c r="A1324" s="49"/>
      <c r="B1324" s="49"/>
      <c r="C1324" s="42"/>
      <c r="D1324" s="42"/>
      <c r="E1324" s="60"/>
      <c r="F1324" s="42"/>
      <c r="G1324" s="42"/>
      <c r="H1324" s="42"/>
      <c r="I1324" s="42"/>
      <c r="J1324" s="42"/>
      <c r="K1324" s="42"/>
      <c r="L1324" s="42"/>
      <c r="M1324" s="42"/>
      <c r="N1324" s="42"/>
    </row>
    <row r="1325" spans="1:14">
      <c r="A1325" s="49"/>
      <c r="B1325" s="49"/>
      <c r="C1325" s="42"/>
      <c r="D1325" s="42"/>
      <c r="E1325" s="60"/>
      <c r="F1325" s="42"/>
      <c r="G1325" s="42"/>
      <c r="H1325" s="42"/>
      <c r="I1325" s="42"/>
      <c r="J1325" s="42"/>
      <c r="K1325" s="42"/>
      <c r="L1325" s="42"/>
      <c r="M1325" s="42"/>
      <c r="N1325" s="42"/>
    </row>
    <row r="1326" spans="1:14">
      <c r="A1326" s="49"/>
      <c r="B1326" s="49"/>
      <c r="C1326" s="42"/>
      <c r="D1326" s="42"/>
      <c r="E1326" s="60"/>
      <c r="F1326" s="42"/>
      <c r="G1326" s="42"/>
      <c r="H1326" s="42"/>
      <c r="I1326" s="42"/>
      <c r="J1326" s="42"/>
      <c r="K1326" s="42"/>
      <c r="L1326" s="42"/>
      <c r="M1326" s="42"/>
      <c r="N1326" s="42"/>
    </row>
    <row r="1327" spans="1:14">
      <c r="A1327" s="49"/>
      <c r="B1327" s="49"/>
      <c r="C1327" s="42"/>
      <c r="D1327" s="42"/>
      <c r="E1327" s="60"/>
      <c r="F1327" s="42"/>
      <c r="G1327" s="42"/>
      <c r="H1327" s="42"/>
      <c r="I1327" s="42"/>
      <c r="J1327" s="42"/>
      <c r="K1327" s="42"/>
      <c r="L1327" s="42"/>
      <c r="M1327" s="42"/>
      <c r="N1327" s="42"/>
    </row>
    <row r="1328" spans="1:14">
      <c r="A1328" s="49"/>
      <c r="B1328" s="49"/>
      <c r="C1328" s="42"/>
      <c r="D1328" s="42"/>
      <c r="E1328" s="60"/>
      <c r="F1328" s="42"/>
      <c r="G1328" s="42"/>
      <c r="H1328" s="42"/>
      <c r="I1328" s="42"/>
      <c r="J1328" s="42"/>
      <c r="K1328" s="42"/>
      <c r="L1328" s="42"/>
      <c r="M1328" s="42"/>
      <c r="N1328" s="42"/>
    </row>
    <row r="1329" spans="1:14">
      <c r="A1329" s="49"/>
      <c r="B1329" s="49"/>
      <c r="C1329" s="42"/>
      <c r="D1329" s="42"/>
      <c r="E1329" s="60"/>
      <c r="F1329" s="42"/>
      <c r="G1329" s="42"/>
      <c r="H1329" s="42"/>
      <c r="I1329" s="42"/>
      <c r="J1329" s="42"/>
      <c r="K1329" s="42"/>
      <c r="L1329" s="42"/>
      <c r="M1329" s="42"/>
      <c r="N1329" s="42"/>
    </row>
    <row r="1330" spans="1:14">
      <c r="A1330" s="49"/>
      <c r="B1330" s="49"/>
      <c r="C1330" s="42"/>
      <c r="D1330" s="42"/>
      <c r="E1330" s="60"/>
      <c r="F1330" s="42"/>
      <c r="G1330" s="42"/>
      <c r="H1330" s="42"/>
      <c r="I1330" s="42"/>
      <c r="J1330" s="42"/>
      <c r="K1330" s="42"/>
      <c r="L1330" s="42"/>
      <c r="M1330" s="42"/>
      <c r="N1330" s="42"/>
    </row>
    <row r="1331" spans="1:14">
      <c r="A1331" s="49"/>
      <c r="B1331" s="49"/>
      <c r="C1331" s="42"/>
      <c r="D1331" s="42"/>
      <c r="E1331" s="60"/>
      <c r="F1331" s="42"/>
      <c r="G1331" s="42"/>
      <c r="H1331" s="42"/>
      <c r="I1331" s="42"/>
      <c r="J1331" s="42"/>
      <c r="K1331" s="42"/>
      <c r="L1331" s="42"/>
      <c r="M1331" s="42"/>
      <c r="N1331" s="42"/>
    </row>
    <row r="1332" spans="1:14">
      <c r="A1332" s="49"/>
      <c r="B1332" s="49"/>
      <c r="C1332" s="42"/>
      <c r="D1332" s="42"/>
      <c r="E1332" s="60"/>
      <c r="F1332" s="42"/>
      <c r="G1332" s="42"/>
      <c r="H1332" s="42"/>
      <c r="I1332" s="42"/>
      <c r="J1332" s="42"/>
      <c r="K1332" s="42"/>
      <c r="L1332" s="42"/>
      <c r="M1332" s="42"/>
      <c r="N1332" s="42"/>
    </row>
    <row r="1333" spans="1:14">
      <c r="A1333" s="49"/>
      <c r="B1333" s="49"/>
      <c r="C1333" s="42"/>
      <c r="D1333" s="42"/>
      <c r="E1333" s="60"/>
      <c r="F1333" s="42"/>
      <c r="G1333" s="42"/>
      <c r="H1333" s="42"/>
      <c r="I1333" s="42"/>
      <c r="J1333" s="42"/>
      <c r="K1333" s="42"/>
      <c r="L1333" s="42"/>
      <c r="M1333" s="42"/>
      <c r="N1333" s="42"/>
    </row>
    <row r="1334" spans="1:14">
      <c r="A1334" s="49"/>
      <c r="B1334" s="49"/>
      <c r="C1334" s="42"/>
      <c r="D1334" s="42"/>
      <c r="E1334" s="60"/>
      <c r="F1334" s="42"/>
      <c r="G1334" s="42"/>
      <c r="H1334" s="42"/>
      <c r="I1334" s="42"/>
      <c r="J1334" s="42"/>
      <c r="K1334" s="42"/>
      <c r="L1334" s="42"/>
      <c r="M1334" s="42"/>
      <c r="N1334" s="42"/>
    </row>
    <row r="1335" spans="1:14">
      <c r="A1335" s="49"/>
      <c r="B1335" s="49"/>
      <c r="C1335" s="42"/>
      <c r="D1335" s="42"/>
      <c r="E1335" s="60"/>
      <c r="F1335" s="42"/>
      <c r="G1335" s="42"/>
      <c r="H1335" s="42"/>
      <c r="I1335" s="42"/>
      <c r="J1335" s="42"/>
      <c r="K1335" s="42"/>
      <c r="L1335" s="42"/>
      <c r="M1335" s="42"/>
      <c r="N1335" s="42"/>
    </row>
    <row r="1336" spans="1:14">
      <c r="A1336" s="49"/>
      <c r="B1336" s="49"/>
      <c r="C1336" s="42"/>
      <c r="D1336" s="42"/>
      <c r="E1336" s="60"/>
      <c r="F1336" s="42"/>
      <c r="G1336" s="42"/>
      <c r="H1336" s="42"/>
      <c r="I1336" s="42"/>
      <c r="J1336" s="42"/>
      <c r="K1336" s="42"/>
      <c r="L1336" s="42"/>
      <c r="M1336" s="42"/>
      <c r="N1336" s="42"/>
    </row>
    <row r="1337" spans="1:14">
      <c r="A1337" s="49"/>
      <c r="B1337" s="49"/>
      <c r="C1337" s="42"/>
      <c r="D1337" s="42"/>
      <c r="E1337" s="60"/>
      <c r="F1337" s="42"/>
      <c r="G1337" s="42"/>
      <c r="H1337" s="42"/>
      <c r="I1337" s="42"/>
      <c r="J1337" s="42"/>
      <c r="K1337" s="42"/>
      <c r="L1337" s="42"/>
      <c r="M1337" s="42"/>
      <c r="N1337" s="42"/>
    </row>
    <row r="1338" spans="1:14">
      <c r="A1338" s="49"/>
      <c r="B1338" s="49"/>
      <c r="C1338" s="42"/>
      <c r="D1338" s="42"/>
      <c r="E1338" s="60"/>
      <c r="F1338" s="42"/>
      <c r="G1338" s="42"/>
      <c r="H1338" s="42"/>
      <c r="I1338" s="42"/>
      <c r="J1338" s="42"/>
      <c r="K1338" s="42"/>
      <c r="L1338" s="42"/>
      <c r="M1338" s="42"/>
      <c r="N1338" s="42"/>
    </row>
    <row r="1339" spans="1:14">
      <c r="A1339" s="49"/>
      <c r="B1339" s="49"/>
      <c r="C1339" s="42"/>
      <c r="D1339" s="42"/>
      <c r="E1339" s="60"/>
      <c r="F1339" s="42"/>
      <c r="G1339" s="42"/>
      <c r="H1339" s="42"/>
      <c r="I1339" s="42"/>
      <c r="J1339" s="42"/>
      <c r="K1339" s="42"/>
      <c r="L1339" s="42"/>
      <c r="M1339" s="42"/>
      <c r="N1339" s="42"/>
    </row>
    <row r="1340" spans="1:14">
      <c r="A1340" s="49"/>
      <c r="B1340" s="49"/>
      <c r="C1340" s="42"/>
      <c r="D1340" s="42"/>
      <c r="E1340" s="60"/>
      <c r="F1340" s="42"/>
      <c r="G1340" s="42"/>
      <c r="H1340" s="42"/>
      <c r="I1340" s="42"/>
      <c r="J1340" s="42"/>
      <c r="K1340" s="42"/>
      <c r="L1340" s="42"/>
      <c r="M1340" s="42"/>
      <c r="N1340" s="42"/>
    </row>
    <row r="1341" spans="1:14">
      <c r="A1341" s="49"/>
      <c r="B1341" s="49"/>
      <c r="C1341" s="42"/>
      <c r="D1341" s="42"/>
      <c r="E1341" s="60"/>
      <c r="F1341" s="42"/>
      <c r="G1341" s="42"/>
      <c r="H1341" s="42"/>
      <c r="I1341" s="42"/>
      <c r="J1341" s="42"/>
      <c r="K1341" s="42"/>
      <c r="L1341" s="42"/>
      <c r="M1341" s="42"/>
      <c r="N1341" s="42"/>
    </row>
    <row r="1342" spans="1:14">
      <c r="A1342" s="49"/>
      <c r="B1342" s="49"/>
      <c r="C1342" s="42"/>
      <c r="D1342" s="42"/>
      <c r="E1342" s="60"/>
      <c r="F1342" s="42"/>
      <c r="G1342" s="42"/>
      <c r="H1342" s="42"/>
      <c r="I1342" s="42"/>
      <c r="J1342" s="42"/>
      <c r="K1342" s="42"/>
      <c r="L1342" s="42"/>
      <c r="M1342" s="42"/>
      <c r="N1342" s="42"/>
    </row>
    <row r="1343" spans="1:14">
      <c r="A1343" s="49"/>
      <c r="B1343" s="49"/>
      <c r="C1343" s="42"/>
      <c r="D1343" s="42"/>
      <c r="E1343" s="60"/>
      <c r="F1343" s="42"/>
      <c r="G1343" s="42"/>
      <c r="H1343" s="42"/>
      <c r="I1343" s="42"/>
      <c r="J1343" s="42"/>
      <c r="K1343" s="42"/>
      <c r="L1343" s="42"/>
      <c r="M1343" s="42"/>
      <c r="N1343" s="42"/>
    </row>
    <row r="1344" spans="1:14">
      <c r="A1344" s="49"/>
      <c r="B1344" s="49"/>
      <c r="C1344" s="42"/>
      <c r="D1344" s="42"/>
      <c r="E1344" s="60"/>
      <c r="F1344" s="42"/>
      <c r="G1344" s="42"/>
      <c r="H1344" s="42"/>
      <c r="I1344" s="42"/>
      <c r="J1344" s="42"/>
      <c r="K1344" s="42"/>
      <c r="L1344" s="42"/>
      <c r="M1344" s="42"/>
      <c r="N1344" s="42"/>
    </row>
    <row r="1345" spans="1:14">
      <c r="A1345" s="49"/>
      <c r="B1345" s="49"/>
      <c r="C1345" s="42"/>
      <c r="D1345" s="42"/>
      <c r="E1345" s="60"/>
      <c r="F1345" s="42"/>
      <c r="G1345" s="42"/>
      <c r="H1345" s="42"/>
      <c r="I1345" s="42"/>
      <c r="J1345" s="42"/>
      <c r="K1345" s="42"/>
      <c r="L1345" s="42"/>
      <c r="M1345" s="42"/>
      <c r="N1345" s="42"/>
    </row>
    <row r="1346" spans="1:14">
      <c r="A1346" s="49"/>
      <c r="B1346" s="49"/>
      <c r="C1346" s="42"/>
      <c r="D1346" s="42"/>
      <c r="E1346" s="60"/>
      <c r="F1346" s="42"/>
      <c r="G1346" s="42"/>
      <c r="H1346" s="42"/>
      <c r="I1346" s="42"/>
      <c r="J1346" s="42"/>
      <c r="K1346" s="42"/>
      <c r="L1346" s="42"/>
      <c r="M1346" s="42"/>
      <c r="N1346" s="42"/>
    </row>
    <row r="1347" spans="1:14">
      <c r="A1347" s="49"/>
      <c r="B1347" s="49"/>
      <c r="C1347" s="42"/>
      <c r="D1347" s="42"/>
      <c r="E1347" s="60"/>
      <c r="F1347" s="42"/>
      <c r="G1347" s="42"/>
      <c r="H1347" s="42"/>
      <c r="I1347" s="42"/>
      <c r="J1347" s="42"/>
      <c r="K1347" s="42"/>
      <c r="L1347" s="42"/>
      <c r="M1347" s="42"/>
      <c r="N1347" s="42"/>
    </row>
    <row r="1348" spans="1:14">
      <c r="A1348" s="49"/>
      <c r="B1348" s="49"/>
      <c r="C1348" s="42"/>
      <c r="D1348" s="42"/>
      <c r="E1348" s="60"/>
      <c r="F1348" s="42"/>
      <c r="G1348" s="42"/>
      <c r="H1348" s="42"/>
      <c r="I1348" s="42"/>
      <c r="J1348" s="42"/>
      <c r="K1348" s="42"/>
      <c r="L1348" s="42"/>
      <c r="M1348" s="42"/>
      <c r="N1348" s="42"/>
    </row>
    <row r="1349" spans="1:14">
      <c r="A1349" s="49"/>
      <c r="B1349" s="49"/>
      <c r="C1349" s="42"/>
      <c r="D1349" s="42"/>
      <c r="E1349" s="60"/>
      <c r="F1349" s="42"/>
      <c r="G1349" s="42"/>
      <c r="H1349" s="42"/>
      <c r="I1349" s="42"/>
      <c r="J1349" s="42"/>
      <c r="K1349" s="42"/>
      <c r="L1349" s="42"/>
      <c r="M1349" s="42"/>
      <c r="N1349" s="42"/>
    </row>
    <row r="1350" spans="1:14">
      <c r="A1350" s="49"/>
      <c r="B1350" s="49"/>
      <c r="C1350" s="42"/>
      <c r="D1350" s="42"/>
      <c r="E1350" s="60"/>
      <c r="F1350" s="42"/>
      <c r="G1350" s="42"/>
      <c r="H1350" s="42"/>
      <c r="I1350" s="42"/>
      <c r="J1350" s="42"/>
      <c r="K1350" s="42"/>
      <c r="L1350" s="42"/>
      <c r="M1350" s="42"/>
      <c r="N1350" s="42"/>
    </row>
    <row r="1351" spans="1:14">
      <c r="A1351" s="49"/>
      <c r="B1351" s="49"/>
      <c r="C1351" s="42"/>
      <c r="D1351" s="42"/>
      <c r="E1351" s="60"/>
      <c r="F1351" s="42"/>
      <c r="G1351" s="42"/>
      <c r="H1351" s="42"/>
      <c r="I1351" s="42"/>
      <c r="J1351" s="42"/>
      <c r="K1351" s="42"/>
      <c r="L1351" s="42"/>
      <c r="M1351" s="42"/>
      <c r="N1351" s="42"/>
    </row>
    <row r="1352" spans="1:14">
      <c r="A1352" s="49"/>
      <c r="B1352" s="49"/>
      <c r="C1352" s="42"/>
      <c r="D1352" s="42"/>
      <c r="E1352" s="60"/>
      <c r="F1352" s="42"/>
      <c r="G1352" s="42"/>
      <c r="H1352" s="42"/>
      <c r="I1352" s="42"/>
      <c r="J1352" s="42"/>
      <c r="K1352" s="42"/>
      <c r="L1352" s="42"/>
      <c r="M1352" s="42"/>
      <c r="N1352" s="42"/>
    </row>
    <row r="1353" spans="1:14">
      <c r="A1353" s="49"/>
      <c r="B1353" s="49"/>
      <c r="C1353" s="42"/>
      <c r="D1353" s="42"/>
      <c r="E1353" s="60"/>
      <c r="F1353" s="42"/>
      <c r="G1353" s="42"/>
      <c r="H1353" s="42"/>
      <c r="I1353" s="42"/>
      <c r="J1353" s="42"/>
      <c r="K1353" s="42"/>
      <c r="L1353" s="42"/>
      <c r="M1353" s="42"/>
      <c r="N1353" s="42"/>
    </row>
    <row r="1354" spans="1:14">
      <c r="A1354" s="49"/>
      <c r="B1354" s="49"/>
      <c r="C1354" s="42"/>
      <c r="D1354" s="42"/>
      <c r="E1354" s="60"/>
      <c r="F1354" s="42"/>
      <c r="G1354" s="42"/>
      <c r="H1354" s="42"/>
      <c r="I1354" s="42"/>
      <c r="J1354" s="42"/>
      <c r="K1354" s="42"/>
      <c r="L1354" s="42"/>
      <c r="M1354" s="42"/>
      <c r="N1354" s="42"/>
    </row>
    <row r="1355" spans="1:14">
      <c r="A1355" s="49"/>
      <c r="B1355" s="49"/>
      <c r="C1355" s="42"/>
      <c r="D1355" s="42"/>
      <c r="E1355" s="60"/>
      <c r="F1355" s="42"/>
      <c r="G1355" s="42"/>
      <c r="H1355" s="42"/>
      <c r="I1355" s="42"/>
      <c r="J1355" s="42"/>
      <c r="K1355" s="42"/>
      <c r="L1355" s="42"/>
      <c r="M1355" s="42"/>
      <c r="N1355" s="42"/>
    </row>
    <row r="1356" spans="1:14">
      <c r="A1356" s="49"/>
      <c r="B1356" s="49"/>
      <c r="C1356" s="42"/>
      <c r="D1356" s="42"/>
      <c r="E1356" s="60"/>
      <c r="F1356" s="42"/>
      <c r="G1356" s="42"/>
      <c r="H1356" s="42"/>
      <c r="I1356" s="42"/>
      <c r="J1356" s="42"/>
      <c r="K1356" s="42"/>
      <c r="L1356" s="42"/>
      <c r="M1356" s="42"/>
      <c r="N1356" s="42"/>
    </row>
    <row r="1357" spans="1:14">
      <c r="A1357" s="49"/>
      <c r="B1357" s="49"/>
      <c r="C1357" s="42"/>
      <c r="D1357" s="42"/>
      <c r="E1357" s="60"/>
      <c r="F1357" s="42"/>
      <c r="G1357" s="42"/>
      <c r="H1357" s="42"/>
      <c r="I1357" s="42"/>
      <c r="J1357" s="42"/>
      <c r="K1357" s="42"/>
      <c r="L1357" s="42"/>
      <c r="M1357" s="42"/>
      <c r="N1357" s="42"/>
    </row>
    <row r="1358" spans="1:14">
      <c r="A1358" s="49"/>
      <c r="B1358" s="49"/>
      <c r="C1358" s="42"/>
      <c r="D1358" s="42"/>
      <c r="E1358" s="60"/>
      <c r="F1358" s="42"/>
      <c r="G1358" s="42"/>
      <c r="H1358" s="42"/>
      <c r="I1358" s="42"/>
      <c r="J1358" s="42"/>
      <c r="K1358" s="42"/>
      <c r="L1358" s="42"/>
      <c r="M1358" s="42"/>
      <c r="N1358" s="42"/>
    </row>
    <row r="1359" spans="1:14">
      <c r="A1359" s="49"/>
      <c r="B1359" s="49"/>
      <c r="C1359" s="42"/>
      <c r="D1359" s="42"/>
      <c r="E1359" s="60"/>
      <c r="F1359" s="42"/>
      <c r="G1359" s="42"/>
      <c r="H1359" s="42"/>
      <c r="I1359" s="42"/>
      <c r="J1359" s="42"/>
      <c r="K1359" s="42"/>
      <c r="L1359" s="42"/>
      <c r="M1359" s="42"/>
      <c r="N1359" s="42"/>
    </row>
    <row r="1360" spans="1:14">
      <c r="A1360" s="49"/>
      <c r="B1360" s="49"/>
      <c r="C1360" s="42"/>
      <c r="D1360" s="42"/>
      <c r="E1360" s="60"/>
      <c r="F1360" s="42"/>
      <c r="G1360" s="42"/>
      <c r="H1360" s="42"/>
      <c r="I1360" s="42"/>
      <c r="J1360" s="42"/>
      <c r="K1360" s="42"/>
      <c r="L1360" s="42"/>
      <c r="M1360" s="42"/>
      <c r="N1360" s="42"/>
    </row>
    <row r="1361" spans="1:14">
      <c r="A1361" s="49"/>
      <c r="B1361" s="49"/>
      <c r="C1361" s="42"/>
      <c r="D1361" s="42"/>
      <c r="E1361" s="60"/>
      <c r="F1361" s="42"/>
      <c r="G1361" s="42"/>
      <c r="H1361" s="42"/>
      <c r="I1361" s="42"/>
      <c r="J1361" s="42"/>
      <c r="K1361" s="42"/>
      <c r="L1361" s="42"/>
      <c r="M1361" s="42"/>
      <c r="N1361" s="42"/>
    </row>
    <row r="1362" spans="1:14">
      <c r="A1362" s="49"/>
      <c r="B1362" s="49"/>
      <c r="C1362" s="42"/>
      <c r="D1362" s="42"/>
      <c r="E1362" s="60"/>
      <c r="F1362" s="42"/>
      <c r="G1362" s="42"/>
      <c r="H1362" s="42"/>
      <c r="I1362" s="42"/>
      <c r="J1362" s="42"/>
      <c r="K1362" s="42"/>
      <c r="L1362" s="42"/>
      <c r="M1362" s="42"/>
      <c r="N1362" s="42"/>
    </row>
    <row r="1363" spans="1:14">
      <c r="A1363" s="49"/>
      <c r="B1363" s="49"/>
      <c r="C1363" s="42"/>
      <c r="D1363" s="42"/>
      <c r="E1363" s="60"/>
      <c r="F1363" s="42"/>
      <c r="G1363" s="42"/>
      <c r="H1363" s="42"/>
      <c r="I1363" s="42"/>
      <c r="J1363" s="42"/>
      <c r="K1363" s="42"/>
      <c r="L1363" s="42"/>
      <c r="M1363" s="42"/>
      <c r="N1363" s="42"/>
    </row>
    <row r="1364" spans="1:14">
      <c r="A1364" s="49"/>
      <c r="B1364" s="49"/>
      <c r="C1364" s="42"/>
      <c r="D1364" s="42"/>
      <c r="E1364" s="60"/>
      <c r="F1364" s="42"/>
      <c r="G1364" s="42"/>
      <c r="H1364" s="42"/>
      <c r="I1364" s="42"/>
      <c r="J1364" s="42"/>
      <c r="K1364" s="42"/>
      <c r="L1364" s="42"/>
      <c r="M1364" s="42"/>
      <c r="N1364" s="42"/>
    </row>
    <row r="1365" spans="1:14">
      <c r="A1365" s="49"/>
      <c r="B1365" s="49"/>
      <c r="C1365" s="42"/>
      <c r="D1365" s="42"/>
      <c r="E1365" s="60"/>
      <c r="F1365" s="42"/>
      <c r="G1365" s="42"/>
      <c r="H1365" s="42"/>
      <c r="I1365" s="42"/>
      <c r="J1365" s="42"/>
      <c r="K1365" s="42"/>
      <c r="L1365" s="42"/>
      <c r="M1365" s="42"/>
      <c r="N1365" s="42"/>
    </row>
    <row r="1366" spans="1:14">
      <c r="A1366" s="49"/>
      <c r="B1366" s="49"/>
      <c r="C1366" s="42"/>
      <c r="D1366" s="42"/>
      <c r="E1366" s="60"/>
      <c r="F1366" s="42"/>
      <c r="G1366" s="42"/>
      <c r="H1366" s="42"/>
      <c r="I1366" s="42"/>
      <c r="J1366" s="42"/>
      <c r="K1366" s="42"/>
      <c r="L1366" s="42"/>
      <c r="M1366" s="42"/>
      <c r="N1366" s="42"/>
    </row>
    <row r="1367" spans="1:14">
      <c r="A1367" s="49"/>
      <c r="B1367" s="49"/>
      <c r="C1367" s="42"/>
      <c r="D1367" s="42"/>
      <c r="E1367" s="60"/>
      <c r="F1367" s="42"/>
      <c r="G1367" s="42"/>
      <c r="H1367" s="42"/>
      <c r="I1367" s="42"/>
      <c r="J1367" s="42"/>
      <c r="K1367" s="42"/>
      <c r="L1367" s="42"/>
      <c r="M1367" s="42"/>
      <c r="N1367" s="42"/>
    </row>
    <row r="1368" spans="1:14">
      <c r="A1368" s="49"/>
      <c r="B1368" s="49"/>
      <c r="C1368" s="42"/>
      <c r="D1368" s="42"/>
      <c r="E1368" s="60"/>
      <c r="F1368" s="42"/>
      <c r="G1368" s="42"/>
      <c r="H1368" s="42"/>
      <c r="I1368" s="42"/>
      <c r="J1368" s="42"/>
      <c r="K1368" s="42"/>
      <c r="L1368" s="42"/>
      <c r="M1368" s="42"/>
      <c r="N1368" s="42"/>
    </row>
    <row r="1369" spans="1:14">
      <c r="A1369" s="49"/>
      <c r="B1369" s="49"/>
      <c r="C1369" s="42"/>
      <c r="D1369" s="42"/>
      <c r="E1369" s="60"/>
      <c r="F1369" s="42"/>
      <c r="G1369" s="42"/>
      <c r="H1369" s="42"/>
      <c r="I1369" s="42"/>
      <c r="J1369" s="42"/>
      <c r="K1369" s="42"/>
      <c r="L1369" s="42"/>
      <c r="M1369" s="42"/>
      <c r="N1369" s="42"/>
    </row>
    <row r="1370" spans="1:14">
      <c r="A1370" s="49"/>
      <c r="B1370" s="49"/>
      <c r="C1370" s="42"/>
      <c r="D1370" s="42"/>
      <c r="E1370" s="60"/>
      <c r="F1370" s="42"/>
      <c r="G1370" s="42"/>
      <c r="H1370" s="42"/>
      <c r="I1370" s="42"/>
      <c r="J1370" s="42"/>
      <c r="K1370" s="42"/>
      <c r="L1370" s="42"/>
      <c r="M1370" s="42"/>
      <c r="N1370" s="42"/>
    </row>
    <row r="1371" spans="1:14">
      <c r="A1371" s="49"/>
      <c r="B1371" s="49"/>
      <c r="C1371" s="42"/>
      <c r="D1371" s="42"/>
      <c r="E1371" s="60"/>
      <c r="F1371" s="42"/>
      <c r="G1371" s="42"/>
      <c r="H1371" s="42"/>
      <c r="I1371" s="42"/>
      <c r="J1371" s="42"/>
      <c r="K1371" s="42"/>
      <c r="L1371" s="42"/>
      <c r="M1371" s="42"/>
      <c r="N1371" s="42"/>
    </row>
    <row r="1372" spans="1:14">
      <c r="A1372" s="49"/>
      <c r="B1372" s="49"/>
      <c r="C1372" s="42"/>
      <c r="D1372" s="42"/>
      <c r="E1372" s="60"/>
      <c r="F1372" s="42"/>
      <c r="G1372" s="42"/>
      <c r="H1372" s="42"/>
      <c r="I1372" s="42"/>
      <c r="J1372" s="42"/>
      <c r="K1372" s="42"/>
      <c r="L1372" s="42"/>
      <c r="M1372" s="42"/>
      <c r="N1372" s="42"/>
    </row>
    <row r="1373" spans="1:14">
      <c r="A1373" s="49"/>
      <c r="B1373" s="49"/>
      <c r="C1373" s="42"/>
      <c r="D1373" s="42"/>
      <c r="E1373" s="60"/>
      <c r="F1373" s="42"/>
      <c r="G1373" s="42"/>
      <c r="H1373" s="42"/>
      <c r="I1373" s="42"/>
      <c r="J1373" s="42"/>
      <c r="K1373" s="42"/>
      <c r="L1373" s="42"/>
      <c r="M1373" s="42"/>
      <c r="N1373" s="42"/>
    </row>
    <row r="1374" spans="1:14">
      <c r="A1374" s="49"/>
      <c r="B1374" s="49"/>
      <c r="C1374" s="42"/>
      <c r="D1374" s="42"/>
      <c r="E1374" s="60"/>
      <c r="F1374" s="42"/>
      <c r="G1374" s="42"/>
      <c r="H1374" s="42"/>
      <c r="I1374" s="42"/>
      <c r="J1374" s="42"/>
      <c r="K1374" s="42"/>
      <c r="L1374" s="42"/>
      <c r="M1374" s="42"/>
      <c r="N1374" s="42"/>
    </row>
    <row r="1375" spans="1:14">
      <c r="A1375" s="49"/>
      <c r="B1375" s="49"/>
      <c r="C1375" s="42"/>
      <c r="D1375" s="42"/>
      <c r="E1375" s="60"/>
      <c r="F1375" s="42"/>
      <c r="G1375" s="42"/>
      <c r="H1375" s="42"/>
      <c r="I1375" s="42"/>
      <c r="J1375" s="42"/>
      <c r="K1375" s="42"/>
      <c r="L1375" s="42"/>
      <c r="M1375" s="42"/>
      <c r="N1375" s="42"/>
    </row>
    <row r="1376" spans="1:14">
      <c r="A1376" s="49"/>
      <c r="B1376" s="49"/>
      <c r="C1376" s="42"/>
      <c r="D1376" s="42"/>
      <c r="E1376" s="60"/>
      <c r="F1376" s="42"/>
      <c r="G1376" s="42"/>
      <c r="H1376" s="42"/>
      <c r="I1376" s="42"/>
      <c r="J1376" s="42"/>
      <c r="K1376" s="42"/>
      <c r="L1376" s="42"/>
      <c r="M1376" s="42"/>
      <c r="N1376" s="42"/>
    </row>
    <row r="1377" spans="1:14">
      <c r="A1377" s="49"/>
      <c r="B1377" s="49"/>
      <c r="C1377" s="42"/>
      <c r="D1377" s="42"/>
      <c r="E1377" s="60"/>
      <c r="F1377" s="42"/>
      <c r="G1377" s="42"/>
      <c r="H1377" s="42"/>
      <c r="I1377" s="42"/>
      <c r="J1377" s="42"/>
      <c r="K1377" s="42"/>
      <c r="L1377" s="42"/>
      <c r="M1377" s="42"/>
      <c r="N1377" s="42"/>
    </row>
    <row r="1378" spans="1:14">
      <c r="A1378" s="49"/>
      <c r="B1378" s="49"/>
      <c r="C1378" s="42"/>
      <c r="D1378" s="42"/>
      <c r="E1378" s="60"/>
      <c r="F1378" s="42"/>
      <c r="G1378" s="42"/>
      <c r="H1378" s="42"/>
      <c r="I1378" s="42"/>
      <c r="J1378" s="42"/>
      <c r="K1378" s="42"/>
      <c r="L1378" s="42"/>
      <c r="M1378" s="42"/>
      <c r="N1378" s="42"/>
    </row>
    <row r="1379" spans="1:14">
      <c r="A1379" s="49"/>
      <c r="B1379" s="49"/>
      <c r="C1379" s="42"/>
      <c r="D1379" s="42"/>
      <c r="E1379" s="60"/>
      <c r="F1379" s="42"/>
      <c r="G1379" s="42"/>
      <c r="H1379" s="42"/>
      <c r="I1379" s="42"/>
      <c r="J1379" s="42"/>
      <c r="K1379" s="42"/>
      <c r="L1379" s="42"/>
      <c r="M1379" s="42"/>
      <c r="N1379" s="42"/>
    </row>
    <row r="1380" spans="1:14">
      <c r="A1380" s="49"/>
      <c r="B1380" s="49"/>
      <c r="C1380" s="42"/>
      <c r="D1380" s="42"/>
      <c r="E1380" s="60"/>
      <c r="F1380" s="42"/>
      <c r="G1380" s="42"/>
      <c r="H1380" s="42"/>
      <c r="I1380" s="42"/>
      <c r="J1380" s="42"/>
      <c r="K1380" s="42"/>
      <c r="L1380" s="42"/>
      <c r="M1380" s="42"/>
      <c r="N1380" s="42"/>
    </row>
    <row r="1381" spans="1:14">
      <c r="A1381" s="49"/>
      <c r="B1381" s="49"/>
      <c r="C1381" s="42"/>
      <c r="D1381" s="42"/>
      <c r="E1381" s="60"/>
      <c r="F1381" s="42"/>
      <c r="G1381" s="42"/>
      <c r="H1381" s="42"/>
      <c r="I1381" s="42"/>
      <c r="J1381" s="42"/>
      <c r="K1381" s="42"/>
      <c r="L1381" s="42"/>
      <c r="M1381" s="42"/>
      <c r="N1381" s="42"/>
    </row>
    <row r="1382" spans="1:14">
      <c r="A1382" s="49"/>
      <c r="B1382" s="49"/>
      <c r="C1382" s="42"/>
      <c r="D1382" s="42"/>
      <c r="E1382" s="60"/>
      <c r="F1382" s="42"/>
      <c r="G1382" s="42"/>
      <c r="H1382" s="42"/>
      <c r="I1382" s="42"/>
      <c r="J1382" s="42"/>
      <c r="K1382" s="42"/>
      <c r="L1382" s="42"/>
      <c r="M1382" s="42"/>
      <c r="N1382" s="42"/>
    </row>
    <row r="1383" spans="1:14">
      <c r="A1383" s="49"/>
      <c r="B1383" s="49"/>
      <c r="C1383" s="42"/>
      <c r="D1383" s="42"/>
      <c r="E1383" s="60"/>
      <c r="F1383" s="42"/>
      <c r="G1383" s="42"/>
      <c r="H1383" s="42"/>
      <c r="I1383" s="42"/>
      <c r="J1383" s="42"/>
      <c r="K1383" s="42"/>
      <c r="L1383" s="42"/>
      <c r="M1383" s="42"/>
      <c r="N1383" s="42"/>
    </row>
    <row r="1384" spans="1:14">
      <c r="A1384" s="49"/>
      <c r="B1384" s="49"/>
      <c r="C1384" s="42"/>
      <c r="D1384" s="42"/>
      <c r="E1384" s="60"/>
      <c r="F1384" s="42"/>
      <c r="G1384" s="42"/>
      <c r="H1384" s="42"/>
      <c r="I1384" s="42"/>
      <c r="J1384" s="42"/>
      <c r="K1384" s="42"/>
      <c r="L1384" s="42"/>
      <c r="M1384" s="42"/>
      <c r="N1384" s="42"/>
    </row>
    <row r="1385" spans="1:14">
      <c r="A1385" s="49"/>
      <c r="B1385" s="49"/>
      <c r="C1385" s="42"/>
      <c r="D1385" s="42"/>
      <c r="E1385" s="60"/>
      <c r="F1385" s="42"/>
      <c r="G1385" s="42"/>
      <c r="H1385" s="42"/>
      <c r="I1385" s="42"/>
      <c r="J1385" s="42"/>
      <c r="K1385" s="42"/>
      <c r="L1385" s="42"/>
      <c r="M1385" s="42"/>
      <c r="N1385" s="42"/>
    </row>
  </sheetData>
  <sheetProtection formatColumns="0"/>
  <protectedRanges>
    <protectedRange sqref="J563:K572" name="ARTICLE2"/>
    <protectedRange sqref="A583:E672 B693:E702 J3:K3 A3:E5 A793:E802 A7:E15 A6:B6 J5:K13 J4 A17:E25 A16:B16 A26:B26 A36:E44 A35:B35 A46:E54 A45:B45 A56:E64 A55:B55 A66:E74 A65:B65 A76:E84 A75:B75 A86:E94 A85:B85 A96:E104 A95:B95 A106:E114 A105:B105 A116:E124 A115:B115 A126:E134 A125:B125 A136:E144 A135:B135 A146:E154 A145:B145 A156:E164 A155:B155 A166:E174 A165:B165 A176:E184 A175:B175 A185:B185 A466:E473 A465:B465 A475:E483 A474:B474 A485:E495 A484:B484 A497:E514 A496:B496 A516:E523 A515:B515 A525:E562 A524:B524 J15:K23 J14 J24 J35:K43 J34 J45:K53 J44 J55:K63 J54 J65:K73 J64 J75:K83 J74 J85:K93 J84 J95:K103 J94 J105:K113 J104 J115:K123 J114 J125:K133 J124 J135:K143 J134 J145:K153 J144 J155:K163 J154 J165:K173 J164 J175:K183 J174 J184 C823:E832 J835:K842 J844:K852 J854:K862 J864:K872 A953:E982 J953:K1033 A186:E194 A195:B195 J185:K193 J194 A196:E464 J195:K562 J25:K33 A27:E34 C983:E992 C947:E947 A703:E762 A993:E1240 J893 J903 J913 J883 J1035:K1240 J1034 C673:E692 J583:K832" name="MATRICE ART"/>
    <protectedRange sqref="A693:A702" name="MATRICE ART_3"/>
    <protectedRange sqref="A763:E772" name="MATRICE ART_6"/>
    <protectedRange sqref="A773:E792 A803:E812" name="MATRICE ART_6_1"/>
    <protectedRange sqref="C6:E6 C16:E16 C26:E26 C35:E35 C45:E45 C55:E55 C65:E65 C75:E75 C85:E85 C95:E95 C105:E105 C115:E115 C125:E125 C135:E135 C145:E145 C155:E155 C165:E165 C175:E175 C185:E185 C465:E465 C474:E474 C484:E484 C496:E496 C515:E515 C524:E524 C576:E576 C195:E195 C894:E894 C884:E885" name="MATRICE ART_6_3"/>
    <protectedRange sqref="K24 K34 K44 K54 K64 K74 K84 K94 K104 K114 K124 K134 K144 K154 K164 K174 K184 K14 K4 K194 K893 K903 K913 K883 K1034" name="MATRICE ART_7"/>
    <protectedRange sqref="A813:E822" name="MATRICE ART_6_4"/>
    <protectedRange sqref="A823:B832" name="MATRICE ART_6_2"/>
    <protectedRange sqref="A833:E842" name="MATRICE ART_5"/>
    <protectedRange sqref="J833:K834" name="MATRICE ART_8"/>
    <protectedRange sqref="A843:E872" name="MATRICE ART_10"/>
    <protectedRange sqref="J843:K843" name="MATRICE ART_11"/>
    <protectedRange sqref="J853:K853" name="MATRICE ART_12"/>
    <protectedRange sqref="J863:K863" name="MATRICE ART_13"/>
    <protectedRange sqref="A873:E882 A943:E946 A948:E952 A947:B947" name="MATRICE ART_6_5"/>
    <protectedRange sqref="D923:E926 D913:E916 A894:B894 A895:E912 A883:E883 A886:E893 A884:B885" name="MATRICE ART_2"/>
    <protectedRange sqref="A923:C926 A917:E922 A913:C916 A927:E942" name="MATRICE ART_1_1"/>
    <protectedRange sqref="J873:K882 J894:K902 J904:K912 J914:K952 J884:K892" name="MATRICE ART_7_1"/>
    <protectedRange sqref="A983:B992" name="MATRICE ART_1"/>
  </protectedRanges>
  <autoFilter ref="A2:Q1212" xr:uid="{2159D2DD-924D-4191-93C7-985AF7DA7133}"/>
  <customSheetViews>
    <customSheetView guid="{4C05D42E-3E5C-4FA0-B17F-90B6C7E70693}">
      <pane xSplit="1" ySplit="2" topLeftCell="B3" activePane="bottomRight" state="frozen"/>
      <selection pane="bottomRight" activeCell="C6" sqref="C6"/>
      <pageMargins left="0.7" right="0.7" top="0.75" bottom="0.75" header="0.3" footer="0.3"/>
      <pageSetup paperSize="9" orientation="portrait" r:id="rId1"/>
    </customSheetView>
  </customSheetViews>
  <mergeCells count="488">
    <mergeCell ref="B1:B2"/>
    <mergeCell ref="A1:A2"/>
    <mergeCell ref="J1:N1"/>
    <mergeCell ref="C1:I1"/>
    <mergeCell ref="A333:A342"/>
    <mergeCell ref="B333:B342"/>
    <mergeCell ref="I333:I342"/>
    <mergeCell ref="N333:N342"/>
    <mergeCell ref="A163:A172"/>
    <mergeCell ref="B163:B172"/>
    <mergeCell ref="I163:I172"/>
    <mergeCell ref="N163:N172"/>
    <mergeCell ref="A173:A182"/>
    <mergeCell ref="B173:B182"/>
    <mergeCell ref="I173:I182"/>
    <mergeCell ref="N173:N182"/>
    <mergeCell ref="A183:A192"/>
    <mergeCell ref="B183:B192"/>
    <mergeCell ref="I183:I192"/>
    <mergeCell ref="N183:N192"/>
    <mergeCell ref="A133:A142"/>
    <mergeCell ref="B133:B142"/>
    <mergeCell ref="I133:I142"/>
    <mergeCell ref="N133:N142"/>
    <mergeCell ref="A143:A152"/>
    <mergeCell ref="B143:B152"/>
    <mergeCell ref="I143:I152"/>
    <mergeCell ref="N143:N152"/>
    <mergeCell ref="A153:A162"/>
    <mergeCell ref="B153:B162"/>
    <mergeCell ref="I153:I162"/>
    <mergeCell ref="N153:N162"/>
    <mergeCell ref="B63:B72"/>
    <mergeCell ref="I63:I72"/>
    <mergeCell ref="N63:N72"/>
    <mergeCell ref="A103:A112"/>
    <mergeCell ref="B103:B112"/>
    <mergeCell ref="I103:I112"/>
    <mergeCell ref="N103:N112"/>
    <mergeCell ref="A63:A72"/>
    <mergeCell ref="A123:A132"/>
    <mergeCell ref="B123:B132"/>
    <mergeCell ref="I123:I132"/>
    <mergeCell ref="N123:N132"/>
    <mergeCell ref="A93:A102"/>
    <mergeCell ref="B93:B102"/>
    <mergeCell ref="I93:I102"/>
    <mergeCell ref="N93:N102"/>
    <mergeCell ref="A13:A22"/>
    <mergeCell ref="B13:B22"/>
    <mergeCell ref="I13:I22"/>
    <mergeCell ref="A3:A12"/>
    <mergeCell ref="B3:B12"/>
    <mergeCell ref="I3:I12"/>
    <mergeCell ref="N3:N12"/>
    <mergeCell ref="N13:N22"/>
    <mergeCell ref="A23:A32"/>
    <mergeCell ref="B23:B32"/>
    <mergeCell ref="I23:I32"/>
    <mergeCell ref="N23:N32"/>
    <mergeCell ref="A233:A242"/>
    <mergeCell ref="B233:B242"/>
    <mergeCell ref="I233:I242"/>
    <mergeCell ref="N233:N242"/>
    <mergeCell ref="N203:N212"/>
    <mergeCell ref="A213:A222"/>
    <mergeCell ref="B213:B222"/>
    <mergeCell ref="I213:I222"/>
    <mergeCell ref="N213:N222"/>
    <mergeCell ref="I223:I232"/>
    <mergeCell ref="N223:N232"/>
    <mergeCell ref="A223:A232"/>
    <mergeCell ref="B223:B232"/>
    <mergeCell ref="B203:B212"/>
    <mergeCell ref="A203:A212"/>
    <mergeCell ref="I203:I212"/>
    <mergeCell ref="N283:N292"/>
    <mergeCell ref="A293:A302"/>
    <mergeCell ref="B293:B302"/>
    <mergeCell ref="I293:I302"/>
    <mergeCell ref="N293:N302"/>
    <mergeCell ref="N243:N252"/>
    <mergeCell ref="A263:A272"/>
    <mergeCell ref="B263:B272"/>
    <mergeCell ref="I263:I272"/>
    <mergeCell ref="N263:N272"/>
    <mergeCell ref="A243:A252"/>
    <mergeCell ref="B243:B252"/>
    <mergeCell ref="A283:A292"/>
    <mergeCell ref="B283:B292"/>
    <mergeCell ref="I243:I252"/>
    <mergeCell ref="I283:I292"/>
    <mergeCell ref="A253:A262"/>
    <mergeCell ref="B253:B262"/>
    <mergeCell ref="I253:I262"/>
    <mergeCell ref="N253:N262"/>
    <mergeCell ref="A273:A282"/>
    <mergeCell ref="B273:B282"/>
    <mergeCell ref="I273:I282"/>
    <mergeCell ref="N273:N282"/>
    <mergeCell ref="N323:N332"/>
    <mergeCell ref="A343:A352"/>
    <mergeCell ref="B343:B352"/>
    <mergeCell ref="I343:I352"/>
    <mergeCell ref="N343:N352"/>
    <mergeCell ref="N303:N312"/>
    <mergeCell ref="A313:A322"/>
    <mergeCell ref="B313:B322"/>
    <mergeCell ref="I313:I322"/>
    <mergeCell ref="N313:N322"/>
    <mergeCell ref="A303:A312"/>
    <mergeCell ref="B303:B312"/>
    <mergeCell ref="A323:A332"/>
    <mergeCell ref="B323:B332"/>
    <mergeCell ref="I303:I312"/>
    <mergeCell ref="I323:I332"/>
    <mergeCell ref="I383:I392"/>
    <mergeCell ref="N383:N392"/>
    <mergeCell ref="A373:A382"/>
    <mergeCell ref="B373:B382"/>
    <mergeCell ref="I373:I382"/>
    <mergeCell ref="N373:N382"/>
    <mergeCell ref="N353:N362"/>
    <mergeCell ref="A363:A372"/>
    <mergeCell ref="B363:B372"/>
    <mergeCell ref="I363:I372"/>
    <mergeCell ref="N363:N372"/>
    <mergeCell ref="A353:A362"/>
    <mergeCell ref="B353:B362"/>
    <mergeCell ref="B383:B392"/>
    <mergeCell ref="I353:I362"/>
    <mergeCell ref="A383:A392"/>
    <mergeCell ref="A393:A402"/>
    <mergeCell ref="B393:B402"/>
    <mergeCell ref="I393:I402"/>
    <mergeCell ref="N393:N402"/>
    <mergeCell ref="A413:A422"/>
    <mergeCell ref="B413:B422"/>
    <mergeCell ref="I413:I422"/>
    <mergeCell ref="N413:N422"/>
    <mergeCell ref="B423:B432"/>
    <mergeCell ref="A423:A432"/>
    <mergeCell ref="A403:A412"/>
    <mergeCell ref="B403:B412"/>
    <mergeCell ref="I403:I412"/>
    <mergeCell ref="N403:N412"/>
    <mergeCell ref="A443:A452"/>
    <mergeCell ref="B443:B452"/>
    <mergeCell ref="I443:I452"/>
    <mergeCell ref="N443:N452"/>
    <mergeCell ref="A453:A462"/>
    <mergeCell ref="I423:I432"/>
    <mergeCell ref="N423:N432"/>
    <mergeCell ref="A433:A442"/>
    <mergeCell ref="B433:B442"/>
    <mergeCell ref="I433:I442"/>
    <mergeCell ref="N433:N442"/>
    <mergeCell ref="B483:B492"/>
    <mergeCell ref="I483:I492"/>
    <mergeCell ref="N483:N492"/>
    <mergeCell ref="A473:A482"/>
    <mergeCell ref="B453:B462"/>
    <mergeCell ref="I453:I462"/>
    <mergeCell ref="N453:N462"/>
    <mergeCell ref="A463:A472"/>
    <mergeCell ref="B463:B472"/>
    <mergeCell ref="I463:I472"/>
    <mergeCell ref="N463:N472"/>
    <mergeCell ref="A33:A42"/>
    <mergeCell ref="B33:B42"/>
    <mergeCell ref="I33:I42"/>
    <mergeCell ref="N33:N42"/>
    <mergeCell ref="A43:A52"/>
    <mergeCell ref="B43:B52"/>
    <mergeCell ref="I43:I52"/>
    <mergeCell ref="N43:N52"/>
    <mergeCell ref="A523:A532"/>
    <mergeCell ref="B523:B532"/>
    <mergeCell ref="I523:I532"/>
    <mergeCell ref="N523:N532"/>
    <mergeCell ref="A503:A512"/>
    <mergeCell ref="B503:B512"/>
    <mergeCell ref="I503:I512"/>
    <mergeCell ref="N503:N512"/>
    <mergeCell ref="A513:A522"/>
    <mergeCell ref="B513:B522"/>
    <mergeCell ref="I513:I522"/>
    <mergeCell ref="N513:N522"/>
    <mergeCell ref="A493:A502"/>
    <mergeCell ref="B493:B502"/>
    <mergeCell ref="I493:I502"/>
    <mergeCell ref="N493:N502"/>
    <mergeCell ref="A543:A552"/>
    <mergeCell ref="B543:B552"/>
    <mergeCell ref="I543:I552"/>
    <mergeCell ref="N543:N552"/>
    <mergeCell ref="A193:A202"/>
    <mergeCell ref="B193:B202"/>
    <mergeCell ref="I193:I202"/>
    <mergeCell ref="N193:N202"/>
    <mergeCell ref="A53:A62"/>
    <mergeCell ref="B53:B62"/>
    <mergeCell ref="I53:I62"/>
    <mergeCell ref="N53:N62"/>
    <mergeCell ref="A73:A82"/>
    <mergeCell ref="B73:B82"/>
    <mergeCell ref="I73:I82"/>
    <mergeCell ref="N73:N82"/>
    <mergeCell ref="A83:A92"/>
    <mergeCell ref="B83:B92"/>
    <mergeCell ref="I83:I92"/>
    <mergeCell ref="N83:N92"/>
    <mergeCell ref="B473:B482"/>
    <mergeCell ref="I473:I482"/>
    <mergeCell ref="N473:N482"/>
    <mergeCell ref="A483:A492"/>
    <mergeCell ref="A573:A582"/>
    <mergeCell ref="B573:B582"/>
    <mergeCell ref="I573:I582"/>
    <mergeCell ref="N573:N582"/>
    <mergeCell ref="A583:A592"/>
    <mergeCell ref="B583:B592"/>
    <mergeCell ref="I583:I592"/>
    <mergeCell ref="N583:N592"/>
    <mergeCell ref="A113:A122"/>
    <mergeCell ref="B113:B122"/>
    <mergeCell ref="I113:I122"/>
    <mergeCell ref="N113:N122"/>
    <mergeCell ref="A553:A562"/>
    <mergeCell ref="B553:B562"/>
    <mergeCell ref="I553:I562"/>
    <mergeCell ref="N553:N562"/>
    <mergeCell ref="A563:A572"/>
    <mergeCell ref="B563:B572"/>
    <mergeCell ref="I563:I572"/>
    <mergeCell ref="N563:N572"/>
    <mergeCell ref="A533:A542"/>
    <mergeCell ref="B533:B542"/>
    <mergeCell ref="I533:I542"/>
    <mergeCell ref="N533:N542"/>
    <mergeCell ref="A613:A622"/>
    <mergeCell ref="B613:B622"/>
    <mergeCell ref="I613:I622"/>
    <mergeCell ref="N613:N622"/>
    <mergeCell ref="A623:A632"/>
    <mergeCell ref="B623:B632"/>
    <mergeCell ref="I623:I632"/>
    <mergeCell ref="N623:N632"/>
    <mergeCell ref="A593:A602"/>
    <mergeCell ref="B593:B602"/>
    <mergeCell ref="I593:I602"/>
    <mergeCell ref="N593:N602"/>
    <mergeCell ref="A603:A612"/>
    <mergeCell ref="B603:B612"/>
    <mergeCell ref="I603:I612"/>
    <mergeCell ref="N603:N612"/>
    <mergeCell ref="A653:A662"/>
    <mergeCell ref="B653:B662"/>
    <mergeCell ref="I653:I662"/>
    <mergeCell ref="N653:N662"/>
    <mergeCell ref="A663:A672"/>
    <mergeCell ref="B663:B672"/>
    <mergeCell ref="I663:I672"/>
    <mergeCell ref="N663:N672"/>
    <mergeCell ref="A633:A642"/>
    <mergeCell ref="B633:B642"/>
    <mergeCell ref="I633:I642"/>
    <mergeCell ref="N633:N642"/>
    <mergeCell ref="A643:A652"/>
    <mergeCell ref="B643:B652"/>
    <mergeCell ref="I643:I652"/>
    <mergeCell ref="N643:N652"/>
    <mergeCell ref="A703:A712"/>
    <mergeCell ref="B703:B712"/>
    <mergeCell ref="I703:I712"/>
    <mergeCell ref="N703:N712"/>
    <mergeCell ref="A713:A722"/>
    <mergeCell ref="B713:B722"/>
    <mergeCell ref="I713:I722"/>
    <mergeCell ref="N713:N722"/>
    <mergeCell ref="A673:A682"/>
    <mergeCell ref="B673:B682"/>
    <mergeCell ref="I673:I682"/>
    <mergeCell ref="N673:N682"/>
    <mergeCell ref="A693:A702"/>
    <mergeCell ref="B693:B702"/>
    <mergeCell ref="I693:I702"/>
    <mergeCell ref="N693:N702"/>
    <mergeCell ref="A683:A692"/>
    <mergeCell ref="B683:B692"/>
    <mergeCell ref="I683:I692"/>
    <mergeCell ref="N683:N692"/>
    <mergeCell ref="A743:A752"/>
    <mergeCell ref="B743:B752"/>
    <mergeCell ref="I743:I752"/>
    <mergeCell ref="N743:N752"/>
    <mergeCell ref="A723:A732"/>
    <mergeCell ref="B723:B732"/>
    <mergeCell ref="I723:I732"/>
    <mergeCell ref="N723:N732"/>
    <mergeCell ref="A733:A742"/>
    <mergeCell ref="B733:B742"/>
    <mergeCell ref="I733:I742"/>
    <mergeCell ref="N733:N742"/>
    <mergeCell ref="A773:A782"/>
    <mergeCell ref="B773:B782"/>
    <mergeCell ref="I773:I782"/>
    <mergeCell ref="N773:N782"/>
    <mergeCell ref="A783:A792"/>
    <mergeCell ref="B783:B792"/>
    <mergeCell ref="I783:I792"/>
    <mergeCell ref="N783:N792"/>
    <mergeCell ref="A753:A762"/>
    <mergeCell ref="B753:B762"/>
    <mergeCell ref="I753:I762"/>
    <mergeCell ref="N753:N762"/>
    <mergeCell ref="A763:A772"/>
    <mergeCell ref="B763:B772"/>
    <mergeCell ref="I763:I772"/>
    <mergeCell ref="N763:N772"/>
    <mergeCell ref="A813:A822"/>
    <mergeCell ref="B813:B822"/>
    <mergeCell ref="I813:I822"/>
    <mergeCell ref="N813:N822"/>
    <mergeCell ref="A823:A832"/>
    <mergeCell ref="B823:B832"/>
    <mergeCell ref="I823:I832"/>
    <mergeCell ref="N823:N832"/>
    <mergeCell ref="A793:A802"/>
    <mergeCell ref="B793:B802"/>
    <mergeCell ref="I793:I802"/>
    <mergeCell ref="N793:N802"/>
    <mergeCell ref="A803:A812"/>
    <mergeCell ref="B803:B812"/>
    <mergeCell ref="I803:I812"/>
    <mergeCell ref="N803:N812"/>
    <mergeCell ref="A853:A862"/>
    <mergeCell ref="B853:B862"/>
    <mergeCell ref="I853:I862"/>
    <mergeCell ref="N853:N862"/>
    <mergeCell ref="A863:A872"/>
    <mergeCell ref="B863:B872"/>
    <mergeCell ref="I863:I872"/>
    <mergeCell ref="N863:N872"/>
    <mergeCell ref="A833:A842"/>
    <mergeCell ref="B833:B842"/>
    <mergeCell ref="I833:I842"/>
    <mergeCell ref="N833:N842"/>
    <mergeCell ref="A843:A852"/>
    <mergeCell ref="B843:B852"/>
    <mergeCell ref="I843:I852"/>
    <mergeCell ref="N843:N852"/>
    <mergeCell ref="A923:A932"/>
    <mergeCell ref="B923:B932"/>
    <mergeCell ref="I923:I932"/>
    <mergeCell ref="N923:N932"/>
    <mergeCell ref="A873:A882"/>
    <mergeCell ref="B873:B882"/>
    <mergeCell ref="I873:I882"/>
    <mergeCell ref="N873:N882"/>
    <mergeCell ref="A903:A912"/>
    <mergeCell ref="B903:B912"/>
    <mergeCell ref="I903:I912"/>
    <mergeCell ref="N903:N912"/>
    <mergeCell ref="A893:A902"/>
    <mergeCell ref="B893:B902"/>
    <mergeCell ref="I893:I902"/>
    <mergeCell ref="N893:N902"/>
    <mergeCell ref="A913:A922"/>
    <mergeCell ref="B913:B922"/>
    <mergeCell ref="I913:I922"/>
    <mergeCell ref="N913:N922"/>
    <mergeCell ref="A883:A892"/>
    <mergeCell ref="B883:B892"/>
    <mergeCell ref="I883:I892"/>
    <mergeCell ref="N883:N892"/>
    <mergeCell ref="A943:A952"/>
    <mergeCell ref="B943:B952"/>
    <mergeCell ref="I943:I952"/>
    <mergeCell ref="N943:N952"/>
    <mergeCell ref="A953:A962"/>
    <mergeCell ref="B953:B962"/>
    <mergeCell ref="I953:I962"/>
    <mergeCell ref="N953:N962"/>
    <mergeCell ref="A933:A942"/>
    <mergeCell ref="B933:B942"/>
    <mergeCell ref="I933:I942"/>
    <mergeCell ref="N933:N942"/>
    <mergeCell ref="A983:A992"/>
    <mergeCell ref="B983:B992"/>
    <mergeCell ref="I983:I992"/>
    <mergeCell ref="N983:N992"/>
    <mergeCell ref="A993:A1002"/>
    <mergeCell ref="B993:B1002"/>
    <mergeCell ref="I993:I1002"/>
    <mergeCell ref="N993:N1002"/>
    <mergeCell ref="A963:A972"/>
    <mergeCell ref="B963:B972"/>
    <mergeCell ref="I963:I972"/>
    <mergeCell ref="N963:N972"/>
    <mergeCell ref="A973:A982"/>
    <mergeCell ref="B973:B982"/>
    <mergeCell ref="I973:I982"/>
    <mergeCell ref="N973:N982"/>
    <mergeCell ref="A1023:A1032"/>
    <mergeCell ref="B1023:B1032"/>
    <mergeCell ref="I1023:I1032"/>
    <mergeCell ref="N1023:N1032"/>
    <mergeCell ref="A1033:A1042"/>
    <mergeCell ref="B1033:B1042"/>
    <mergeCell ref="I1033:I1042"/>
    <mergeCell ref="N1033:N1042"/>
    <mergeCell ref="A1003:A1012"/>
    <mergeCell ref="B1003:B1012"/>
    <mergeCell ref="I1003:I1012"/>
    <mergeCell ref="N1003:N1012"/>
    <mergeCell ref="A1013:A1022"/>
    <mergeCell ref="B1013:B1022"/>
    <mergeCell ref="I1013:I1022"/>
    <mergeCell ref="N1013:N1022"/>
    <mergeCell ref="A1063:A1072"/>
    <mergeCell ref="B1063:B1072"/>
    <mergeCell ref="I1063:I1072"/>
    <mergeCell ref="N1063:N1072"/>
    <mergeCell ref="A1073:A1082"/>
    <mergeCell ref="B1073:B1082"/>
    <mergeCell ref="I1073:I1082"/>
    <mergeCell ref="N1073:N1082"/>
    <mergeCell ref="A1043:A1052"/>
    <mergeCell ref="B1043:B1052"/>
    <mergeCell ref="I1043:I1052"/>
    <mergeCell ref="N1043:N1052"/>
    <mergeCell ref="A1053:A1062"/>
    <mergeCell ref="B1053:B1062"/>
    <mergeCell ref="I1053:I1062"/>
    <mergeCell ref="N1053:N1062"/>
    <mergeCell ref="A1103:A1112"/>
    <mergeCell ref="B1103:B1112"/>
    <mergeCell ref="I1103:I1112"/>
    <mergeCell ref="N1103:N1112"/>
    <mergeCell ref="A1113:A1122"/>
    <mergeCell ref="B1113:B1122"/>
    <mergeCell ref="I1113:I1122"/>
    <mergeCell ref="N1113:N1122"/>
    <mergeCell ref="A1083:A1092"/>
    <mergeCell ref="B1083:B1092"/>
    <mergeCell ref="I1083:I1092"/>
    <mergeCell ref="N1083:N1092"/>
    <mergeCell ref="A1093:A1102"/>
    <mergeCell ref="B1093:B1102"/>
    <mergeCell ref="I1093:I1102"/>
    <mergeCell ref="N1093:N1102"/>
    <mergeCell ref="A1143:A1152"/>
    <mergeCell ref="B1143:B1152"/>
    <mergeCell ref="I1143:I1152"/>
    <mergeCell ref="N1143:N1152"/>
    <mergeCell ref="A1153:A1162"/>
    <mergeCell ref="B1153:B1162"/>
    <mergeCell ref="I1153:I1162"/>
    <mergeCell ref="N1153:N1162"/>
    <mergeCell ref="A1123:A1132"/>
    <mergeCell ref="B1123:B1132"/>
    <mergeCell ref="I1123:I1132"/>
    <mergeCell ref="N1123:N1132"/>
    <mergeCell ref="A1133:A1142"/>
    <mergeCell ref="B1133:B1142"/>
    <mergeCell ref="I1133:I1142"/>
    <mergeCell ref="N1133:N1142"/>
    <mergeCell ref="A1163:A1172"/>
    <mergeCell ref="B1163:B1172"/>
    <mergeCell ref="I1163:I1172"/>
    <mergeCell ref="N1163:N1172"/>
    <mergeCell ref="A1203:A1212"/>
    <mergeCell ref="B1203:B1212"/>
    <mergeCell ref="I1203:I1212"/>
    <mergeCell ref="N1203:N1212"/>
    <mergeCell ref="A1173:A1182"/>
    <mergeCell ref="B1173:B1182"/>
    <mergeCell ref="I1173:I1182"/>
    <mergeCell ref="N1173:N1182"/>
    <mergeCell ref="A1183:A1192"/>
    <mergeCell ref="B1183:B1192"/>
    <mergeCell ref="I1183:I1192"/>
    <mergeCell ref="N1183:N1192"/>
    <mergeCell ref="A1193:A1202"/>
    <mergeCell ref="B1193:B1202"/>
    <mergeCell ref="I1193:I1202"/>
    <mergeCell ref="N1193:N1202"/>
  </mergeCells>
  <phoneticPr fontId="12" type="noConversion"/>
  <conditionalFormatting sqref="A153:A182 H873:N882 A873:E883 H933:N953">
    <cfRule type="containsBlanks" dxfId="185" priority="492">
      <formula>LEN(TRIM(A153))=0</formula>
    </cfRule>
  </conditionalFormatting>
  <conditionalFormatting sqref="A823:B872">
    <cfRule type="containsBlanks" dxfId="184" priority="53">
      <formula>LEN(TRIM(A823))=0</formula>
    </cfRule>
  </conditionalFormatting>
  <conditionalFormatting sqref="A44:E44">
    <cfRule type="containsBlanks" dxfId="183" priority="512">
      <formula>LEN(TRIM(A44))=0</formula>
    </cfRule>
  </conditionalFormatting>
  <conditionalFormatting sqref="A54:E54">
    <cfRule type="containsBlanks" dxfId="182" priority="511">
      <formula>LEN(TRIM(A54))=0</formula>
    </cfRule>
  </conditionalFormatting>
  <conditionalFormatting sqref="A113:E114">
    <cfRule type="containsBlanks" dxfId="181" priority="432">
      <formula>LEN(TRIM(A113))=0</formula>
    </cfRule>
  </conditionalFormatting>
  <conditionalFormatting sqref="A465:E712">
    <cfRule type="containsBlanks" dxfId="180" priority="137">
      <formula>LEN(TRIM(A465))=0</formula>
    </cfRule>
  </conditionalFormatting>
  <conditionalFormatting sqref="A763:E822">
    <cfRule type="containsBlanks" dxfId="179" priority="59">
      <formula>LEN(TRIM(A763))=0</formula>
    </cfRule>
  </conditionalFormatting>
  <conditionalFormatting sqref="A723:G752">
    <cfRule type="containsBlanks" dxfId="178" priority="25">
      <formula>LEN(TRIM(A723))=0</formula>
    </cfRule>
  </conditionalFormatting>
  <conditionalFormatting sqref="A933:G1212">
    <cfRule type="containsBlanks" dxfId="177" priority="30">
      <formula>LEN(TRIM(A933))=0</formula>
    </cfRule>
  </conditionalFormatting>
  <conditionalFormatting sqref="A45:H45 A55:H55">
    <cfRule type="containsBlanks" dxfId="176" priority="176">
      <formula>LEN(TRIM(A45))=0</formula>
    </cfRule>
  </conditionalFormatting>
  <conditionalFormatting sqref="A115:H135">
    <cfRule type="containsBlanks" dxfId="175" priority="160">
      <formula>LEN(TRIM(A115))=0</formula>
    </cfRule>
  </conditionalFormatting>
  <conditionalFormatting sqref="A893:M893">
    <cfRule type="containsBlanks" dxfId="174" priority="17">
      <formula>LEN(TRIM(A893))=0</formula>
    </cfRule>
  </conditionalFormatting>
  <conditionalFormatting sqref="A884:N892">
    <cfRule type="containsBlanks" dxfId="173" priority="4">
      <formula>LEN(TRIM(A884))=0</formula>
    </cfRule>
  </conditionalFormatting>
  <conditionalFormatting sqref="A894:N932">
    <cfRule type="containsBlanks" dxfId="172" priority="20">
      <formula>LEN(TRIM(A894))=0</formula>
    </cfRule>
  </conditionalFormatting>
  <conditionalFormatting sqref="B33:B102">
    <cfRule type="containsBlanks" dxfId="171" priority="522">
      <formula>LEN(TRIM(B33))=0</formula>
    </cfRule>
  </conditionalFormatting>
  <conditionalFormatting sqref="B113:B182">
    <cfRule type="containsBlanks" dxfId="170" priority="488">
      <formula>LEN(TRIM(B113))=0</formula>
    </cfRule>
  </conditionalFormatting>
  <conditionalFormatting sqref="C73:C74">
    <cfRule type="containsBlanks" dxfId="169" priority="518">
      <formula>LEN(TRIM(C73))=0</formula>
    </cfRule>
  </conditionalFormatting>
  <conditionalFormatting sqref="C96:C102">
    <cfRule type="containsBlanks" dxfId="168" priority="525">
      <formula>LEN(TRIM(C96))=0</formula>
    </cfRule>
  </conditionalFormatting>
  <conditionalFormatting sqref="C114">
    <cfRule type="containsBlanks" dxfId="167" priority="487">
      <formula>LEN(TRIM(C114))=0</formula>
    </cfRule>
  </conditionalFormatting>
  <conditionalFormatting sqref="C124">
    <cfRule type="containsBlanks" dxfId="166" priority="486">
      <formula>LEN(TRIM(C124))=0</formula>
    </cfRule>
  </conditionalFormatting>
  <conditionalFormatting sqref="C134">
    <cfRule type="containsBlanks" dxfId="165" priority="485">
      <formula>LEN(TRIM(C134))=0</formula>
    </cfRule>
  </conditionalFormatting>
  <conditionalFormatting sqref="C143:C144">
    <cfRule type="containsBlanks" dxfId="164" priority="503">
      <formula>LEN(TRIM(C143))=0</formula>
    </cfRule>
  </conditionalFormatting>
  <conditionalFormatting sqref="C63:E65">
    <cfRule type="containsBlanks" dxfId="163" priority="174">
      <formula>LEN(TRIM(C63))=0</formula>
    </cfRule>
  </conditionalFormatting>
  <conditionalFormatting sqref="C105:E112">
    <cfRule type="containsBlanks" dxfId="162" priority="166">
      <formula>LEN(TRIM(C105))=0</formula>
    </cfRule>
  </conditionalFormatting>
  <conditionalFormatting sqref="C195:E202">
    <cfRule type="containsBlanks" dxfId="161" priority="150">
      <formula>LEN(TRIM(C195))=0</formula>
    </cfRule>
  </conditionalFormatting>
  <conditionalFormatting sqref="C833:E872">
    <cfRule type="containsBlanks" dxfId="160" priority="52">
      <formula>LEN(TRIM(C833))=0</formula>
    </cfRule>
  </conditionalFormatting>
  <conditionalFormatting sqref="C66:H104">
    <cfRule type="containsBlanks" dxfId="159" priority="168">
      <formula>LEN(TRIM(C66))=0</formula>
    </cfRule>
  </conditionalFormatting>
  <conditionalFormatting sqref="C145:H194">
    <cfRule type="containsBlanks" dxfId="158" priority="34">
      <formula>LEN(TRIM(C145))=0</formula>
    </cfRule>
  </conditionalFormatting>
  <conditionalFormatting sqref="D43:D44">
    <cfRule type="containsBlanks" dxfId="157" priority="445">
      <formula>LEN(TRIM(D43))=0</formula>
    </cfRule>
  </conditionalFormatting>
  <conditionalFormatting sqref="D53:D54">
    <cfRule type="containsBlanks" dxfId="156" priority="444">
      <formula>LEN(TRIM(D53))=0</formula>
    </cfRule>
  </conditionalFormatting>
  <conditionalFormatting sqref="D64">
    <cfRule type="containsBlanks" dxfId="155" priority="443">
      <formula>LEN(TRIM(D64))=0</formula>
    </cfRule>
  </conditionalFormatting>
  <conditionalFormatting sqref="D74">
    <cfRule type="containsBlanks" dxfId="154" priority="428">
      <formula>LEN(TRIM(D74))=0</formula>
    </cfRule>
  </conditionalFormatting>
  <conditionalFormatting sqref="D84">
    <cfRule type="containsBlanks" dxfId="153" priority="427">
      <formula>LEN(TRIM(D84))=0</formula>
    </cfRule>
  </conditionalFormatting>
  <conditionalFormatting sqref="D94">
    <cfRule type="containsBlanks" dxfId="152" priority="426">
      <formula>LEN(TRIM(D94))=0</formula>
    </cfRule>
  </conditionalFormatting>
  <conditionalFormatting sqref="D136:H144">
    <cfRule type="containsBlanks" dxfId="151" priority="429">
      <formula>LEN(TRIM(D136))=0</formula>
    </cfRule>
  </conditionalFormatting>
  <conditionalFormatting sqref="F3:G35 A3:E42 L3:L711 M13:N33 H13:H35 I13:K63 A73:A102">
    <cfRule type="containsBlanks" dxfId="150" priority="526">
      <formula>LEN(TRIM(A3))=0</formula>
    </cfRule>
  </conditionalFormatting>
  <conditionalFormatting sqref="F56:H65">
    <cfRule type="containsBlanks" dxfId="149" priority="175">
      <formula>LEN(TRIM(F56))=0</formula>
    </cfRule>
  </conditionalFormatting>
  <conditionalFormatting sqref="F105:H114">
    <cfRule type="containsBlanks" dxfId="148" priority="167">
      <formula>LEN(TRIM(F105))=0</formula>
    </cfRule>
  </conditionalFormatting>
  <conditionalFormatting sqref="F195:H402">
    <cfRule type="containsBlanks" dxfId="147" priority="151">
      <formula>LEN(TRIM(F195))=0</formula>
    </cfRule>
  </conditionalFormatting>
  <conditionalFormatting sqref="F583:I585">
    <cfRule type="containsBlanks" dxfId="146" priority="313">
      <formula>LEN(TRIM(F583))=0</formula>
    </cfRule>
  </conditionalFormatting>
  <conditionalFormatting sqref="F883:M883">
    <cfRule type="containsBlanks" dxfId="145" priority="6">
      <formula>LEN(TRIM(F883))=0</formula>
    </cfRule>
  </conditionalFormatting>
  <conditionalFormatting sqref="H474">
    <cfRule type="containsBlanks" dxfId="144" priority="147">
      <formula>LEN(TRIM(H474))=0</formula>
    </cfRule>
  </conditionalFormatting>
  <conditionalFormatting sqref="H484">
    <cfRule type="containsBlanks" dxfId="143" priority="145">
      <formula>LEN(TRIM(H484))=0</formula>
    </cfRule>
  </conditionalFormatting>
  <conditionalFormatting sqref="H524">
    <cfRule type="containsBlanks" dxfId="142" priority="139">
      <formula>LEN(TRIM(H524))=0</formula>
    </cfRule>
  </conditionalFormatting>
  <conditionalFormatting sqref="H1173:H1212">
    <cfRule type="containsBlanks" dxfId="141" priority="343">
      <formula>LEN(TRIM(H1173))=0</formula>
    </cfRule>
  </conditionalFormatting>
  <conditionalFormatting sqref="H3:K12">
    <cfRule type="containsBlanks" dxfId="140" priority="61">
      <formula>LEN(TRIM(H3))=0</formula>
    </cfRule>
  </conditionalFormatting>
  <conditionalFormatting sqref="H465:K473">
    <cfRule type="containsBlanks" dxfId="139" priority="149">
      <formula>LEN(TRIM(H465))=0</formula>
    </cfRule>
  </conditionalFormatting>
  <conditionalFormatting sqref="H485:K523">
    <cfRule type="containsBlanks" dxfId="138" priority="141">
      <formula>LEN(TRIM(H485))=0</formula>
    </cfRule>
  </conditionalFormatting>
  <conditionalFormatting sqref="H525:K582">
    <cfRule type="containsBlanks" dxfId="137" priority="321">
      <formula>LEN(TRIM(H525))=0</formula>
    </cfRule>
  </conditionalFormatting>
  <conditionalFormatting sqref="H833:M834">
    <cfRule type="containsBlanks" dxfId="136" priority="54">
      <formula>LEN(TRIM(H833))=0</formula>
    </cfRule>
  </conditionalFormatting>
  <conditionalFormatting sqref="H1034:M1034">
    <cfRule type="containsBlanks" dxfId="135" priority="3">
      <formula>LEN(TRIM(H1034))=0</formula>
    </cfRule>
  </conditionalFormatting>
  <conditionalFormatting sqref="H1163:M1172">
    <cfRule type="containsBlanks" dxfId="134" priority="383">
      <formula>LEN(TRIM(H1163))=0</formula>
    </cfRule>
  </conditionalFormatting>
  <conditionalFormatting sqref="H733:N742">
    <cfRule type="containsBlanks" dxfId="133" priority="240">
      <formula>LEN(TRIM(H733))=0</formula>
    </cfRule>
  </conditionalFormatting>
  <conditionalFormatting sqref="H843:N843">
    <cfRule type="containsBlanks" dxfId="132" priority="50">
      <formula>LEN(TRIM(H843))=0</formula>
    </cfRule>
  </conditionalFormatting>
  <conditionalFormatting sqref="H853:N853">
    <cfRule type="containsBlanks" dxfId="131" priority="48">
      <formula>LEN(TRIM(H853))=0</formula>
    </cfRule>
  </conditionalFormatting>
  <conditionalFormatting sqref="H863:N863">
    <cfRule type="containsBlanks" dxfId="130" priority="46">
      <formula>LEN(TRIM(H863))=0</formula>
    </cfRule>
  </conditionalFormatting>
  <conditionalFormatting sqref="I583">
    <cfRule type="containsBlanks" dxfId="129" priority="310">
      <formula>LEN(TRIM(I583))=0</formula>
    </cfRule>
  </conditionalFormatting>
  <conditionalFormatting sqref="I913">
    <cfRule type="containsBlanks" dxfId="128" priority="13">
      <formula>LEN(TRIM(I913))=0</formula>
    </cfRule>
  </conditionalFormatting>
  <conditionalFormatting sqref="I923">
    <cfRule type="containsBlanks" dxfId="127" priority="27">
      <formula>LEN(TRIM(I923))=0</formula>
    </cfRule>
  </conditionalFormatting>
  <conditionalFormatting sqref="I64:J64">
    <cfRule type="containsBlanks" dxfId="126" priority="115">
      <formula>LEN(TRIM(I64))=0</formula>
    </cfRule>
  </conditionalFormatting>
  <conditionalFormatting sqref="I65:K103">
    <cfRule type="containsBlanks" dxfId="125" priority="101">
      <formula>LEN(TRIM(I65))=0</formula>
    </cfRule>
  </conditionalFormatting>
  <conditionalFormatting sqref="I105:K143">
    <cfRule type="containsBlanks" dxfId="124" priority="85">
      <formula>LEN(TRIM(I105))=0</formula>
    </cfRule>
  </conditionalFormatting>
  <conditionalFormatting sqref="I145:K403">
    <cfRule type="containsBlanks" dxfId="123" priority="65">
      <formula>LEN(TRIM(I145))=0</formula>
    </cfRule>
  </conditionalFormatting>
  <conditionalFormatting sqref="I513:K513 I523:K524">
    <cfRule type="containsBlanks" dxfId="122" priority="397">
      <formula>LEN(TRIM(I513))=0</formula>
    </cfRule>
  </conditionalFormatting>
  <conditionalFormatting sqref="I553:K553 M553:M556 J554:K556 J562:K562">
    <cfRule type="containsBlanks" dxfId="121" priority="336">
      <formula>LEN(TRIM(I553))=0</formula>
    </cfRule>
  </conditionalFormatting>
  <conditionalFormatting sqref="I573:K573">
    <cfRule type="containsBlanks" dxfId="120" priority="318">
      <formula>LEN(TRIM(I573))=0</formula>
    </cfRule>
  </conditionalFormatting>
  <conditionalFormatting sqref="I593:K593">
    <cfRule type="containsBlanks" dxfId="119" priority="297">
      <formula>LEN(TRIM(I593))=0</formula>
    </cfRule>
  </conditionalFormatting>
  <conditionalFormatting sqref="I733:K733 L733:M736 J734:K736">
    <cfRule type="containsBlanks" dxfId="118" priority="238">
      <formula>LEN(TRIM(I733))=0</formula>
    </cfRule>
  </conditionalFormatting>
  <conditionalFormatting sqref="I753:K753">
    <cfRule type="containsBlanks" dxfId="117" priority="228">
      <formula>LEN(TRIM(I753))=0</formula>
    </cfRule>
  </conditionalFormatting>
  <conditionalFormatting sqref="I623:M623">
    <cfRule type="containsBlanks" dxfId="116" priority="272">
      <formula>LEN(TRIM(I623))=0</formula>
    </cfRule>
  </conditionalFormatting>
  <conditionalFormatting sqref="I643:M645">
    <cfRule type="containsBlanks" dxfId="115" priority="267">
      <formula>LEN(TRIM(I643))=0</formula>
    </cfRule>
  </conditionalFormatting>
  <conditionalFormatting sqref="I653:M654">
    <cfRule type="containsBlanks" dxfId="114" priority="264">
      <formula>LEN(TRIM(I653))=0</formula>
    </cfRule>
  </conditionalFormatting>
  <conditionalFormatting sqref="I663:M663">
    <cfRule type="containsBlanks" dxfId="113" priority="261">
      <formula>LEN(TRIM(I663))=0</formula>
    </cfRule>
  </conditionalFormatting>
  <conditionalFormatting sqref="I683:M683">
    <cfRule type="containsBlanks" dxfId="112" priority="2">
      <formula>LEN(TRIM(I683))=0</formula>
    </cfRule>
  </conditionalFormatting>
  <conditionalFormatting sqref="I703:M703">
    <cfRule type="containsBlanks" dxfId="111" priority="255">
      <formula>LEN(TRIM(I703))=0</formula>
    </cfRule>
  </conditionalFormatting>
  <conditionalFormatting sqref="I723:M723">
    <cfRule type="containsBlanks" dxfId="110" priority="244">
      <formula>LEN(TRIM(I723))=0</formula>
    </cfRule>
  </conditionalFormatting>
  <conditionalFormatting sqref="I1173:M1173">
    <cfRule type="containsBlanks" dxfId="109" priority="378">
      <formula>LEN(TRIM(I1173))=0</formula>
    </cfRule>
  </conditionalFormatting>
  <conditionalFormatting sqref="I1173:M1182">
    <cfRule type="containsBlanks" dxfId="108" priority="380">
      <formula>LEN(TRIM(I1173))=0</formula>
    </cfRule>
  </conditionalFormatting>
  <conditionalFormatting sqref="I1183:M1183">
    <cfRule type="containsBlanks" dxfId="107" priority="368">
      <formula>LEN(TRIM(I1183))=0</formula>
    </cfRule>
  </conditionalFormatting>
  <conditionalFormatting sqref="I1183:M1192">
    <cfRule type="containsBlanks" dxfId="106" priority="370">
      <formula>LEN(TRIM(I1183))=0</formula>
    </cfRule>
  </conditionalFormatting>
  <conditionalFormatting sqref="I1193:M1193">
    <cfRule type="containsBlanks" dxfId="105" priority="358">
      <formula>LEN(TRIM(I1193))=0</formula>
    </cfRule>
  </conditionalFormatting>
  <conditionalFormatting sqref="I1193:M1202">
    <cfRule type="containsBlanks" dxfId="104" priority="360">
      <formula>LEN(TRIM(I1193))=0</formula>
    </cfRule>
  </conditionalFormatting>
  <conditionalFormatting sqref="I1203:M1203">
    <cfRule type="containsBlanks" dxfId="103" priority="348">
      <formula>LEN(TRIM(I1203))=0</formula>
    </cfRule>
  </conditionalFormatting>
  <conditionalFormatting sqref="I1203:M1212">
    <cfRule type="containsBlanks" dxfId="102" priority="350">
      <formula>LEN(TRIM(I1203))=0</formula>
    </cfRule>
  </conditionalFormatting>
  <conditionalFormatting sqref="I743:N743">
    <cfRule type="containsBlanks" dxfId="101" priority="232">
      <formula>LEN(TRIM(I743))=0</formula>
    </cfRule>
  </conditionalFormatting>
  <conditionalFormatting sqref="J104:J112">
    <cfRule type="containsBlanks" dxfId="100" priority="99">
      <formula>LEN(TRIM(J104))=0</formula>
    </cfRule>
  </conditionalFormatting>
  <conditionalFormatting sqref="J117:J121 M117:M121 J127:J131 M127:M131 J137:J141 M137:M141 M143:M151 J157:J161 M157:M161 J167:J171 M167:M171 J177:J181 M177:M181 M183:M202">
    <cfRule type="containsBlanks" dxfId="99" priority="498">
      <formula>LEN(TRIM(J117))=0</formula>
    </cfRule>
  </conditionalFormatting>
  <conditionalFormatting sqref="J144:J151">
    <cfRule type="containsBlanks" dxfId="98" priority="83">
      <formula>LEN(TRIM(J144))=0</formula>
    </cfRule>
  </conditionalFormatting>
  <conditionalFormatting sqref="J5:K12">
    <cfRule type="containsBlanks" dxfId="97" priority="552">
      <formula>LEN(TRIM(J5))=0</formula>
    </cfRule>
  </conditionalFormatting>
  <conditionalFormatting sqref="J404:K412 M407:M501">
    <cfRule type="containsBlanks" dxfId="96" priority="216">
      <formula>LEN(TRIM(J404))=0</formula>
    </cfRule>
  </conditionalFormatting>
  <conditionalFormatting sqref="J564:K572">
    <cfRule type="containsBlanks" dxfId="95" priority="324">
      <formula>LEN(TRIM(J564))=0</formula>
    </cfRule>
  </conditionalFormatting>
  <conditionalFormatting sqref="J574:K592">
    <cfRule type="containsBlanks" dxfId="94" priority="285">
      <formula>LEN(TRIM(J574))=0</formula>
    </cfRule>
  </conditionalFormatting>
  <conditionalFormatting sqref="J557:M561">
    <cfRule type="containsBlanks" dxfId="93" priority="333">
      <formula>LEN(TRIM(J557))=0</formula>
    </cfRule>
  </conditionalFormatting>
  <conditionalFormatting sqref="J737:M742">
    <cfRule type="containsBlanks" dxfId="92" priority="235">
      <formula>LEN(TRIM(J737))=0</formula>
    </cfRule>
  </conditionalFormatting>
  <conditionalFormatting sqref="J1154:M1172">
    <cfRule type="containsBlanks" dxfId="91" priority="390">
      <formula>LEN(TRIM(J1154))=0</formula>
    </cfRule>
  </conditionalFormatting>
  <conditionalFormatting sqref="J1174:M1182">
    <cfRule type="containsBlanks" dxfId="90" priority="375">
      <formula>LEN(TRIM(J1174))=0</formula>
    </cfRule>
  </conditionalFormatting>
  <conditionalFormatting sqref="J1184:M1192">
    <cfRule type="containsBlanks" dxfId="89" priority="365">
      <formula>LEN(TRIM(J1184))=0</formula>
    </cfRule>
  </conditionalFormatting>
  <conditionalFormatting sqref="J1194:M1202">
    <cfRule type="containsBlanks" dxfId="88" priority="355">
      <formula>LEN(TRIM(J1194))=0</formula>
    </cfRule>
  </conditionalFormatting>
  <conditionalFormatting sqref="J1204:M1212">
    <cfRule type="containsBlanks" dxfId="87" priority="345">
      <formula>LEN(TRIM(J1204))=0</formula>
    </cfRule>
  </conditionalFormatting>
  <conditionalFormatting sqref="K63:K64">
    <cfRule type="containsBlanks" dxfId="86" priority="113">
      <formula>LEN(TRIM(K63))=0</formula>
    </cfRule>
  </conditionalFormatting>
  <conditionalFormatting sqref="K104">
    <cfRule type="containsBlanks" dxfId="85" priority="97">
      <formula>LEN(TRIM(K104))=0</formula>
    </cfRule>
  </conditionalFormatting>
  <conditionalFormatting sqref="K144">
    <cfRule type="containsBlanks" dxfId="84" priority="81">
      <formula>LEN(TRIM(K144))=0</formula>
    </cfRule>
  </conditionalFormatting>
  <conditionalFormatting sqref="L713:L731">
    <cfRule type="containsBlanks" dxfId="83" priority="245">
      <formula>LEN(TRIM(L713))=0</formula>
    </cfRule>
  </conditionalFormatting>
  <conditionalFormatting sqref="L737:L741">
    <cfRule type="containsBlanks" dxfId="82" priority="234">
      <formula>LEN(TRIM(L737))=0</formula>
    </cfRule>
  </conditionalFormatting>
  <conditionalFormatting sqref="L747:L751 L907:L911 L937:L941 L947:L1033 L1035:L1161">
    <cfRule type="containsBlanks" dxfId="81" priority="537">
      <formula>LEN(TRIM(L747))=0</formula>
    </cfRule>
  </conditionalFormatting>
  <conditionalFormatting sqref="L753:L881">
    <cfRule type="containsBlanks" dxfId="80" priority="220">
      <formula>LEN(TRIM(L753))=0</formula>
    </cfRule>
  </conditionalFormatting>
  <conditionalFormatting sqref="L887:L891">
    <cfRule type="containsBlanks" dxfId="79" priority="10">
      <formula>LEN(TRIM(L887))=0</formula>
    </cfRule>
  </conditionalFormatting>
  <conditionalFormatting sqref="L897:L901">
    <cfRule type="containsBlanks" dxfId="78" priority="22">
      <formula>LEN(TRIM(L897))=0</formula>
    </cfRule>
  </conditionalFormatting>
  <conditionalFormatting sqref="L917:L921">
    <cfRule type="containsBlanks" dxfId="77" priority="12">
      <formula>LEN(TRIM(L917))=0</formula>
    </cfRule>
  </conditionalFormatting>
  <conditionalFormatting sqref="L927:L931">
    <cfRule type="containsBlanks" dxfId="76" priority="26">
      <formula>LEN(TRIM(L927))=0</formula>
    </cfRule>
  </conditionalFormatting>
  <conditionalFormatting sqref="L1167:L1171">
    <cfRule type="containsBlanks" dxfId="75" priority="384">
      <formula>LEN(TRIM(L1167))=0</formula>
    </cfRule>
  </conditionalFormatting>
  <conditionalFormatting sqref="L1173:L1181">
    <cfRule type="containsBlanks" dxfId="74" priority="374">
      <formula>LEN(TRIM(L1173))=0</formula>
    </cfRule>
  </conditionalFormatting>
  <conditionalFormatting sqref="L1183:L1191">
    <cfRule type="containsBlanks" dxfId="73" priority="364">
      <formula>LEN(TRIM(L1183))=0</formula>
    </cfRule>
  </conditionalFormatting>
  <conditionalFormatting sqref="L1193:L1201">
    <cfRule type="containsBlanks" dxfId="72" priority="354">
      <formula>LEN(TRIM(L1193))=0</formula>
    </cfRule>
  </conditionalFormatting>
  <conditionalFormatting sqref="L1203:L1211">
    <cfRule type="containsBlanks" dxfId="71" priority="344">
      <formula>LEN(TRIM(L1203))=0</formula>
    </cfRule>
  </conditionalFormatting>
  <conditionalFormatting sqref="M3:M6 M32:M66 M503:M506 M512 M533:M536 M894:M966">
    <cfRule type="containsErrors" dxfId="70" priority="556">
      <formula>ISERROR(M3)</formula>
    </cfRule>
  </conditionalFormatting>
  <conditionalFormatting sqref="M7:M12">
    <cfRule type="containsErrors" dxfId="69" priority="553">
      <formula>ISERROR(M7)</formula>
    </cfRule>
  </conditionalFormatting>
  <conditionalFormatting sqref="M37:M41 M47:M51 M57:M61 M67:M112 M377:M381 M387:M402 M507:M511 M607:M611 M617:M631 M637:M671 M677:M686 M697:M732 M743:M752 M767:M771 M777:M781 M787:M791 M797:M801 M807:M811 M817:M821 M967:M971 M977:M981 M987:M991 M997:M1001 M1007:M1011 M1017:M1021 M1027:M1031 M1037:M1041 M1047:M1051 M1057:M1061 M1067:M1071 M1077:M1081 M1087:M1091 M1097:M1101 M1107:M1111 M1117:M1121 M1127:M1131 M1137:M1141 M1147:M1151 M13:M31 M203:M332 M537:M552 M1157:M1162">
    <cfRule type="containsErrors" dxfId="68" priority="539">
      <formula>ISERROR(M13)</formula>
    </cfRule>
  </conditionalFormatting>
  <conditionalFormatting sqref="M103:M113 M123:N123 M133:N133">
    <cfRule type="containsBlanks" dxfId="67" priority="501">
      <formula>LEN(TRIM(M103))=0</formula>
    </cfRule>
  </conditionalFormatting>
  <conditionalFormatting sqref="M113:M146">
    <cfRule type="containsErrors" dxfId="66" priority="506">
      <formula>ISERROR(M113)</formula>
    </cfRule>
  </conditionalFormatting>
  <conditionalFormatting sqref="M117:M121 M127:M131 M137:M141 M147:M202">
    <cfRule type="containsErrors" dxfId="65" priority="499">
      <formula>ISERROR(M117)</formula>
    </cfRule>
  </conditionalFormatting>
  <conditionalFormatting sqref="M333:M371 J334:K342">
    <cfRule type="containsBlanks" dxfId="64" priority="466">
      <formula>LEN(TRIM(J333))=0</formula>
    </cfRule>
  </conditionalFormatting>
  <conditionalFormatting sqref="M333:M371">
    <cfRule type="containsErrors" dxfId="63" priority="467">
      <formula>ISERROR(M333)</formula>
    </cfRule>
  </conditionalFormatting>
  <conditionalFormatting sqref="M372:M386 M502:M512 M603:M606 M612:M616 M632:M636 M672:M676 M692:M696 M763:M766 M772:M776 M782:M786 M792:M796 M802:M806 M812:M816 M822:M882 M972:M976 M982:M986 M992:M996 M1002:M1006 M1012:M1016 M1022:M1026 M1032:M1036 M1042:M1046 M1052:M1056 M1062:M1066 M1072:M1076 M1082:M1086 M1092:M1096 M1102:M1106 M1112:M1116 M1122:M1126 M1132:M1136 M1142:M1146 M1152:M1156">
    <cfRule type="containsErrors" dxfId="62" priority="542">
      <formula>ISERROR(M372)</formula>
    </cfRule>
  </conditionalFormatting>
  <conditionalFormatting sqref="M372:M386 M502:M512 M43:N43 M53:N53 I413:K413 I423:K423 I433:K433 I443:K443 I453:K453 I463:K463 I473:K474 I483:K484 I493:K493 I503:K505 I603:M603 I613:M613 I633:M633 I673:M673 I693:M693 I713:K713 I763:N763 I773:N773 I783:N783 I793:N793 I803:N803 I813:N813 I823:N823 J823:K824 I833 I873 I903 I933 I943 I953:K953 I963:N963 I973:N973 I983:N983 I993:N993 I1003:N1003 I1013:N1013 I1023:N1023 I1033:N1033 I1043:N1043 I1053:N1053 I1063:N1063 I1073:N1073 I1083:N1083 I1093:N1093 I1103:N1103 I1113:N1113 I1123:N1123 I1133:N1133 I1143:N1143 I1153:N1153">
    <cfRule type="containsBlanks" dxfId="61" priority="541">
      <formula>LEN(TRIM(I43))=0</formula>
    </cfRule>
  </conditionalFormatting>
  <conditionalFormatting sqref="M387:M406 J684:M692 J15:K22 J25:K32 J37:K41 M37:M41 J47:K51 M47:M51 J57:K61 M57:M61 M63:M71 J65:K71 J77:J81 M77:M81 J87:J91 M87:M91 J97:J101 M97:M101 J204:K212 J214:K222 J224:K232 J234:K242 J244:K252 J254:K262 J264:K272 J274:K282 J284:K292 J294:K302 J304:K312 J314:K322 J324:K332 J344:K352 J354:K362 J364:K382 M377:M381 J384:K392 J394:K402 J414:K422 J424:K432 J434:K442 J444:K452 J454:K462 J464:K472 J474:K482 J484:K492 J494:K512 M507:M511 J534:K542 J544:K552 J604:M612 J614:M622 J624:M632 J634:M642 J646:M652 J655:M662 J664:M672 J674:M682 J694:M702 J704:M712 M713:M722 J714:K722 J724:M732 J744:M752 J764:M772 J774:M782 J784:M792 J794:M802 J804:M812 J814:M822 J824:M832 J835:M842 J844:M852 J854:M862 J864:M872 J954:M962 J964:M972 J974:M982 J984:M992 J994:M1002 J1004:M1012 J1014:M1022 J1024:M1032 J1035:M1042 J1044:M1052 J1054:M1062 J1064:M1072 J1074:M1082 J1084:M1092 J1094:M1102 J1104:M1112 J1114:M1122 J1124:M1132 J1134:M1142 J1144:M1152">
    <cfRule type="containsBlanks" dxfId="60" priority="538">
      <formula>LEN(TRIM(J15))=0</formula>
    </cfRule>
  </conditionalFormatting>
  <conditionalFormatting sqref="M403:M501">
    <cfRule type="containsErrors" dxfId="59" priority="217">
      <formula>ISERROR(M403)</formula>
    </cfRule>
  </conditionalFormatting>
  <conditionalFormatting sqref="M503:M512 I603:M622 I624:M642 I664:M702 M4:M32 M533:N552 L623:M623 L643:M645 I646:M652 L653:M654 I655:M662 K663:M663 L703:M703 I704:M712 I723:N732">
    <cfRule type="containsBlanks" dxfId="58" priority="543">
      <formula>LEN(TRIM(I4))=0</formula>
    </cfRule>
  </conditionalFormatting>
  <conditionalFormatting sqref="M513:M516">
    <cfRule type="containsErrors" dxfId="57" priority="401">
      <formula>ISERROR(M513)</formula>
    </cfRule>
  </conditionalFormatting>
  <conditionalFormatting sqref="M513:M552 F603:H712 H723:H732">
    <cfRule type="containsBlanks" dxfId="56" priority="399">
      <formula>LEN(TRIM(F513))=0</formula>
    </cfRule>
  </conditionalFormatting>
  <conditionalFormatting sqref="M517:M532">
    <cfRule type="containsErrors" dxfId="55" priority="395">
      <formula>ISERROR(M517)</formula>
    </cfRule>
  </conditionalFormatting>
  <conditionalFormatting sqref="M553:M556">
    <cfRule type="containsErrors" dxfId="54" priority="340">
      <formula>ISERROR(M553)</formula>
    </cfRule>
  </conditionalFormatting>
  <conditionalFormatting sqref="M557:M562">
    <cfRule type="containsErrors" dxfId="53" priority="334">
      <formula>ISERROR(M557)</formula>
    </cfRule>
  </conditionalFormatting>
  <conditionalFormatting sqref="M562:M572">
    <cfRule type="containsBlanks" dxfId="52" priority="329">
      <formula>LEN(TRIM(M562))=0</formula>
    </cfRule>
  </conditionalFormatting>
  <conditionalFormatting sqref="M563:M602 J594:K602">
    <cfRule type="containsBlanks" dxfId="51" priority="295">
      <formula>LEN(TRIM(J563))=0</formula>
    </cfRule>
  </conditionalFormatting>
  <conditionalFormatting sqref="M563:M602">
    <cfRule type="containsErrors" dxfId="50" priority="296">
      <formula>ISERROR(M563)</formula>
    </cfRule>
  </conditionalFormatting>
  <conditionalFormatting sqref="M687:M691">
    <cfRule type="containsErrors" dxfId="49" priority="1">
      <formula>ISERROR(M687)</formula>
    </cfRule>
  </conditionalFormatting>
  <conditionalFormatting sqref="M733:M736">
    <cfRule type="containsErrors" dxfId="48" priority="242">
      <formula>ISERROR(M733)</formula>
    </cfRule>
  </conditionalFormatting>
  <conditionalFormatting sqref="M737:M742">
    <cfRule type="containsErrors" dxfId="47" priority="236">
      <formula>ISERROR(M737)</formula>
    </cfRule>
  </conditionalFormatting>
  <conditionalFormatting sqref="M753:M762 J754:K762">
    <cfRule type="containsBlanks" dxfId="46" priority="226">
      <formula>LEN(TRIM(J753))=0</formula>
    </cfRule>
  </conditionalFormatting>
  <conditionalFormatting sqref="M753:M762">
    <cfRule type="containsErrors" dxfId="45" priority="227">
      <formula>ISERROR(M753)</formula>
    </cfRule>
  </conditionalFormatting>
  <conditionalFormatting sqref="M883:M892">
    <cfRule type="containsErrors" dxfId="44" priority="7">
      <formula>ISERROR(M883)</formula>
    </cfRule>
  </conditionalFormatting>
  <conditionalFormatting sqref="M893">
    <cfRule type="containsErrors" dxfId="43" priority="18">
      <formula>ISERROR(M893)</formula>
    </cfRule>
  </conditionalFormatting>
  <conditionalFormatting sqref="M1163:M1172">
    <cfRule type="containsErrors" dxfId="42" priority="386">
      <formula>ISERROR(M1163)</formula>
    </cfRule>
  </conditionalFormatting>
  <conditionalFormatting sqref="M1173:M1176">
    <cfRule type="containsErrors" dxfId="41" priority="379">
      <formula>ISERROR(M1173)</formula>
    </cfRule>
  </conditionalFormatting>
  <conditionalFormatting sqref="M1177:M1182">
    <cfRule type="containsErrors" dxfId="40" priority="376">
      <formula>ISERROR(M1177)</formula>
    </cfRule>
  </conditionalFormatting>
  <conditionalFormatting sqref="M1183:M1186">
    <cfRule type="containsErrors" dxfId="39" priority="369">
      <formula>ISERROR(M1183)</formula>
    </cfRule>
  </conditionalFormatting>
  <conditionalFormatting sqref="M1187:M1192">
    <cfRule type="containsErrors" dxfId="38" priority="366">
      <formula>ISERROR(M1187)</formula>
    </cfRule>
  </conditionalFormatting>
  <conditionalFormatting sqref="M1193:M1196">
    <cfRule type="containsErrors" dxfId="37" priority="359">
      <formula>ISERROR(M1193)</formula>
    </cfRule>
  </conditionalFormatting>
  <conditionalFormatting sqref="M1197:M1202">
    <cfRule type="containsErrors" dxfId="36" priority="356">
      <formula>ISERROR(M1197)</formula>
    </cfRule>
  </conditionalFormatting>
  <conditionalFormatting sqref="M1203:M1206">
    <cfRule type="containsErrors" dxfId="35" priority="349">
      <formula>ISERROR(M1203)</formula>
    </cfRule>
  </conditionalFormatting>
  <conditionalFormatting sqref="M1207:M1212">
    <cfRule type="containsErrors" dxfId="34" priority="346">
      <formula>ISERROR(M1207)</formula>
    </cfRule>
  </conditionalFormatting>
  <conditionalFormatting sqref="M3:N3">
    <cfRule type="containsBlanks" dxfId="33" priority="555">
      <formula>LEN(TRIM(M3))=0</formula>
    </cfRule>
  </conditionalFormatting>
  <conditionalFormatting sqref="M3:N12 M33:N62 M64:M112 M343:N512 H954:N1033 F763:N805 H806:N832 L833:N834 H835:N842 H844:N852 H854:N862 H864:N872 M1034:N1034 H1035:N1162 M203:N332 M713:N722 H743:N752 A1:C1 J1 C2:N2 F36:H44 A43:C43 E43 A46:E52 F46:H54 A53:C53 E53 A56:E62 A63:B112 I104 A403:K464 F465:G582 H475:K483 A713:K722 F806:F822 G806:G882 C823:F832 F833:F882 A1213:N1048576">
    <cfRule type="containsBlanks" dxfId="32" priority="1000">
      <formula>LEN(TRIM(A1))=0</formula>
    </cfRule>
  </conditionalFormatting>
  <conditionalFormatting sqref="M113:N142 M144:M332 A136:C142 A143:B202 I144">
    <cfRule type="containsBlanks" dxfId="31" priority="507">
      <formula>LEN(TRIM(A113))=0</formula>
    </cfRule>
  </conditionalFormatting>
  <conditionalFormatting sqref="M333:N342 A203:E402">
    <cfRule type="containsBlanks" dxfId="30" priority="472">
      <formula>LEN(TRIM(A203))=0</formula>
    </cfRule>
  </conditionalFormatting>
  <conditionalFormatting sqref="M513:N532 J514:K522 J524:K532">
    <cfRule type="containsBlanks" dxfId="29" priority="394">
      <formula>LEN(TRIM(J513))=0</formula>
    </cfRule>
  </conditionalFormatting>
  <conditionalFormatting sqref="M553:N562">
    <cfRule type="containsBlanks" dxfId="28" priority="338">
      <formula>LEN(TRIM(M553))=0</formula>
    </cfRule>
  </conditionalFormatting>
  <conditionalFormatting sqref="M573:N602 F586:K602">
    <cfRule type="containsBlanks" dxfId="27" priority="300">
      <formula>LEN(TRIM(F573))=0</formula>
    </cfRule>
  </conditionalFormatting>
  <conditionalFormatting sqref="M753:N762 A753:K762">
    <cfRule type="containsBlanks" dxfId="26" priority="231">
      <formula>LEN(TRIM(A753))=0</formula>
    </cfRule>
  </conditionalFormatting>
  <conditionalFormatting sqref="M883:N883">
    <cfRule type="containsBlanks" dxfId="25" priority="8">
      <formula>LEN(TRIM(M883))=0</formula>
    </cfRule>
  </conditionalFormatting>
  <conditionalFormatting sqref="M893:N893">
    <cfRule type="containsBlanks" dxfId="24" priority="19">
      <formula>LEN(TRIM(M893))=0</formula>
    </cfRule>
  </conditionalFormatting>
  <conditionalFormatting sqref="N63:N113 N143:N203">
    <cfRule type="containsBlanks" dxfId="23" priority="504">
      <formula>LEN(TRIM(N63))=0</formula>
    </cfRule>
  </conditionalFormatting>
  <conditionalFormatting sqref="N213 N223 N233 N243 N263 N283 N293 N303 N313 N323 N343 N353 N363 N373 N383 N393 N413 N423 N433 N443 N453 N463 N473 N483 N493 N503 N603:N713 N833 N873 N903 N933 N943 N953">
    <cfRule type="containsBlanks" dxfId="22" priority="548">
      <formula>LEN(TRIM(N213))=0</formula>
    </cfRule>
  </conditionalFormatting>
  <conditionalFormatting sqref="N253">
    <cfRule type="containsBlanks" dxfId="21" priority="33">
      <formula>LEN(TRIM(N253))=0</formula>
    </cfRule>
  </conditionalFormatting>
  <conditionalFormatting sqref="N273">
    <cfRule type="containsBlanks" dxfId="20" priority="32">
      <formula>LEN(TRIM(N273))=0</formula>
    </cfRule>
  </conditionalFormatting>
  <conditionalFormatting sqref="N333">
    <cfRule type="containsBlanks" dxfId="19" priority="471">
      <formula>LEN(TRIM(N333))=0</formula>
    </cfRule>
  </conditionalFormatting>
  <conditionalFormatting sqref="N403">
    <cfRule type="containsBlanks" dxfId="18" priority="218">
      <formula>LEN(TRIM(N403))=0</formula>
    </cfRule>
  </conditionalFormatting>
  <conditionalFormatting sqref="N563:N573">
    <cfRule type="containsBlanks" dxfId="17" priority="320">
      <formula>LEN(TRIM(N563))=0</formula>
    </cfRule>
  </conditionalFormatting>
  <conditionalFormatting sqref="N583">
    <cfRule type="containsBlanks" dxfId="16" priority="312">
      <formula>LEN(TRIM(N583))=0</formula>
    </cfRule>
  </conditionalFormatting>
  <conditionalFormatting sqref="N593">
    <cfRule type="containsBlanks" dxfId="15" priority="299">
      <formula>LEN(TRIM(N593))=0</formula>
    </cfRule>
  </conditionalFormatting>
  <conditionalFormatting sqref="N753">
    <cfRule type="containsBlanks" dxfId="14" priority="230">
      <formula>LEN(TRIM(N753))=0</formula>
    </cfRule>
  </conditionalFormatting>
  <conditionalFormatting sqref="N913">
    <cfRule type="containsBlanks" dxfId="13" priority="14">
      <formula>LEN(TRIM(N913))=0</formula>
    </cfRule>
  </conditionalFormatting>
  <conditionalFormatting sqref="N923">
    <cfRule type="containsBlanks" dxfId="12" priority="28">
      <formula>LEN(TRIM(N923))=0</formula>
    </cfRule>
  </conditionalFormatting>
  <conditionalFormatting sqref="N1163:N1212">
    <cfRule type="containsBlanks" dxfId="11" priority="351">
      <formula>LEN(TRIM(N1163))=0</formula>
    </cfRule>
  </conditionalFormatting>
  <dataValidations count="2">
    <dataValidation type="list" allowBlank="1" showInputMessage="1" showErrorMessage="1" sqref="C3:C5 C7:C15 C17:C25 C196:C464 C36:C44 C46:C54 C56:C64 C66:C74 C76:C84 C86:C94 C96:C104 C106:C114 C116:C124 C126:C134 C136:C144 C146:C154 C156:C164 C166:C174 C176:C184 C27:C34 C466:C473 C475:C483 C485:C495 C497:C514 C516:C523 C525:C575 C186:C194 C895:C1212 C886:C893 C577:C883" xr:uid="{8DED857F-E5B4-4A95-BDF3-76604200F169}">
      <formula1>MATERIAUX</formula1>
    </dataValidation>
    <dataValidation type="list" allowBlank="1" showInputMessage="1" showErrorMessage="1" sqref="J3:J1212" xr:uid="{5C994622-60E8-4AAC-B0F1-460FE8548805}">
      <formula1>ETAPE</formula1>
    </dataValidation>
  </dataValidations>
  <pageMargins left="0.7" right="0.7" top="0.75" bottom="0.75" header="0.3" footer="0.3"/>
  <pageSetup paperSize="9" orientation="portrait"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757F10-B596-4616-8E86-E54317A599CC}">
  <sheetPr>
    <tabColor theme="9"/>
  </sheetPr>
  <dimension ref="A1:AT1102"/>
  <sheetViews>
    <sheetView showGridLines="0" topLeftCell="B1" zoomScale="85" zoomScaleNormal="85" workbookViewId="0">
      <pane ySplit="2" topLeftCell="A82" activePane="bottomLeft" state="frozen"/>
      <selection pane="bottomLeft" activeCell="H97" sqref="H97"/>
    </sheetView>
  </sheetViews>
  <sheetFormatPr defaultColWidth="11.5546875" defaultRowHeight="15" thickBottom="1" outlineLevelCol="1"/>
  <cols>
    <col min="1" max="1" width="21.88671875" hidden="1" customWidth="1" outlineLevel="1"/>
    <col min="2" max="2" width="28.109375" style="114" bestFit="1" customWidth="1" collapsed="1"/>
    <col min="3" max="3" width="28.77734375" style="347" bestFit="1" customWidth="1"/>
    <col min="4" max="4" width="7.5546875" style="342" customWidth="1"/>
    <col min="5" max="5" width="5.5546875" style="342" customWidth="1"/>
    <col min="6" max="6" width="12" style="342" customWidth="1" outlineLevel="1"/>
    <col min="7" max="7" width="11.6640625" style="342" bestFit="1" customWidth="1"/>
    <col min="8" max="8" width="17.109375" style="348" bestFit="1" customWidth="1"/>
    <col min="9" max="9" width="11.88671875" style="110" customWidth="1" outlineLevel="1"/>
    <col min="10" max="10" width="4" style="111" customWidth="1" outlineLevel="1"/>
    <col min="11" max="11" width="10.6640625" style="111" bestFit="1" customWidth="1" outlineLevel="1"/>
    <col min="12" max="12" width="9.109375" style="111" customWidth="1" outlineLevel="1"/>
    <col min="15" max="15" width="28.6640625" style="89" bestFit="1" customWidth="1"/>
    <col min="16" max="16" width="7.5546875" customWidth="1"/>
    <col min="17" max="17" width="5.5546875" customWidth="1"/>
    <col min="18" max="18" width="12" hidden="1" customWidth="1" outlineLevel="1"/>
    <col min="19" max="19" width="11.5546875" bestFit="1" collapsed="1"/>
    <col min="20" max="20" width="12.44140625" style="90" bestFit="1" customWidth="1"/>
    <col min="21" max="21" width="30.44140625" style="89" bestFit="1" customWidth="1"/>
    <col min="22" max="22" width="7.5546875" customWidth="1"/>
    <col min="23" max="23" width="5.5546875" customWidth="1"/>
    <col min="25" max="25" width="12.44140625" style="90" bestFit="1" customWidth="1"/>
    <col min="27" max="27" width="28.6640625" style="89" bestFit="1" customWidth="1"/>
    <col min="28" max="28" width="7.5546875" customWidth="1"/>
    <col min="29" max="29" width="5.5546875" customWidth="1"/>
    <col min="31" max="31" width="12.44140625" style="90" bestFit="1" customWidth="1"/>
    <col min="33" max="33" width="28.6640625" style="89" bestFit="1" customWidth="1"/>
    <col min="34" max="34" width="5.5546875" customWidth="1"/>
    <col min="36" max="36" width="10" style="90" bestFit="1" customWidth="1"/>
    <col min="38" max="38" width="24.6640625" style="89" bestFit="1" customWidth="1"/>
    <col min="39" max="39" width="5.5546875" customWidth="1"/>
    <col min="40" max="40" width="12.5546875" bestFit="1" customWidth="1"/>
    <col min="41" max="41" width="10" style="90" bestFit="1" customWidth="1"/>
    <col min="43" max="43" width="24.6640625" style="89" bestFit="1" customWidth="1"/>
    <col min="44" max="44" width="5.5546875" customWidth="1"/>
    <col min="45" max="45" width="8.88671875" bestFit="1" customWidth="1"/>
    <col min="46" max="46" width="10" style="90" bestFit="1" customWidth="1"/>
  </cols>
  <sheetData>
    <row r="1" spans="1:46" ht="16.2" thickBot="1">
      <c r="C1" s="309">
        <f ca="1">TODAY()</f>
        <v>45993</v>
      </c>
      <c r="D1" s="310" t="s">
        <v>176</v>
      </c>
      <c r="E1" s="311"/>
      <c r="F1" s="311"/>
      <c r="G1" s="311"/>
      <c r="H1" s="312">
        <v>44851</v>
      </c>
      <c r="I1" s="102"/>
      <c r="J1" s="103"/>
      <c r="K1" s="104"/>
      <c r="L1" s="104"/>
      <c r="O1" s="97">
        <v>44719</v>
      </c>
      <c r="P1" s="142" t="s">
        <v>176</v>
      </c>
      <c r="Q1" s="98"/>
      <c r="R1" s="98"/>
      <c r="S1" s="98"/>
      <c r="T1" s="99"/>
      <c r="U1" s="97">
        <v>44690</v>
      </c>
      <c r="V1" s="142" t="s">
        <v>176</v>
      </c>
      <c r="W1" s="98"/>
      <c r="X1" s="98"/>
      <c r="Y1" s="99"/>
      <c r="AA1" s="97">
        <v>44641</v>
      </c>
      <c r="AB1" s="142" t="s">
        <v>176</v>
      </c>
      <c r="AC1" s="98"/>
      <c r="AD1" s="98"/>
      <c r="AE1" s="99"/>
      <c r="AG1" s="97">
        <v>44484</v>
      </c>
      <c r="AH1" s="98"/>
      <c r="AI1" s="98"/>
      <c r="AJ1" s="99"/>
      <c r="AL1" s="97">
        <v>44363</v>
      </c>
      <c r="AM1" s="98"/>
      <c r="AN1" s="112" t="str">
        <f>"001"</f>
        <v>001</v>
      </c>
      <c r="AO1" s="99"/>
      <c r="AQ1" s="97">
        <v>44354</v>
      </c>
      <c r="AR1" s="98"/>
      <c r="AS1" s="98"/>
      <c r="AT1" s="99"/>
    </row>
    <row r="2" spans="1:46" ht="15" customHeight="1" thickBot="1">
      <c r="A2" s="53" t="s">
        <v>166</v>
      </c>
      <c r="B2" s="123" t="s">
        <v>137</v>
      </c>
      <c r="C2" s="313" t="s">
        <v>113</v>
      </c>
      <c r="D2" s="314"/>
      <c r="E2" s="315" t="s">
        <v>114</v>
      </c>
      <c r="F2" s="316">
        <f>GESTION!B5</f>
        <v>0.2</v>
      </c>
      <c r="G2" s="317">
        <f>GESTION!$B$7</f>
        <v>4.8499999999999996</v>
      </c>
      <c r="H2" s="318" t="s">
        <v>188</v>
      </c>
      <c r="I2" s="105" t="s">
        <v>74</v>
      </c>
      <c r="J2" s="106" t="s">
        <v>114</v>
      </c>
      <c r="K2" s="125">
        <f>GESTION!$B$8</f>
        <v>0.2061855670103093</v>
      </c>
      <c r="L2" s="124" t="s">
        <v>198</v>
      </c>
      <c r="N2" t="s">
        <v>338</v>
      </c>
      <c r="O2" s="95" t="s">
        <v>113</v>
      </c>
      <c r="P2" s="143"/>
      <c r="Q2" s="96" t="s">
        <v>114</v>
      </c>
      <c r="R2" s="149">
        <f>GESTION!N5</f>
        <v>0</v>
      </c>
      <c r="S2" s="101">
        <f>GESTION!$B$7</f>
        <v>4.8499999999999996</v>
      </c>
      <c r="T2" s="100" t="s">
        <v>188</v>
      </c>
      <c r="U2" s="95" t="s">
        <v>113</v>
      </c>
      <c r="V2" s="143"/>
      <c r="W2" s="96" t="s">
        <v>114</v>
      </c>
      <c r="X2" s="101">
        <v>4.91</v>
      </c>
      <c r="Y2" s="100" t="s">
        <v>188</v>
      </c>
      <c r="Z2" t="s">
        <v>338</v>
      </c>
      <c r="AA2" s="95" t="s">
        <v>113</v>
      </c>
      <c r="AB2" s="143"/>
      <c r="AC2" s="96" t="s">
        <v>114</v>
      </c>
      <c r="AD2" s="101">
        <v>4.9444081000000004</v>
      </c>
      <c r="AE2" s="100" t="s">
        <v>188</v>
      </c>
      <c r="AF2" t="s">
        <v>338</v>
      </c>
      <c r="AG2" s="95" t="s">
        <v>113</v>
      </c>
      <c r="AH2" s="96" t="s">
        <v>114</v>
      </c>
      <c r="AI2" s="101">
        <v>4.9273347999999997</v>
      </c>
      <c r="AJ2" s="100" t="s">
        <v>188</v>
      </c>
      <c r="AK2" t="s">
        <v>338</v>
      </c>
      <c r="AL2" s="95" t="s">
        <v>113</v>
      </c>
      <c r="AM2" s="96" t="s">
        <v>114</v>
      </c>
      <c r="AN2" s="101">
        <v>4.95</v>
      </c>
      <c r="AO2" s="100" t="s">
        <v>188</v>
      </c>
      <c r="AP2" t="s">
        <v>338</v>
      </c>
      <c r="AQ2" s="95" t="s">
        <v>113</v>
      </c>
      <c r="AR2" s="96" t="s">
        <v>114</v>
      </c>
      <c r="AS2" s="101">
        <v>4.95</v>
      </c>
      <c r="AT2" s="100" t="s">
        <v>188</v>
      </c>
    </row>
    <row r="3" spans="1:46" thickBot="1">
      <c r="A3" t="str" cm="1">
        <f t="array" ref="A3:A155">_xlfn.UNIQUE(_xlfn._xlws.FILTER(C3:C1100,NOT(ISBLANK(C3:C1100))))</f>
        <v>adeziv</v>
      </c>
      <c r="B3" s="113" t="s">
        <v>138</v>
      </c>
      <c r="C3" s="319" t="s">
        <v>75</v>
      </c>
      <c r="D3" s="320"/>
      <c r="E3" s="321" t="s">
        <v>76</v>
      </c>
      <c r="F3" s="321">
        <f>IF(E3="","",ROUND(G3*(1+$F$2),2))</f>
        <v>0.25</v>
      </c>
      <c r="G3" s="322">
        <f>H3/$G$2</f>
        <v>0.2061855670103093</v>
      </c>
      <c r="H3" s="323">
        <v>1</v>
      </c>
      <c r="I3" s="107">
        <f>1/25</f>
        <v>0.04</v>
      </c>
      <c r="J3" s="108" t="s">
        <v>76</v>
      </c>
      <c r="K3" s="109">
        <f>L3*K2</f>
        <v>14.226804123711341</v>
      </c>
      <c r="L3" s="109">
        <f>23*3</f>
        <v>69</v>
      </c>
      <c r="N3" s="61">
        <f>(H3-T3)/Y3</f>
        <v>0.13636363636363635</v>
      </c>
      <c r="O3" s="91" t="s">
        <v>75</v>
      </c>
      <c r="P3" s="144"/>
      <c r="Q3" s="92" t="s">
        <v>76</v>
      </c>
      <c r="R3" s="92">
        <f>IF(Q3="","",ROUND(S3*(1+$F$2),2))</f>
        <v>0.22</v>
      </c>
      <c r="S3" s="183">
        <f>T3/$G$2</f>
        <v>0.18144329896907219</v>
      </c>
      <c r="T3" s="184">
        <v>0.88</v>
      </c>
      <c r="U3" s="91" t="s">
        <v>75</v>
      </c>
      <c r="V3" s="144"/>
      <c r="W3" s="92" t="s">
        <v>76</v>
      </c>
      <c r="X3" s="183">
        <v>0.17922606924643583</v>
      </c>
      <c r="Y3" s="200">
        <v>0.88</v>
      </c>
      <c r="Z3" s="61">
        <f t="shared" ref="Z3:Z20" si="0">(Y3-AE3)/AE3</f>
        <v>-0.6811594202898551</v>
      </c>
      <c r="AA3" s="91" t="s">
        <v>75</v>
      </c>
      <c r="AB3" s="144"/>
      <c r="AC3" s="92" t="s">
        <v>76</v>
      </c>
      <c r="AD3" s="183">
        <v>0.55820635032128518</v>
      </c>
      <c r="AE3" s="184">
        <v>2.7600000000000002</v>
      </c>
      <c r="AF3" s="61">
        <f>(AE3-AJ3)/AJ3</f>
        <v>0</v>
      </c>
      <c r="AG3" s="91" t="s">
        <v>75</v>
      </c>
      <c r="AH3" s="92" t="s">
        <v>76</v>
      </c>
      <c r="AI3" s="93">
        <v>0.56014054494531207</v>
      </c>
      <c r="AJ3" s="94">
        <v>2.7600000000000002</v>
      </c>
      <c r="AK3" s="61">
        <f>(AJ3-AO3)/AO3</f>
        <v>3.6363636363637205E-3</v>
      </c>
      <c r="AL3" s="91" t="s">
        <v>75</v>
      </c>
      <c r="AM3" s="92" t="s">
        <v>76</v>
      </c>
      <c r="AN3" s="93">
        <v>0.55555555555555558</v>
      </c>
      <c r="AO3" s="94">
        <v>2.75</v>
      </c>
      <c r="AP3" s="61">
        <f>(AO3-AT3)/AT3</f>
        <v>0</v>
      </c>
      <c r="AQ3" s="91" t="s">
        <v>75</v>
      </c>
      <c r="AR3" s="92" t="s">
        <v>76</v>
      </c>
      <c r="AS3" s="93">
        <v>0.55555555555555558</v>
      </c>
      <c r="AT3" s="94">
        <v>2.75</v>
      </c>
    </row>
    <row r="4" spans="1:46" thickBot="1">
      <c r="A4" t="str">
        <v>Adeziv imbinare</v>
      </c>
      <c r="B4" s="113" t="s">
        <v>161</v>
      </c>
      <c r="C4" s="324" t="s">
        <v>77</v>
      </c>
      <c r="D4" s="325"/>
      <c r="E4" s="326" t="s">
        <v>78</v>
      </c>
      <c r="F4" s="321">
        <f t="shared" ref="F4:F59" si="1">IF(E4="","",ROUND(G4*(1+$F$2),2))</f>
        <v>10.58</v>
      </c>
      <c r="G4" s="322">
        <f t="shared" ref="G4:G70" si="2">H4/$G$2</f>
        <v>8.8206185567010316</v>
      </c>
      <c r="H4" s="323">
        <v>42.78</v>
      </c>
      <c r="I4" s="107">
        <v>1</v>
      </c>
      <c r="J4" s="108" t="s">
        <v>78</v>
      </c>
      <c r="K4" s="109">
        <f>L4*K2</f>
        <v>8.8206185567010316</v>
      </c>
      <c r="L4" s="109">
        <v>42.78</v>
      </c>
      <c r="N4" s="61">
        <f t="shared" ref="N4:N35" si="3">(H4-T4)/T4</f>
        <v>0</v>
      </c>
      <c r="O4" s="86" t="s">
        <v>77</v>
      </c>
      <c r="P4" s="57"/>
      <c r="Q4" s="37" t="s">
        <v>78</v>
      </c>
      <c r="R4" s="92">
        <f t="shared" ref="R4:R58" si="4">IF(Q4="","",ROUND(S4*(1+$F$2),2))</f>
        <v>10.58</v>
      </c>
      <c r="S4" s="183">
        <f t="shared" ref="S4:S69" si="5">T4/$G$2</f>
        <v>8.8206185567010316</v>
      </c>
      <c r="T4" s="184">
        <v>42.78</v>
      </c>
      <c r="U4" s="86" t="s">
        <v>77</v>
      </c>
      <c r="V4" s="201"/>
      <c r="W4" s="37" t="s">
        <v>78</v>
      </c>
      <c r="X4" s="183">
        <v>8.7128309572301426</v>
      </c>
      <c r="Y4" s="202">
        <v>42.78</v>
      </c>
      <c r="Z4" s="61">
        <f t="shared" si="0"/>
        <v>0</v>
      </c>
      <c r="AA4" s="86" t="s">
        <v>77</v>
      </c>
      <c r="AB4" s="57"/>
      <c r="AC4" s="37" t="s">
        <v>78</v>
      </c>
      <c r="AD4" s="183">
        <v>8.6521984299799204</v>
      </c>
      <c r="AE4" s="184">
        <v>42.78</v>
      </c>
      <c r="AF4" s="61">
        <f t="shared" ref="AF4:AF69" si="6">(AE4-AJ4)/AJ4</f>
        <v>0</v>
      </c>
      <c r="AG4" s="86" t="s">
        <v>77</v>
      </c>
      <c r="AH4" s="37" t="s">
        <v>78</v>
      </c>
      <c r="AI4" s="93">
        <v>8.6821784466523368</v>
      </c>
      <c r="AJ4" s="94">
        <v>42.78</v>
      </c>
      <c r="AK4" s="61">
        <f t="shared" ref="AK4:AK55" si="7">(AJ4-AO4)/AO4</f>
        <v>-6.0606060606060566E-2</v>
      </c>
      <c r="AL4" s="86" t="s">
        <v>77</v>
      </c>
      <c r="AM4" s="37" t="s">
        <v>78</v>
      </c>
      <c r="AN4" s="52">
        <v>9.1999999999999993</v>
      </c>
      <c r="AO4" s="87">
        <v>45.54</v>
      </c>
      <c r="AP4" s="61">
        <f t="shared" ref="AP4:AP55" si="8">(AO4-AT4)/AT4</f>
        <v>0</v>
      </c>
      <c r="AQ4" s="86" t="s">
        <v>77</v>
      </c>
      <c r="AR4" s="37" t="s">
        <v>78</v>
      </c>
      <c r="AS4" s="52">
        <v>9.1999999999999993</v>
      </c>
      <c r="AT4" s="87">
        <v>45.54</v>
      </c>
    </row>
    <row r="5" spans="1:46" thickBot="1">
      <c r="A5" t="str">
        <v>Amorsa</v>
      </c>
      <c r="B5" s="113" t="s">
        <v>160</v>
      </c>
      <c r="C5" s="324" t="s">
        <v>79</v>
      </c>
      <c r="D5" s="325"/>
      <c r="E5" s="326" t="s">
        <v>78</v>
      </c>
      <c r="F5" s="321">
        <f t="shared" si="1"/>
        <v>0.08</v>
      </c>
      <c r="G5" s="322">
        <f t="shared" si="2"/>
        <v>6.804123711340207E-2</v>
      </c>
      <c r="H5" s="327">
        <v>0.33</v>
      </c>
      <c r="I5" s="107"/>
      <c r="J5" s="108"/>
      <c r="K5" s="109"/>
      <c r="L5" s="108"/>
      <c r="N5" s="61">
        <f t="shared" si="3"/>
        <v>0</v>
      </c>
      <c r="O5" s="86" t="s">
        <v>79</v>
      </c>
      <c r="P5" s="57"/>
      <c r="Q5" s="37" t="s">
        <v>78</v>
      </c>
      <c r="R5" s="92">
        <f t="shared" si="4"/>
        <v>0.08</v>
      </c>
      <c r="S5" s="183">
        <f t="shared" si="5"/>
        <v>6.804123711340207E-2</v>
      </c>
      <c r="T5" s="166">
        <v>0.33</v>
      </c>
      <c r="U5" s="86" t="s">
        <v>79</v>
      </c>
      <c r="V5" s="201"/>
      <c r="W5" s="37" t="s">
        <v>78</v>
      </c>
      <c r="X5" s="183">
        <v>0.67209775967413432</v>
      </c>
      <c r="Y5" s="203">
        <v>3.3</v>
      </c>
      <c r="Z5" s="61">
        <f t="shared" si="0"/>
        <v>-0.484375</v>
      </c>
      <c r="AA5" s="86" t="s">
        <v>79</v>
      </c>
      <c r="AB5" s="57"/>
      <c r="AC5" s="37" t="s">
        <v>78</v>
      </c>
      <c r="AD5" s="183">
        <v>1.294391536976893</v>
      </c>
      <c r="AE5" s="166">
        <v>6.3999999999999995</v>
      </c>
      <c r="AF5" s="61">
        <f t="shared" si="6"/>
        <v>0</v>
      </c>
      <c r="AG5" s="86" t="s">
        <v>79</v>
      </c>
      <c r="AH5" s="37" t="s">
        <v>78</v>
      </c>
      <c r="AI5" s="93">
        <v>1.2988766259601439</v>
      </c>
      <c r="AJ5" s="87">
        <v>6.3999999999999995</v>
      </c>
      <c r="AK5" s="61">
        <f t="shared" si="7"/>
        <v>-1.3877787807814457E-16</v>
      </c>
      <c r="AL5" s="86" t="s">
        <v>79</v>
      </c>
      <c r="AM5" s="37" t="s">
        <v>78</v>
      </c>
      <c r="AN5" s="52">
        <v>1.2929292929292928</v>
      </c>
      <c r="AO5" s="87">
        <v>6.4</v>
      </c>
      <c r="AP5" s="61">
        <f t="shared" si="8"/>
        <v>0</v>
      </c>
      <c r="AQ5" s="86" t="s">
        <v>79</v>
      </c>
      <c r="AR5" s="37" t="s">
        <v>78</v>
      </c>
      <c r="AS5" s="52">
        <v>1.2929292929292928</v>
      </c>
      <c r="AT5" s="87">
        <v>6.4</v>
      </c>
    </row>
    <row r="6" spans="1:46" thickBot="1">
      <c r="A6" t="str">
        <v>Banda imbinare</v>
      </c>
      <c r="B6" s="113" t="s">
        <v>159</v>
      </c>
      <c r="C6" s="324" t="s">
        <v>80</v>
      </c>
      <c r="D6" s="325"/>
      <c r="E6" s="326" t="s">
        <v>23</v>
      </c>
      <c r="F6" s="321">
        <f t="shared" si="1"/>
        <v>1.94</v>
      </c>
      <c r="G6" s="322">
        <f t="shared" si="2"/>
        <v>1.6199257731958763</v>
      </c>
      <c r="H6" s="327">
        <v>7.8566399999999996</v>
      </c>
      <c r="I6" s="107"/>
      <c r="J6" s="108"/>
      <c r="K6" s="109"/>
      <c r="L6" s="108"/>
      <c r="N6" s="61">
        <f t="shared" si="3"/>
        <v>0</v>
      </c>
      <c r="O6" s="86" t="s">
        <v>80</v>
      </c>
      <c r="P6" s="57"/>
      <c r="Q6" s="37" t="s">
        <v>23</v>
      </c>
      <c r="R6" s="92">
        <f t="shared" si="4"/>
        <v>1.94</v>
      </c>
      <c r="S6" s="183">
        <f t="shared" si="5"/>
        <v>1.6199257731958763</v>
      </c>
      <c r="T6" s="166">
        <v>7.8566399999999996</v>
      </c>
      <c r="U6" s="86" t="s">
        <v>80</v>
      </c>
      <c r="V6" s="201"/>
      <c r="W6" s="37" t="s">
        <v>23</v>
      </c>
      <c r="X6" s="183">
        <v>1.6001303462321792</v>
      </c>
      <c r="Y6" s="88">
        <v>7.8566399999999996</v>
      </c>
      <c r="Z6" s="61">
        <f t="shared" si="0"/>
        <v>0</v>
      </c>
      <c r="AA6" s="86" t="s">
        <v>80</v>
      </c>
      <c r="AB6" s="57"/>
      <c r="AC6" s="37" t="s">
        <v>23</v>
      </c>
      <c r="AD6" s="183">
        <v>1.5889950507928339</v>
      </c>
      <c r="AE6" s="166">
        <v>7.8566399999999996</v>
      </c>
      <c r="AF6" s="61">
        <f t="shared" si="6"/>
        <v>0</v>
      </c>
      <c r="AG6" s="86" t="s">
        <v>80</v>
      </c>
      <c r="AH6" s="37" t="s">
        <v>23</v>
      </c>
      <c r="AI6" s="93">
        <v>1.5945009460286725</v>
      </c>
      <c r="AJ6" s="87">
        <v>7.8566399999999996</v>
      </c>
      <c r="AK6" s="61">
        <f t="shared" si="7"/>
        <v>-4.274809160305099E-4</v>
      </c>
      <c r="AL6" s="86" t="s">
        <v>80</v>
      </c>
      <c r="AM6" s="37" t="s">
        <v>23</v>
      </c>
      <c r="AN6" s="52">
        <v>1.5871999999999999</v>
      </c>
      <c r="AO6" s="87">
        <v>7.8599999999999994</v>
      </c>
      <c r="AP6" s="61">
        <f t="shared" si="8"/>
        <v>0</v>
      </c>
      <c r="AQ6" s="86" t="s">
        <v>80</v>
      </c>
      <c r="AR6" s="37" t="s">
        <v>23</v>
      </c>
      <c r="AS6" s="52">
        <v>1.5871999999999999</v>
      </c>
      <c r="AT6" s="87">
        <v>7.8599999999999994</v>
      </c>
    </row>
    <row r="7" spans="1:46" thickBot="1">
      <c r="A7" t="str">
        <v>Capse folie 10 mm</v>
      </c>
      <c r="B7" s="113" t="s">
        <v>158</v>
      </c>
      <c r="C7" s="324" t="s">
        <v>81</v>
      </c>
      <c r="D7" s="325"/>
      <c r="E7" s="326" t="s">
        <v>127</v>
      </c>
      <c r="F7" s="321">
        <f t="shared" si="1"/>
        <v>0.02</v>
      </c>
      <c r="G7" s="328">
        <f t="shared" si="2"/>
        <v>1.4432989690721652E-2</v>
      </c>
      <c r="H7" s="329">
        <v>7.0000000000000007E-2</v>
      </c>
      <c r="I7" s="107"/>
      <c r="J7" s="108"/>
      <c r="K7" s="109"/>
      <c r="L7" s="108">
        <v>0.04</v>
      </c>
      <c r="N7" s="61">
        <f t="shared" si="3"/>
        <v>16.5</v>
      </c>
      <c r="O7" s="86" t="s">
        <v>81</v>
      </c>
      <c r="P7" s="57"/>
      <c r="Q7" s="37" t="s">
        <v>127</v>
      </c>
      <c r="R7" s="92">
        <f t="shared" si="4"/>
        <v>0</v>
      </c>
      <c r="S7" s="199">
        <f t="shared" si="5"/>
        <v>8.2474226804123715E-4</v>
      </c>
      <c r="T7" s="243">
        <v>4.0000000000000001E-3</v>
      </c>
      <c r="U7" s="86" t="s">
        <v>81</v>
      </c>
      <c r="V7" s="201"/>
      <c r="W7" s="37" t="s">
        <v>127</v>
      </c>
      <c r="X7" s="93">
        <v>8.1466395112016296E-4</v>
      </c>
      <c r="Y7" s="203">
        <v>4.0000000000000001E-3</v>
      </c>
      <c r="Z7" s="61">
        <f t="shared" si="0"/>
        <v>-0.90000000000000013</v>
      </c>
      <c r="AA7" s="86" t="s">
        <v>81</v>
      </c>
      <c r="AB7" s="57"/>
      <c r="AC7" s="37" t="s">
        <v>127</v>
      </c>
      <c r="AD7" s="183">
        <v>8.089947106105581E-3</v>
      </c>
      <c r="AE7" s="166">
        <v>0.04</v>
      </c>
      <c r="AF7" s="61">
        <f t="shared" si="6"/>
        <v>0</v>
      </c>
      <c r="AG7" s="86" t="s">
        <v>81</v>
      </c>
      <c r="AH7" s="37" t="s">
        <v>127</v>
      </c>
      <c r="AI7" s="93">
        <v>8.1179789122508995E-3</v>
      </c>
      <c r="AJ7" s="88">
        <v>0.04</v>
      </c>
      <c r="AK7" s="61">
        <f t="shared" si="7"/>
        <v>3</v>
      </c>
      <c r="AL7" s="86" t="s">
        <v>81</v>
      </c>
      <c r="AM7" s="37" t="s">
        <v>82</v>
      </c>
      <c r="AN7" s="52">
        <v>8.0808080808080808E-4</v>
      </c>
      <c r="AO7" s="88">
        <v>0.01</v>
      </c>
      <c r="AP7" s="61">
        <f t="shared" si="8"/>
        <v>0</v>
      </c>
      <c r="AQ7" s="86" t="s">
        <v>81</v>
      </c>
      <c r="AR7" s="37" t="s">
        <v>82</v>
      </c>
      <c r="AS7" s="52">
        <v>8.0808080808080808E-4</v>
      </c>
      <c r="AT7" s="88">
        <v>0.01</v>
      </c>
    </row>
    <row r="8" spans="1:46" thickBot="1">
      <c r="A8" t="str">
        <v>Capse OSB 50 mm</v>
      </c>
      <c r="B8" s="113" t="s">
        <v>157</v>
      </c>
      <c r="C8" s="324" t="s">
        <v>83</v>
      </c>
      <c r="D8" s="325"/>
      <c r="E8" s="326" t="s">
        <v>127</v>
      </c>
      <c r="F8" s="321">
        <f t="shared" si="1"/>
        <v>0.18</v>
      </c>
      <c r="G8" s="322">
        <f t="shared" si="2"/>
        <v>0.15257731958762888</v>
      </c>
      <c r="H8" s="327">
        <v>0.74</v>
      </c>
      <c r="I8" s="107"/>
      <c r="J8" s="108"/>
      <c r="K8" s="109"/>
      <c r="L8" s="108"/>
      <c r="N8" s="61">
        <f t="shared" si="3"/>
        <v>9.5714285714285694</v>
      </c>
      <c r="O8" s="86" t="s">
        <v>83</v>
      </c>
      <c r="P8" s="57"/>
      <c r="Q8" s="37" t="s">
        <v>127</v>
      </c>
      <c r="R8" s="92">
        <f t="shared" si="4"/>
        <v>0.02</v>
      </c>
      <c r="S8" s="183">
        <f t="shared" si="5"/>
        <v>1.4432989690721652E-2</v>
      </c>
      <c r="T8" s="166">
        <v>7.0000000000000007E-2</v>
      </c>
      <c r="U8" s="86" t="s">
        <v>83</v>
      </c>
      <c r="V8" s="201"/>
      <c r="W8" s="37" t="s">
        <v>127</v>
      </c>
      <c r="X8" s="183">
        <v>1.4256619144602852E-2</v>
      </c>
      <c r="Y8" s="203">
        <v>7.0000000000000007E-2</v>
      </c>
      <c r="Z8" s="61">
        <f t="shared" si="0"/>
        <v>2.5</v>
      </c>
      <c r="AA8" s="86" t="s">
        <v>83</v>
      </c>
      <c r="AB8" s="57"/>
      <c r="AC8" s="37" t="s">
        <v>127</v>
      </c>
      <c r="AD8" s="183">
        <v>4.0449735530527905E-3</v>
      </c>
      <c r="AE8" s="166">
        <v>0.02</v>
      </c>
      <c r="AF8" s="61">
        <f t="shared" si="6"/>
        <v>0</v>
      </c>
      <c r="AG8" s="86" t="s">
        <v>83</v>
      </c>
      <c r="AH8" s="37" t="s">
        <v>127</v>
      </c>
      <c r="AI8" s="93">
        <v>4.0589894561254497E-3</v>
      </c>
      <c r="AJ8" s="87">
        <v>0.02</v>
      </c>
      <c r="AK8" s="61">
        <f t="shared" si="7"/>
        <v>1</v>
      </c>
      <c r="AL8" s="86" t="s">
        <v>83</v>
      </c>
      <c r="AM8" s="37" t="s">
        <v>82</v>
      </c>
      <c r="AN8" s="52">
        <v>8.8888888888888893E-4</v>
      </c>
      <c r="AO8" s="87">
        <v>0.01</v>
      </c>
      <c r="AP8" s="61">
        <f t="shared" si="8"/>
        <v>0</v>
      </c>
      <c r="AQ8" s="86" t="s">
        <v>83</v>
      </c>
      <c r="AR8" s="37" t="s">
        <v>82</v>
      </c>
      <c r="AS8" s="52">
        <v>8.8888888888888893E-4</v>
      </c>
      <c r="AT8" s="87">
        <v>0.01</v>
      </c>
    </row>
    <row r="9" spans="1:46" thickBot="1">
      <c r="A9" t="str">
        <v>Capse THD 70 mm</v>
      </c>
      <c r="B9" s="113" t="s">
        <v>156</v>
      </c>
      <c r="C9" s="324" t="s">
        <v>136</v>
      </c>
      <c r="D9" s="325"/>
      <c r="E9" s="326" t="s">
        <v>127</v>
      </c>
      <c r="F9" s="321">
        <f t="shared" si="1"/>
        <v>0.03</v>
      </c>
      <c r="G9" s="322">
        <f t="shared" si="2"/>
        <v>2.4742268041237116E-2</v>
      </c>
      <c r="H9" s="327">
        <v>0.12</v>
      </c>
      <c r="I9" s="107"/>
      <c r="J9" s="108"/>
      <c r="K9" s="109"/>
      <c r="L9" s="108"/>
      <c r="N9" s="61">
        <f t="shared" si="3"/>
        <v>0</v>
      </c>
      <c r="O9" s="86" t="s">
        <v>136</v>
      </c>
      <c r="P9" s="57"/>
      <c r="Q9" s="37" t="s">
        <v>127</v>
      </c>
      <c r="R9" s="92">
        <f t="shared" si="4"/>
        <v>0.03</v>
      </c>
      <c r="S9" s="183">
        <f t="shared" si="5"/>
        <v>2.4742268041237116E-2</v>
      </c>
      <c r="T9" s="166">
        <v>0.12</v>
      </c>
      <c r="U9" s="86" t="s">
        <v>136</v>
      </c>
      <c r="V9" s="201"/>
      <c r="W9" s="37" t="s">
        <v>127</v>
      </c>
      <c r="X9" s="183">
        <v>2.4439918533604887E-2</v>
      </c>
      <c r="Y9" s="88">
        <v>0.12</v>
      </c>
      <c r="Z9" s="61">
        <f t="shared" si="0"/>
        <v>0</v>
      </c>
      <c r="AA9" s="86" t="s">
        <v>136</v>
      </c>
      <c r="AB9" s="57"/>
      <c r="AC9" s="37" t="s">
        <v>127</v>
      </c>
      <c r="AD9" s="183">
        <v>2.4269841318316745E-2</v>
      </c>
      <c r="AE9" s="166">
        <v>0.12</v>
      </c>
      <c r="AF9" s="61">
        <f t="shared" si="6"/>
        <v>0</v>
      </c>
      <c r="AG9" s="86" t="s">
        <v>136</v>
      </c>
      <c r="AH9" s="37" t="s">
        <v>127</v>
      </c>
      <c r="AI9" s="93">
        <v>2.4353936736752697E-2</v>
      </c>
      <c r="AJ9" s="87">
        <v>0.12</v>
      </c>
      <c r="AK9" s="61">
        <f t="shared" si="7"/>
        <v>0</v>
      </c>
      <c r="AL9" s="86" t="s">
        <v>136</v>
      </c>
      <c r="AM9" s="37" t="s">
        <v>82</v>
      </c>
      <c r="AN9" s="52">
        <v>2.3030303030303029E-2</v>
      </c>
      <c r="AO9" s="87">
        <v>0.12</v>
      </c>
      <c r="AP9" s="61">
        <f t="shared" si="8"/>
        <v>0</v>
      </c>
      <c r="AQ9" s="86" t="s">
        <v>136</v>
      </c>
      <c r="AR9" s="37" t="s">
        <v>82</v>
      </c>
      <c r="AS9" s="52">
        <v>2.3030303030303029E-2</v>
      </c>
      <c r="AT9" s="87">
        <v>0.12</v>
      </c>
    </row>
    <row r="10" spans="1:46" thickBot="1">
      <c r="A10" t="str">
        <v>Cuie 90 / 120</v>
      </c>
      <c r="B10" s="113" t="s">
        <v>155</v>
      </c>
      <c r="C10" s="324" t="s">
        <v>84</v>
      </c>
      <c r="D10" s="325"/>
      <c r="E10" s="326" t="s">
        <v>127</v>
      </c>
      <c r="F10" s="321">
        <f t="shared" si="1"/>
        <v>0.05</v>
      </c>
      <c r="G10" s="322">
        <f t="shared" si="2"/>
        <v>3.9175257731958769E-2</v>
      </c>
      <c r="H10" s="330">
        <v>0.19</v>
      </c>
      <c r="I10" s="107"/>
      <c r="J10" s="108"/>
      <c r="K10" s="109"/>
      <c r="L10" s="108"/>
      <c r="N10" s="61">
        <f t="shared" si="3"/>
        <v>1.4675324675324677</v>
      </c>
      <c r="O10" s="86" t="s">
        <v>84</v>
      </c>
      <c r="P10" s="57"/>
      <c r="Q10" s="37" t="s">
        <v>127</v>
      </c>
      <c r="R10" s="92">
        <f t="shared" si="4"/>
        <v>0.02</v>
      </c>
      <c r="S10" s="183">
        <f t="shared" si="5"/>
        <v>1.5876288659793816E-2</v>
      </c>
      <c r="T10" s="166">
        <v>7.6999999999999999E-2</v>
      </c>
      <c r="U10" s="86" t="s">
        <v>84</v>
      </c>
      <c r="V10" s="201"/>
      <c r="W10" s="37" t="s">
        <v>127</v>
      </c>
      <c r="X10" s="183">
        <v>1.5682281059063136E-2</v>
      </c>
      <c r="Y10" s="203">
        <v>7.6999999999999999E-2</v>
      </c>
      <c r="Z10" s="61">
        <f t="shared" si="0"/>
        <v>-0.3</v>
      </c>
      <c r="AA10" s="86" t="s">
        <v>84</v>
      </c>
      <c r="AB10" s="57"/>
      <c r="AC10" s="37" t="s">
        <v>127</v>
      </c>
      <c r="AD10" s="183">
        <v>2.2247354541790349E-2</v>
      </c>
      <c r="AE10" s="166">
        <v>0.11</v>
      </c>
      <c r="AF10" s="61">
        <f t="shared" si="6"/>
        <v>0</v>
      </c>
      <c r="AG10" s="86" t="s">
        <v>84</v>
      </c>
      <c r="AH10" s="37" t="s">
        <v>127</v>
      </c>
      <c r="AI10" s="93">
        <v>2.2324442008689972E-2</v>
      </c>
      <c r="AJ10" s="87">
        <v>0.11</v>
      </c>
      <c r="AK10" s="61">
        <f t="shared" si="7"/>
        <v>0</v>
      </c>
      <c r="AL10" s="86" t="s">
        <v>84</v>
      </c>
      <c r="AM10" s="37" t="s">
        <v>82</v>
      </c>
      <c r="AN10" s="52">
        <v>2.2222222222222223E-2</v>
      </c>
      <c r="AO10" s="87">
        <v>0.11</v>
      </c>
      <c r="AP10" s="61">
        <f t="shared" si="8"/>
        <v>0</v>
      </c>
      <c r="AQ10" s="86" t="s">
        <v>84</v>
      </c>
      <c r="AR10" s="37" t="s">
        <v>82</v>
      </c>
      <c r="AS10" s="52">
        <v>2.2222222222222223E-2</v>
      </c>
      <c r="AT10" s="87">
        <v>0.11</v>
      </c>
    </row>
    <row r="11" spans="1:46" thickBot="1">
      <c r="A11" t="str">
        <v>Domisole</v>
      </c>
      <c r="B11" s="113" t="s">
        <v>164</v>
      </c>
      <c r="C11" s="324" t="s">
        <v>133</v>
      </c>
      <c r="D11" s="325"/>
      <c r="E11" s="326" t="s">
        <v>21</v>
      </c>
      <c r="F11" s="321">
        <f t="shared" si="1"/>
        <v>4.51</v>
      </c>
      <c r="G11" s="322">
        <f t="shared" si="2"/>
        <v>3.7587628865979386</v>
      </c>
      <c r="H11" s="327">
        <v>18.23</v>
      </c>
      <c r="I11" s="107"/>
      <c r="J11" s="108"/>
      <c r="K11" s="109"/>
      <c r="L11" s="108"/>
      <c r="N11" s="61">
        <f t="shared" si="3"/>
        <v>0</v>
      </c>
      <c r="O11" s="86" t="s">
        <v>133</v>
      </c>
      <c r="P11" s="57"/>
      <c r="Q11" s="37" t="s">
        <v>21</v>
      </c>
      <c r="R11" s="92">
        <f t="shared" si="4"/>
        <v>4.51</v>
      </c>
      <c r="S11" s="183">
        <f t="shared" si="5"/>
        <v>3.7587628865979386</v>
      </c>
      <c r="T11" s="166">
        <v>18.23</v>
      </c>
      <c r="U11" s="86" t="s">
        <v>133</v>
      </c>
      <c r="V11" s="201"/>
      <c r="W11" s="37" t="s">
        <v>21</v>
      </c>
      <c r="X11" s="183">
        <v>3.7128309572301426</v>
      </c>
      <c r="Y11" s="88">
        <v>18.23</v>
      </c>
      <c r="Z11" s="61">
        <f t="shared" si="0"/>
        <v>0</v>
      </c>
      <c r="AA11" s="86" t="s">
        <v>133</v>
      </c>
      <c r="AB11" s="57"/>
      <c r="AC11" s="37" t="s">
        <v>21</v>
      </c>
      <c r="AD11" s="183">
        <v>3.6869933936076187</v>
      </c>
      <c r="AE11" s="185">
        <v>18.23</v>
      </c>
      <c r="AF11" s="61">
        <f t="shared" si="6"/>
        <v>0</v>
      </c>
      <c r="AG11" s="86" t="s">
        <v>133</v>
      </c>
      <c r="AH11" s="37" t="s">
        <v>21</v>
      </c>
      <c r="AI11" s="119">
        <v>3.6997688892583476</v>
      </c>
      <c r="AJ11" s="120">
        <v>18.23</v>
      </c>
      <c r="AK11" s="61">
        <f t="shared" si="7"/>
        <v>0</v>
      </c>
      <c r="AL11" s="86" t="s">
        <v>133</v>
      </c>
      <c r="AM11" s="37" t="s">
        <v>86</v>
      </c>
      <c r="AN11" s="52">
        <v>3.6828282828282828</v>
      </c>
      <c r="AO11" s="87">
        <v>18.23</v>
      </c>
      <c r="AP11" s="61">
        <f t="shared" si="8"/>
        <v>0</v>
      </c>
      <c r="AQ11" s="86" t="s">
        <v>133</v>
      </c>
      <c r="AR11" s="37" t="s">
        <v>86</v>
      </c>
      <c r="AS11" s="52">
        <v>3.6828282828282828</v>
      </c>
      <c r="AT11" s="87">
        <v>18.23</v>
      </c>
    </row>
    <row r="12" spans="1:46" thickBot="1">
      <c r="A12" t="str">
        <v>DWD 16 mm</v>
      </c>
      <c r="B12" s="113" t="s">
        <v>142</v>
      </c>
      <c r="C12" s="324" t="s">
        <v>8</v>
      </c>
      <c r="D12" s="325"/>
      <c r="E12" s="326" t="s">
        <v>21</v>
      </c>
      <c r="F12" s="321">
        <f t="shared" si="1"/>
        <v>9.64</v>
      </c>
      <c r="G12" s="322">
        <f t="shared" si="2"/>
        <v>8.0309278350515481</v>
      </c>
      <c r="H12" s="327">
        <v>38.950000000000003</v>
      </c>
      <c r="I12" s="107"/>
      <c r="J12" s="108"/>
      <c r="K12" s="109"/>
      <c r="L12" s="108"/>
      <c r="N12" s="61">
        <f t="shared" si="3"/>
        <v>0</v>
      </c>
      <c r="O12" s="86" t="s">
        <v>8</v>
      </c>
      <c r="P12" s="57"/>
      <c r="Q12" s="37" t="s">
        <v>21</v>
      </c>
      <c r="R12" s="92">
        <f t="shared" si="4"/>
        <v>9.64</v>
      </c>
      <c r="S12" s="183">
        <f t="shared" si="5"/>
        <v>8.0309278350515481</v>
      </c>
      <c r="T12" s="166">
        <v>38.950000000000003</v>
      </c>
      <c r="U12" s="86" t="s">
        <v>8</v>
      </c>
      <c r="V12" s="201"/>
      <c r="W12" s="37" t="s">
        <v>21</v>
      </c>
      <c r="X12" s="183">
        <v>7.6496945010183302</v>
      </c>
      <c r="Y12" s="88">
        <v>37.56</v>
      </c>
      <c r="Z12" s="61">
        <f t="shared" si="0"/>
        <v>-3.5686777920410792E-2</v>
      </c>
      <c r="AA12" s="86" t="s">
        <v>8</v>
      </c>
      <c r="AB12" s="57"/>
      <c r="AC12" s="37" t="s">
        <v>21</v>
      </c>
      <c r="AD12" s="183">
        <v>7.8775859945703104</v>
      </c>
      <c r="AE12" s="185">
        <v>38.950000000000003</v>
      </c>
      <c r="AF12" s="61">
        <f t="shared" si="6"/>
        <v>0.36618730270080674</v>
      </c>
      <c r="AG12" s="86" t="s">
        <v>8</v>
      </c>
      <c r="AH12" s="37" t="s">
        <v>21</v>
      </c>
      <c r="AI12" s="119">
        <v>5.7860894697068286</v>
      </c>
      <c r="AJ12" s="120">
        <v>28.51</v>
      </c>
      <c r="AK12" s="61">
        <f t="shared" si="7"/>
        <v>0</v>
      </c>
      <c r="AL12" s="86" t="s">
        <v>8</v>
      </c>
      <c r="AM12" s="37" t="s">
        <v>86</v>
      </c>
      <c r="AN12" s="52">
        <v>5.75959595959596</v>
      </c>
      <c r="AO12" s="87">
        <v>28.51</v>
      </c>
      <c r="AP12" s="61">
        <f t="shared" si="8"/>
        <v>0</v>
      </c>
      <c r="AQ12" s="86" t="s">
        <v>8</v>
      </c>
      <c r="AR12" s="37" t="s">
        <v>86</v>
      </c>
      <c r="AS12" s="52">
        <v>5.75959595959596</v>
      </c>
      <c r="AT12" s="87">
        <v>28.51</v>
      </c>
    </row>
    <row r="13" spans="1:46" thickBot="1">
      <c r="A13" t="str">
        <v>EASY BAND 50MMX25M</v>
      </c>
      <c r="B13" s="113" t="s">
        <v>154</v>
      </c>
      <c r="C13" s="324" t="s">
        <v>85</v>
      </c>
      <c r="D13" s="325"/>
      <c r="E13" s="326" t="s">
        <v>23</v>
      </c>
      <c r="F13" s="321">
        <f t="shared" si="1"/>
        <v>0.56999999999999995</v>
      </c>
      <c r="G13" s="322">
        <f t="shared" si="2"/>
        <v>0.47422680412371132</v>
      </c>
      <c r="H13" s="327">
        <v>2.2999999999999998</v>
      </c>
      <c r="I13" s="107">
        <f>1/25</f>
        <v>0.04</v>
      </c>
      <c r="J13" s="108" t="s">
        <v>23</v>
      </c>
      <c r="K13" s="109">
        <v>7.666666666666667</v>
      </c>
      <c r="L13" s="108">
        <v>37.950000000000003</v>
      </c>
      <c r="N13" s="61">
        <f t="shared" si="3"/>
        <v>0.17346938775510198</v>
      </c>
      <c r="O13" s="86" t="s">
        <v>85</v>
      </c>
      <c r="P13" s="57"/>
      <c r="Q13" s="37" t="s">
        <v>23</v>
      </c>
      <c r="R13" s="92">
        <f t="shared" si="4"/>
        <v>0.48</v>
      </c>
      <c r="S13" s="183">
        <f t="shared" si="5"/>
        <v>0.40412371134020619</v>
      </c>
      <c r="T13" s="166">
        <v>1.96</v>
      </c>
      <c r="U13" s="86" t="s">
        <v>85</v>
      </c>
      <c r="V13" s="201"/>
      <c r="W13" s="37" t="s">
        <v>23</v>
      </c>
      <c r="X13" s="183">
        <v>0.39918533604887979</v>
      </c>
      <c r="Y13" s="88">
        <v>1.96</v>
      </c>
      <c r="Z13" s="61">
        <f t="shared" si="0"/>
        <v>0.29117259552042141</v>
      </c>
      <c r="AA13" s="86" t="s">
        <v>85</v>
      </c>
      <c r="AB13" s="57"/>
      <c r="AC13" s="37" t="s">
        <v>23</v>
      </c>
      <c r="AD13" s="183">
        <v>0.30701349267670686</v>
      </c>
      <c r="AE13" s="166">
        <v>1.5180000000000002</v>
      </c>
      <c r="AF13" s="61">
        <f t="shared" si="6"/>
        <v>0</v>
      </c>
      <c r="AG13" s="86" t="s">
        <v>85</v>
      </c>
      <c r="AH13" s="37" t="s">
        <v>23</v>
      </c>
      <c r="AI13" s="93">
        <v>0.3066666666666667</v>
      </c>
      <c r="AJ13" s="87">
        <v>1.5180000000000002</v>
      </c>
      <c r="AK13" s="61">
        <f t="shared" si="7"/>
        <v>2.5675675675675847E-2</v>
      </c>
      <c r="AL13" s="86" t="s">
        <v>85</v>
      </c>
      <c r="AM13" s="37" t="s">
        <v>23</v>
      </c>
      <c r="AN13" s="52">
        <v>0.29898989898989897</v>
      </c>
      <c r="AO13" s="87">
        <v>1.48</v>
      </c>
      <c r="AP13" s="61">
        <f t="shared" si="8"/>
        <v>0</v>
      </c>
      <c r="AQ13" s="86" t="s">
        <v>85</v>
      </c>
      <c r="AR13" s="37" t="s">
        <v>23</v>
      </c>
      <c r="AS13" s="52">
        <v>0.29898989898989897</v>
      </c>
      <c r="AT13" s="87">
        <v>1.48</v>
      </c>
    </row>
    <row r="14" spans="1:46" thickBot="1">
      <c r="A14" t="str">
        <v>Etrier 360L</v>
      </c>
      <c r="B14" s="113" t="s">
        <v>128</v>
      </c>
      <c r="C14" s="324" t="s">
        <v>124</v>
      </c>
      <c r="D14" s="325"/>
      <c r="E14" s="326" t="s">
        <v>127</v>
      </c>
      <c r="F14" s="321">
        <f t="shared" si="1"/>
        <v>23.01</v>
      </c>
      <c r="G14" s="322">
        <f t="shared" si="2"/>
        <v>19.175257731958766</v>
      </c>
      <c r="H14" s="327">
        <v>93.000000000000014</v>
      </c>
      <c r="I14" s="107"/>
      <c r="J14" s="108"/>
      <c r="K14" s="109"/>
      <c r="L14" s="108"/>
      <c r="N14" s="61">
        <f t="shared" si="3"/>
        <v>0</v>
      </c>
      <c r="O14" s="86" t="s">
        <v>124</v>
      </c>
      <c r="P14" s="57"/>
      <c r="Q14" s="37" t="s">
        <v>127</v>
      </c>
      <c r="R14" s="92">
        <f t="shared" si="4"/>
        <v>23.01</v>
      </c>
      <c r="S14" s="183">
        <f t="shared" si="5"/>
        <v>19.175257731958766</v>
      </c>
      <c r="T14" s="166">
        <v>93.000000000000014</v>
      </c>
      <c r="U14" s="86" t="s">
        <v>124</v>
      </c>
      <c r="V14" s="201"/>
      <c r="W14" s="37" t="s">
        <v>127</v>
      </c>
      <c r="X14" s="183">
        <v>18.94093686354379</v>
      </c>
      <c r="Y14" s="88">
        <v>93.000000000000014</v>
      </c>
      <c r="Z14" s="61">
        <f t="shared" si="0"/>
        <v>0</v>
      </c>
      <c r="AA14" s="86" t="s">
        <v>124</v>
      </c>
      <c r="AB14" s="57"/>
      <c r="AC14" s="37" t="s">
        <v>127</v>
      </c>
      <c r="AD14" s="183">
        <v>18.809127021695481</v>
      </c>
      <c r="AE14" s="185">
        <v>93.000000000000014</v>
      </c>
      <c r="AF14" s="61">
        <f t="shared" si="6"/>
        <v>0</v>
      </c>
      <c r="AG14" s="86" t="s">
        <v>124</v>
      </c>
      <c r="AH14" s="37" t="s">
        <v>127</v>
      </c>
      <c r="AI14" s="119">
        <v>18.874300970983345</v>
      </c>
      <c r="AJ14" s="120">
        <v>93.000000000000014</v>
      </c>
      <c r="AK14" s="61">
        <f t="shared" si="7"/>
        <v>1.5280488941077425E-16</v>
      </c>
      <c r="AL14" s="86" t="s">
        <v>124</v>
      </c>
      <c r="AM14" s="37" t="s">
        <v>127</v>
      </c>
      <c r="AN14" s="52">
        <v>18.787878787878789</v>
      </c>
      <c r="AO14" s="87">
        <v>93</v>
      </c>
      <c r="AP14" s="61">
        <f t="shared" si="8"/>
        <v>0</v>
      </c>
      <c r="AQ14" s="86" t="s">
        <v>124</v>
      </c>
      <c r="AR14" s="37" t="s">
        <v>127</v>
      </c>
      <c r="AS14" s="52">
        <v>18.787878787878789</v>
      </c>
      <c r="AT14" s="87">
        <v>93</v>
      </c>
    </row>
    <row r="15" spans="1:46" thickBot="1">
      <c r="A15" t="str">
        <v>Etude BE France</v>
      </c>
      <c r="B15" s="113" t="s">
        <v>170</v>
      </c>
      <c r="C15" s="324" t="s">
        <v>169</v>
      </c>
      <c r="D15" s="325"/>
      <c r="E15" s="326" t="s">
        <v>27</v>
      </c>
      <c r="F15" s="321">
        <f t="shared" si="1"/>
        <v>734.85</v>
      </c>
      <c r="G15" s="322">
        <f t="shared" si="2"/>
        <v>612.37113402061857</v>
      </c>
      <c r="H15" s="327">
        <v>2970</v>
      </c>
      <c r="I15" s="107"/>
      <c r="J15" s="108"/>
      <c r="K15" s="109"/>
      <c r="L15" s="108"/>
      <c r="N15" s="61">
        <f t="shared" si="3"/>
        <v>0</v>
      </c>
      <c r="O15" s="86" t="s">
        <v>169</v>
      </c>
      <c r="P15" s="57"/>
      <c r="Q15" s="37" t="s">
        <v>27</v>
      </c>
      <c r="R15" s="92">
        <f t="shared" si="4"/>
        <v>734.85</v>
      </c>
      <c r="S15" s="183">
        <f t="shared" si="5"/>
        <v>612.37113402061857</v>
      </c>
      <c r="T15" s="166">
        <v>2970</v>
      </c>
      <c r="U15" s="86" t="s">
        <v>169</v>
      </c>
      <c r="V15" s="201"/>
      <c r="W15" s="37" t="s">
        <v>27</v>
      </c>
      <c r="X15" s="183">
        <v>604.887983706721</v>
      </c>
      <c r="Y15" s="88">
        <v>2970</v>
      </c>
      <c r="Z15" s="61">
        <f t="shared" si="0"/>
        <v>0</v>
      </c>
      <c r="AA15" s="86" t="s">
        <v>169</v>
      </c>
      <c r="AB15" s="57"/>
      <c r="AC15" s="37" t="s">
        <v>27</v>
      </c>
      <c r="AD15" s="183">
        <v>600.67857262833945</v>
      </c>
      <c r="AE15" s="166">
        <v>2970</v>
      </c>
      <c r="AF15" s="61">
        <f t="shared" si="6"/>
        <v>0</v>
      </c>
      <c r="AG15" s="86" t="s">
        <v>169</v>
      </c>
      <c r="AH15" s="37" t="s">
        <v>27</v>
      </c>
      <c r="AI15" s="93">
        <v>602.75993423462933</v>
      </c>
      <c r="AJ15" s="87">
        <v>2970</v>
      </c>
      <c r="AK15" s="61">
        <f t="shared" si="7"/>
        <v>0</v>
      </c>
      <c r="AL15" s="86" t="s">
        <v>169</v>
      </c>
      <c r="AM15" s="37" t="s">
        <v>27</v>
      </c>
      <c r="AN15" s="52">
        <v>600</v>
      </c>
      <c r="AO15" s="87">
        <v>2970</v>
      </c>
      <c r="AP15" s="61">
        <f t="shared" si="8"/>
        <v>0</v>
      </c>
      <c r="AQ15" s="86" t="s">
        <v>169</v>
      </c>
      <c r="AR15" s="37" t="s">
        <v>27</v>
      </c>
      <c r="AS15" s="52">
        <v>600</v>
      </c>
      <c r="AT15" s="87">
        <v>2970</v>
      </c>
    </row>
    <row r="16" spans="1:46" thickBot="1">
      <c r="A16" t="str">
        <v>Fermacell HD</v>
      </c>
      <c r="B16" s="113" t="s">
        <v>502</v>
      </c>
      <c r="C16" s="324" t="s">
        <v>501</v>
      </c>
      <c r="D16" s="325"/>
      <c r="E16" s="326" t="s">
        <v>21</v>
      </c>
      <c r="F16" s="321">
        <f t="shared" si="1"/>
        <v>24.55</v>
      </c>
      <c r="G16" s="322">
        <f t="shared" si="2"/>
        <v>20.459793814432992</v>
      </c>
      <c r="H16" s="327">
        <v>99.23</v>
      </c>
      <c r="I16" s="107"/>
      <c r="J16" s="108"/>
      <c r="K16" s="109"/>
      <c r="L16" s="108"/>
      <c r="N16" s="61">
        <f t="shared" si="3"/>
        <v>0.26568877551020403</v>
      </c>
      <c r="O16" s="86" t="s">
        <v>501</v>
      </c>
      <c r="P16" s="57"/>
      <c r="Q16" s="37" t="s">
        <v>21</v>
      </c>
      <c r="R16" s="92">
        <f t="shared" si="4"/>
        <v>19.399999999999999</v>
      </c>
      <c r="S16" s="183">
        <f t="shared" si="5"/>
        <v>16.16494845360825</v>
      </c>
      <c r="T16" s="166">
        <v>78.400000000000006</v>
      </c>
      <c r="U16" s="86" t="s">
        <v>503</v>
      </c>
      <c r="V16" s="201"/>
      <c r="W16" s="37" t="s">
        <v>21</v>
      </c>
      <c r="X16" s="183">
        <v>18.932790224032583</v>
      </c>
      <c r="Y16" s="88">
        <v>92.96</v>
      </c>
      <c r="Z16" s="61">
        <f t="shared" si="0"/>
        <v>0.18571428571428555</v>
      </c>
      <c r="AA16" s="86" t="s">
        <v>501</v>
      </c>
      <c r="AB16" s="57"/>
      <c r="AC16" s="37" t="s">
        <v>21</v>
      </c>
      <c r="AD16" s="183">
        <v>15.856296327966941</v>
      </c>
      <c r="AE16" s="166">
        <v>78.400000000000006</v>
      </c>
      <c r="AF16" s="61">
        <f t="shared" si="6"/>
        <v>0</v>
      </c>
      <c r="AG16" s="86" t="s">
        <v>501</v>
      </c>
      <c r="AH16" s="37" t="s">
        <v>21</v>
      </c>
      <c r="AI16" s="93">
        <v>15.911238668011764</v>
      </c>
      <c r="AJ16" s="87">
        <v>78.400000000000006</v>
      </c>
      <c r="AK16" s="61">
        <f t="shared" si="7"/>
        <v>-6.0627845674574667E-2</v>
      </c>
      <c r="AL16" s="86" t="s">
        <v>501</v>
      </c>
      <c r="AM16" s="37" t="s">
        <v>86</v>
      </c>
      <c r="AN16" s="52">
        <v>16.86</v>
      </c>
      <c r="AO16" s="87">
        <v>83.460000000000008</v>
      </c>
      <c r="AP16" s="61">
        <f t="shared" si="8"/>
        <v>0</v>
      </c>
      <c r="AQ16" s="86" t="s">
        <v>501</v>
      </c>
      <c r="AR16" s="37" t="s">
        <v>86</v>
      </c>
      <c r="AS16" s="52">
        <v>16.86</v>
      </c>
      <c r="AT16" s="87">
        <v>83.460000000000008</v>
      </c>
    </row>
    <row r="17" spans="1:46" thickBot="1">
      <c r="A17" t="str">
        <v>Firestop basic sealant</v>
      </c>
      <c r="B17" s="113" t="s">
        <v>153</v>
      </c>
      <c r="C17" s="324" t="s">
        <v>87</v>
      </c>
      <c r="D17" s="325"/>
      <c r="E17" s="326" t="s">
        <v>277</v>
      </c>
      <c r="F17" s="321">
        <f t="shared" si="1"/>
        <v>7.92</v>
      </c>
      <c r="G17" s="322">
        <f t="shared" si="2"/>
        <v>6.6020618556701045</v>
      </c>
      <c r="H17" s="327">
        <v>32.020000000000003</v>
      </c>
      <c r="I17" s="107"/>
      <c r="J17" s="108"/>
      <c r="K17" s="109"/>
      <c r="L17" s="108"/>
      <c r="N17" s="61">
        <f t="shared" si="3"/>
        <v>0</v>
      </c>
      <c r="O17" s="86" t="s">
        <v>87</v>
      </c>
      <c r="P17" s="57"/>
      <c r="Q17" s="37" t="s">
        <v>277</v>
      </c>
      <c r="R17" s="92">
        <f t="shared" si="4"/>
        <v>7.92</v>
      </c>
      <c r="S17" s="183">
        <f t="shared" si="5"/>
        <v>6.6020618556701045</v>
      </c>
      <c r="T17" s="166">
        <v>32.020000000000003</v>
      </c>
      <c r="U17" s="86" t="s">
        <v>87</v>
      </c>
      <c r="V17" s="201"/>
      <c r="W17" s="37" t="s">
        <v>277</v>
      </c>
      <c r="X17" s="183">
        <v>6.5213849287169046</v>
      </c>
      <c r="Y17" s="88">
        <v>32.020000000000003</v>
      </c>
      <c r="Z17" s="61">
        <f t="shared" si="0"/>
        <v>3.5240866472680356E-2</v>
      </c>
      <c r="AA17" s="86" t="s">
        <v>87</v>
      </c>
      <c r="AB17" s="57"/>
      <c r="AC17" s="37" t="s">
        <v>277</v>
      </c>
      <c r="AD17" s="183">
        <v>6.2555515997961404</v>
      </c>
      <c r="AE17" s="166">
        <v>30.93</v>
      </c>
      <c r="AF17" s="61">
        <f t="shared" si="6"/>
        <v>0</v>
      </c>
      <c r="AG17" s="86" t="s">
        <v>87</v>
      </c>
      <c r="AH17" s="37" t="s">
        <v>277</v>
      </c>
      <c r="AI17" s="93">
        <v>6.2772271938980078</v>
      </c>
      <c r="AJ17" s="87">
        <v>30.93</v>
      </c>
      <c r="AK17" s="61">
        <f t="shared" si="7"/>
        <v>-3.7348272642390164E-2</v>
      </c>
      <c r="AL17" s="86" t="s">
        <v>87</v>
      </c>
      <c r="AM17" s="37" t="s">
        <v>82</v>
      </c>
      <c r="AN17" s="52">
        <v>6.49</v>
      </c>
      <c r="AO17" s="87">
        <v>32.129999999999995</v>
      </c>
      <c r="AP17" s="61">
        <f t="shared" si="8"/>
        <v>0</v>
      </c>
      <c r="AQ17" s="86" t="s">
        <v>87</v>
      </c>
      <c r="AR17" s="37" t="s">
        <v>82</v>
      </c>
      <c r="AS17" s="52">
        <v>6.49</v>
      </c>
      <c r="AT17" s="87">
        <v>32.129999999999995</v>
      </c>
    </row>
    <row r="18" spans="1:46" thickBot="1">
      <c r="A18" t="str">
        <v>Firestop tape 100x0,06</v>
      </c>
      <c r="B18" s="113" t="s">
        <v>152</v>
      </c>
      <c r="C18" s="324" t="s">
        <v>88</v>
      </c>
      <c r="D18" s="325"/>
      <c r="E18" s="326" t="s">
        <v>277</v>
      </c>
      <c r="F18" s="321">
        <f t="shared" si="1"/>
        <v>9.8000000000000007</v>
      </c>
      <c r="G18" s="322">
        <f t="shared" si="2"/>
        <v>8.169072164948453</v>
      </c>
      <c r="H18" s="327">
        <v>39.619999999999997</v>
      </c>
      <c r="I18" s="107"/>
      <c r="J18" s="108"/>
      <c r="K18" s="109"/>
      <c r="L18" s="108"/>
      <c r="N18" s="61">
        <f t="shared" si="3"/>
        <v>0</v>
      </c>
      <c r="O18" s="86" t="s">
        <v>88</v>
      </c>
      <c r="P18" s="57"/>
      <c r="Q18" s="37" t="s">
        <v>277</v>
      </c>
      <c r="R18" s="92">
        <f t="shared" si="4"/>
        <v>9.8000000000000007</v>
      </c>
      <c r="S18" s="183">
        <f t="shared" si="5"/>
        <v>8.169072164948453</v>
      </c>
      <c r="T18" s="166">
        <v>39.619999999999997</v>
      </c>
      <c r="U18" s="86" t="s">
        <v>88</v>
      </c>
      <c r="V18" s="201"/>
      <c r="W18" s="37" t="s">
        <v>277</v>
      </c>
      <c r="X18" s="183">
        <v>8.0692464358452138</v>
      </c>
      <c r="Y18" s="88">
        <v>39.619999999999997</v>
      </c>
      <c r="Z18" s="61">
        <f t="shared" si="0"/>
        <v>0</v>
      </c>
      <c r="AA18" s="86" t="s">
        <v>88</v>
      </c>
      <c r="AB18" s="57"/>
      <c r="AC18" s="37" t="s">
        <v>277</v>
      </c>
      <c r="AD18" s="183">
        <v>8.013092608597578</v>
      </c>
      <c r="AE18" s="166">
        <v>39.619999999999997</v>
      </c>
      <c r="AF18" s="61">
        <f t="shared" si="6"/>
        <v>0</v>
      </c>
      <c r="AG18" s="86" t="s">
        <v>88</v>
      </c>
      <c r="AH18" s="37" t="s">
        <v>277</v>
      </c>
      <c r="AI18" s="93">
        <v>8.040858112584516</v>
      </c>
      <c r="AJ18" s="87">
        <v>39.619999999999997</v>
      </c>
      <c r="AK18" s="61">
        <f t="shared" si="7"/>
        <v>0</v>
      </c>
      <c r="AL18" s="86" t="s">
        <v>88</v>
      </c>
      <c r="AM18" s="37" t="s">
        <v>82</v>
      </c>
      <c r="AN18" s="52">
        <v>8.0040404040404027</v>
      </c>
      <c r="AO18" s="87">
        <v>39.619999999999997</v>
      </c>
      <c r="AP18" s="61">
        <f t="shared" si="8"/>
        <v>0</v>
      </c>
      <c r="AQ18" s="86" t="s">
        <v>88</v>
      </c>
      <c r="AR18" s="37" t="s">
        <v>82</v>
      </c>
      <c r="AS18" s="52">
        <v>8.0040404040404027</v>
      </c>
      <c r="AT18" s="87">
        <v>39.619999999999997</v>
      </c>
    </row>
    <row r="19" spans="1:46" thickBot="1">
      <c r="A19" t="str">
        <v>Folie antiploaie</v>
      </c>
      <c r="B19" s="113" t="s">
        <v>196</v>
      </c>
      <c r="C19" s="324" t="s">
        <v>197</v>
      </c>
      <c r="D19" s="325"/>
      <c r="E19" s="326" t="s">
        <v>21</v>
      </c>
      <c r="F19" s="321">
        <f t="shared" si="1"/>
        <v>0.71</v>
      </c>
      <c r="G19" s="322">
        <f t="shared" si="2"/>
        <v>0.58969072164948455</v>
      </c>
      <c r="H19" s="327">
        <v>2.86</v>
      </c>
      <c r="I19" s="107"/>
      <c r="J19" s="108"/>
      <c r="K19" s="109"/>
      <c r="L19" s="108"/>
      <c r="N19" s="61">
        <f t="shared" si="3"/>
        <v>0.28395061728395055</v>
      </c>
      <c r="O19" s="86" t="s">
        <v>197</v>
      </c>
      <c r="P19" s="57"/>
      <c r="Q19" s="37" t="s">
        <v>21</v>
      </c>
      <c r="R19" s="92">
        <f t="shared" si="4"/>
        <v>0.55000000000000004</v>
      </c>
      <c r="S19" s="183">
        <f t="shared" si="5"/>
        <v>0.45927835051546395</v>
      </c>
      <c r="T19" s="166">
        <v>2.2275</v>
      </c>
      <c r="U19" s="86" t="s">
        <v>197</v>
      </c>
      <c r="V19" s="201"/>
      <c r="W19" s="37" t="s">
        <v>21</v>
      </c>
      <c r="X19" s="183">
        <v>0.45366598778004075</v>
      </c>
      <c r="Y19" s="88">
        <v>2.2275</v>
      </c>
      <c r="Z19" s="61">
        <f t="shared" si="0"/>
        <v>0</v>
      </c>
      <c r="AA19" s="86" t="s">
        <v>197</v>
      </c>
      <c r="AB19" s="57"/>
      <c r="AC19" s="37" t="s">
        <v>21</v>
      </c>
      <c r="AD19" s="183">
        <v>0.45050892947125459</v>
      </c>
      <c r="AE19" s="185">
        <v>2.2275</v>
      </c>
      <c r="AF19" s="61">
        <f t="shared" si="6"/>
        <v>0</v>
      </c>
      <c r="AG19" s="86" t="s">
        <v>197</v>
      </c>
      <c r="AH19" s="37" t="s">
        <v>21</v>
      </c>
      <c r="AI19" s="119">
        <v>0.45206995067597194</v>
      </c>
      <c r="AJ19" s="120">
        <v>2.2275</v>
      </c>
      <c r="AK19" s="61"/>
      <c r="AL19" s="86"/>
      <c r="AM19" s="37"/>
      <c r="AN19" s="52"/>
      <c r="AO19" s="87"/>
      <c r="AP19" s="61"/>
      <c r="AQ19" s="86"/>
      <c r="AR19" s="37"/>
      <c r="AS19" s="52"/>
      <c r="AT19" s="87"/>
    </row>
    <row r="20" spans="1:46" thickBot="1">
      <c r="A20" t="str">
        <v>Folie antivapori Sd&gt;28</v>
      </c>
      <c r="B20" s="113" t="s">
        <v>151</v>
      </c>
      <c r="C20" s="324" t="s">
        <v>418</v>
      </c>
      <c r="D20" s="325"/>
      <c r="E20" s="326" t="s">
        <v>21</v>
      </c>
      <c r="F20" s="321">
        <f t="shared" si="1"/>
        <v>1.73</v>
      </c>
      <c r="G20" s="322">
        <f t="shared" si="2"/>
        <v>1.439175257731959</v>
      </c>
      <c r="H20" s="327">
        <v>6.98</v>
      </c>
      <c r="I20" s="107"/>
      <c r="J20" s="108"/>
      <c r="K20" s="109"/>
      <c r="L20" s="108"/>
      <c r="N20" s="61">
        <f t="shared" si="3"/>
        <v>0.10094637223974773</v>
      </c>
      <c r="O20" s="86" t="s">
        <v>89</v>
      </c>
      <c r="P20" s="57"/>
      <c r="Q20" s="37" t="s">
        <v>21</v>
      </c>
      <c r="R20" s="92">
        <f t="shared" si="4"/>
        <v>1.57</v>
      </c>
      <c r="S20" s="183">
        <f t="shared" si="5"/>
        <v>1.3072164948453608</v>
      </c>
      <c r="T20" s="166">
        <v>6.34</v>
      </c>
      <c r="U20" s="86" t="s">
        <v>89</v>
      </c>
      <c r="V20" s="201"/>
      <c r="W20" s="37" t="s">
        <v>21</v>
      </c>
      <c r="X20" s="183">
        <v>1.2912423625254581</v>
      </c>
      <c r="Y20" s="88">
        <v>6.34</v>
      </c>
      <c r="Z20" s="61">
        <f t="shared" si="0"/>
        <v>1.8462401795735128</v>
      </c>
      <c r="AA20" s="86" t="s">
        <v>89</v>
      </c>
      <c r="AB20" s="57"/>
      <c r="AC20" s="37" t="s">
        <v>21</v>
      </c>
      <c r="AD20" s="183">
        <v>0.45050892947125459</v>
      </c>
      <c r="AE20" s="166">
        <v>2.2275</v>
      </c>
      <c r="AF20" s="61">
        <f t="shared" si="6"/>
        <v>0</v>
      </c>
      <c r="AG20" s="86" t="s">
        <v>89</v>
      </c>
      <c r="AH20" s="37" t="s">
        <v>21</v>
      </c>
      <c r="AI20" s="93">
        <v>0.45206995067597194</v>
      </c>
      <c r="AJ20" s="87">
        <v>2.2275</v>
      </c>
      <c r="AK20" s="61">
        <f t="shared" si="7"/>
        <v>-1.1210762331838326E-3</v>
      </c>
      <c r="AL20" s="86" t="s">
        <v>89</v>
      </c>
      <c r="AM20" s="37" t="s">
        <v>86</v>
      </c>
      <c r="AN20" s="52">
        <v>0.45</v>
      </c>
      <c r="AO20" s="87">
        <v>2.23</v>
      </c>
      <c r="AP20" s="61">
        <f t="shared" si="8"/>
        <v>0</v>
      </c>
      <c r="AQ20" s="86" t="s">
        <v>89</v>
      </c>
      <c r="AR20" s="37" t="s">
        <v>86</v>
      </c>
      <c r="AS20" s="52">
        <v>0.45</v>
      </c>
      <c r="AT20" s="87">
        <v>2.23</v>
      </c>
    </row>
    <row r="21" spans="1:46" thickBot="1">
      <c r="A21" t="str">
        <v>Lemn 100x45 mm</v>
      </c>
      <c r="B21" s="113" t="s">
        <v>150</v>
      </c>
      <c r="C21" s="324" t="s">
        <v>90</v>
      </c>
      <c r="D21" s="325" t="s">
        <v>240</v>
      </c>
      <c r="E21" s="326" t="s">
        <v>22</v>
      </c>
      <c r="F21" s="321">
        <f t="shared" si="1"/>
        <v>690.31</v>
      </c>
      <c r="G21" s="322">
        <f t="shared" si="2"/>
        <v>575.25773195876297</v>
      </c>
      <c r="H21" s="327">
        <v>2790</v>
      </c>
      <c r="I21" s="107">
        <f>0.045*0.1</f>
        <v>4.4999999999999997E-3</v>
      </c>
      <c r="J21" s="108" t="s">
        <v>23</v>
      </c>
      <c r="K21" s="121">
        <f>L21*$K$2</f>
        <v>2.5886597938144331</v>
      </c>
      <c r="L21" s="122">
        <f t="shared" ref="L21:L30" si="9">H21*I21</f>
        <v>12.555</v>
      </c>
      <c r="N21" s="61">
        <f t="shared" si="3"/>
        <v>0.37777777777777777</v>
      </c>
      <c r="O21" s="86" t="s">
        <v>90</v>
      </c>
      <c r="P21" s="57" t="s">
        <v>240</v>
      </c>
      <c r="Q21" s="37" t="s">
        <v>22</v>
      </c>
      <c r="R21" s="92">
        <f t="shared" si="4"/>
        <v>501.03</v>
      </c>
      <c r="S21" s="183">
        <f t="shared" si="5"/>
        <v>417.5257731958763</v>
      </c>
      <c r="T21" s="185">
        <v>2025</v>
      </c>
      <c r="U21" s="86" t="s">
        <v>90</v>
      </c>
      <c r="V21" s="201" t="s">
        <v>240</v>
      </c>
      <c r="W21" s="37" t="s">
        <v>22</v>
      </c>
      <c r="X21" s="183">
        <v>412.42362525458248</v>
      </c>
      <c r="Y21" s="88">
        <v>2025</v>
      </c>
      <c r="Z21" s="61">
        <f>(Y21-AE21)/AE21</f>
        <v>0.265625</v>
      </c>
      <c r="AA21" s="86" t="s">
        <v>90</v>
      </c>
      <c r="AB21" s="57" t="s">
        <v>240</v>
      </c>
      <c r="AC21" s="37" t="s">
        <v>22</v>
      </c>
      <c r="AD21" s="183">
        <v>323.59788424422328</v>
      </c>
      <c r="AE21" s="166">
        <v>1600</v>
      </c>
      <c r="AF21" s="61">
        <f t="shared" si="6"/>
        <v>0</v>
      </c>
      <c r="AG21" s="86" t="s">
        <v>90</v>
      </c>
      <c r="AH21" s="37" t="s">
        <v>22</v>
      </c>
      <c r="AI21" s="93">
        <v>323.23232323232321</v>
      </c>
      <c r="AJ21" s="87">
        <v>1600</v>
      </c>
      <c r="AK21" s="61">
        <f t="shared" si="7"/>
        <v>0.14283265358599462</v>
      </c>
      <c r="AL21" s="86" t="s">
        <v>90</v>
      </c>
      <c r="AM21" s="37" t="s">
        <v>91</v>
      </c>
      <c r="AN21" s="52">
        <v>282.8343434343434</v>
      </c>
      <c r="AO21" s="87">
        <v>1400.03</v>
      </c>
      <c r="AP21" s="61">
        <f t="shared" si="8"/>
        <v>0</v>
      </c>
      <c r="AQ21" s="86" t="s">
        <v>90</v>
      </c>
      <c r="AR21" s="37" t="s">
        <v>91</v>
      </c>
      <c r="AS21" s="52">
        <v>282.8343434343434</v>
      </c>
      <c r="AT21" s="87">
        <v>1400.03</v>
      </c>
    </row>
    <row r="22" spans="1:46" thickBot="1">
      <c r="A22" t="str">
        <v>Lemn 100x45 mm talpa</v>
      </c>
      <c r="B22" s="113" t="s">
        <v>149</v>
      </c>
      <c r="C22" s="324" t="s">
        <v>92</v>
      </c>
      <c r="D22" s="325" t="s">
        <v>240</v>
      </c>
      <c r="E22" s="326" t="s">
        <v>22</v>
      </c>
      <c r="F22" s="321">
        <f t="shared" si="1"/>
        <v>690.31</v>
      </c>
      <c r="G22" s="322">
        <f t="shared" si="2"/>
        <v>575.25773195876297</v>
      </c>
      <c r="H22" s="327">
        <v>2790</v>
      </c>
      <c r="I22" s="107">
        <f>0.045*0.1</f>
        <v>4.4999999999999997E-3</v>
      </c>
      <c r="J22" s="108" t="s">
        <v>23</v>
      </c>
      <c r="K22" s="121">
        <f t="shared" ref="K22:K30" si="10">L22*$K$2</f>
        <v>2.5886597938144331</v>
      </c>
      <c r="L22" s="122">
        <f t="shared" si="9"/>
        <v>12.555</v>
      </c>
      <c r="N22" s="61">
        <f t="shared" si="3"/>
        <v>0.15355991069213598</v>
      </c>
      <c r="O22" s="86" t="s">
        <v>92</v>
      </c>
      <c r="P22" s="57" t="s">
        <v>240</v>
      </c>
      <c r="Q22" s="37" t="s">
        <v>22</v>
      </c>
      <c r="R22" s="92">
        <f t="shared" si="4"/>
        <v>598.41999999999996</v>
      </c>
      <c r="S22" s="183">
        <f t="shared" si="5"/>
        <v>498.68041237113403</v>
      </c>
      <c r="T22" s="185">
        <v>2418.6</v>
      </c>
      <c r="U22" s="86" t="s">
        <v>92</v>
      </c>
      <c r="V22" s="201" t="s">
        <v>240</v>
      </c>
      <c r="W22" s="37" t="s">
        <v>22</v>
      </c>
      <c r="X22" s="183">
        <v>492.58655804480651</v>
      </c>
      <c r="Y22" s="88">
        <v>2418.6</v>
      </c>
      <c r="Z22" s="61">
        <f t="shared" ref="Z22:Z82" si="11">(Y22-AE22)/AE22</f>
        <v>0.20929999999999996</v>
      </c>
      <c r="AA22" s="86" t="s">
        <v>92</v>
      </c>
      <c r="AB22" s="57" t="s">
        <v>240</v>
      </c>
      <c r="AC22" s="37" t="s">
        <v>22</v>
      </c>
      <c r="AD22" s="183">
        <v>404.49735530527909</v>
      </c>
      <c r="AE22" s="166">
        <v>2000</v>
      </c>
      <c r="AF22" s="61">
        <f t="shared" si="6"/>
        <v>0</v>
      </c>
      <c r="AG22" s="86" t="s">
        <v>92</v>
      </c>
      <c r="AH22" s="37" t="s">
        <v>22</v>
      </c>
      <c r="AI22" s="93">
        <v>404.04040404040404</v>
      </c>
      <c r="AJ22" s="87">
        <v>2000</v>
      </c>
      <c r="AK22" s="61">
        <f t="shared" si="7"/>
        <v>9.7688816197496184E-2</v>
      </c>
      <c r="AL22" s="86" t="s">
        <v>92</v>
      </c>
      <c r="AM22" s="37" t="s">
        <v>91</v>
      </c>
      <c r="AN22" s="52">
        <v>368.0828282828283</v>
      </c>
      <c r="AO22" s="87">
        <v>1822.01</v>
      </c>
      <c r="AP22" s="61">
        <f t="shared" si="8"/>
        <v>0</v>
      </c>
      <c r="AQ22" s="86" t="s">
        <v>92</v>
      </c>
      <c r="AR22" s="37" t="s">
        <v>91</v>
      </c>
      <c r="AS22" s="52">
        <v>368.0828282828283</v>
      </c>
      <c r="AT22" s="87">
        <v>1822.01</v>
      </c>
    </row>
    <row r="23" spans="1:46" thickBot="1">
      <c r="A23" t="str">
        <v>Lemn 150x45 mm</v>
      </c>
      <c r="B23" s="113" t="s">
        <v>150</v>
      </c>
      <c r="C23" s="324" t="s">
        <v>93</v>
      </c>
      <c r="D23" s="325" t="s">
        <v>240</v>
      </c>
      <c r="E23" s="326" t="s">
        <v>22</v>
      </c>
      <c r="F23" s="321">
        <f t="shared" si="1"/>
        <v>690.31</v>
      </c>
      <c r="G23" s="322">
        <f t="shared" si="2"/>
        <v>575.25773195876297</v>
      </c>
      <c r="H23" s="327">
        <v>2790</v>
      </c>
      <c r="I23" s="107">
        <f>0.045*0.15</f>
        <v>6.7499999999999999E-3</v>
      </c>
      <c r="J23" s="108" t="s">
        <v>23</v>
      </c>
      <c r="K23" s="121">
        <f t="shared" si="10"/>
        <v>3.8829896907216499</v>
      </c>
      <c r="L23" s="122">
        <f t="shared" si="9"/>
        <v>18.8325</v>
      </c>
      <c r="N23" s="61">
        <f t="shared" si="3"/>
        <v>0.37777777777777777</v>
      </c>
      <c r="O23" s="86" t="s">
        <v>93</v>
      </c>
      <c r="P23" s="57" t="s">
        <v>240</v>
      </c>
      <c r="Q23" s="37" t="s">
        <v>22</v>
      </c>
      <c r="R23" s="92">
        <f t="shared" si="4"/>
        <v>501.03</v>
      </c>
      <c r="S23" s="183">
        <f t="shared" si="5"/>
        <v>417.5257731958763</v>
      </c>
      <c r="T23" s="185">
        <v>2025</v>
      </c>
      <c r="U23" s="86" t="s">
        <v>93</v>
      </c>
      <c r="V23" s="201" t="s">
        <v>240</v>
      </c>
      <c r="W23" s="37" t="s">
        <v>22</v>
      </c>
      <c r="X23" s="183">
        <v>412.42362525458248</v>
      </c>
      <c r="Y23" s="88">
        <v>2025</v>
      </c>
      <c r="Z23" s="61">
        <f t="shared" si="11"/>
        <v>0.265625</v>
      </c>
      <c r="AA23" s="86" t="s">
        <v>93</v>
      </c>
      <c r="AB23" s="57" t="s">
        <v>240</v>
      </c>
      <c r="AC23" s="37" t="s">
        <v>22</v>
      </c>
      <c r="AD23" s="183">
        <v>323.59788424422328</v>
      </c>
      <c r="AE23" s="166">
        <v>1600</v>
      </c>
      <c r="AF23" s="61">
        <f t="shared" si="6"/>
        <v>0</v>
      </c>
      <c r="AG23" s="86" t="s">
        <v>93</v>
      </c>
      <c r="AH23" s="37" t="s">
        <v>22</v>
      </c>
      <c r="AI23" s="93">
        <v>323.23232323232321</v>
      </c>
      <c r="AJ23" s="87">
        <v>1600</v>
      </c>
      <c r="AK23" s="61">
        <f t="shared" si="7"/>
        <v>0.14283265358599462</v>
      </c>
      <c r="AL23" s="86" t="s">
        <v>93</v>
      </c>
      <c r="AM23" s="37" t="s">
        <v>91</v>
      </c>
      <c r="AN23" s="52">
        <v>282.8343434343434</v>
      </c>
      <c r="AO23" s="87">
        <v>1400.03</v>
      </c>
      <c r="AP23" s="61">
        <f t="shared" si="8"/>
        <v>0</v>
      </c>
      <c r="AQ23" s="86" t="s">
        <v>93</v>
      </c>
      <c r="AR23" s="37" t="s">
        <v>91</v>
      </c>
      <c r="AS23" s="52">
        <v>282.8343434343434</v>
      </c>
      <c r="AT23" s="87">
        <v>1400.03</v>
      </c>
    </row>
    <row r="24" spans="1:46" thickBot="1">
      <c r="A24" t="str">
        <v>Lemn 150x45 mm talpa</v>
      </c>
      <c r="B24" s="113" t="s">
        <v>149</v>
      </c>
      <c r="C24" s="324" t="s">
        <v>94</v>
      </c>
      <c r="D24" s="325" t="s">
        <v>240</v>
      </c>
      <c r="E24" s="326" t="s">
        <v>22</v>
      </c>
      <c r="F24" s="321">
        <f t="shared" si="1"/>
        <v>690.31</v>
      </c>
      <c r="G24" s="322">
        <f t="shared" si="2"/>
        <v>575.25773195876297</v>
      </c>
      <c r="H24" s="327">
        <v>2790</v>
      </c>
      <c r="I24" s="107">
        <f>0.045*0.15</f>
        <v>6.7499999999999999E-3</v>
      </c>
      <c r="J24" s="108" t="s">
        <v>23</v>
      </c>
      <c r="K24" s="121">
        <f t="shared" si="10"/>
        <v>3.8829896907216499</v>
      </c>
      <c r="L24" s="122">
        <f t="shared" si="9"/>
        <v>18.8325</v>
      </c>
      <c r="N24" s="61">
        <f t="shared" si="3"/>
        <v>0.15384615384615385</v>
      </c>
      <c r="O24" s="86" t="s">
        <v>94</v>
      </c>
      <c r="P24" s="57" t="s">
        <v>240</v>
      </c>
      <c r="Q24" s="37" t="s">
        <v>22</v>
      </c>
      <c r="R24" s="92">
        <f t="shared" si="4"/>
        <v>598.27</v>
      </c>
      <c r="S24" s="183">
        <f t="shared" si="5"/>
        <v>498.55670103092785</v>
      </c>
      <c r="T24" s="185">
        <v>2418</v>
      </c>
      <c r="U24" s="86" t="s">
        <v>94</v>
      </c>
      <c r="V24" s="201" t="s">
        <v>240</v>
      </c>
      <c r="W24" s="37" t="s">
        <v>22</v>
      </c>
      <c r="X24" s="183">
        <v>492.46435845213847</v>
      </c>
      <c r="Y24" s="88">
        <v>2418</v>
      </c>
      <c r="Z24" s="61">
        <f t="shared" si="11"/>
        <v>0.20899999999999999</v>
      </c>
      <c r="AA24" s="86" t="s">
        <v>94</v>
      </c>
      <c r="AB24" s="57" t="s">
        <v>240</v>
      </c>
      <c r="AC24" s="37" t="s">
        <v>22</v>
      </c>
      <c r="AD24" s="183">
        <v>404.49735530527909</v>
      </c>
      <c r="AE24" s="166">
        <v>2000</v>
      </c>
      <c r="AF24" s="61">
        <f t="shared" si="6"/>
        <v>0</v>
      </c>
      <c r="AG24" s="86" t="s">
        <v>94</v>
      </c>
      <c r="AH24" s="37" t="s">
        <v>22</v>
      </c>
      <c r="AI24" s="93">
        <v>404.04040404040404</v>
      </c>
      <c r="AJ24" s="87">
        <v>2000</v>
      </c>
      <c r="AK24" s="61">
        <f t="shared" si="7"/>
        <v>0.12864906350343958</v>
      </c>
      <c r="AL24" s="86" t="s">
        <v>94</v>
      </c>
      <c r="AM24" s="37" t="s">
        <v>91</v>
      </c>
      <c r="AN24" s="52">
        <v>357.98585858585858</v>
      </c>
      <c r="AO24" s="87">
        <v>1772.03</v>
      </c>
      <c r="AP24" s="61">
        <f t="shared" si="8"/>
        <v>0</v>
      </c>
      <c r="AQ24" s="86" t="s">
        <v>94</v>
      </c>
      <c r="AR24" s="37" t="s">
        <v>91</v>
      </c>
      <c r="AS24" s="52">
        <v>357.98585858585858</v>
      </c>
      <c r="AT24" s="87">
        <v>1772.03</v>
      </c>
    </row>
    <row r="25" spans="1:46" thickBot="1">
      <c r="A25" t="str">
        <v>Lemn 240x45 mm</v>
      </c>
      <c r="B25" s="113" t="s">
        <v>150</v>
      </c>
      <c r="C25" s="324" t="s">
        <v>95</v>
      </c>
      <c r="D25" s="325" t="s">
        <v>240</v>
      </c>
      <c r="E25" s="326" t="s">
        <v>22</v>
      </c>
      <c r="F25" s="321">
        <f t="shared" si="1"/>
        <v>580.21</v>
      </c>
      <c r="G25" s="322">
        <f t="shared" si="2"/>
        <v>483.50515463917532</v>
      </c>
      <c r="H25" s="327">
        <f>2300+45</f>
        <v>2345</v>
      </c>
      <c r="I25" s="107">
        <f>0.045*0.24</f>
        <v>1.0799999999999999E-2</v>
      </c>
      <c r="J25" s="108" t="s">
        <v>23</v>
      </c>
      <c r="K25" s="121">
        <f t="shared" si="10"/>
        <v>5.2218556701030927</v>
      </c>
      <c r="L25" s="122">
        <f t="shared" si="9"/>
        <v>25.325999999999997</v>
      </c>
      <c r="N25" s="61">
        <f t="shared" si="3"/>
        <v>0.15802469135802469</v>
      </c>
      <c r="O25" s="86" t="s">
        <v>95</v>
      </c>
      <c r="P25" s="57" t="s">
        <v>240</v>
      </c>
      <c r="Q25" s="37" t="s">
        <v>22</v>
      </c>
      <c r="R25" s="92">
        <f t="shared" si="4"/>
        <v>501.03</v>
      </c>
      <c r="S25" s="183">
        <f t="shared" si="5"/>
        <v>417.5257731958763</v>
      </c>
      <c r="T25" s="185">
        <v>2025</v>
      </c>
      <c r="U25" s="86" t="s">
        <v>95</v>
      </c>
      <c r="V25" s="201" t="s">
        <v>240</v>
      </c>
      <c r="W25" s="37" t="s">
        <v>22</v>
      </c>
      <c r="X25" s="183">
        <v>412.42362525458248</v>
      </c>
      <c r="Y25" s="88">
        <v>2025</v>
      </c>
      <c r="Z25" s="61">
        <f t="shared" si="11"/>
        <v>0.265625</v>
      </c>
      <c r="AA25" s="86" t="s">
        <v>95</v>
      </c>
      <c r="AB25" s="57" t="s">
        <v>240</v>
      </c>
      <c r="AC25" s="37" t="s">
        <v>22</v>
      </c>
      <c r="AD25" s="183">
        <v>323.59788424422328</v>
      </c>
      <c r="AE25" s="166">
        <v>1600</v>
      </c>
      <c r="AF25" s="61">
        <f t="shared" si="6"/>
        <v>0</v>
      </c>
      <c r="AG25" s="86" t="s">
        <v>95</v>
      </c>
      <c r="AH25" s="37" t="s">
        <v>22</v>
      </c>
      <c r="AI25" s="93">
        <v>323.23232323232321</v>
      </c>
      <c r="AJ25" s="87">
        <v>1600</v>
      </c>
      <c r="AK25" s="61">
        <f t="shared" si="7"/>
        <v>6.6666666666666666E-2</v>
      </c>
      <c r="AL25" s="86" t="s">
        <v>95</v>
      </c>
      <c r="AM25" s="37" t="s">
        <v>91</v>
      </c>
      <c r="AN25" s="52">
        <v>303.030303030303</v>
      </c>
      <c r="AO25" s="87">
        <v>1500</v>
      </c>
      <c r="AP25" s="61">
        <f t="shared" si="8"/>
        <v>0</v>
      </c>
      <c r="AQ25" s="86" t="s">
        <v>95</v>
      </c>
      <c r="AR25" s="37" t="s">
        <v>91</v>
      </c>
      <c r="AS25" s="52">
        <v>303.030303030303</v>
      </c>
      <c r="AT25" s="87">
        <v>1500</v>
      </c>
    </row>
    <row r="26" spans="1:46" thickBot="1">
      <c r="A26" t="str">
        <v>Lemn 240x80 mm</v>
      </c>
      <c r="B26" s="113" t="s">
        <v>163</v>
      </c>
      <c r="C26" s="324" t="s">
        <v>129</v>
      </c>
      <c r="D26" s="325" t="s">
        <v>240</v>
      </c>
      <c r="E26" s="326" t="s">
        <v>22</v>
      </c>
      <c r="F26" s="321">
        <f t="shared" si="1"/>
        <v>629.69000000000005</v>
      </c>
      <c r="G26" s="322">
        <f t="shared" si="2"/>
        <v>524.74226804123714</v>
      </c>
      <c r="H26" s="327">
        <f>2500+45</f>
        <v>2545</v>
      </c>
      <c r="I26" s="107">
        <f>0.08*0.24</f>
        <v>1.9199999999999998E-2</v>
      </c>
      <c r="J26" s="108" t="s">
        <v>23</v>
      </c>
      <c r="K26" s="121">
        <f t="shared" si="10"/>
        <v>10.075051546391753</v>
      </c>
      <c r="L26" s="122">
        <f t="shared" si="9"/>
        <v>48.863999999999997</v>
      </c>
      <c r="N26" s="61">
        <f t="shared" si="3"/>
        <v>0.25679012345679014</v>
      </c>
      <c r="O26" s="86" t="s">
        <v>129</v>
      </c>
      <c r="P26" s="57" t="s">
        <v>240</v>
      </c>
      <c r="Q26" s="37" t="s">
        <v>22</v>
      </c>
      <c r="R26" s="92">
        <f t="shared" si="4"/>
        <v>501.03</v>
      </c>
      <c r="S26" s="183">
        <f t="shared" si="5"/>
        <v>417.5257731958763</v>
      </c>
      <c r="T26" s="185">
        <v>2025</v>
      </c>
      <c r="U26" s="86" t="s">
        <v>129</v>
      </c>
      <c r="V26" s="201" t="s">
        <v>240</v>
      </c>
      <c r="W26" s="37" t="s">
        <v>22</v>
      </c>
      <c r="X26" s="183">
        <v>412.42362525458248</v>
      </c>
      <c r="Y26" s="88">
        <v>2025</v>
      </c>
      <c r="Z26" s="61">
        <f t="shared" si="11"/>
        <v>0.14601018675721561</v>
      </c>
      <c r="AA26" s="86" t="s">
        <v>129</v>
      </c>
      <c r="AB26" s="57" t="s">
        <v>240</v>
      </c>
      <c r="AC26" s="37" t="s">
        <v>22</v>
      </c>
      <c r="AD26" s="183">
        <v>357.37341341221406</v>
      </c>
      <c r="AE26" s="166">
        <v>1767</v>
      </c>
      <c r="AF26" s="61">
        <f t="shared" si="6"/>
        <v>0</v>
      </c>
      <c r="AG26" s="86" t="s">
        <v>129</v>
      </c>
      <c r="AH26" s="37" t="s">
        <v>22</v>
      </c>
      <c r="AI26" s="93">
        <v>356.96969696969694</v>
      </c>
      <c r="AJ26" s="87">
        <v>1767</v>
      </c>
      <c r="AK26" s="61">
        <f t="shared" si="7"/>
        <v>0</v>
      </c>
      <c r="AL26" s="86" t="s">
        <v>129</v>
      </c>
      <c r="AM26" s="37" t="s">
        <v>91</v>
      </c>
      <c r="AN26" s="52">
        <v>356.96969696969694</v>
      </c>
      <c r="AO26" s="87">
        <v>1767</v>
      </c>
      <c r="AP26" s="61">
        <f t="shared" si="8"/>
        <v>0</v>
      </c>
      <c r="AQ26" s="86" t="s">
        <v>129</v>
      </c>
      <c r="AR26" s="37" t="s">
        <v>91</v>
      </c>
      <c r="AS26" s="52">
        <v>356.96969696969694</v>
      </c>
      <c r="AT26" s="87">
        <v>1767</v>
      </c>
    </row>
    <row r="27" spans="1:46" thickBot="1">
      <c r="A27" t="str">
        <v>Lemn 260x45 mm</v>
      </c>
      <c r="B27" s="113" t="s">
        <v>150</v>
      </c>
      <c r="C27" s="324" t="s">
        <v>96</v>
      </c>
      <c r="D27" s="325" t="s">
        <v>240</v>
      </c>
      <c r="E27" s="326" t="s">
        <v>22</v>
      </c>
      <c r="F27" s="321">
        <f t="shared" si="1"/>
        <v>580.21</v>
      </c>
      <c r="G27" s="322">
        <f t="shared" si="2"/>
        <v>483.50515463917532</v>
      </c>
      <c r="H27" s="327">
        <f>2300+45</f>
        <v>2345</v>
      </c>
      <c r="I27" s="107">
        <f>0.045*0.26</f>
        <v>1.17E-2</v>
      </c>
      <c r="J27" s="108" t="s">
        <v>23</v>
      </c>
      <c r="K27" s="121">
        <f t="shared" si="10"/>
        <v>5.657010309278351</v>
      </c>
      <c r="L27" s="122">
        <f t="shared" si="9"/>
        <v>27.436500000000002</v>
      </c>
      <c r="N27" s="61">
        <f t="shared" si="3"/>
        <v>0.15802469135802469</v>
      </c>
      <c r="O27" s="86" t="s">
        <v>96</v>
      </c>
      <c r="P27" s="57" t="s">
        <v>240</v>
      </c>
      <c r="Q27" s="37" t="s">
        <v>22</v>
      </c>
      <c r="R27" s="92">
        <f t="shared" si="4"/>
        <v>501.03</v>
      </c>
      <c r="S27" s="183">
        <f t="shared" si="5"/>
        <v>417.5257731958763</v>
      </c>
      <c r="T27" s="185">
        <v>2025</v>
      </c>
      <c r="U27" s="86" t="s">
        <v>96</v>
      </c>
      <c r="V27" s="201" t="s">
        <v>240</v>
      </c>
      <c r="W27" s="37" t="s">
        <v>22</v>
      </c>
      <c r="X27" s="183">
        <v>412.42362525458248</v>
      </c>
      <c r="Y27" s="88">
        <v>2025</v>
      </c>
      <c r="Z27" s="61">
        <f t="shared" si="11"/>
        <v>0.265625</v>
      </c>
      <c r="AA27" s="86" t="s">
        <v>96</v>
      </c>
      <c r="AB27" s="57" t="s">
        <v>240</v>
      </c>
      <c r="AC27" s="37" t="s">
        <v>22</v>
      </c>
      <c r="AD27" s="183">
        <v>323.59788424422328</v>
      </c>
      <c r="AE27" s="166">
        <v>1600</v>
      </c>
      <c r="AF27" s="61">
        <f t="shared" si="6"/>
        <v>0</v>
      </c>
      <c r="AG27" s="86" t="s">
        <v>96</v>
      </c>
      <c r="AH27" s="37" t="s">
        <v>22</v>
      </c>
      <c r="AI27" s="93">
        <v>323.23232323232321</v>
      </c>
      <c r="AJ27" s="87">
        <v>1600</v>
      </c>
      <c r="AK27" s="61">
        <f t="shared" si="7"/>
        <v>6.6666666666666666E-2</v>
      </c>
      <c r="AL27" s="86" t="s">
        <v>96</v>
      </c>
      <c r="AM27" s="37" t="s">
        <v>91</v>
      </c>
      <c r="AN27" s="52">
        <v>303.030303030303</v>
      </c>
      <c r="AO27" s="87">
        <v>1500</v>
      </c>
      <c r="AP27" s="61">
        <f t="shared" si="8"/>
        <v>0</v>
      </c>
      <c r="AQ27" s="86" t="s">
        <v>96</v>
      </c>
      <c r="AR27" s="37" t="s">
        <v>91</v>
      </c>
      <c r="AS27" s="52">
        <v>303.030303030303</v>
      </c>
      <c r="AT27" s="87">
        <v>1500</v>
      </c>
    </row>
    <row r="28" spans="1:46" thickBot="1">
      <c r="A28" t="str">
        <v>Lemn 260x80 mm</v>
      </c>
      <c r="B28" s="113" t="s">
        <v>163</v>
      </c>
      <c r="C28" s="324" t="s">
        <v>130</v>
      </c>
      <c r="D28" s="325" t="s">
        <v>240</v>
      </c>
      <c r="E28" s="326" t="s">
        <v>22</v>
      </c>
      <c r="F28" s="321">
        <f t="shared" si="1"/>
        <v>629.69000000000005</v>
      </c>
      <c r="G28" s="322">
        <f t="shared" si="2"/>
        <v>524.74226804123714</v>
      </c>
      <c r="H28" s="327">
        <f>2500+45</f>
        <v>2545</v>
      </c>
      <c r="I28" s="107">
        <f>0.08*0.26</f>
        <v>2.0800000000000003E-2</v>
      </c>
      <c r="J28" s="108" t="s">
        <v>23</v>
      </c>
      <c r="K28" s="121">
        <f t="shared" si="10"/>
        <v>10.914639175257735</v>
      </c>
      <c r="L28" s="122">
        <f t="shared" si="9"/>
        <v>52.936000000000007</v>
      </c>
      <c r="N28" s="61">
        <f t="shared" si="3"/>
        <v>0.25679012345679014</v>
      </c>
      <c r="O28" s="86" t="s">
        <v>130</v>
      </c>
      <c r="P28" s="57" t="s">
        <v>240</v>
      </c>
      <c r="Q28" s="37" t="s">
        <v>22</v>
      </c>
      <c r="R28" s="92">
        <f t="shared" si="4"/>
        <v>501.03</v>
      </c>
      <c r="S28" s="183">
        <f t="shared" si="5"/>
        <v>417.5257731958763</v>
      </c>
      <c r="T28" s="185">
        <v>2025</v>
      </c>
      <c r="U28" s="86" t="s">
        <v>130</v>
      </c>
      <c r="V28" s="201" t="s">
        <v>240</v>
      </c>
      <c r="W28" s="37" t="s">
        <v>22</v>
      </c>
      <c r="X28" s="183">
        <v>412.42362525458248</v>
      </c>
      <c r="Y28" s="88">
        <v>2025</v>
      </c>
      <c r="Z28" s="61">
        <f t="shared" si="11"/>
        <v>0.14601018675721561</v>
      </c>
      <c r="AA28" s="86" t="s">
        <v>130</v>
      </c>
      <c r="AB28" s="57" t="s">
        <v>240</v>
      </c>
      <c r="AC28" s="37" t="s">
        <v>22</v>
      </c>
      <c r="AD28" s="183">
        <v>357.37341341221406</v>
      </c>
      <c r="AE28" s="166">
        <v>1767</v>
      </c>
      <c r="AF28" s="61">
        <f t="shared" si="6"/>
        <v>0</v>
      </c>
      <c r="AG28" s="86" t="s">
        <v>130</v>
      </c>
      <c r="AH28" s="37" t="s">
        <v>22</v>
      </c>
      <c r="AI28" s="93">
        <v>356.96969696969694</v>
      </c>
      <c r="AJ28" s="87">
        <v>1767</v>
      </c>
      <c r="AK28" s="61">
        <f t="shared" si="7"/>
        <v>0</v>
      </c>
      <c r="AL28" s="86" t="s">
        <v>130</v>
      </c>
      <c r="AM28" s="37" t="s">
        <v>91</v>
      </c>
      <c r="AN28" s="52">
        <v>356.96969696969694</v>
      </c>
      <c r="AO28" s="87">
        <v>1767</v>
      </c>
      <c r="AP28" s="61">
        <f t="shared" si="8"/>
        <v>0</v>
      </c>
      <c r="AQ28" s="86" t="s">
        <v>130</v>
      </c>
      <c r="AR28" s="37" t="s">
        <v>91</v>
      </c>
      <c r="AS28" s="52">
        <v>356.96969696969694</v>
      </c>
      <c r="AT28" s="87">
        <v>1767</v>
      </c>
    </row>
    <row r="29" spans="1:46" thickBot="1">
      <c r="A29" t="str">
        <v>Lemn 50x45 mm</v>
      </c>
      <c r="B29" s="113" t="s">
        <v>150</v>
      </c>
      <c r="C29" s="324" t="s">
        <v>97</v>
      </c>
      <c r="D29" s="325" t="s">
        <v>240</v>
      </c>
      <c r="E29" s="326" t="s">
        <v>22</v>
      </c>
      <c r="F29" s="321">
        <f t="shared" si="1"/>
        <v>629.69000000000005</v>
      </c>
      <c r="G29" s="322">
        <f t="shared" si="2"/>
        <v>524.74226804123714</v>
      </c>
      <c r="H29" s="327">
        <f>2500+45</f>
        <v>2545</v>
      </c>
      <c r="I29" s="107">
        <f>0.045*0.05</f>
        <v>2.2499999999999998E-3</v>
      </c>
      <c r="J29" s="108" t="s">
        <v>23</v>
      </c>
      <c r="K29" s="121">
        <f t="shared" si="10"/>
        <v>1.1806701030927835</v>
      </c>
      <c r="L29" s="122">
        <f t="shared" si="9"/>
        <v>5.7262499999999994</v>
      </c>
      <c r="N29" s="61">
        <f t="shared" si="3"/>
        <v>0.13111111111111112</v>
      </c>
      <c r="O29" s="86" t="s">
        <v>97</v>
      </c>
      <c r="P29" s="57" t="s">
        <v>240</v>
      </c>
      <c r="Q29" s="37" t="s">
        <v>22</v>
      </c>
      <c r="R29" s="92">
        <f t="shared" si="4"/>
        <v>556.70000000000005</v>
      </c>
      <c r="S29" s="183">
        <f t="shared" si="5"/>
        <v>463.91752577319591</v>
      </c>
      <c r="T29" s="185">
        <v>2250</v>
      </c>
      <c r="U29" s="86" t="s">
        <v>97</v>
      </c>
      <c r="V29" s="201" t="s">
        <v>240</v>
      </c>
      <c r="W29" s="37" t="s">
        <v>22</v>
      </c>
      <c r="X29" s="183">
        <v>458.24847250509163</v>
      </c>
      <c r="Y29" s="88">
        <v>2250</v>
      </c>
      <c r="Z29" s="61">
        <f t="shared" si="11"/>
        <v>0.40625</v>
      </c>
      <c r="AA29" s="86" t="s">
        <v>97</v>
      </c>
      <c r="AB29" s="57" t="s">
        <v>240</v>
      </c>
      <c r="AC29" s="37" t="s">
        <v>22</v>
      </c>
      <c r="AD29" s="183">
        <v>323.59788424422328</v>
      </c>
      <c r="AE29" s="166">
        <v>1600</v>
      </c>
      <c r="AF29" s="61">
        <f t="shared" si="6"/>
        <v>0</v>
      </c>
      <c r="AG29" s="86" t="s">
        <v>97</v>
      </c>
      <c r="AH29" s="37" t="s">
        <v>22</v>
      </c>
      <c r="AI29" s="93">
        <v>323.23232323232321</v>
      </c>
      <c r="AJ29" s="87">
        <v>1600</v>
      </c>
      <c r="AK29" s="61">
        <f t="shared" si="7"/>
        <v>0.14283265358599462</v>
      </c>
      <c r="AL29" s="86" t="s">
        <v>97</v>
      </c>
      <c r="AM29" s="37" t="s">
        <v>91</v>
      </c>
      <c r="AN29" s="52">
        <v>282.8343434343434</v>
      </c>
      <c r="AO29" s="87">
        <v>1400.03</v>
      </c>
      <c r="AP29" s="61">
        <f t="shared" si="8"/>
        <v>0</v>
      </c>
      <c r="AQ29" s="86" t="s">
        <v>97</v>
      </c>
      <c r="AR29" s="37" t="s">
        <v>91</v>
      </c>
      <c r="AS29" s="52">
        <v>282.8343434343434</v>
      </c>
      <c r="AT29" s="87">
        <v>1400.03</v>
      </c>
    </row>
    <row r="30" spans="1:46" thickBot="1">
      <c r="A30" t="str">
        <v>Lemn 50x45 mm talpa</v>
      </c>
      <c r="B30" s="113" t="s">
        <v>149</v>
      </c>
      <c r="C30" s="324" t="s">
        <v>98</v>
      </c>
      <c r="D30" s="325" t="s">
        <v>240</v>
      </c>
      <c r="E30" s="326" t="s">
        <v>22</v>
      </c>
      <c r="F30" s="321">
        <f t="shared" si="1"/>
        <v>727.08</v>
      </c>
      <c r="G30" s="322">
        <f t="shared" si="2"/>
        <v>605.89690721649492</v>
      </c>
      <c r="H30" s="327">
        <f>2545+80*4.92</f>
        <v>2938.6</v>
      </c>
      <c r="I30" s="107">
        <f>0.045*0.05</f>
        <v>2.2499999999999998E-3</v>
      </c>
      <c r="J30" s="108" t="s">
        <v>23</v>
      </c>
      <c r="K30" s="121">
        <f t="shared" si="10"/>
        <v>1.3632680412371134</v>
      </c>
      <c r="L30" s="122">
        <f t="shared" si="9"/>
        <v>6.6118499999999996</v>
      </c>
      <c r="N30" s="61">
        <f t="shared" si="3"/>
        <v>0.13301974090067858</v>
      </c>
      <c r="O30" s="86" t="s">
        <v>98</v>
      </c>
      <c r="P30" s="57" t="s">
        <v>240</v>
      </c>
      <c r="Q30" s="37" t="s">
        <v>22</v>
      </c>
      <c r="R30" s="92">
        <f t="shared" si="4"/>
        <v>641.72</v>
      </c>
      <c r="S30" s="183">
        <f t="shared" si="5"/>
        <v>534.76288659793818</v>
      </c>
      <c r="T30" s="185">
        <f>2200+80*4.92</f>
        <v>2593.6</v>
      </c>
      <c r="U30" s="86" t="s">
        <v>98</v>
      </c>
      <c r="V30" s="201" t="s">
        <v>240</v>
      </c>
      <c r="W30" s="37" t="s">
        <v>22</v>
      </c>
      <c r="X30" s="183">
        <v>528.22810590631366</v>
      </c>
      <c r="Y30" s="88">
        <v>2593.6</v>
      </c>
      <c r="Z30" s="61">
        <f t="shared" si="11"/>
        <v>0.29679999999999995</v>
      </c>
      <c r="AA30" s="86" t="s">
        <v>98</v>
      </c>
      <c r="AB30" s="57" t="s">
        <v>240</v>
      </c>
      <c r="AC30" s="37" t="s">
        <v>22</v>
      </c>
      <c r="AD30" s="183">
        <v>404.49735530527909</v>
      </c>
      <c r="AE30" s="166">
        <v>2000</v>
      </c>
      <c r="AF30" s="61">
        <f t="shared" si="6"/>
        <v>0</v>
      </c>
      <c r="AG30" s="86" t="s">
        <v>98</v>
      </c>
      <c r="AH30" s="37" t="s">
        <v>22</v>
      </c>
      <c r="AI30" s="93">
        <v>404.04040404040404</v>
      </c>
      <c r="AJ30" s="87">
        <v>2000</v>
      </c>
      <c r="AK30" s="61">
        <f t="shared" si="7"/>
        <v>0.12864906350343958</v>
      </c>
      <c r="AL30" s="86" t="s">
        <v>98</v>
      </c>
      <c r="AM30" s="37" t="s">
        <v>91</v>
      </c>
      <c r="AN30" s="52">
        <v>357.98585858585858</v>
      </c>
      <c r="AO30" s="87">
        <v>1772.03</v>
      </c>
      <c r="AP30" s="61">
        <f t="shared" si="8"/>
        <v>0</v>
      </c>
      <c r="AQ30" s="86" t="s">
        <v>98</v>
      </c>
      <c r="AR30" s="37" t="s">
        <v>91</v>
      </c>
      <c r="AS30" s="52">
        <v>357.98585858585858</v>
      </c>
      <c r="AT30" s="87">
        <v>1772.03</v>
      </c>
    </row>
    <row r="31" spans="1:46" thickBot="1">
      <c r="A31" t="str">
        <v>Lemn Stratificat</v>
      </c>
      <c r="B31" s="113" t="s">
        <v>143</v>
      </c>
      <c r="C31" s="324" t="s">
        <v>9</v>
      </c>
      <c r="D31" s="325"/>
      <c r="E31" s="326" t="s">
        <v>22</v>
      </c>
      <c r="F31" s="321">
        <f t="shared" si="1"/>
        <v>1039.18</v>
      </c>
      <c r="G31" s="322">
        <f t="shared" si="2"/>
        <v>865.97938144329908</v>
      </c>
      <c r="H31" s="327">
        <v>4200</v>
      </c>
      <c r="I31" s="107"/>
      <c r="J31" s="108"/>
      <c r="K31" s="109"/>
      <c r="L31" s="108"/>
      <c r="N31" s="61">
        <f t="shared" si="3"/>
        <v>4.7846889952153108E-3</v>
      </c>
      <c r="O31" s="86" t="s">
        <v>9</v>
      </c>
      <c r="P31" s="57"/>
      <c r="Q31" s="37" t="s">
        <v>22</v>
      </c>
      <c r="R31" s="92">
        <f t="shared" si="4"/>
        <v>1034.23</v>
      </c>
      <c r="S31" s="183">
        <f t="shared" si="5"/>
        <v>861.85567010309285</v>
      </c>
      <c r="T31" s="185">
        <v>4180</v>
      </c>
      <c r="U31" s="86" t="s">
        <v>9</v>
      </c>
      <c r="V31" s="201"/>
      <c r="W31" s="37" t="s">
        <v>22</v>
      </c>
      <c r="X31" s="183">
        <v>851.32382892057024</v>
      </c>
      <c r="Y31" s="88">
        <v>4180</v>
      </c>
      <c r="Z31" s="61">
        <f t="shared" si="11"/>
        <v>4.4999999999999998E-2</v>
      </c>
      <c r="AA31" s="86" t="s">
        <v>9</v>
      </c>
      <c r="AB31" s="57"/>
      <c r="AC31" s="37" t="s">
        <v>22</v>
      </c>
      <c r="AD31" s="183">
        <v>808.99471061055817</v>
      </c>
      <c r="AE31" s="185">
        <v>4000</v>
      </c>
      <c r="AF31" s="61">
        <f t="shared" si="6"/>
        <v>0</v>
      </c>
      <c r="AG31" s="86" t="s">
        <v>9</v>
      </c>
      <c r="AH31" s="37" t="s">
        <v>22</v>
      </c>
      <c r="AI31" s="119">
        <v>811.79789122508998</v>
      </c>
      <c r="AJ31" s="120">
        <v>4000</v>
      </c>
      <c r="AK31" s="61">
        <f t="shared" si="7"/>
        <v>-2.3693727397431103E-3</v>
      </c>
      <c r="AL31" s="86" t="s">
        <v>9</v>
      </c>
      <c r="AM31" s="37" t="s">
        <v>86</v>
      </c>
      <c r="AN31" s="52">
        <v>810</v>
      </c>
      <c r="AO31" s="87">
        <v>4009.5</v>
      </c>
      <c r="AP31" s="61">
        <f t="shared" si="8"/>
        <v>0</v>
      </c>
      <c r="AQ31" s="86" t="s">
        <v>9</v>
      </c>
      <c r="AR31" s="37" t="s">
        <v>86</v>
      </c>
      <c r="AS31" s="52">
        <v>810</v>
      </c>
      <c r="AT31" s="87">
        <v>4009.5</v>
      </c>
    </row>
    <row r="32" spans="1:46" thickBot="1">
      <c r="A32" t="str">
        <v>OSB 8 mm 2,5x1,25 m</v>
      </c>
      <c r="B32" s="113" t="s">
        <v>147</v>
      </c>
      <c r="C32" s="324" t="s">
        <v>103</v>
      </c>
      <c r="D32" s="325"/>
      <c r="E32" s="326" t="s">
        <v>21</v>
      </c>
      <c r="F32" s="321">
        <f>IF(E32="","",ROUND(G32*(1+$F$2),2))</f>
        <v>3.09</v>
      </c>
      <c r="G32" s="322">
        <f t="shared" si="2"/>
        <v>2.57319587628866</v>
      </c>
      <c r="H32" s="327">
        <v>12.48</v>
      </c>
      <c r="I32" s="107"/>
      <c r="J32" s="108"/>
      <c r="K32" s="109"/>
      <c r="L32" s="108"/>
      <c r="N32" s="61">
        <f t="shared" si="3"/>
        <v>-0.50574257425742575</v>
      </c>
      <c r="O32" s="86" t="s">
        <v>99</v>
      </c>
      <c r="P32" s="57"/>
      <c r="Q32" s="37" t="s">
        <v>21</v>
      </c>
      <c r="R32" s="92">
        <f t="shared" si="4"/>
        <v>6.25</v>
      </c>
      <c r="S32" s="183">
        <f t="shared" si="5"/>
        <v>5.2061855670103094</v>
      </c>
      <c r="T32" s="166">
        <v>25.25</v>
      </c>
      <c r="U32" s="86" t="s">
        <v>99</v>
      </c>
      <c r="V32" s="201"/>
      <c r="W32" s="37" t="s">
        <v>21</v>
      </c>
      <c r="X32" s="183">
        <v>4.5784114052953155</v>
      </c>
      <c r="Y32" s="203">
        <v>22.48</v>
      </c>
      <c r="Z32" s="61">
        <f t="shared" si="11"/>
        <v>-3.6433776253750445E-2</v>
      </c>
      <c r="AA32" s="86" t="s">
        <v>99</v>
      </c>
      <c r="AB32" s="57"/>
      <c r="AC32" s="37" t="s">
        <v>21</v>
      </c>
      <c r="AD32" s="183">
        <v>4.7184616496360805</v>
      </c>
      <c r="AE32" s="166">
        <v>23.33</v>
      </c>
      <c r="AF32" s="61">
        <f t="shared" si="6"/>
        <v>3.2233872743285246E-3</v>
      </c>
      <c r="AG32" s="86" t="s">
        <v>99</v>
      </c>
      <c r="AH32" s="37" t="s">
        <v>21</v>
      </c>
      <c r="AI32" s="93">
        <v>4.7195981080887783</v>
      </c>
      <c r="AJ32" s="87">
        <v>23.255039999999997</v>
      </c>
      <c r="AK32" s="61">
        <f t="shared" si="7"/>
        <v>0.3228122866894198</v>
      </c>
      <c r="AL32" s="86" t="s">
        <v>99</v>
      </c>
      <c r="AM32" s="37" t="s">
        <v>86</v>
      </c>
      <c r="AN32" s="52">
        <v>3.5515151515151517</v>
      </c>
      <c r="AO32" s="87">
        <v>17.579999999999998</v>
      </c>
      <c r="AP32" s="61">
        <f t="shared" si="8"/>
        <v>0</v>
      </c>
      <c r="AQ32" s="86" t="s">
        <v>99</v>
      </c>
      <c r="AR32" s="37" t="s">
        <v>86</v>
      </c>
      <c r="AS32" s="52">
        <v>3.5515151515151517</v>
      </c>
      <c r="AT32" s="87">
        <v>17.579999999999998</v>
      </c>
    </row>
    <row r="33" spans="1:46" thickBot="1">
      <c r="A33" t="str">
        <v>OSB 9 mm 2,5x1,25 m</v>
      </c>
      <c r="B33" s="113" t="s">
        <v>147</v>
      </c>
      <c r="C33" s="324" t="s">
        <v>121</v>
      </c>
      <c r="D33" s="325"/>
      <c r="E33" s="326" t="s">
        <v>21</v>
      </c>
      <c r="F33" s="321">
        <f>IF(E33="","",ROUND(G33*(1+$F$2),2))</f>
        <v>3.21</v>
      </c>
      <c r="G33" s="322">
        <f t="shared" si="2"/>
        <v>2.6721649484536085</v>
      </c>
      <c r="H33" s="327">
        <v>12.96</v>
      </c>
      <c r="I33" s="107"/>
      <c r="J33" s="108"/>
      <c r="K33" s="109"/>
      <c r="L33" s="108"/>
      <c r="N33" s="61">
        <f t="shared" si="3"/>
        <v>-0.590521327014218</v>
      </c>
      <c r="O33" s="86" t="s">
        <v>100</v>
      </c>
      <c r="P33" s="57"/>
      <c r="Q33" s="37" t="s">
        <v>21</v>
      </c>
      <c r="R33" s="92">
        <f t="shared" si="4"/>
        <v>7.83</v>
      </c>
      <c r="S33" s="183">
        <f t="shared" si="5"/>
        <v>6.5257731958762886</v>
      </c>
      <c r="T33" s="166">
        <v>31.65</v>
      </c>
      <c r="U33" s="86" t="s">
        <v>100</v>
      </c>
      <c r="V33" s="201"/>
      <c r="W33" s="37" t="s">
        <v>21</v>
      </c>
      <c r="X33" s="183">
        <v>5.8615071283095723</v>
      </c>
      <c r="Y33" s="203">
        <v>28.78</v>
      </c>
      <c r="Z33" s="61">
        <f t="shared" si="11"/>
        <v>-9.9350506384851944E-3</v>
      </c>
      <c r="AA33" s="86" t="s">
        <v>100</v>
      </c>
      <c r="AB33" s="57"/>
      <c r="AC33" s="37" t="s">
        <v>21</v>
      </c>
      <c r="AD33" s="183">
        <v>5.8791263609490478</v>
      </c>
      <c r="AE33" s="166">
        <v>29.0688</v>
      </c>
      <c r="AF33" s="61">
        <f t="shared" si="6"/>
        <v>0</v>
      </c>
      <c r="AG33" s="86" t="s">
        <v>100</v>
      </c>
      <c r="AH33" s="37" t="s">
        <v>21</v>
      </c>
      <c r="AI33" s="93">
        <v>5.8994976351109738</v>
      </c>
      <c r="AJ33" s="87">
        <v>29.0688</v>
      </c>
      <c r="AK33" s="61">
        <f t="shared" si="7"/>
        <v>-0.44609756097560971</v>
      </c>
      <c r="AL33" s="86" t="s">
        <v>100</v>
      </c>
      <c r="AM33" s="37" t="s">
        <v>86</v>
      </c>
      <c r="AN33" s="52">
        <v>10.602020202020201</v>
      </c>
      <c r="AO33" s="87">
        <v>52.48</v>
      </c>
      <c r="AP33" s="61">
        <f t="shared" si="8"/>
        <v>0</v>
      </c>
      <c r="AQ33" s="86" t="s">
        <v>100</v>
      </c>
      <c r="AR33" s="37" t="s">
        <v>86</v>
      </c>
      <c r="AS33" s="52">
        <v>10.602020202020201</v>
      </c>
      <c r="AT33" s="87">
        <v>52.48</v>
      </c>
    </row>
    <row r="34" spans="1:46" thickBot="1">
      <c r="A34" t="str">
        <v>OSB 12 mm 2,5x1,25 m</v>
      </c>
      <c r="B34" s="113" t="s">
        <v>148</v>
      </c>
      <c r="C34" s="324" t="s">
        <v>99</v>
      </c>
      <c r="D34" s="325"/>
      <c r="E34" s="326" t="s">
        <v>21</v>
      </c>
      <c r="F34" s="321">
        <f t="shared" si="1"/>
        <v>5.24</v>
      </c>
      <c r="G34" s="322">
        <f t="shared" si="2"/>
        <v>4.3690721649484541</v>
      </c>
      <c r="H34" s="327">
        <v>21.19</v>
      </c>
      <c r="I34" s="107"/>
      <c r="J34" s="108"/>
      <c r="K34" s="109"/>
      <c r="L34" s="108"/>
      <c r="N34" s="61">
        <f t="shared" si="3"/>
        <v>-0.72417473706133506</v>
      </c>
      <c r="O34" s="86" t="s">
        <v>139</v>
      </c>
      <c r="P34" s="57"/>
      <c r="Q34" s="37" t="s">
        <v>21</v>
      </c>
      <c r="R34" s="92">
        <f t="shared" si="4"/>
        <v>19.010000000000002</v>
      </c>
      <c r="S34" s="183">
        <f t="shared" si="5"/>
        <v>15.840000000000002</v>
      </c>
      <c r="T34" s="166">
        <v>76.823999999999998</v>
      </c>
      <c r="U34" s="86" t="s">
        <v>139</v>
      </c>
      <c r="V34" s="201"/>
      <c r="W34" s="37" t="s">
        <v>21</v>
      </c>
      <c r="X34" s="183">
        <v>13.926680244399185</v>
      </c>
      <c r="Y34" s="203">
        <v>68.38</v>
      </c>
      <c r="Z34" s="61">
        <f t="shared" si="11"/>
        <v>-0.10991356867645531</v>
      </c>
      <c r="AA34" s="86" t="s">
        <v>139</v>
      </c>
      <c r="AB34" s="57"/>
      <c r="AC34" s="37" t="s">
        <v>21</v>
      </c>
      <c r="AD34" s="183">
        <v>15.537552411986379</v>
      </c>
      <c r="AE34" s="166">
        <v>76.823999999999998</v>
      </c>
      <c r="AF34" s="61">
        <f t="shared" si="6"/>
        <v>0</v>
      </c>
      <c r="AG34" s="86" t="s">
        <v>139</v>
      </c>
      <c r="AH34" s="37" t="s">
        <v>21</v>
      </c>
      <c r="AI34" s="93">
        <v>15.591390298869078</v>
      </c>
      <c r="AJ34" s="87">
        <v>76.823999999999998</v>
      </c>
      <c r="AK34" s="61">
        <f t="shared" si="7"/>
        <v>-7.809449433815212E-5</v>
      </c>
      <c r="AL34" s="86" t="s">
        <v>139</v>
      </c>
      <c r="AM34" s="37" t="s">
        <v>86</v>
      </c>
      <c r="AN34" s="52">
        <v>15.52</v>
      </c>
      <c r="AO34" s="87">
        <v>76.83</v>
      </c>
      <c r="AP34" s="61">
        <f t="shared" si="8"/>
        <v>0</v>
      </c>
      <c r="AQ34" s="86" t="s">
        <v>139</v>
      </c>
      <c r="AR34" s="37" t="s">
        <v>86</v>
      </c>
      <c r="AS34" s="52">
        <v>15.52</v>
      </c>
      <c r="AT34" s="87">
        <v>76.83</v>
      </c>
    </row>
    <row r="35" spans="1:46" thickBot="1">
      <c r="A35" t="str">
        <v>OSB 15 mm 2,5x1,25 m</v>
      </c>
      <c r="B35" s="113" t="s">
        <v>147</v>
      </c>
      <c r="C35" s="324" t="s">
        <v>100</v>
      </c>
      <c r="D35" s="325"/>
      <c r="E35" s="326" t="s">
        <v>21</v>
      </c>
      <c r="F35" s="321">
        <f t="shared" si="1"/>
        <v>5.12</v>
      </c>
      <c r="G35" s="322">
        <f t="shared" si="2"/>
        <v>4.268041237113402</v>
      </c>
      <c r="H35" s="327">
        <v>20.7</v>
      </c>
      <c r="I35" s="107"/>
      <c r="J35" s="108"/>
      <c r="K35" s="109"/>
      <c r="L35" s="108"/>
      <c r="N35" s="61">
        <f t="shared" si="3"/>
        <v>-0.47937625754527163</v>
      </c>
      <c r="O35" s="86" t="s">
        <v>101</v>
      </c>
      <c r="P35" s="57"/>
      <c r="Q35" s="37" t="s">
        <v>21</v>
      </c>
      <c r="R35" s="92">
        <f t="shared" si="4"/>
        <v>9.84</v>
      </c>
      <c r="S35" s="183">
        <f t="shared" si="5"/>
        <v>8.197938144329898</v>
      </c>
      <c r="T35" s="166">
        <v>39.76</v>
      </c>
      <c r="U35" s="86" t="s">
        <v>101</v>
      </c>
      <c r="V35" s="201"/>
      <c r="W35" s="37" t="s">
        <v>21</v>
      </c>
      <c r="X35" s="183">
        <v>5.9979633401221992</v>
      </c>
      <c r="Y35" s="203">
        <v>29.45</v>
      </c>
      <c r="Z35" s="61">
        <f t="shared" si="11"/>
        <v>-0.15573856964626448</v>
      </c>
      <c r="AA35" s="86" t="s">
        <v>101</v>
      </c>
      <c r="AB35" s="57"/>
      <c r="AC35" s="37" t="s">
        <v>21</v>
      </c>
      <c r="AD35" s="183">
        <v>7.0549516331388578</v>
      </c>
      <c r="AE35" s="166">
        <v>34.882559999999998</v>
      </c>
      <c r="AF35" s="61">
        <f t="shared" si="6"/>
        <v>0</v>
      </c>
      <c r="AG35" s="86" t="s">
        <v>101</v>
      </c>
      <c r="AH35" s="37" t="s">
        <v>21</v>
      </c>
      <c r="AI35" s="93">
        <v>7.0793971621331675</v>
      </c>
      <c r="AJ35" s="87">
        <v>34.882559999999998</v>
      </c>
      <c r="AK35" s="61">
        <f t="shared" si="7"/>
        <v>-0.47466024096385551</v>
      </c>
      <c r="AL35" s="86" t="s">
        <v>101</v>
      </c>
      <c r="AM35" s="37" t="s">
        <v>86</v>
      </c>
      <c r="AN35" s="52">
        <v>13.414141414141412</v>
      </c>
      <c r="AO35" s="87">
        <v>66.400000000000006</v>
      </c>
      <c r="AP35" s="61">
        <f t="shared" si="8"/>
        <v>0</v>
      </c>
      <c r="AQ35" s="86" t="s">
        <v>101</v>
      </c>
      <c r="AR35" s="37" t="s">
        <v>86</v>
      </c>
      <c r="AS35" s="52">
        <v>13.414141414141412</v>
      </c>
      <c r="AT35" s="87">
        <v>66.400000000000006</v>
      </c>
    </row>
    <row r="36" spans="1:46" thickBot="1">
      <c r="A36" t="str">
        <v>OSB 16 mm RF</v>
      </c>
      <c r="B36" s="113" t="s">
        <v>147</v>
      </c>
      <c r="C36" s="324" t="s">
        <v>139</v>
      </c>
      <c r="D36" s="325"/>
      <c r="E36" s="326" t="s">
        <v>21</v>
      </c>
      <c r="F36" s="321">
        <f t="shared" si="1"/>
        <v>19.010000000000002</v>
      </c>
      <c r="G36" s="322">
        <f t="shared" si="2"/>
        <v>15.840000000000002</v>
      </c>
      <c r="H36" s="327">
        <v>76.823999999999998</v>
      </c>
      <c r="I36" s="107"/>
      <c r="J36" s="108"/>
      <c r="K36" s="109"/>
      <c r="L36" s="108"/>
      <c r="N36" s="61">
        <f t="shared" ref="N36:N69" si="12">(H36-T36)/T36</f>
        <v>0.66465872156013006</v>
      </c>
      <c r="O36" s="86" t="s">
        <v>102</v>
      </c>
      <c r="P36" s="57"/>
      <c r="Q36" s="37" t="s">
        <v>21</v>
      </c>
      <c r="R36" s="92">
        <f t="shared" si="4"/>
        <v>11.42</v>
      </c>
      <c r="S36" s="183">
        <f t="shared" si="5"/>
        <v>9.5154639175257731</v>
      </c>
      <c r="T36" s="166">
        <v>46.15</v>
      </c>
      <c r="U36" s="86" t="s">
        <v>102</v>
      </c>
      <c r="V36" s="201"/>
      <c r="W36" s="37" t="s">
        <v>21</v>
      </c>
      <c r="X36" s="183">
        <v>8.5437881873727086</v>
      </c>
      <c r="Y36" s="203">
        <v>41.95</v>
      </c>
      <c r="Z36" s="61">
        <f t="shared" si="11"/>
        <v>-1.6403436374549742E-2</v>
      </c>
      <c r="AA36" s="86" t="s">
        <v>102</v>
      </c>
      <c r="AB36" s="57"/>
      <c r="AC36" s="37" t="s">
        <v>21</v>
      </c>
      <c r="AD36" s="183">
        <v>8.6258252024140152</v>
      </c>
      <c r="AE36" s="166">
        <v>42.6496</v>
      </c>
      <c r="AF36" s="61">
        <f t="shared" si="6"/>
        <v>0</v>
      </c>
      <c r="AG36" s="86" t="s">
        <v>102</v>
      </c>
      <c r="AH36" s="37" t="s">
        <v>21</v>
      </c>
      <c r="AI36" s="93">
        <v>8.655713835398398</v>
      </c>
      <c r="AJ36" s="87">
        <v>42.6496</v>
      </c>
      <c r="AK36" s="61">
        <f t="shared" si="7"/>
        <v>-0.44466666666666665</v>
      </c>
      <c r="AL36" s="86" t="s">
        <v>102</v>
      </c>
      <c r="AM36" s="37" t="s">
        <v>86</v>
      </c>
      <c r="AN36" s="52">
        <v>15.515151515151514</v>
      </c>
      <c r="AO36" s="87">
        <v>76.8</v>
      </c>
      <c r="AP36" s="61">
        <f t="shared" si="8"/>
        <v>0</v>
      </c>
      <c r="AQ36" s="86" t="s">
        <v>102</v>
      </c>
      <c r="AR36" s="37" t="s">
        <v>86</v>
      </c>
      <c r="AS36" s="52">
        <v>15.515151515151514</v>
      </c>
      <c r="AT36" s="87">
        <v>76.8</v>
      </c>
    </row>
    <row r="37" spans="1:46" thickBot="1">
      <c r="A37" t="str">
        <v>OSB 18 mm 2,5x1,25 m</v>
      </c>
      <c r="B37" s="113" t="s">
        <v>147</v>
      </c>
      <c r="C37" s="324" t="s">
        <v>101</v>
      </c>
      <c r="D37" s="325"/>
      <c r="E37" s="326" t="s">
        <v>21</v>
      </c>
      <c r="F37" s="321">
        <f t="shared" si="1"/>
        <v>9.84</v>
      </c>
      <c r="G37" s="322">
        <f t="shared" si="2"/>
        <v>8.197938144329898</v>
      </c>
      <c r="H37" s="327">
        <v>39.76</v>
      </c>
      <c r="I37" s="107"/>
      <c r="J37" s="108"/>
      <c r="K37" s="109"/>
      <c r="L37" s="108"/>
      <c r="N37" s="61">
        <f t="shared" si="12"/>
        <v>1.1115241635687734</v>
      </c>
      <c r="O37" s="86" t="s">
        <v>103</v>
      </c>
      <c r="P37" s="57"/>
      <c r="Q37" s="37" t="s">
        <v>21</v>
      </c>
      <c r="R37" s="92">
        <f t="shared" si="4"/>
        <v>4.66</v>
      </c>
      <c r="S37" s="183">
        <f t="shared" si="5"/>
        <v>3.8824742268041237</v>
      </c>
      <c r="T37" s="166">
        <v>18.829999999999998</v>
      </c>
      <c r="U37" s="86" t="s">
        <v>103</v>
      </c>
      <c r="V37" s="201"/>
      <c r="W37" s="37" t="s">
        <v>21</v>
      </c>
      <c r="X37" s="183">
        <v>3.3421588594704685</v>
      </c>
      <c r="Y37" s="203">
        <v>16.41</v>
      </c>
      <c r="Z37" s="61">
        <f t="shared" si="11"/>
        <v>1.6728624535315959E-2</v>
      </c>
      <c r="AA37" s="86" t="s">
        <v>103</v>
      </c>
      <c r="AB37" s="57"/>
      <c r="AC37" s="37" t="s">
        <v>21</v>
      </c>
      <c r="AD37" s="183">
        <v>3.2642936573136021</v>
      </c>
      <c r="AE37" s="166">
        <v>16.14</v>
      </c>
      <c r="AF37" s="61">
        <f t="shared" si="6"/>
        <v>4.1064646631439883E-2</v>
      </c>
      <c r="AG37" s="86" t="s">
        <v>103</v>
      </c>
      <c r="AH37" s="37" t="s">
        <v>21</v>
      </c>
      <c r="AI37" s="93">
        <v>3.1463987387258525</v>
      </c>
      <c r="AJ37" s="87">
        <v>15.503360000000001</v>
      </c>
      <c r="AK37" s="61">
        <f t="shared" si="7"/>
        <v>-0.16513947226709744</v>
      </c>
      <c r="AL37" s="86" t="s">
        <v>103</v>
      </c>
      <c r="AM37" s="37" t="s">
        <v>86</v>
      </c>
      <c r="AN37" s="52">
        <v>3.75</v>
      </c>
      <c r="AO37" s="87">
        <v>18.57</v>
      </c>
      <c r="AP37" s="61">
        <f t="shared" si="8"/>
        <v>0</v>
      </c>
      <c r="AQ37" s="86" t="s">
        <v>103</v>
      </c>
      <c r="AR37" s="37" t="s">
        <v>86</v>
      </c>
      <c r="AS37" s="52">
        <v>3.75</v>
      </c>
      <c r="AT37" s="87">
        <v>18.57</v>
      </c>
    </row>
    <row r="38" spans="1:46" thickBot="1">
      <c r="A38" t="str">
        <v>OSB 22 mm 2,5x1,25 m</v>
      </c>
      <c r="B38" s="113" t="s">
        <v>147</v>
      </c>
      <c r="C38" s="324" t="s">
        <v>102</v>
      </c>
      <c r="D38" s="325"/>
      <c r="E38" s="326" t="s">
        <v>21</v>
      </c>
      <c r="F38" s="321">
        <f t="shared" si="1"/>
        <v>7.59</v>
      </c>
      <c r="G38" s="322">
        <f t="shared" si="2"/>
        <v>6.3257731958762893</v>
      </c>
      <c r="H38" s="327">
        <v>30.68</v>
      </c>
      <c r="I38" s="107"/>
      <c r="J38" s="108"/>
      <c r="K38" s="109"/>
      <c r="L38" s="108"/>
      <c r="N38" s="61">
        <f t="shared" si="12"/>
        <v>0.39454545454545453</v>
      </c>
      <c r="O38" s="86" t="s">
        <v>121</v>
      </c>
      <c r="P38" s="57"/>
      <c r="Q38" s="37" t="s">
        <v>21</v>
      </c>
      <c r="R38" s="92">
        <f t="shared" si="4"/>
        <v>5.44</v>
      </c>
      <c r="S38" s="183">
        <f t="shared" si="5"/>
        <v>4.5360824742268049</v>
      </c>
      <c r="T38" s="166">
        <v>22</v>
      </c>
      <c r="U38" s="86" t="s">
        <v>121</v>
      </c>
      <c r="V38" s="201"/>
      <c r="W38" s="37" t="s">
        <v>21</v>
      </c>
      <c r="X38" s="183">
        <v>4.4806517311608962</v>
      </c>
      <c r="Y38" s="88">
        <v>22</v>
      </c>
      <c r="Z38" s="61">
        <f t="shared" si="11"/>
        <v>0.26137531190371355</v>
      </c>
      <c r="AA38" s="86" t="s">
        <v>121</v>
      </c>
      <c r="AB38" s="57"/>
      <c r="AC38" s="37" t="s">
        <v>21</v>
      </c>
      <c r="AD38" s="183">
        <v>3.5274758165694289</v>
      </c>
      <c r="AE38" s="166">
        <v>17.441279999999999</v>
      </c>
      <c r="AF38" s="61">
        <f t="shared" si="6"/>
        <v>0</v>
      </c>
      <c r="AG38" s="86" t="s">
        <v>121</v>
      </c>
      <c r="AH38" s="37" t="s">
        <v>21</v>
      </c>
      <c r="AI38" s="93">
        <v>3.5396985810665837</v>
      </c>
      <c r="AJ38" s="87">
        <v>17.441279999999999</v>
      </c>
      <c r="AK38" s="61">
        <f t="shared" si="7"/>
        <v>-0.53114838709677425</v>
      </c>
      <c r="AL38" s="86" t="s">
        <v>121</v>
      </c>
      <c r="AM38" s="37" t="s">
        <v>86</v>
      </c>
      <c r="AN38" s="52">
        <v>7.5151515151515156</v>
      </c>
      <c r="AO38" s="87">
        <v>37.200000000000003</v>
      </c>
      <c r="AP38" s="61">
        <f t="shared" si="8"/>
        <v>0</v>
      </c>
      <c r="AQ38" s="86" t="s">
        <v>121</v>
      </c>
      <c r="AR38" s="37" t="s">
        <v>86</v>
      </c>
      <c r="AS38" s="52">
        <v>7.5151515151515156</v>
      </c>
      <c r="AT38" s="87">
        <v>37.200000000000003</v>
      </c>
    </row>
    <row r="39" spans="1:46" thickBot="1">
      <c r="A39" t="str">
        <v>OSB3 22 mm RL</v>
      </c>
      <c r="B39" s="113" t="s">
        <v>239</v>
      </c>
      <c r="C39" s="324" t="s">
        <v>416</v>
      </c>
      <c r="D39" s="325"/>
      <c r="E39" s="326" t="s">
        <v>21</v>
      </c>
      <c r="F39" s="321">
        <f>IF(E39="","",ROUND(G39*(1+$F$2),2))</f>
        <v>8.35</v>
      </c>
      <c r="G39" s="322">
        <f t="shared" si="2"/>
        <v>6.9587628865979383</v>
      </c>
      <c r="H39" s="331">
        <v>33.75</v>
      </c>
      <c r="I39" s="107"/>
      <c r="J39" s="108"/>
      <c r="K39" s="109"/>
      <c r="L39" s="108"/>
      <c r="N39" s="61">
        <f t="shared" si="12"/>
        <v>-0.66249999999999998</v>
      </c>
      <c r="O39" s="86" t="s">
        <v>238</v>
      </c>
      <c r="P39" s="57"/>
      <c r="Q39" s="37" t="s">
        <v>21</v>
      </c>
      <c r="R39" s="92">
        <f t="shared" si="4"/>
        <v>24.74</v>
      </c>
      <c r="S39" s="183">
        <f t="shared" si="5"/>
        <v>20.618556701030929</v>
      </c>
      <c r="T39" s="166">
        <v>100</v>
      </c>
      <c r="U39" s="86" t="s">
        <v>238</v>
      </c>
      <c r="V39" s="201"/>
      <c r="W39" s="37" t="s">
        <v>21</v>
      </c>
      <c r="X39" s="183">
        <v>20.366598778004072</v>
      </c>
      <c r="Y39" s="88">
        <v>100</v>
      </c>
      <c r="Z39" s="61">
        <f t="shared" si="11"/>
        <v>0</v>
      </c>
      <c r="AA39" s="86" t="s">
        <v>238</v>
      </c>
      <c r="AB39" s="57"/>
      <c r="AC39" s="37" t="s">
        <v>21</v>
      </c>
      <c r="AD39" s="183">
        <v>20.224867765263955</v>
      </c>
      <c r="AE39" s="185">
        <v>100</v>
      </c>
      <c r="AF39" s="61">
        <f t="shared" si="6"/>
        <v>0</v>
      </c>
      <c r="AG39" s="86" t="s">
        <v>238</v>
      </c>
      <c r="AH39" s="37" t="s">
        <v>21</v>
      </c>
      <c r="AI39" s="119">
        <v>20.294947280627248</v>
      </c>
      <c r="AJ39" s="120">
        <v>100</v>
      </c>
      <c r="AK39" s="61">
        <f t="shared" si="7"/>
        <v>7.5268817204301078E-2</v>
      </c>
      <c r="AL39" s="86" t="s">
        <v>132</v>
      </c>
      <c r="AM39" s="37" t="s">
        <v>86</v>
      </c>
      <c r="AN39" s="52">
        <v>18.787878787878789</v>
      </c>
      <c r="AO39" s="87">
        <v>93</v>
      </c>
      <c r="AP39" s="61">
        <f t="shared" si="8"/>
        <v>0</v>
      </c>
      <c r="AQ39" s="86" t="s">
        <v>132</v>
      </c>
      <c r="AR39" s="37" t="s">
        <v>86</v>
      </c>
      <c r="AS39" s="52">
        <v>18.787878787878789</v>
      </c>
      <c r="AT39" s="87">
        <v>93</v>
      </c>
    </row>
    <row r="40" spans="1:46" thickBot="1">
      <c r="A40" t="str">
        <v>Panneau contreplaqué 19 mm</v>
      </c>
      <c r="B40" s="113" t="s">
        <v>140</v>
      </c>
      <c r="C40" s="324" t="s">
        <v>238</v>
      </c>
      <c r="D40" s="325"/>
      <c r="E40" s="326" t="s">
        <v>21</v>
      </c>
      <c r="F40" s="321">
        <f t="shared" si="1"/>
        <v>24.74</v>
      </c>
      <c r="G40" s="322">
        <f t="shared" si="2"/>
        <v>20.618556701030929</v>
      </c>
      <c r="H40" s="327">
        <v>100</v>
      </c>
      <c r="I40" s="107"/>
      <c r="J40" s="108"/>
      <c r="K40" s="109"/>
      <c r="L40" s="108"/>
      <c r="N40" s="61">
        <f t="shared" si="12"/>
        <v>0.92012288786482344</v>
      </c>
      <c r="O40" s="86" t="s">
        <v>104</v>
      </c>
      <c r="P40" s="57"/>
      <c r="Q40" s="37" t="s">
        <v>21</v>
      </c>
      <c r="R40" s="92">
        <f t="shared" si="4"/>
        <v>12.89</v>
      </c>
      <c r="S40" s="183">
        <f t="shared" si="5"/>
        <v>10.738144329896908</v>
      </c>
      <c r="T40" s="166">
        <v>52.08</v>
      </c>
      <c r="U40" s="86" t="s">
        <v>104</v>
      </c>
      <c r="V40" s="201"/>
      <c r="W40" s="37" t="s">
        <v>21</v>
      </c>
      <c r="X40" s="183">
        <v>10.60692464358452</v>
      </c>
      <c r="Y40" s="88">
        <v>52.08</v>
      </c>
      <c r="Z40" s="61">
        <f t="shared" si="11"/>
        <v>0</v>
      </c>
      <c r="AA40" s="86" t="s">
        <v>104</v>
      </c>
      <c r="AB40" s="57"/>
      <c r="AC40" s="37" t="s">
        <v>21</v>
      </c>
      <c r="AD40" s="183">
        <v>10.533111132149466</v>
      </c>
      <c r="AE40" s="166">
        <v>52.08</v>
      </c>
      <c r="AF40" s="61">
        <f t="shared" si="6"/>
        <v>0</v>
      </c>
      <c r="AG40" s="86" t="s">
        <v>104</v>
      </c>
      <c r="AH40" s="37" t="s">
        <v>21</v>
      </c>
      <c r="AI40" s="93">
        <v>10.56960854375067</v>
      </c>
      <c r="AJ40" s="87">
        <v>52.08</v>
      </c>
      <c r="AK40" s="61">
        <f t="shared" si="7"/>
        <v>-6.0606060606060601E-2</v>
      </c>
      <c r="AL40" s="86" t="s">
        <v>104</v>
      </c>
      <c r="AM40" s="37" t="s">
        <v>86</v>
      </c>
      <c r="AN40" s="52">
        <v>11.2</v>
      </c>
      <c r="AO40" s="87">
        <v>55.44</v>
      </c>
      <c r="AP40" s="61">
        <f t="shared" si="8"/>
        <v>0</v>
      </c>
      <c r="AQ40" s="86" t="s">
        <v>104</v>
      </c>
      <c r="AR40" s="37" t="s">
        <v>86</v>
      </c>
      <c r="AS40" s="52">
        <v>11.2</v>
      </c>
      <c r="AT40" s="87">
        <v>55.44</v>
      </c>
    </row>
    <row r="41" spans="1:46" thickBot="1">
      <c r="A41" t="str">
        <v>PAVAWALL</v>
      </c>
      <c r="B41" s="113" t="s">
        <v>146</v>
      </c>
      <c r="C41" s="324" t="s">
        <v>104</v>
      </c>
      <c r="D41" s="325"/>
      <c r="E41" s="326" t="s">
        <v>21</v>
      </c>
      <c r="F41" s="321">
        <f t="shared" si="1"/>
        <v>12.89</v>
      </c>
      <c r="G41" s="322">
        <f t="shared" si="2"/>
        <v>10.738144329896908</v>
      </c>
      <c r="H41" s="327">
        <v>52.08</v>
      </c>
      <c r="I41" s="107"/>
      <c r="J41" s="108"/>
      <c r="K41" s="109"/>
      <c r="L41" s="108"/>
      <c r="N41" s="61">
        <f t="shared" si="12"/>
        <v>21.942731277533039</v>
      </c>
      <c r="O41" s="86" t="s">
        <v>105</v>
      </c>
      <c r="P41" s="57"/>
      <c r="Q41" s="37" t="s">
        <v>21</v>
      </c>
      <c r="R41" s="92">
        <f t="shared" si="4"/>
        <v>0.56000000000000005</v>
      </c>
      <c r="S41" s="183">
        <f t="shared" si="5"/>
        <v>0.46804123711340212</v>
      </c>
      <c r="T41" s="166">
        <v>2.27</v>
      </c>
      <c r="U41" s="86" t="s">
        <v>105</v>
      </c>
      <c r="V41" s="201"/>
      <c r="W41" s="37" t="s">
        <v>21</v>
      </c>
      <c r="X41" s="183">
        <v>0.46232179226069248</v>
      </c>
      <c r="Y41" s="88">
        <v>2.27</v>
      </c>
      <c r="Z41" s="61">
        <f t="shared" si="11"/>
        <v>0.42767295597484273</v>
      </c>
      <c r="AA41" s="86" t="s">
        <v>105</v>
      </c>
      <c r="AB41" s="57"/>
      <c r="AC41" s="37" t="s">
        <v>21</v>
      </c>
      <c r="AD41" s="183">
        <v>0.32157539746769687</v>
      </c>
      <c r="AE41" s="166">
        <v>1.59</v>
      </c>
      <c r="AF41" s="61">
        <f t="shared" si="6"/>
        <v>0</v>
      </c>
      <c r="AG41" s="86" t="s">
        <v>105</v>
      </c>
      <c r="AH41" s="37" t="s">
        <v>21</v>
      </c>
      <c r="AI41" s="93">
        <v>0.32268966176197328</v>
      </c>
      <c r="AJ41" s="87">
        <v>1.59</v>
      </c>
      <c r="AK41" s="61">
        <f t="shared" si="7"/>
        <v>0</v>
      </c>
      <c r="AL41" s="86" t="s">
        <v>105</v>
      </c>
      <c r="AM41" s="37" t="s">
        <v>86</v>
      </c>
      <c r="AN41" s="52">
        <v>0.32121212121212123</v>
      </c>
      <c r="AO41" s="87">
        <v>1.59</v>
      </c>
      <c r="AP41" s="61">
        <f t="shared" si="8"/>
        <v>0</v>
      </c>
      <c r="AQ41" s="86" t="s">
        <v>105</v>
      </c>
      <c r="AR41" s="37" t="s">
        <v>86</v>
      </c>
      <c r="AS41" s="52">
        <v>0.32121212121212123</v>
      </c>
      <c r="AT41" s="87">
        <v>1.59</v>
      </c>
    </row>
    <row r="42" spans="1:46" thickBot="1">
      <c r="A42" t="str">
        <v>Plasa fibra 50 mp</v>
      </c>
      <c r="B42" s="113" t="s">
        <v>128</v>
      </c>
      <c r="C42" s="324" t="s">
        <v>105</v>
      </c>
      <c r="D42" s="325"/>
      <c r="E42" s="326" t="s">
        <v>21</v>
      </c>
      <c r="F42" s="321">
        <f t="shared" si="1"/>
        <v>1.19</v>
      </c>
      <c r="G42" s="322">
        <f t="shared" si="2"/>
        <v>0.98969072164948457</v>
      </c>
      <c r="H42" s="327">
        <f>240/50</f>
        <v>4.8</v>
      </c>
      <c r="I42" s="107"/>
      <c r="J42" s="108"/>
      <c r="K42" s="109"/>
      <c r="L42" s="108"/>
      <c r="N42" s="61">
        <f t="shared" si="12"/>
        <v>-0.95200000000000007</v>
      </c>
      <c r="O42" s="86" t="s">
        <v>125</v>
      </c>
      <c r="P42" s="57"/>
      <c r="Q42" s="37" t="s">
        <v>127</v>
      </c>
      <c r="R42" s="92">
        <f t="shared" si="4"/>
        <v>24.74</v>
      </c>
      <c r="S42" s="183">
        <f t="shared" si="5"/>
        <v>20.618556701030929</v>
      </c>
      <c r="T42" s="166">
        <v>100</v>
      </c>
      <c r="U42" s="86" t="s">
        <v>125</v>
      </c>
      <c r="V42" s="201"/>
      <c r="W42" s="37" t="s">
        <v>127</v>
      </c>
      <c r="X42" s="183">
        <v>20.366598778004072</v>
      </c>
      <c r="Y42" s="88">
        <v>100</v>
      </c>
      <c r="Z42" s="61">
        <f t="shared" si="11"/>
        <v>0</v>
      </c>
      <c r="AA42" s="86" t="s">
        <v>125</v>
      </c>
      <c r="AB42" s="57"/>
      <c r="AC42" s="37" t="s">
        <v>127</v>
      </c>
      <c r="AD42" s="183">
        <v>20.224867765263955</v>
      </c>
      <c r="AE42" s="185">
        <v>100</v>
      </c>
      <c r="AF42" s="61">
        <f t="shared" si="6"/>
        <v>0</v>
      </c>
      <c r="AG42" s="86" t="s">
        <v>125</v>
      </c>
      <c r="AH42" s="37" t="s">
        <v>127</v>
      </c>
      <c r="AI42" s="119">
        <v>20.294947280627248</v>
      </c>
      <c r="AJ42" s="120">
        <v>100</v>
      </c>
      <c r="AK42" s="61">
        <f t="shared" si="7"/>
        <v>7.5268817204301078E-2</v>
      </c>
      <c r="AL42" s="86" t="s">
        <v>125</v>
      </c>
      <c r="AM42" s="37" t="s">
        <v>127</v>
      </c>
      <c r="AN42" s="52">
        <v>18.787878787878789</v>
      </c>
      <c r="AO42" s="87">
        <v>93</v>
      </c>
      <c r="AP42" s="61">
        <f t="shared" si="8"/>
        <v>0</v>
      </c>
      <c r="AQ42" s="86" t="s">
        <v>125</v>
      </c>
      <c r="AR42" s="37" t="s">
        <v>127</v>
      </c>
      <c r="AS42" s="52">
        <v>18.787878787878789</v>
      </c>
      <c r="AT42" s="87">
        <v>93</v>
      </c>
    </row>
    <row r="43" spans="1:46" thickBot="1">
      <c r="A43" t="str">
        <v>PPIN</v>
      </c>
      <c r="B43" s="113" t="s">
        <v>128</v>
      </c>
      <c r="C43" s="324" t="s">
        <v>125</v>
      </c>
      <c r="D43" s="325"/>
      <c r="E43" s="326" t="s">
        <v>127</v>
      </c>
      <c r="F43" s="321">
        <f t="shared" si="1"/>
        <v>24.74</v>
      </c>
      <c r="G43" s="322">
        <f t="shared" si="2"/>
        <v>20.618556701030929</v>
      </c>
      <c r="H43" s="327">
        <v>100</v>
      </c>
      <c r="I43" s="107"/>
      <c r="J43" s="108"/>
      <c r="K43" s="109"/>
      <c r="L43" s="108"/>
      <c r="N43" s="61">
        <f t="shared" si="12"/>
        <v>0</v>
      </c>
      <c r="O43" s="86" t="s">
        <v>126</v>
      </c>
      <c r="P43" s="57"/>
      <c r="Q43" s="37" t="s">
        <v>127</v>
      </c>
      <c r="R43" s="92">
        <f t="shared" si="4"/>
        <v>24.74</v>
      </c>
      <c r="S43" s="183">
        <f t="shared" si="5"/>
        <v>20.618556701030929</v>
      </c>
      <c r="T43" s="166">
        <v>100</v>
      </c>
      <c r="U43" s="86" t="s">
        <v>126</v>
      </c>
      <c r="V43" s="201"/>
      <c r="W43" s="37" t="s">
        <v>127</v>
      </c>
      <c r="X43" s="183">
        <v>20.366598778004072</v>
      </c>
      <c r="Y43" s="88">
        <v>100</v>
      </c>
      <c r="Z43" s="61">
        <f t="shared" si="11"/>
        <v>0</v>
      </c>
      <c r="AA43" s="86" t="s">
        <v>126</v>
      </c>
      <c r="AB43" s="57"/>
      <c r="AC43" s="37" t="s">
        <v>127</v>
      </c>
      <c r="AD43" s="183">
        <v>20.224867765263955</v>
      </c>
      <c r="AE43" s="185">
        <v>100</v>
      </c>
      <c r="AF43" s="61">
        <f t="shared" si="6"/>
        <v>0</v>
      </c>
      <c r="AG43" s="86" t="s">
        <v>126</v>
      </c>
      <c r="AH43" s="37" t="s">
        <v>127</v>
      </c>
      <c r="AI43" s="119">
        <v>20.294947280627248</v>
      </c>
      <c r="AJ43" s="120">
        <v>100</v>
      </c>
      <c r="AK43" s="61">
        <f t="shared" si="7"/>
        <v>7.5268817204301078E-2</v>
      </c>
      <c r="AL43" s="86" t="s">
        <v>126</v>
      </c>
      <c r="AM43" s="37" t="s">
        <v>127</v>
      </c>
      <c r="AN43" s="52">
        <v>18.787878787878789</v>
      </c>
      <c r="AO43" s="87">
        <v>93</v>
      </c>
      <c r="AP43" s="61">
        <f t="shared" si="8"/>
        <v>0</v>
      </c>
      <c r="AQ43" s="86" t="s">
        <v>126</v>
      </c>
      <c r="AR43" s="37" t="s">
        <v>127</v>
      </c>
      <c r="AS43" s="52">
        <v>18.787878787878789</v>
      </c>
      <c r="AT43" s="87">
        <v>93</v>
      </c>
    </row>
    <row r="44" spans="1:46" thickBot="1">
      <c r="A44" t="str">
        <v>PPINE</v>
      </c>
      <c r="B44" s="113" t="s">
        <v>145</v>
      </c>
      <c r="C44" s="324" t="s">
        <v>126</v>
      </c>
      <c r="D44" s="325"/>
      <c r="E44" s="326" t="s">
        <v>127</v>
      </c>
      <c r="F44" s="321">
        <f t="shared" si="1"/>
        <v>24.74</v>
      </c>
      <c r="G44" s="322">
        <f t="shared" si="2"/>
        <v>20.618556701030929</v>
      </c>
      <c r="H44" s="327">
        <v>100</v>
      </c>
      <c r="I44" s="107"/>
      <c r="J44" s="108"/>
      <c r="K44" s="109"/>
      <c r="L44" s="108"/>
      <c r="N44" s="61">
        <f t="shared" si="12"/>
        <v>5.3131313131313123</v>
      </c>
      <c r="O44" s="86" t="s">
        <v>106</v>
      </c>
      <c r="P44" s="57"/>
      <c r="Q44" s="37" t="s">
        <v>23</v>
      </c>
      <c r="R44" s="92">
        <f t="shared" si="4"/>
        <v>3.92</v>
      </c>
      <c r="S44" s="183">
        <f t="shared" si="5"/>
        <v>3.2659793814432994</v>
      </c>
      <c r="T44" s="166">
        <v>15.840000000000002</v>
      </c>
      <c r="U44" s="86" t="s">
        <v>106</v>
      </c>
      <c r="V44" s="201"/>
      <c r="W44" s="37" t="s">
        <v>23</v>
      </c>
      <c r="X44" s="183">
        <v>3.2260692464358454</v>
      </c>
      <c r="Y44" s="88">
        <v>15.840000000000002</v>
      </c>
      <c r="Z44" s="61">
        <f t="shared" si="11"/>
        <v>0</v>
      </c>
      <c r="AA44" s="86" t="s">
        <v>106</v>
      </c>
      <c r="AB44" s="57"/>
      <c r="AC44" s="37" t="s">
        <v>23</v>
      </c>
      <c r="AD44" s="183">
        <v>3.2036190540178104</v>
      </c>
      <c r="AE44" s="166">
        <v>15.840000000000002</v>
      </c>
      <c r="AF44" s="61">
        <f t="shared" si="6"/>
        <v>0</v>
      </c>
      <c r="AG44" s="86" t="s">
        <v>106</v>
      </c>
      <c r="AH44" s="37" t="s">
        <v>23</v>
      </c>
      <c r="AI44" s="93">
        <v>3.2147196492513563</v>
      </c>
      <c r="AJ44" s="87">
        <v>15.840000000000002</v>
      </c>
      <c r="AK44" s="61">
        <f t="shared" si="7"/>
        <v>1.1214373986112693E-16</v>
      </c>
      <c r="AL44" s="86" t="s">
        <v>106</v>
      </c>
      <c r="AM44" s="37" t="s">
        <v>23</v>
      </c>
      <c r="AN44" s="52">
        <v>3.2</v>
      </c>
      <c r="AO44" s="87">
        <v>15.84</v>
      </c>
      <c r="AP44" s="61">
        <f t="shared" si="8"/>
        <v>0</v>
      </c>
      <c r="AQ44" s="86" t="s">
        <v>106</v>
      </c>
      <c r="AR44" s="37" t="s">
        <v>23</v>
      </c>
      <c r="AS44" s="52">
        <v>3.2</v>
      </c>
      <c r="AT44" s="87">
        <v>15.84</v>
      </c>
    </row>
    <row r="45" spans="1:46" thickBot="1">
      <c r="A45" t="str">
        <v>Profil U THD</v>
      </c>
      <c r="B45" s="113" t="s">
        <v>141</v>
      </c>
      <c r="C45" s="324" t="s">
        <v>106</v>
      </c>
      <c r="D45" s="325"/>
      <c r="E45" s="326" t="s">
        <v>23</v>
      </c>
      <c r="F45" s="321">
        <f t="shared" si="1"/>
        <v>3.92</v>
      </c>
      <c r="G45" s="322">
        <f t="shared" si="2"/>
        <v>3.2659793814432994</v>
      </c>
      <c r="H45" s="327">
        <v>15.840000000000002</v>
      </c>
      <c r="I45" s="107"/>
      <c r="J45" s="108"/>
      <c r="K45" s="109"/>
      <c r="L45" s="108"/>
      <c r="N45" s="61">
        <f t="shared" si="12"/>
        <v>-0.22536875921654065</v>
      </c>
      <c r="O45" s="86" t="s">
        <v>107</v>
      </c>
      <c r="P45" s="57"/>
      <c r="Q45" s="37" t="s">
        <v>21</v>
      </c>
      <c r="R45" s="92">
        <f t="shared" si="4"/>
        <v>5.0599999999999996</v>
      </c>
      <c r="S45" s="183">
        <f t="shared" si="5"/>
        <v>4.2161730762886602</v>
      </c>
      <c r="T45" s="166">
        <v>20.44843942</v>
      </c>
      <c r="U45" s="86" t="s">
        <v>107</v>
      </c>
      <c r="V45" s="201"/>
      <c r="W45" s="37" t="s">
        <v>21</v>
      </c>
      <c r="X45" s="183">
        <v>4.1646516130346232</v>
      </c>
      <c r="Y45" s="88">
        <v>20.44843942</v>
      </c>
      <c r="Z45" s="61">
        <f t="shared" si="11"/>
        <v>0</v>
      </c>
      <c r="AA45" s="86" t="s">
        <v>107</v>
      </c>
      <c r="AB45" s="57"/>
      <c r="AC45" s="37" t="s">
        <v>21</v>
      </c>
      <c r="AD45" s="183">
        <v>4.1356698327551076</v>
      </c>
      <c r="AE45" s="185">
        <v>20.44843942</v>
      </c>
      <c r="AF45" s="61">
        <f t="shared" si="6"/>
        <v>-0.16999999999999998</v>
      </c>
      <c r="AG45" s="86" t="s">
        <v>107</v>
      </c>
      <c r="AH45" s="37" t="s">
        <v>21</v>
      </c>
      <c r="AI45" s="119">
        <v>5</v>
      </c>
      <c r="AJ45" s="120">
        <v>24.636673999999999</v>
      </c>
      <c r="AK45" s="61">
        <f t="shared" si="7"/>
        <v>-0.29367333715596339</v>
      </c>
      <c r="AL45" s="86" t="s">
        <v>107</v>
      </c>
      <c r="AM45" s="37" t="s">
        <v>86</v>
      </c>
      <c r="AN45" s="52">
        <v>7.0464646464646465</v>
      </c>
      <c r="AO45" s="87">
        <v>34.880000000000003</v>
      </c>
      <c r="AP45" s="61">
        <f t="shared" si="8"/>
        <v>0</v>
      </c>
      <c r="AQ45" s="86" t="s">
        <v>107</v>
      </c>
      <c r="AR45" s="37" t="s">
        <v>86</v>
      </c>
      <c r="AS45" s="52">
        <v>7.0464646464646465</v>
      </c>
      <c r="AT45" s="87">
        <v>34.880000000000003</v>
      </c>
    </row>
    <row r="46" spans="1:46" thickBot="1">
      <c r="A46" t="str">
        <v>PSE</v>
      </c>
      <c r="B46" s="113" t="s">
        <v>162</v>
      </c>
      <c r="C46" s="324" t="s">
        <v>107</v>
      </c>
      <c r="D46" s="325"/>
      <c r="E46" s="326" t="s">
        <v>21</v>
      </c>
      <c r="F46" s="321">
        <f t="shared" si="1"/>
        <v>5.0599999999999996</v>
      </c>
      <c r="G46" s="322">
        <f t="shared" si="2"/>
        <v>4.2161730762886602</v>
      </c>
      <c r="H46" s="327">
        <v>20.44843942</v>
      </c>
      <c r="I46" s="107"/>
      <c r="J46" s="108"/>
      <c r="K46" s="109"/>
      <c r="L46" s="108"/>
      <c r="N46" s="61">
        <f t="shared" si="12"/>
        <v>-0.94503107682795695</v>
      </c>
      <c r="O46" s="86" t="s">
        <v>131</v>
      </c>
      <c r="P46" s="57"/>
      <c r="Q46" s="37" t="s">
        <v>22</v>
      </c>
      <c r="R46" s="92">
        <f t="shared" si="4"/>
        <v>92.04</v>
      </c>
      <c r="S46" s="183">
        <f t="shared" si="5"/>
        <v>76.701030927835063</v>
      </c>
      <c r="T46" s="166">
        <v>372.00000000000006</v>
      </c>
      <c r="U46" s="86" t="s">
        <v>131</v>
      </c>
      <c r="V46" s="201"/>
      <c r="W46" s="37" t="s">
        <v>22</v>
      </c>
      <c r="X46" s="183">
        <v>75.76374745417516</v>
      </c>
      <c r="Y46" s="88">
        <v>372.00000000000006</v>
      </c>
      <c r="Z46" s="61">
        <f t="shared" si="11"/>
        <v>0</v>
      </c>
      <c r="AA46" s="86" t="s">
        <v>131</v>
      </c>
      <c r="AB46" s="57"/>
      <c r="AC46" s="37" t="s">
        <v>22</v>
      </c>
      <c r="AD46" s="183">
        <v>75.236508086781924</v>
      </c>
      <c r="AE46" s="185">
        <v>372.00000000000006</v>
      </c>
      <c r="AF46" s="61">
        <f t="shared" si="6"/>
        <v>0</v>
      </c>
      <c r="AG46" s="86" t="s">
        <v>131</v>
      </c>
      <c r="AH46" s="37" t="s">
        <v>22</v>
      </c>
      <c r="AI46" s="119">
        <v>75.497203883933381</v>
      </c>
      <c r="AJ46" s="120">
        <v>372.00000000000006</v>
      </c>
      <c r="AK46" s="61">
        <f t="shared" si="7"/>
        <v>1.5280488941077425E-16</v>
      </c>
      <c r="AL46" s="86" t="s">
        <v>131</v>
      </c>
      <c r="AM46" s="37" t="s">
        <v>91</v>
      </c>
      <c r="AN46" s="52">
        <v>75.151515151515156</v>
      </c>
      <c r="AO46" s="87">
        <v>372</v>
      </c>
      <c r="AP46" s="61">
        <f t="shared" si="8"/>
        <v>0</v>
      </c>
      <c r="AQ46" s="86" t="s">
        <v>131</v>
      </c>
      <c r="AR46" s="37" t="s">
        <v>91</v>
      </c>
      <c r="AS46" s="52">
        <v>75.151515151515156</v>
      </c>
      <c r="AT46" s="87">
        <v>372</v>
      </c>
    </row>
    <row r="47" spans="1:46" thickBot="1">
      <c r="A47" t="str">
        <v>Talpa</v>
      </c>
      <c r="B47" s="113" t="s">
        <v>144</v>
      </c>
      <c r="C47" s="324" t="s">
        <v>131</v>
      </c>
      <c r="D47" s="325"/>
      <c r="E47" s="326" t="s">
        <v>22</v>
      </c>
      <c r="F47" s="321">
        <f t="shared" si="1"/>
        <v>92.04</v>
      </c>
      <c r="G47" s="322">
        <f t="shared" si="2"/>
        <v>76.701030927835063</v>
      </c>
      <c r="H47" s="327">
        <v>372.00000000000006</v>
      </c>
      <c r="I47" s="107">
        <f>1/25</f>
        <v>0.04</v>
      </c>
      <c r="J47" s="108" t="s">
        <v>82</v>
      </c>
      <c r="K47" s="109">
        <f t="shared" ref="K47" si="13">L47*$K$2</f>
        <v>4.7422680412371134</v>
      </c>
      <c r="L47" s="108">
        <v>23</v>
      </c>
      <c r="N47" s="61">
        <f t="shared" si="12"/>
        <v>403.34782608695656</v>
      </c>
      <c r="O47" s="86" t="s">
        <v>108</v>
      </c>
      <c r="P47" s="57"/>
      <c r="Q47" s="37" t="s">
        <v>76</v>
      </c>
      <c r="R47" s="92">
        <f t="shared" si="4"/>
        <v>0.23</v>
      </c>
      <c r="S47" s="183">
        <f t="shared" si="5"/>
        <v>0.18969072164948456</v>
      </c>
      <c r="T47" s="166">
        <v>0.92</v>
      </c>
      <c r="U47" s="86" t="s">
        <v>108</v>
      </c>
      <c r="V47" s="201"/>
      <c r="W47" s="37" t="s">
        <v>76</v>
      </c>
      <c r="X47" s="183">
        <v>0.18737270875763748</v>
      </c>
      <c r="Y47" s="88">
        <v>0.92</v>
      </c>
      <c r="Z47" s="61">
        <f t="shared" si="11"/>
        <v>0</v>
      </c>
      <c r="AA47" s="86" t="s">
        <v>108</v>
      </c>
      <c r="AB47" s="57"/>
      <c r="AC47" s="37" t="s">
        <v>76</v>
      </c>
      <c r="AD47" s="183">
        <v>0.18606878344042838</v>
      </c>
      <c r="AE47" s="166">
        <v>0.92</v>
      </c>
      <c r="AF47" s="61">
        <f t="shared" si="6"/>
        <v>0</v>
      </c>
      <c r="AG47" s="86" t="s">
        <v>108</v>
      </c>
      <c r="AH47" s="37" t="s">
        <v>76</v>
      </c>
      <c r="AI47" s="93">
        <v>0.18671351498177069</v>
      </c>
      <c r="AJ47" s="87">
        <v>0.92</v>
      </c>
      <c r="AK47" s="61">
        <f t="shared" si="7"/>
        <v>-0.66666666666666663</v>
      </c>
      <c r="AL47" s="86" t="s">
        <v>108</v>
      </c>
      <c r="AM47" s="37" t="s">
        <v>76</v>
      </c>
      <c r="AN47" s="52">
        <v>0.5575757575757575</v>
      </c>
      <c r="AO47" s="87">
        <v>2.76</v>
      </c>
      <c r="AP47" s="61">
        <f t="shared" si="8"/>
        <v>0</v>
      </c>
      <c r="AQ47" s="86" t="s">
        <v>108</v>
      </c>
      <c r="AR47" s="37" t="s">
        <v>76</v>
      </c>
      <c r="AS47" s="52">
        <v>0.5575757575757575</v>
      </c>
      <c r="AT47" s="87">
        <v>2.76</v>
      </c>
    </row>
    <row r="48" spans="1:46" thickBot="1">
      <c r="A48" t="str">
        <v>Tencuiala 25 Kg</v>
      </c>
      <c r="B48" s="113" t="s">
        <v>140</v>
      </c>
      <c r="C48" s="324" t="s">
        <v>108</v>
      </c>
      <c r="D48" s="325"/>
      <c r="E48" s="326" t="s">
        <v>76</v>
      </c>
      <c r="F48" s="321">
        <f t="shared" si="1"/>
        <v>0.23</v>
      </c>
      <c r="G48" s="322">
        <f t="shared" si="2"/>
        <v>0.18969072164948456</v>
      </c>
      <c r="H48" s="327">
        <v>0.92</v>
      </c>
      <c r="I48" s="107"/>
      <c r="J48" s="108"/>
      <c r="K48" s="109"/>
      <c r="L48" s="108"/>
      <c r="N48" s="61">
        <f t="shared" si="12"/>
        <v>-0.98771203419260045</v>
      </c>
      <c r="O48" s="86" t="s">
        <v>0</v>
      </c>
      <c r="P48" s="57"/>
      <c r="Q48" s="37" t="s">
        <v>21</v>
      </c>
      <c r="R48" s="92">
        <f t="shared" si="4"/>
        <v>18.52</v>
      </c>
      <c r="S48" s="183">
        <f t="shared" si="5"/>
        <v>15.437113402061858</v>
      </c>
      <c r="T48" s="166">
        <v>74.87</v>
      </c>
      <c r="U48" s="86" t="s">
        <v>0</v>
      </c>
      <c r="V48" s="201"/>
      <c r="W48" s="37" t="s">
        <v>21</v>
      </c>
      <c r="X48" s="183">
        <v>12.720977596741344</v>
      </c>
      <c r="Y48" s="203">
        <v>62.46</v>
      </c>
      <c r="Z48" s="61">
        <f t="shared" si="11"/>
        <v>0.52788649706457913</v>
      </c>
      <c r="AA48" s="86" t="s">
        <v>0</v>
      </c>
      <c r="AB48" s="57"/>
      <c r="AC48" s="37" t="s">
        <v>21</v>
      </c>
      <c r="AD48" s="183">
        <v>8.2679259424399056</v>
      </c>
      <c r="AE48" s="166">
        <v>40.880000000000003</v>
      </c>
      <c r="AF48" s="61">
        <f t="shared" si="6"/>
        <v>0</v>
      </c>
      <c r="AG48" s="86" t="s">
        <v>0</v>
      </c>
      <c r="AH48" s="37" t="s">
        <v>21</v>
      </c>
      <c r="AI48" s="93">
        <v>8.2965744483204205</v>
      </c>
      <c r="AJ48" s="87">
        <v>40.880000000000003</v>
      </c>
      <c r="AK48" s="61">
        <f t="shared" si="7"/>
        <v>-0.1469115191986643</v>
      </c>
      <c r="AL48" s="86" t="s">
        <v>0</v>
      </c>
      <c r="AM48" s="37" t="s">
        <v>86</v>
      </c>
      <c r="AN48" s="52">
        <v>9.68</v>
      </c>
      <c r="AO48" s="87">
        <v>47.919999999999995</v>
      </c>
      <c r="AP48" s="61">
        <f t="shared" si="8"/>
        <v>0</v>
      </c>
      <c r="AQ48" s="86" t="s">
        <v>0</v>
      </c>
      <c r="AR48" s="37" t="s">
        <v>86</v>
      </c>
      <c r="AS48" s="52">
        <v>9.68</v>
      </c>
      <c r="AT48" s="87">
        <v>47.919999999999995</v>
      </c>
    </row>
    <row r="49" spans="1:46" thickBot="1">
      <c r="A49" t="str">
        <v>THD</v>
      </c>
      <c r="B49" s="113"/>
      <c r="C49" s="324" t="s">
        <v>0</v>
      </c>
      <c r="D49" s="325"/>
      <c r="E49" s="326" t="s">
        <v>21</v>
      </c>
      <c r="F49" s="321">
        <f t="shared" si="1"/>
        <v>18.52</v>
      </c>
      <c r="G49" s="322">
        <f t="shared" si="2"/>
        <v>15.437113402061858</v>
      </c>
      <c r="H49" s="327">
        <v>74.87</v>
      </c>
      <c r="I49" s="107"/>
      <c r="J49" s="108"/>
      <c r="K49" s="109"/>
      <c r="L49" s="108"/>
      <c r="N49" s="61">
        <f t="shared" si="12"/>
        <v>-0.99382642754071315</v>
      </c>
      <c r="O49" s="86" t="s">
        <v>171</v>
      </c>
      <c r="P49" s="57"/>
      <c r="Q49" s="37" t="s">
        <v>28</v>
      </c>
      <c r="R49" s="92">
        <f t="shared" si="4"/>
        <v>3000.62</v>
      </c>
      <c r="S49" s="183">
        <f t="shared" si="5"/>
        <v>2500.5154639175262</v>
      </c>
      <c r="T49" s="166">
        <v>12127.5</v>
      </c>
      <c r="U49" s="86" t="s">
        <v>171</v>
      </c>
      <c r="V49" s="201"/>
      <c r="W49" s="37" t="s">
        <v>28</v>
      </c>
      <c r="X49" s="183">
        <v>2469.9592668024438</v>
      </c>
      <c r="Y49" s="88">
        <v>12127.5</v>
      </c>
      <c r="Z49" s="61">
        <f t="shared" si="11"/>
        <v>0</v>
      </c>
      <c r="AA49" s="86" t="s">
        <v>171</v>
      </c>
      <c r="AB49" s="57"/>
      <c r="AC49" s="37" t="s">
        <v>28</v>
      </c>
      <c r="AD49" s="183">
        <v>2452.7708382323858</v>
      </c>
      <c r="AE49" s="185">
        <v>12127.5</v>
      </c>
      <c r="AF49" s="61">
        <f t="shared" si="6"/>
        <v>0</v>
      </c>
      <c r="AG49" s="86" t="s">
        <v>171</v>
      </c>
      <c r="AH49" s="37" t="s">
        <v>28</v>
      </c>
      <c r="AI49" s="119">
        <v>2461.2697314580696</v>
      </c>
      <c r="AJ49" s="120">
        <v>12127.5</v>
      </c>
      <c r="AK49" s="61">
        <f t="shared" si="7"/>
        <v>0</v>
      </c>
      <c r="AL49" s="86" t="s">
        <v>171</v>
      </c>
      <c r="AM49" s="37" t="s">
        <v>28</v>
      </c>
      <c r="AN49" s="52">
        <v>2450</v>
      </c>
      <c r="AO49" s="87">
        <v>12127.5</v>
      </c>
      <c r="AP49" s="61">
        <f t="shared" si="8"/>
        <v>0</v>
      </c>
      <c r="AQ49" s="86" t="s">
        <v>171</v>
      </c>
      <c r="AR49" s="37" t="s">
        <v>28</v>
      </c>
      <c r="AS49" s="52">
        <v>2450</v>
      </c>
      <c r="AT49" s="87">
        <v>12127.5</v>
      </c>
    </row>
    <row r="50" spans="1:46" thickBot="1">
      <c r="A50" t="str">
        <v>Transport Ro/Fr</v>
      </c>
      <c r="B50" s="113" t="s">
        <v>29</v>
      </c>
      <c r="C50" s="324" t="s">
        <v>171</v>
      </c>
      <c r="D50" s="325"/>
      <c r="E50" s="326" t="s">
        <v>28</v>
      </c>
      <c r="F50" s="321">
        <f t="shared" si="1"/>
        <v>4032.99</v>
      </c>
      <c r="G50" s="322">
        <f t="shared" si="2"/>
        <v>3360.8247422680415</v>
      </c>
      <c r="H50" s="327">
        <v>16300</v>
      </c>
      <c r="I50" s="107"/>
      <c r="J50" s="108"/>
      <c r="K50" s="109"/>
      <c r="L50" s="108"/>
      <c r="N50" s="61">
        <f t="shared" si="12"/>
        <v>469.14710124026533</v>
      </c>
      <c r="O50" s="86" t="s">
        <v>109</v>
      </c>
      <c r="P50" s="57"/>
      <c r="Q50" s="37" t="s">
        <v>21</v>
      </c>
      <c r="R50" s="92">
        <f t="shared" si="4"/>
        <v>8.58</v>
      </c>
      <c r="S50" s="183">
        <f t="shared" si="5"/>
        <v>7.1484536082474239</v>
      </c>
      <c r="T50" s="166">
        <v>34.67</v>
      </c>
      <c r="U50" s="86" t="s">
        <v>109</v>
      </c>
      <c r="V50" s="201"/>
      <c r="W50" s="37" t="s">
        <v>21</v>
      </c>
      <c r="X50" s="183">
        <v>7.0610997963340125</v>
      </c>
      <c r="Y50" s="88">
        <v>34.67</v>
      </c>
      <c r="Z50" s="61">
        <f t="shared" si="11"/>
        <v>0.55960413855150704</v>
      </c>
      <c r="AA50" s="86" t="s">
        <v>109</v>
      </c>
      <c r="AB50" s="57"/>
      <c r="AC50" s="37" t="s">
        <v>21</v>
      </c>
      <c r="AD50" s="183">
        <v>4.4959881042181769</v>
      </c>
      <c r="AE50" s="166">
        <v>22.23</v>
      </c>
      <c r="AF50" s="61">
        <f t="shared" si="6"/>
        <v>0</v>
      </c>
      <c r="AG50" s="86" t="s">
        <v>109</v>
      </c>
      <c r="AH50" s="37" t="s">
        <v>21</v>
      </c>
      <c r="AI50" s="93">
        <v>4.5115667804834372</v>
      </c>
      <c r="AJ50" s="87">
        <v>22.23</v>
      </c>
      <c r="AK50" s="61">
        <f t="shared" si="7"/>
        <v>0</v>
      </c>
      <c r="AL50" s="86" t="s">
        <v>109</v>
      </c>
      <c r="AM50" s="37" t="s">
        <v>86</v>
      </c>
      <c r="AN50" s="52">
        <v>4.4909090909090912</v>
      </c>
      <c r="AO50" s="87">
        <v>22.23</v>
      </c>
      <c r="AP50" s="61">
        <f t="shared" si="8"/>
        <v>0</v>
      </c>
      <c r="AQ50" s="86" t="s">
        <v>109</v>
      </c>
      <c r="AR50" s="37" t="s">
        <v>86</v>
      </c>
      <c r="AS50" s="52">
        <v>4.4909090909090912</v>
      </c>
      <c r="AT50" s="87">
        <v>22.23</v>
      </c>
    </row>
    <row r="51" spans="1:46" thickBot="1">
      <c r="A51" t="str">
        <v>Vata bazaltica 100 mm</v>
      </c>
      <c r="B51" s="113" t="s">
        <v>46</v>
      </c>
      <c r="C51" s="324" t="s">
        <v>109</v>
      </c>
      <c r="D51" s="325"/>
      <c r="E51" s="326" t="s">
        <v>21</v>
      </c>
      <c r="F51" s="321">
        <f t="shared" si="1"/>
        <v>8.2200000000000006</v>
      </c>
      <c r="G51" s="322">
        <f t="shared" si="2"/>
        <v>6.851546391752577</v>
      </c>
      <c r="H51" s="327">
        <v>33.229999999999997</v>
      </c>
      <c r="I51" s="107"/>
      <c r="J51" s="108"/>
      <c r="K51" s="109"/>
      <c r="L51" s="108"/>
      <c r="N51" s="61">
        <f t="shared" si="12"/>
        <v>0.91637831603229514</v>
      </c>
      <c r="O51" s="86" t="s">
        <v>110</v>
      </c>
      <c r="P51" s="57"/>
      <c r="Q51" s="37" t="s">
        <v>21</v>
      </c>
      <c r="R51" s="92">
        <f t="shared" si="4"/>
        <v>4.29</v>
      </c>
      <c r="S51" s="183">
        <f t="shared" si="5"/>
        <v>3.5752577319587631</v>
      </c>
      <c r="T51" s="166">
        <v>17.34</v>
      </c>
      <c r="U51" s="86" t="s">
        <v>110</v>
      </c>
      <c r="V51" s="201"/>
      <c r="W51" s="37" t="s">
        <v>21</v>
      </c>
      <c r="X51" s="183">
        <v>3.5315682281059062</v>
      </c>
      <c r="Y51" s="88">
        <v>17.34</v>
      </c>
      <c r="Z51" s="61">
        <f t="shared" si="11"/>
        <v>0.55935251798561159</v>
      </c>
      <c r="AA51" s="86" t="s">
        <v>110</v>
      </c>
      <c r="AB51" s="57"/>
      <c r="AC51" s="37" t="s">
        <v>21</v>
      </c>
      <c r="AD51" s="183">
        <v>2.2490052954973514</v>
      </c>
      <c r="AE51" s="166">
        <v>11.12</v>
      </c>
      <c r="AF51" s="61">
        <f t="shared" si="6"/>
        <v>0</v>
      </c>
      <c r="AG51" s="86" t="s">
        <v>110</v>
      </c>
      <c r="AH51" s="37" t="s">
        <v>21</v>
      </c>
      <c r="AI51" s="93">
        <v>2.2567981376057498</v>
      </c>
      <c r="AJ51" s="87">
        <v>11.12</v>
      </c>
      <c r="AK51" s="61">
        <f t="shared" si="7"/>
        <v>0</v>
      </c>
      <c r="AL51" s="86" t="s">
        <v>110</v>
      </c>
      <c r="AM51" s="37" t="s">
        <v>86</v>
      </c>
      <c r="AN51" s="52">
        <v>2.2464646464646463</v>
      </c>
      <c r="AO51" s="87">
        <v>11.12</v>
      </c>
      <c r="AP51" s="61">
        <f t="shared" si="8"/>
        <v>0</v>
      </c>
      <c r="AQ51" s="86" t="s">
        <v>110</v>
      </c>
      <c r="AR51" s="37" t="s">
        <v>86</v>
      </c>
      <c r="AS51" s="52">
        <v>2.2464646464646463</v>
      </c>
      <c r="AT51" s="87">
        <v>11.12</v>
      </c>
    </row>
    <row r="52" spans="1:46" thickBot="1">
      <c r="A52" t="str">
        <v>Vata bazaltica 50 mm</v>
      </c>
      <c r="B52" s="113" t="s">
        <v>45</v>
      </c>
      <c r="C52" s="324" t="s">
        <v>110</v>
      </c>
      <c r="D52" s="325"/>
      <c r="E52" s="326" t="s">
        <v>21</v>
      </c>
      <c r="F52" s="321">
        <f t="shared" si="1"/>
        <v>4.0999999999999996</v>
      </c>
      <c r="G52" s="322">
        <f t="shared" si="2"/>
        <v>3.4206185567010312</v>
      </c>
      <c r="H52" s="327">
        <v>16.59</v>
      </c>
      <c r="I52" s="107"/>
      <c r="J52" s="108"/>
      <c r="K52" s="109"/>
      <c r="L52" s="108"/>
      <c r="N52" s="61">
        <f t="shared" si="12"/>
        <v>-0.6870401810979061</v>
      </c>
      <c r="O52" s="86" t="s">
        <v>111</v>
      </c>
      <c r="P52" s="57"/>
      <c r="Q52" s="37" t="s">
        <v>21</v>
      </c>
      <c r="R52" s="92">
        <f t="shared" si="4"/>
        <v>13.12</v>
      </c>
      <c r="S52" s="183">
        <f t="shared" si="5"/>
        <v>10.929896907216495</v>
      </c>
      <c r="T52" s="166">
        <v>53.01</v>
      </c>
      <c r="U52" s="86" t="s">
        <v>111</v>
      </c>
      <c r="V52" s="201"/>
      <c r="W52" s="37" t="s">
        <v>21</v>
      </c>
      <c r="X52" s="183">
        <v>10.040733197556007</v>
      </c>
      <c r="Y52" s="203">
        <v>49.3</v>
      </c>
      <c r="Z52" s="61">
        <f t="shared" si="11"/>
        <v>-6.9986794944350145E-2</v>
      </c>
      <c r="AA52" s="86" t="s">
        <v>111</v>
      </c>
      <c r="AB52" s="57"/>
      <c r="AC52" s="37" t="s">
        <v>21</v>
      </c>
      <c r="AD52" s="183">
        <v>10.721202402366421</v>
      </c>
      <c r="AE52" s="166">
        <v>53.01</v>
      </c>
      <c r="AF52" s="61">
        <f t="shared" si="6"/>
        <v>0</v>
      </c>
      <c r="AG52" s="86" t="s">
        <v>111</v>
      </c>
      <c r="AH52" s="37" t="s">
        <v>21</v>
      </c>
      <c r="AI52" s="93">
        <v>10.758351553460503</v>
      </c>
      <c r="AJ52" s="87">
        <v>53.01</v>
      </c>
      <c r="AK52" s="61">
        <f t="shared" si="7"/>
        <v>-6.0606060606060635E-2</v>
      </c>
      <c r="AL52" s="86" t="s">
        <v>111</v>
      </c>
      <c r="AM52" s="37" t="s">
        <v>86</v>
      </c>
      <c r="AN52" s="52">
        <v>11.4</v>
      </c>
      <c r="AO52" s="87">
        <v>56.43</v>
      </c>
      <c r="AP52" s="61">
        <f t="shared" si="8"/>
        <v>0</v>
      </c>
      <c r="AQ52" s="86" t="s">
        <v>111</v>
      </c>
      <c r="AR52" s="37" t="s">
        <v>86</v>
      </c>
      <c r="AS52" s="52">
        <v>11.4</v>
      </c>
      <c r="AT52" s="87">
        <v>56.43</v>
      </c>
    </row>
    <row r="53" spans="1:46" thickBot="1">
      <c r="A53" t="str">
        <v>Vata bazaltica 100 mm 70kg/m3</v>
      </c>
      <c r="B53" s="113"/>
      <c r="C53" s="324" t="s">
        <v>510</v>
      </c>
      <c r="D53" s="325"/>
      <c r="E53" s="326" t="s">
        <v>21</v>
      </c>
      <c r="F53" s="321">
        <f t="shared" ref="F53:F54" si="14">IF(E53="","",ROUND(G53*(1+$F$2),2))</f>
        <v>11.93</v>
      </c>
      <c r="G53" s="322">
        <f t="shared" ref="G53:G54" si="15">H53/$G$2</f>
        <v>9.9381443298969092</v>
      </c>
      <c r="H53" s="327">
        <v>48.2</v>
      </c>
      <c r="I53" s="107"/>
      <c r="J53" s="108"/>
      <c r="K53" s="109"/>
      <c r="L53" s="108"/>
      <c r="N53" s="61"/>
      <c r="O53" s="86"/>
      <c r="P53" s="201"/>
      <c r="Q53" s="37"/>
      <c r="R53" s="92"/>
      <c r="S53" s="183"/>
      <c r="T53" s="166"/>
      <c r="U53" s="86"/>
      <c r="V53" s="201"/>
      <c r="W53" s="37"/>
      <c r="X53" s="183"/>
      <c r="Y53" s="203"/>
      <c r="Z53" s="61"/>
      <c r="AA53" s="86"/>
      <c r="AB53" s="201"/>
      <c r="AC53" s="37"/>
      <c r="AD53" s="183"/>
      <c r="AE53" s="166"/>
      <c r="AF53" s="61"/>
      <c r="AG53" s="86"/>
      <c r="AH53" s="37"/>
      <c r="AI53" s="93"/>
      <c r="AJ53" s="87"/>
      <c r="AK53" s="61"/>
      <c r="AL53" s="86"/>
      <c r="AM53" s="37"/>
      <c r="AN53" s="52"/>
      <c r="AO53" s="87"/>
      <c r="AP53" s="61"/>
      <c r="AQ53" s="86"/>
      <c r="AR53" s="37"/>
      <c r="AS53" s="52"/>
      <c r="AT53" s="87"/>
    </row>
    <row r="54" spans="1:46" thickBot="1">
      <c r="A54" t="str">
        <v>Vata bazaltica 150 mm 70 kg/m3</v>
      </c>
      <c r="B54" s="113"/>
      <c r="C54" s="324" t="s">
        <v>511</v>
      </c>
      <c r="D54" s="325"/>
      <c r="E54" s="326" t="s">
        <v>21</v>
      </c>
      <c r="F54" s="321">
        <f t="shared" si="14"/>
        <v>17.88</v>
      </c>
      <c r="G54" s="322">
        <f t="shared" si="15"/>
        <v>14.901030927835052</v>
      </c>
      <c r="H54" s="327">
        <v>72.27</v>
      </c>
      <c r="I54" s="107"/>
      <c r="J54" s="108"/>
      <c r="K54" s="109"/>
      <c r="L54" s="108"/>
      <c r="N54" s="61"/>
      <c r="O54" s="86"/>
      <c r="P54" s="201"/>
      <c r="Q54" s="37"/>
      <c r="R54" s="92"/>
      <c r="S54" s="183"/>
      <c r="T54" s="166"/>
      <c r="U54" s="86"/>
      <c r="V54" s="201"/>
      <c r="W54" s="37"/>
      <c r="X54" s="183"/>
      <c r="Y54" s="203"/>
      <c r="Z54" s="61"/>
      <c r="AA54" s="86"/>
      <c r="AB54" s="201"/>
      <c r="AC54" s="37"/>
      <c r="AD54" s="183"/>
      <c r="AE54" s="166"/>
      <c r="AF54" s="61"/>
      <c r="AG54" s="86"/>
      <c r="AH54" s="37"/>
      <c r="AI54" s="93"/>
      <c r="AJ54" s="87"/>
      <c r="AK54" s="61"/>
      <c r="AL54" s="86"/>
      <c r="AM54" s="37"/>
      <c r="AN54" s="52"/>
      <c r="AO54" s="87"/>
      <c r="AP54" s="61"/>
      <c r="AQ54" s="86"/>
      <c r="AR54" s="37"/>
      <c r="AS54" s="52"/>
      <c r="AT54" s="87"/>
    </row>
    <row r="55" spans="1:46" thickBot="1">
      <c r="A55" t="str">
        <v>Vata lemn 100 mm</v>
      </c>
      <c r="B55" s="113"/>
      <c r="C55" s="324" t="s">
        <v>111</v>
      </c>
      <c r="D55" s="325"/>
      <c r="E55" s="326" t="s">
        <v>21</v>
      </c>
      <c r="F55" s="321">
        <f t="shared" si="1"/>
        <v>13.12</v>
      </c>
      <c r="G55" s="322">
        <f t="shared" si="2"/>
        <v>10.929896907216495</v>
      </c>
      <c r="H55" s="327">
        <v>53.01</v>
      </c>
      <c r="I55" s="107"/>
      <c r="J55" s="108"/>
      <c r="K55" s="109"/>
      <c r="L55" s="108"/>
      <c r="N55" s="61">
        <f t="shared" si="12"/>
        <v>0.98242333582647723</v>
      </c>
      <c r="O55" s="86" t="s">
        <v>112</v>
      </c>
      <c r="P55" s="57"/>
      <c r="Q55" s="37" t="s">
        <v>21</v>
      </c>
      <c r="R55" s="92">
        <f t="shared" si="4"/>
        <v>6.62</v>
      </c>
      <c r="S55" s="183">
        <f t="shared" si="5"/>
        <v>5.5134020618556701</v>
      </c>
      <c r="T55" s="166">
        <v>26.74</v>
      </c>
      <c r="U55" s="86" t="s">
        <v>112</v>
      </c>
      <c r="V55" s="201"/>
      <c r="W55" s="37" t="s">
        <v>21</v>
      </c>
      <c r="X55" s="183">
        <v>5.3604887983706719</v>
      </c>
      <c r="Y55" s="203">
        <v>26.32</v>
      </c>
      <c r="Z55" s="61">
        <f t="shared" si="11"/>
        <v>-1.5706806282722446E-2</v>
      </c>
      <c r="AA55" s="86" t="s">
        <v>112</v>
      </c>
      <c r="AB55" s="57"/>
      <c r="AC55" s="37" t="s">
        <v>21</v>
      </c>
      <c r="AD55" s="183">
        <v>5.4081296404315813</v>
      </c>
      <c r="AE55" s="166">
        <v>26.74</v>
      </c>
      <c r="AF55" s="61">
        <f t="shared" si="6"/>
        <v>0</v>
      </c>
      <c r="AG55" s="86" t="s">
        <v>112</v>
      </c>
      <c r="AH55" s="37" t="s">
        <v>21</v>
      </c>
      <c r="AI55" s="93">
        <v>5.4268689028397255</v>
      </c>
      <c r="AJ55" s="87">
        <v>26.74</v>
      </c>
      <c r="AK55" s="61">
        <f t="shared" si="7"/>
        <v>-6.0765718299965008E-2</v>
      </c>
      <c r="AL55" s="86" t="s">
        <v>112</v>
      </c>
      <c r="AM55" s="37" t="s">
        <v>86</v>
      </c>
      <c r="AN55" s="52">
        <v>5.75</v>
      </c>
      <c r="AO55" s="87">
        <v>28.470000000000002</v>
      </c>
      <c r="AP55" s="61">
        <f t="shared" si="8"/>
        <v>0</v>
      </c>
      <c r="AQ55" s="86" t="s">
        <v>112</v>
      </c>
      <c r="AR55" s="37" t="s">
        <v>86</v>
      </c>
      <c r="AS55" s="52">
        <v>5.75</v>
      </c>
      <c r="AT55" s="87">
        <v>28.470000000000002</v>
      </c>
    </row>
    <row r="56" spans="1:46" thickBot="1">
      <c r="A56" t="str">
        <v>Vata lemn 50 mm</v>
      </c>
      <c r="B56" s="113" t="s">
        <v>48</v>
      </c>
      <c r="C56" s="324" t="s">
        <v>112</v>
      </c>
      <c r="D56" s="325"/>
      <c r="E56" s="326" t="s">
        <v>21</v>
      </c>
      <c r="F56" s="321">
        <f t="shared" si="1"/>
        <v>6.62</v>
      </c>
      <c r="G56" s="322">
        <f t="shared" si="2"/>
        <v>5.5134020618556701</v>
      </c>
      <c r="H56" s="327">
        <v>26.74</v>
      </c>
      <c r="I56" s="107">
        <f>0.02*0.04</f>
        <v>8.0000000000000004E-4</v>
      </c>
      <c r="J56" s="108" t="s">
        <v>91</v>
      </c>
      <c r="K56" s="121">
        <f>L56*$K$2</f>
        <v>329.89690721649487</v>
      </c>
      <c r="L56" s="122">
        <v>1600</v>
      </c>
      <c r="N56" s="61">
        <f t="shared" si="12"/>
        <v>14.193181818181817</v>
      </c>
      <c r="O56" s="86" t="s">
        <v>215</v>
      </c>
      <c r="P56" s="57"/>
      <c r="Q56" s="37" t="s">
        <v>23</v>
      </c>
      <c r="R56" s="92">
        <f t="shared" si="4"/>
        <v>0.44</v>
      </c>
      <c r="S56" s="183">
        <f t="shared" si="5"/>
        <v>0.36288659793814437</v>
      </c>
      <c r="T56" s="190">
        <f>1*0.04*0.02*2200</f>
        <v>1.76</v>
      </c>
      <c r="U56" s="86" t="s">
        <v>215</v>
      </c>
      <c r="V56" s="201"/>
      <c r="W56" s="37" t="s">
        <v>23</v>
      </c>
      <c r="X56" s="183">
        <v>0.35845213849287166</v>
      </c>
      <c r="Y56" s="196">
        <v>1.76</v>
      </c>
      <c r="Z56" s="61">
        <f t="shared" si="11"/>
        <v>0.375</v>
      </c>
      <c r="AA56" s="86" t="s">
        <v>215</v>
      </c>
      <c r="AB56" s="57"/>
      <c r="AC56" s="37" t="s">
        <v>23</v>
      </c>
      <c r="AD56" s="183">
        <v>0.25887830739537859</v>
      </c>
      <c r="AE56" s="186">
        <v>1.28</v>
      </c>
      <c r="AF56" s="61">
        <f t="shared" si="6"/>
        <v>0</v>
      </c>
      <c r="AG56" s="86" t="s">
        <v>215</v>
      </c>
      <c r="AH56" s="37" t="s">
        <v>23</v>
      </c>
      <c r="AI56" s="140">
        <v>0.25977532519202878</v>
      </c>
      <c r="AJ56" s="140">
        <v>1.28</v>
      </c>
      <c r="AL56" s="86"/>
      <c r="AM56" s="37"/>
      <c r="AN56" s="52"/>
      <c r="AO56" s="87"/>
      <c r="AQ56" s="86"/>
      <c r="AR56" s="37"/>
      <c r="AS56" s="52"/>
      <c r="AT56" s="87"/>
    </row>
    <row r="57" spans="1:46" thickBot="1">
      <c r="A57" t="str">
        <v>Latori 20x40 mm</v>
      </c>
      <c r="B57" s="113" t="s">
        <v>222</v>
      </c>
      <c r="C57" s="324" t="s">
        <v>215</v>
      </c>
      <c r="D57" s="325"/>
      <c r="E57" s="326" t="s">
        <v>23</v>
      </c>
      <c r="F57" s="321">
        <f t="shared" si="1"/>
        <v>0.46</v>
      </c>
      <c r="G57" s="322">
        <f t="shared" si="2"/>
        <v>0.37938144329896911</v>
      </c>
      <c r="H57" s="332">
        <f>1*0.04*0.02*2300</f>
        <v>1.84</v>
      </c>
      <c r="I57" s="107"/>
      <c r="J57" s="108"/>
      <c r="K57" s="109"/>
      <c r="L57" s="108"/>
      <c r="N57" s="61">
        <f t="shared" si="12"/>
        <v>-0.99438455594039799</v>
      </c>
      <c r="O57" s="86" t="s">
        <v>246</v>
      </c>
      <c r="P57" s="57"/>
      <c r="Q57" s="37" t="s">
        <v>127</v>
      </c>
      <c r="R57" s="92">
        <f t="shared" si="4"/>
        <v>81.069999999999993</v>
      </c>
      <c r="S57" s="183">
        <f t="shared" si="5"/>
        <v>67.560363752577317</v>
      </c>
      <c r="T57" s="166">
        <v>327.66776419999997</v>
      </c>
      <c r="U57" s="86" t="s">
        <v>246</v>
      </c>
      <c r="V57" s="201"/>
      <c r="W57" s="37" t="s">
        <v>127</v>
      </c>
      <c r="X57" s="183">
        <v>66.734778859470453</v>
      </c>
      <c r="Y57" s="88">
        <v>327.66776419999997</v>
      </c>
      <c r="Z57" s="61">
        <f t="shared" si="11"/>
        <v>0</v>
      </c>
      <c r="AA57" s="86" t="s">
        <v>246</v>
      </c>
      <c r="AB57" s="57"/>
      <c r="AC57" s="37" t="s">
        <v>127</v>
      </c>
      <c r="AD57" s="183">
        <v>66.270372018846899</v>
      </c>
      <c r="AE57" s="166">
        <v>327.66776419999997</v>
      </c>
      <c r="AF57" s="61">
        <f t="shared" si="6"/>
        <v>0</v>
      </c>
      <c r="AG57" s="86" t="s">
        <v>246</v>
      </c>
      <c r="AH57" s="37" t="s">
        <v>127</v>
      </c>
      <c r="AI57" s="48">
        <v>66.5</v>
      </c>
      <c r="AJ57" s="166">
        <v>327.66776419999997</v>
      </c>
      <c r="AL57" s="86"/>
      <c r="AM57" s="37"/>
      <c r="AN57" s="52"/>
      <c r="AO57" s="87"/>
      <c r="AQ57" s="86"/>
      <c r="AR57" s="37"/>
      <c r="AS57" s="52"/>
      <c r="AT57" s="87"/>
    </row>
    <row r="58" spans="1:46" thickBot="1">
      <c r="A58" t="str">
        <v>Etrier 240 L</v>
      </c>
      <c r="B58" s="113"/>
      <c r="C58" s="324" t="s">
        <v>246</v>
      </c>
      <c r="D58" s="325"/>
      <c r="E58" s="326" t="s">
        <v>127</v>
      </c>
      <c r="F58" s="321">
        <f t="shared" si="1"/>
        <v>81.069999999999993</v>
      </c>
      <c r="G58" s="322">
        <f t="shared" si="2"/>
        <v>67.560363752577317</v>
      </c>
      <c r="H58" s="327">
        <v>327.66776419999997</v>
      </c>
      <c r="I58" s="107"/>
      <c r="J58" s="108"/>
      <c r="K58" s="109"/>
      <c r="L58" s="108"/>
      <c r="N58" s="61">
        <f t="shared" si="12"/>
        <v>-0.11627906976744196</v>
      </c>
      <c r="O58" s="86" t="s">
        <v>247</v>
      </c>
      <c r="P58" s="57"/>
      <c r="Q58" s="37" t="s">
        <v>127</v>
      </c>
      <c r="R58" s="92">
        <f t="shared" si="4"/>
        <v>91.74</v>
      </c>
      <c r="S58" s="183">
        <f t="shared" si="5"/>
        <v>76.449885298969079</v>
      </c>
      <c r="T58" s="166">
        <v>370.7819437</v>
      </c>
      <c r="U58" s="86" t="s">
        <v>247</v>
      </c>
      <c r="V58" s="201"/>
      <c r="W58" s="37" t="s">
        <v>127</v>
      </c>
      <c r="X58" s="183">
        <v>75.515670814663949</v>
      </c>
      <c r="Y58" s="88">
        <v>370.7819437</v>
      </c>
      <c r="Z58" s="61">
        <f t="shared" si="11"/>
        <v>0</v>
      </c>
      <c r="AA58" s="86" t="s">
        <v>247</v>
      </c>
      <c r="AB58" s="57"/>
      <c r="AC58" s="37" t="s">
        <v>127</v>
      </c>
      <c r="AD58" s="183">
        <v>74.99015781080044</v>
      </c>
      <c r="AE58" s="166">
        <v>370.7819437</v>
      </c>
      <c r="AF58" s="61">
        <f t="shared" si="6"/>
        <v>0</v>
      </c>
      <c r="AG58" s="86" t="s">
        <v>247</v>
      </c>
      <c r="AH58" s="37" t="s">
        <v>127</v>
      </c>
      <c r="AI58" s="48">
        <v>75.25</v>
      </c>
      <c r="AJ58" s="166">
        <v>370.7819437</v>
      </c>
      <c r="AL58" s="86"/>
      <c r="AM58" s="37"/>
      <c r="AN58" s="52"/>
      <c r="AO58" s="87"/>
      <c r="AQ58" s="86"/>
      <c r="AR58" s="37"/>
      <c r="AS58" s="52"/>
      <c r="AT58" s="87"/>
    </row>
    <row r="59" spans="1:46" thickBot="1">
      <c r="A59" t="str">
        <v>Etrier 360 L-G</v>
      </c>
      <c r="B59" s="113"/>
      <c r="C59" s="324" t="s">
        <v>247</v>
      </c>
      <c r="D59" s="325"/>
      <c r="E59" s="326" t="s">
        <v>127</v>
      </c>
      <c r="F59" s="321">
        <f t="shared" si="1"/>
        <v>91.74</v>
      </c>
      <c r="G59" s="322">
        <f t="shared" si="2"/>
        <v>76.449885298969079</v>
      </c>
      <c r="H59" s="327">
        <v>370.7819437</v>
      </c>
      <c r="I59" s="107"/>
      <c r="J59" s="108"/>
      <c r="K59" s="109"/>
      <c r="L59" s="108"/>
      <c r="N59" s="61">
        <f t="shared" si="12"/>
        <v>0</v>
      </c>
      <c r="O59" s="86" t="s">
        <v>248</v>
      </c>
      <c r="P59" s="57"/>
      <c r="Q59" s="37" t="s">
        <v>127</v>
      </c>
      <c r="R59" s="92">
        <f>IF(Q59="","",ROUND(S59*(1+$F$2),2))</f>
        <v>91.74</v>
      </c>
      <c r="S59" s="183">
        <f t="shared" si="5"/>
        <v>76.449885298969079</v>
      </c>
      <c r="T59" s="166">
        <v>370.7819437</v>
      </c>
      <c r="U59" s="86" t="s">
        <v>248</v>
      </c>
      <c r="V59" s="201"/>
      <c r="W59" s="37" t="s">
        <v>127</v>
      </c>
      <c r="X59" s="183">
        <v>75.515670814663949</v>
      </c>
      <c r="Y59" s="88">
        <v>370.7819437</v>
      </c>
      <c r="Z59" s="61">
        <f t="shared" si="11"/>
        <v>0</v>
      </c>
      <c r="AA59" s="86" t="s">
        <v>248</v>
      </c>
      <c r="AB59" s="57"/>
      <c r="AC59" s="37" t="s">
        <v>127</v>
      </c>
      <c r="AD59" s="183">
        <v>74.99015781080044</v>
      </c>
      <c r="AE59" s="166">
        <v>370.7819437</v>
      </c>
      <c r="AF59" s="61">
        <f t="shared" si="6"/>
        <v>0</v>
      </c>
      <c r="AG59" s="86" t="s">
        <v>248</v>
      </c>
      <c r="AH59" s="37" t="s">
        <v>127</v>
      </c>
      <c r="AI59" s="48">
        <v>75.25</v>
      </c>
      <c r="AJ59" s="166">
        <v>370.7819437</v>
      </c>
      <c r="AL59" s="86"/>
      <c r="AM59" s="37"/>
      <c r="AN59" s="52"/>
      <c r="AO59" s="87"/>
      <c r="AQ59" s="86"/>
      <c r="AR59" s="37"/>
      <c r="AS59" s="52"/>
      <c r="AT59" s="87"/>
    </row>
    <row r="60" spans="1:46" thickBot="1">
      <c r="A60" t="str">
        <v>Etrier 360 L-D</v>
      </c>
      <c r="B60" s="113"/>
      <c r="C60" s="324" t="s">
        <v>248</v>
      </c>
      <c r="D60" s="325"/>
      <c r="E60" s="326" t="s">
        <v>127</v>
      </c>
      <c r="F60" s="321">
        <f>IF(E60="","",ROUND(G60*(1+$F$2),2))</f>
        <v>91.74</v>
      </c>
      <c r="G60" s="322">
        <f t="shared" si="2"/>
        <v>76.449885298969079</v>
      </c>
      <c r="H60" s="327">
        <v>370.7819437</v>
      </c>
      <c r="I60" s="107"/>
      <c r="J60" s="108"/>
      <c r="K60" s="109"/>
      <c r="L60" s="108"/>
      <c r="N60" s="61">
        <f t="shared" si="12"/>
        <v>-0.28333333333333327</v>
      </c>
      <c r="O60" s="86" t="s">
        <v>249</v>
      </c>
      <c r="P60" s="57"/>
      <c r="Q60" s="37" t="s">
        <v>127</v>
      </c>
      <c r="R60" s="92">
        <f>IF(Q60="","",ROUND(S60*(1+$F$2),2))</f>
        <v>128.01</v>
      </c>
      <c r="S60" s="183">
        <f t="shared" si="5"/>
        <v>106.67425855670103</v>
      </c>
      <c r="T60" s="166">
        <v>517.37015399999996</v>
      </c>
      <c r="U60" s="86" t="s">
        <v>249</v>
      </c>
      <c r="V60" s="201"/>
      <c r="W60" s="37" t="s">
        <v>127</v>
      </c>
      <c r="X60" s="183">
        <v>105.37070346232179</v>
      </c>
      <c r="Y60" s="88">
        <v>517.37015399999996</v>
      </c>
      <c r="Z60" s="61">
        <f t="shared" si="11"/>
        <v>0</v>
      </c>
      <c r="AA60" s="86" t="s">
        <v>249</v>
      </c>
      <c r="AB60" s="57"/>
      <c r="AC60" s="37" t="s">
        <v>127</v>
      </c>
      <c r="AD60" s="183">
        <v>104.63742950344246</v>
      </c>
      <c r="AE60" s="166">
        <v>517.37015399999996</v>
      </c>
      <c r="AF60" s="61">
        <f t="shared" si="6"/>
        <v>0</v>
      </c>
      <c r="AG60" s="86" t="s">
        <v>249</v>
      </c>
      <c r="AH60" s="37" t="s">
        <v>127</v>
      </c>
      <c r="AI60" s="48">
        <v>105</v>
      </c>
      <c r="AJ60" s="166">
        <v>517.37015399999996</v>
      </c>
      <c r="AL60" s="86"/>
      <c r="AM60" s="37"/>
      <c r="AN60" s="52"/>
      <c r="AO60" s="87"/>
      <c r="AQ60" s="86"/>
      <c r="AR60" s="37"/>
      <c r="AS60" s="52"/>
      <c r="AT60" s="87"/>
    </row>
    <row r="61" spans="1:46" thickBot="1">
      <c r="A61" t="str">
        <v>PP1</v>
      </c>
      <c r="B61" s="113"/>
      <c r="C61" s="324" t="s">
        <v>249</v>
      </c>
      <c r="D61" s="325"/>
      <c r="E61" s="326" t="s">
        <v>127</v>
      </c>
      <c r="F61" s="321">
        <f>IF(E61="","",ROUND(G61*(1+$F$2),2))</f>
        <v>128.01</v>
      </c>
      <c r="G61" s="322">
        <f t="shared" si="2"/>
        <v>106.67425855670103</v>
      </c>
      <c r="H61" s="327">
        <v>517.37015399999996</v>
      </c>
      <c r="I61" s="107"/>
      <c r="J61" s="108"/>
      <c r="K61" s="109"/>
      <c r="L61" s="108"/>
      <c r="N61" s="61">
        <f t="shared" si="12"/>
        <v>-0.3814432989690722</v>
      </c>
      <c r="O61" s="86" t="s">
        <v>250</v>
      </c>
      <c r="P61" s="57"/>
      <c r="Q61" s="37" t="s">
        <v>127</v>
      </c>
      <c r="R61" s="92">
        <f t="shared" ref="R61:R72" si="16">IF(Q61="","",ROUND(S61*(1+$F$2),2))</f>
        <v>206.95</v>
      </c>
      <c r="S61" s="183">
        <f t="shared" si="5"/>
        <v>172.45671800000002</v>
      </c>
      <c r="T61" s="166">
        <v>836.41508229999999</v>
      </c>
      <c r="U61" s="86" t="s">
        <v>250</v>
      </c>
      <c r="V61" s="201"/>
      <c r="W61" s="37" t="s">
        <v>127</v>
      </c>
      <c r="X61" s="183">
        <v>170.34930393075356</v>
      </c>
      <c r="Y61" s="88">
        <v>836.41508229999999</v>
      </c>
      <c r="Z61" s="61">
        <f t="shared" si="11"/>
        <v>0</v>
      </c>
      <c r="AA61" s="86" t="s">
        <v>250</v>
      </c>
      <c r="AB61" s="57"/>
      <c r="AC61" s="37" t="s">
        <v>127</v>
      </c>
      <c r="AD61" s="183">
        <v>169.16384436389868</v>
      </c>
      <c r="AE61" s="166">
        <v>836.41508229999999</v>
      </c>
      <c r="AF61" s="61">
        <f t="shared" si="6"/>
        <v>0</v>
      </c>
      <c r="AG61" s="86" t="s">
        <v>250</v>
      </c>
      <c r="AH61" s="37" t="s">
        <v>127</v>
      </c>
      <c r="AI61" s="48">
        <v>169.75</v>
      </c>
      <c r="AJ61" s="166">
        <v>836.41508229999999</v>
      </c>
      <c r="AL61" s="86"/>
      <c r="AM61" s="37"/>
      <c r="AN61" s="52"/>
      <c r="AO61" s="87"/>
      <c r="AQ61" s="86"/>
      <c r="AR61" s="37"/>
      <c r="AS61" s="52"/>
      <c r="AT61" s="87"/>
    </row>
    <row r="62" spans="1:46" thickBot="1">
      <c r="A62" t="str">
        <v>Platine C-a</v>
      </c>
      <c r="B62" s="113"/>
      <c r="C62" s="324" t="s">
        <v>250</v>
      </c>
      <c r="D62" s="325"/>
      <c r="E62" s="326" t="s">
        <v>127</v>
      </c>
      <c r="F62" s="321">
        <f t="shared" ref="F62:F73" si="17">IF(E62="","",ROUND(G62*(1+$F$2),2))</f>
        <v>206.95</v>
      </c>
      <c r="G62" s="322">
        <f t="shared" si="2"/>
        <v>172.45671800000002</v>
      </c>
      <c r="H62" s="327">
        <v>836.41508229999999</v>
      </c>
      <c r="I62" s="107"/>
      <c r="J62" s="108"/>
      <c r="K62" s="109"/>
      <c r="L62" s="108"/>
      <c r="N62" s="61">
        <f t="shared" si="12"/>
        <v>1.3658536585365855</v>
      </c>
      <c r="O62" s="86" t="s">
        <v>251</v>
      </c>
      <c r="P62" s="57"/>
      <c r="Q62" s="37" t="s">
        <v>127</v>
      </c>
      <c r="R62" s="92">
        <f t="shared" si="16"/>
        <v>87.47</v>
      </c>
      <c r="S62" s="183">
        <f t="shared" si="5"/>
        <v>72.894076680412368</v>
      </c>
      <c r="T62" s="166">
        <v>353.53627189999997</v>
      </c>
      <c r="U62" s="86" t="s">
        <v>251</v>
      </c>
      <c r="V62" s="201"/>
      <c r="W62" s="37" t="s">
        <v>127</v>
      </c>
      <c r="X62" s="183">
        <v>72.003314032586545</v>
      </c>
      <c r="Y62" s="88">
        <v>353.53627189999997</v>
      </c>
      <c r="Z62" s="61">
        <f t="shared" si="11"/>
        <v>0</v>
      </c>
      <c r="AA62" s="86" t="s">
        <v>251</v>
      </c>
      <c r="AB62" s="57"/>
      <c r="AC62" s="37" t="s">
        <v>127</v>
      </c>
      <c r="AD62" s="183">
        <v>71.502243494019027</v>
      </c>
      <c r="AE62" s="166">
        <v>353.53627189999997</v>
      </c>
      <c r="AF62" s="61">
        <f t="shared" si="6"/>
        <v>0</v>
      </c>
      <c r="AG62" s="86" t="s">
        <v>251</v>
      </c>
      <c r="AH62" s="37" t="s">
        <v>127</v>
      </c>
      <c r="AI62" s="48">
        <v>71.75</v>
      </c>
      <c r="AJ62" s="166">
        <v>353.53627189999997</v>
      </c>
      <c r="AL62" s="86"/>
      <c r="AM62" s="37"/>
      <c r="AN62" s="52"/>
      <c r="AO62" s="87"/>
      <c r="AQ62" s="86"/>
      <c r="AR62" s="37"/>
      <c r="AS62" s="52"/>
      <c r="AT62" s="87"/>
    </row>
    <row r="63" spans="1:46" thickBot="1">
      <c r="A63" t="str">
        <v>Platine C-b</v>
      </c>
      <c r="B63" s="113"/>
      <c r="C63" s="324" t="s">
        <v>251</v>
      </c>
      <c r="D63" s="325"/>
      <c r="E63" s="326" t="s">
        <v>127</v>
      </c>
      <c r="F63" s="321">
        <f t="shared" si="17"/>
        <v>87.47</v>
      </c>
      <c r="G63" s="322">
        <f t="shared" si="2"/>
        <v>72.894076680412368</v>
      </c>
      <c r="H63" s="327">
        <v>353.53627189999997</v>
      </c>
      <c r="I63" s="107"/>
      <c r="J63" s="108"/>
      <c r="K63" s="109"/>
      <c r="L63" s="108"/>
      <c r="N63" s="61">
        <f t="shared" si="12"/>
        <v>3.0999999999999996</v>
      </c>
      <c r="O63" s="86" t="s">
        <v>252</v>
      </c>
      <c r="P63" s="57"/>
      <c r="Q63" s="37" t="s">
        <v>127</v>
      </c>
      <c r="R63" s="92">
        <f t="shared" si="16"/>
        <v>21.33</v>
      </c>
      <c r="S63" s="183">
        <f t="shared" si="5"/>
        <v>17.779043092783507</v>
      </c>
      <c r="T63" s="166">
        <v>86.228358999999998</v>
      </c>
      <c r="U63" s="86" t="s">
        <v>252</v>
      </c>
      <c r="V63" s="201"/>
      <c r="W63" s="37" t="s">
        <v>127</v>
      </c>
      <c r="X63" s="183">
        <v>17.561783910386964</v>
      </c>
      <c r="Y63" s="88">
        <v>86.228358999999998</v>
      </c>
      <c r="Z63" s="61">
        <f t="shared" si="11"/>
        <v>0</v>
      </c>
      <c r="AA63" s="86" t="s">
        <v>252</v>
      </c>
      <c r="AB63" s="57"/>
      <c r="AC63" s="37" t="s">
        <v>127</v>
      </c>
      <c r="AD63" s="183">
        <v>17.439571583907078</v>
      </c>
      <c r="AE63" s="166">
        <v>86.228358999999998</v>
      </c>
      <c r="AF63" s="61">
        <f t="shared" si="6"/>
        <v>0</v>
      </c>
      <c r="AG63" s="86" t="s">
        <v>252</v>
      </c>
      <c r="AH63" s="37" t="s">
        <v>127</v>
      </c>
      <c r="AI63" s="48">
        <v>17.5</v>
      </c>
      <c r="AJ63" s="166">
        <v>86.228358999999998</v>
      </c>
      <c r="AL63" s="86"/>
      <c r="AM63" s="37"/>
      <c r="AN63" s="52"/>
      <c r="AO63" s="87"/>
      <c r="AQ63" s="86"/>
      <c r="AR63" s="37"/>
      <c r="AS63" s="52"/>
      <c r="AT63" s="87"/>
    </row>
    <row r="64" spans="1:46" thickBot="1">
      <c r="A64" t="str">
        <v>Platine C-c</v>
      </c>
      <c r="B64" s="113"/>
      <c r="C64" s="324" t="s">
        <v>252</v>
      </c>
      <c r="D64" s="325"/>
      <c r="E64" s="326" t="s">
        <v>127</v>
      </c>
      <c r="F64" s="321">
        <f t="shared" si="17"/>
        <v>21.33</v>
      </c>
      <c r="G64" s="322">
        <f t="shared" si="2"/>
        <v>17.779043092783507</v>
      </c>
      <c r="H64" s="327">
        <v>86.228358999999998</v>
      </c>
      <c r="I64" s="107"/>
      <c r="J64" s="108"/>
      <c r="K64" s="109"/>
      <c r="L64" s="108"/>
      <c r="N64" s="61">
        <f t="shared" si="12"/>
        <v>-0.96093749999999989</v>
      </c>
      <c r="O64" s="86" t="s">
        <v>253</v>
      </c>
      <c r="P64" s="57"/>
      <c r="Q64" s="37" t="s">
        <v>127</v>
      </c>
      <c r="R64" s="92">
        <f t="shared" si="16"/>
        <v>546.16999999999996</v>
      </c>
      <c r="S64" s="183">
        <f t="shared" si="5"/>
        <v>455.14350317525776</v>
      </c>
      <c r="T64" s="166">
        <v>2207.4459904</v>
      </c>
      <c r="U64" s="86" t="s">
        <v>253</v>
      </c>
      <c r="V64" s="201"/>
      <c r="W64" s="37" t="s">
        <v>127</v>
      </c>
      <c r="X64" s="183">
        <v>449.58166810590632</v>
      </c>
      <c r="Y64" s="88">
        <v>2207.4459904</v>
      </c>
      <c r="Z64" s="61">
        <f t="shared" si="11"/>
        <v>0</v>
      </c>
      <c r="AA64" s="86" t="s">
        <v>253</v>
      </c>
      <c r="AB64" s="57"/>
      <c r="AC64" s="37" t="s">
        <v>127</v>
      </c>
      <c r="AD64" s="183">
        <v>446.45303254802121</v>
      </c>
      <c r="AE64" s="166">
        <v>2207.4459904</v>
      </c>
      <c r="AF64" s="61">
        <f t="shared" si="6"/>
        <v>0</v>
      </c>
      <c r="AG64" s="86" t="s">
        <v>253</v>
      </c>
      <c r="AH64" s="37" t="s">
        <v>127</v>
      </c>
      <c r="AI64" s="48">
        <v>448</v>
      </c>
      <c r="AJ64" s="166">
        <v>2207.4459904</v>
      </c>
      <c r="AL64" s="86"/>
      <c r="AM64" s="37"/>
      <c r="AN64" s="52"/>
      <c r="AO64" s="87"/>
      <c r="AQ64" s="86"/>
      <c r="AR64" s="37"/>
      <c r="AS64" s="52"/>
      <c r="AT64" s="87"/>
    </row>
    <row r="65" spans="1:46" thickBot="1">
      <c r="A65" t="str">
        <v>Platine A</v>
      </c>
      <c r="B65" s="113"/>
      <c r="C65" s="324" t="s">
        <v>253</v>
      </c>
      <c r="D65" s="325"/>
      <c r="E65" s="326" t="s">
        <v>127</v>
      </c>
      <c r="F65" s="321">
        <f t="shared" si="17"/>
        <v>546.16999999999996</v>
      </c>
      <c r="G65" s="322">
        <f t="shared" si="2"/>
        <v>455.14350317525776</v>
      </c>
      <c r="H65" s="327">
        <v>2207.4459904</v>
      </c>
      <c r="I65" s="107"/>
      <c r="J65" s="108"/>
      <c r="K65" s="109"/>
      <c r="L65" s="108"/>
      <c r="N65" s="61">
        <f t="shared" si="12"/>
        <v>1.6947368421052635</v>
      </c>
      <c r="O65" s="86" t="s">
        <v>254</v>
      </c>
      <c r="P65" s="57"/>
      <c r="Q65" s="37" t="s">
        <v>127</v>
      </c>
      <c r="R65" s="92">
        <f t="shared" si="16"/>
        <v>202.68</v>
      </c>
      <c r="S65" s="183">
        <f t="shared" si="5"/>
        <v>168.90090938144328</v>
      </c>
      <c r="T65" s="166">
        <v>819.16941049999991</v>
      </c>
      <c r="U65" s="86" t="s">
        <v>254</v>
      </c>
      <c r="V65" s="201"/>
      <c r="W65" s="37" t="s">
        <v>127</v>
      </c>
      <c r="X65" s="183">
        <v>166.83694714867616</v>
      </c>
      <c r="Y65" s="88">
        <v>819.16941049999991</v>
      </c>
      <c r="Z65" s="61">
        <f t="shared" si="11"/>
        <v>0</v>
      </c>
      <c r="AA65" s="86" t="s">
        <v>254</v>
      </c>
      <c r="AB65" s="57"/>
      <c r="AC65" s="37" t="s">
        <v>127</v>
      </c>
      <c r="AD65" s="183">
        <v>165.67593004711725</v>
      </c>
      <c r="AE65" s="166">
        <v>819.16941049999991</v>
      </c>
      <c r="AF65" s="61">
        <f t="shared" si="6"/>
        <v>0</v>
      </c>
      <c r="AG65" s="86" t="s">
        <v>254</v>
      </c>
      <c r="AH65" s="37" t="s">
        <v>127</v>
      </c>
      <c r="AI65" s="48">
        <v>166.25</v>
      </c>
      <c r="AJ65" s="166">
        <v>819.16941049999991</v>
      </c>
      <c r="AL65" s="86"/>
      <c r="AM65" s="37"/>
      <c r="AN65" s="52"/>
      <c r="AO65" s="87"/>
      <c r="AQ65" s="86"/>
      <c r="AR65" s="37"/>
      <c r="AS65" s="52"/>
      <c r="AT65" s="87"/>
    </row>
    <row r="66" spans="1:46" thickBot="1">
      <c r="A66" t="str">
        <v>Platine B</v>
      </c>
      <c r="B66" s="113"/>
      <c r="C66" s="324" t="s">
        <v>254</v>
      </c>
      <c r="D66" s="325"/>
      <c r="E66" s="326" t="s">
        <v>127</v>
      </c>
      <c r="F66" s="321">
        <f t="shared" si="17"/>
        <v>202.68</v>
      </c>
      <c r="G66" s="322">
        <f t="shared" si="2"/>
        <v>168.90090938144328</v>
      </c>
      <c r="H66" s="327">
        <v>819.16941049999991</v>
      </c>
      <c r="I66" s="107"/>
      <c r="J66" s="108"/>
      <c r="K66" s="109"/>
      <c r="L66" s="108"/>
      <c r="N66" s="61">
        <f t="shared" si="12"/>
        <v>-0.34482758620689657</v>
      </c>
      <c r="O66" s="86" t="s">
        <v>255</v>
      </c>
      <c r="P66" s="57"/>
      <c r="Q66" s="37" t="s">
        <v>127</v>
      </c>
      <c r="R66" s="92">
        <f t="shared" si="16"/>
        <v>309.36</v>
      </c>
      <c r="S66" s="183">
        <f t="shared" si="5"/>
        <v>257.79612484536085</v>
      </c>
      <c r="T66" s="166">
        <v>1250.3112054999999</v>
      </c>
      <c r="U66" s="86" t="s">
        <v>255</v>
      </c>
      <c r="V66" s="201"/>
      <c r="W66" s="37" t="s">
        <v>127</v>
      </c>
      <c r="X66" s="183">
        <v>254.64586670061098</v>
      </c>
      <c r="Y66" s="88">
        <v>1250.3112054999999</v>
      </c>
      <c r="Z66" s="61">
        <f t="shared" si="11"/>
        <v>0</v>
      </c>
      <c r="AA66" s="86" t="s">
        <v>255</v>
      </c>
      <c r="AB66" s="57"/>
      <c r="AC66" s="37" t="s">
        <v>127</v>
      </c>
      <c r="AD66" s="183">
        <v>252.87378796665263</v>
      </c>
      <c r="AE66" s="166">
        <v>1250.3112054999999</v>
      </c>
      <c r="AF66" s="61">
        <f t="shared" si="6"/>
        <v>0</v>
      </c>
      <c r="AG66" s="86" t="s">
        <v>255</v>
      </c>
      <c r="AH66" s="37" t="s">
        <v>127</v>
      </c>
      <c r="AI66" s="48">
        <v>253.75</v>
      </c>
      <c r="AJ66" s="166">
        <v>1250.3112054999999</v>
      </c>
      <c r="AL66" s="86"/>
      <c r="AM66" s="37"/>
      <c r="AN66" s="52"/>
      <c r="AO66" s="87"/>
      <c r="AQ66" s="86"/>
      <c r="AR66" s="37"/>
      <c r="AS66" s="52"/>
      <c r="AT66" s="87"/>
    </row>
    <row r="67" spans="1:46" thickBot="1">
      <c r="A67" t="str">
        <v>Console</v>
      </c>
      <c r="B67" s="113"/>
      <c r="C67" s="324" t="s">
        <v>255</v>
      </c>
      <c r="D67" s="325"/>
      <c r="E67" s="326" t="s">
        <v>127</v>
      </c>
      <c r="F67" s="321">
        <f t="shared" si="17"/>
        <v>309.36</v>
      </c>
      <c r="G67" s="322">
        <f t="shared" si="2"/>
        <v>257.79612484536085</v>
      </c>
      <c r="H67" s="327">
        <v>1250.3112054999999</v>
      </c>
      <c r="I67" s="107"/>
      <c r="J67" s="108"/>
      <c r="K67" s="109"/>
      <c r="L67" s="108"/>
      <c r="N67" s="61">
        <f t="shared" si="12"/>
        <v>0.36424731182795694</v>
      </c>
      <c r="O67" s="86" t="s">
        <v>256</v>
      </c>
      <c r="P67" s="57"/>
      <c r="Q67" s="37" t="s">
        <v>127</v>
      </c>
      <c r="R67" s="92">
        <f t="shared" si="16"/>
        <v>226.76</v>
      </c>
      <c r="S67" s="183">
        <f t="shared" si="5"/>
        <v>188.96582944329899</v>
      </c>
      <c r="T67" s="166">
        <v>916.48427279999999</v>
      </c>
      <c r="U67" s="86" t="s">
        <v>256</v>
      </c>
      <c r="V67" s="201"/>
      <c r="W67" s="37" t="s">
        <v>127</v>
      </c>
      <c r="X67" s="183">
        <v>186.65667470468432</v>
      </c>
      <c r="Y67" s="88">
        <v>916.48427279999999</v>
      </c>
      <c r="Z67" s="61">
        <f t="shared" si="11"/>
        <v>0</v>
      </c>
      <c r="AA67" s="86" t="s">
        <v>256</v>
      </c>
      <c r="AB67" s="57"/>
      <c r="AC67" s="37" t="s">
        <v>127</v>
      </c>
      <c r="AD67" s="183">
        <v>185.35773226324096</v>
      </c>
      <c r="AE67" s="166">
        <v>916.48427279999999</v>
      </c>
      <c r="AF67" s="61">
        <f t="shared" si="6"/>
        <v>0</v>
      </c>
      <c r="AG67" s="86" t="s">
        <v>256</v>
      </c>
      <c r="AH67" s="37" t="s">
        <v>127</v>
      </c>
      <c r="AI67" s="52">
        <v>186</v>
      </c>
      <c r="AJ67" s="166">
        <v>916.48427279999999</v>
      </c>
      <c r="AL67" s="86"/>
      <c r="AM67" s="37"/>
      <c r="AN67" s="52"/>
      <c r="AO67" s="87"/>
      <c r="AQ67" s="86"/>
      <c r="AR67" s="37"/>
      <c r="AS67" s="52"/>
      <c r="AT67" s="87"/>
    </row>
    <row r="68" spans="1:46" thickBot="1">
      <c r="A68" t="str">
        <v>Poteaux</v>
      </c>
      <c r="B68" s="113"/>
      <c r="C68" s="324" t="s">
        <v>256</v>
      </c>
      <c r="D68" s="325"/>
      <c r="E68" s="326" t="s">
        <v>127</v>
      </c>
      <c r="F68" s="321">
        <f t="shared" si="17"/>
        <v>226.76</v>
      </c>
      <c r="G68" s="322">
        <f t="shared" si="2"/>
        <v>188.96582944329899</v>
      </c>
      <c r="H68" s="327">
        <v>916.48427279999999</v>
      </c>
      <c r="I68" s="107"/>
      <c r="J68" s="108"/>
      <c r="K68" s="109"/>
      <c r="L68" s="108"/>
      <c r="N68" s="61">
        <f t="shared" si="12"/>
        <v>4.7887323943662033E-2</v>
      </c>
      <c r="O68" s="86" t="s">
        <v>261</v>
      </c>
      <c r="P68" s="57"/>
      <c r="Q68" s="37" t="s">
        <v>23</v>
      </c>
      <c r="R68" s="92">
        <f t="shared" si="16"/>
        <v>216.4</v>
      </c>
      <c r="S68" s="183">
        <f t="shared" si="5"/>
        <v>180.33029422680411</v>
      </c>
      <c r="T68" s="166">
        <v>874.60192699999993</v>
      </c>
      <c r="U68" s="86" t="s">
        <v>261</v>
      </c>
      <c r="V68" s="201"/>
      <c r="W68" s="37" t="s">
        <v>23</v>
      </c>
      <c r="X68" s="183">
        <v>178.12666537678206</v>
      </c>
      <c r="Y68" s="88">
        <v>874.60192699999993</v>
      </c>
      <c r="Z68" s="61">
        <f t="shared" si="11"/>
        <v>0</v>
      </c>
      <c r="AA68" s="86" t="s">
        <v>261</v>
      </c>
      <c r="AB68" s="57"/>
      <c r="AC68" s="37" t="s">
        <v>23</v>
      </c>
      <c r="AD68" s="183">
        <v>176.88708320820035</v>
      </c>
      <c r="AE68" s="166">
        <v>874.60192699999993</v>
      </c>
      <c r="AF68" s="61">
        <f t="shared" si="6"/>
        <v>0</v>
      </c>
      <c r="AG68" s="86" t="s">
        <v>261</v>
      </c>
      <c r="AH68" s="37" t="s">
        <v>23</v>
      </c>
      <c r="AI68" s="52">
        <v>177.5</v>
      </c>
      <c r="AJ68" s="166">
        <v>874.60192699999993</v>
      </c>
      <c r="AL68" s="86"/>
      <c r="AM68" s="37"/>
      <c r="AN68" s="52"/>
      <c r="AO68" s="87"/>
      <c r="AQ68" s="86"/>
      <c r="AR68" s="37"/>
      <c r="AS68" s="52"/>
      <c r="AT68" s="87"/>
    </row>
    <row r="69" spans="1:46" thickBot="1">
      <c r="A69" t="str">
        <v>Garde-corps</v>
      </c>
      <c r="B69" s="113"/>
      <c r="C69" s="324" t="s">
        <v>261</v>
      </c>
      <c r="D69" s="325"/>
      <c r="E69" s="326" t="s">
        <v>23</v>
      </c>
      <c r="F69" s="321">
        <f t="shared" si="17"/>
        <v>216.4</v>
      </c>
      <c r="G69" s="322">
        <f t="shared" si="2"/>
        <v>180.33029422680411</v>
      </c>
      <c r="H69" s="327">
        <v>874.60192699999993</v>
      </c>
      <c r="I69" s="107"/>
      <c r="J69" s="108"/>
      <c r="K69" s="109"/>
      <c r="L69" s="108"/>
      <c r="N69" s="61">
        <f t="shared" si="12"/>
        <v>4.0028184892897407</v>
      </c>
      <c r="O69" s="86" t="s">
        <v>257</v>
      </c>
      <c r="P69" s="57"/>
      <c r="Q69" s="37" t="s">
        <v>21</v>
      </c>
      <c r="R69" s="92">
        <f t="shared" si="16"/>
        <v>43.25</v>
      </c>
      <c r="S69" s="183">
        <f t="shared" si="5"/>
        <v>36.045739938969071</v>
      </c>
      <c r="T69" s="166">
        <v>174.82183870399999</v>
      </c>
      <c r="U69" s="86" t="s">
        <v>257</v>
      </c>
      <c r="V69" s="201"/>
      <c r="W69" s="37" t="s">
        <v>21</v>
      </c>
      <c r="X69" s="183">
        <v>35.605262465173112</v>
      </c>
      <c r="Y69" s="88">
        <v>174.82183870399999</v>
      </c>
      <c r="Z69" s="61">
        <f t="shared" si="11"/>
        <v>0</v>
      </c>
      <c r="AA69" s="86" t="s">
        <v>257</v>
      </c>
      <c r="AB69" s="57"/>
      <c r="AC69" s="37" t="s">
        <v>21</v>
      </c>
      <c r="AD69" s="183">
        <v>35.357485702687036</v>
      </c>
      <c r="AE69" s="166">
        <v>174.82183870399999</v>
      </c>
      <c r="AF69" s="61">
        <f t="shared" si="6"/>
        <v>0</v>
      </c>
      <c r="AG69" s="86" t="s">
        <v>257</v>
      </c>
      <c r="AH69" s="37" t="s">
        <v>86</v>
      </c>
      <c r="AI69" s="52">
        <v>35.479999999999997</v>
      </c>
      <c r="AJ69" s="166">
        <v>174.82183870399999</v>
      </c>
      <c r="AL69" s="86"/>
      <c r="AM69" s="37"/>
      <c r="AN69" s="52"/>
      <c r="AO69" s="87"/>
      <c r="AQ69" s="86"/>
      <c r="AR69" s="37"/>
      <c r="AS69" s="52"/>
      <c r="AT69" s="87"/>
    </row>
    <row r="70" spans="1:46" thickBot="1">
      <c r="A70" t="str">
        <v>Bardage</v>
      </c>
      <c r="B70" s="113"/>
      <c r="C70" s="324" t="s">
        <v>257</v>
      </c>
      <c r="D70" s="325"/>
      <c r="E70" s="326" t="s">
        <v>21</v>
      </c>
      <c r="F70" s="321">
        <f t="shared" si="17"/>
        <v>43.25</v>
      </c>
      <c r="G70" s="322">
        <f t="shared" si="2"/>
        <v>36.045739938969071</v>
      </c>
      <c r="H70" s="327">
        <v>174.82183870399999</v>
      </c>
      <c r="I70" s="107"/>
      <c r="J70" s="108"/>
      <c r="K70" s="109"/>
      <c r="L70" s="108"/>
      <c r="N70" s="61">
        <f t="shared" ref="N70:N102" si="18">(H70-T70)/T70</f>
        <v>3.927777777777778</v>
      </c>
      <c r="O70" s="86" t="s">
        <v>263</v>
      </c>
      <c r="P70" s="57"/>
      <c r="Q70" s="37" t="s">
        <v>21</v>
      </c>
      <c r="R70" s="92">
        <f t="shared" si="16"/>
        <v>8.7799999999999994</v>
      </c>
      <c r="S70" s="183">
        <f t="shared" ref="S70:S72" si="19">T70/$G$2</f>
        <v>7.3148063010309281</v>
      </c>
      <c r="T70" s="166">
        <v>35.476810559999997</v>
      </c>
      <c r="U70" s="86" t="s">
        <v>263</v>
      </c>
      <c r="V70" s="201"/>
      <c r="W70" s="37" t="s">
        <v>21</v>
      </c>
      <c r="X70" s="183">
        <v>6.505091649694501</v>
      </c>
      <c r="Y70" s="203">
        <v>31.94</v>
      </c>
      <c r="Z70" s="61">
        <f t="shared" si="11"/>
        <v>-9.9693588689952289E-2</v>
      </c>
      <c r="AA70" s="86" t="s">
        <v>263</v>
      </c>
      <c r="AB70" s="57"/>
      <c r="AC70" s="37" t="s">
        <v>21</v>
      </c>
      <c r="AD70" s="183">
        <v>7.175138023093198</v>
      </c>
      <c r="AE70" s="166">
        <v>35.476810559999997</v>
      </c>
      <c r="AF70" s="61">
        <f t="shared" ref="AF70:AF71" si="20">(AE70-AJ70)/AJ70</f>
        <v>0</v>
      </c>
      <c r="AG70" s="86" t="s">
        <v>263</v>
      </c>
      <c r="AH70" s="37" t="s">
        <v>86</v>
      </c>
      <c r="AI70" s="52">
        <v>7.2</v>
      </c>
      <c r="AJ70" s="166">
        <v>35.476810559999997</v>
      </c>
      <c r="AL70" s="86"/>
      <c r="AM70" s="37"/>
      <c r="AN70" s="52"/>
      <c r="AO70" s="87"/>
      <c r="AQ70" s="86"/>
      <c r="AR70" s="37"/>
      <c r="AS70" s="52"/>
      <c r="AT70" s="87"/>
    </row>
    <row r="71" spans="1:46" thickBot="1">
      <c r="A71" t="str">
        <v>BOCHEMIT</v>
      </c>
      <c r="B71" s="113" t="s">
        <v>264</v>
      </c>
      <c r="C71" s="324" t="s">
        <v>263</v>
      </c>
      <c r="D71" s="325"/>
      <c r="E71" s="326" t="s">
        <v>21</v>
      </c>
      <c r="F71" s="321">
        <f t="shared" si="17"/>
        <v>8.7799999999999994</v>
      </c>
      <c r="G71" s="322">
        <f t="shared" ref="G71:G73" si="21">H71/$G$2</f>
        <v>7.315463917525773</v>
      </c>
      <c r="H71" s="327">
        <v>35.479999999999997</v>
      </c>
      <c r="I71" s="107"/>
      <c r="J71" s="108"/>
      <c r="K71" s="109"/>
      <c r="L71" s="108"/>
      <c r="N71" s="61">
        <f t="shared" si="18"/>
        <v>-0.40293140172748371</v>
      </c>
      <c r="O71" s="86" t="s">
        <v>270</v>
      </c>
      <c r="P71" s="57"/>
      <c r="Q71" s="37" t="s">
        <v>127</v>
      </c>
      <c r="R71" s="92">
        <f t="shared" si="16"/>
        <v>14.7</v>
      </c>
      <c r="S71" s="183">
        <f t="shared" si="19"/>
        <v>12.252300554226805</v>
      </c>
      <c r="T71" s="166">
        <v>59.423657687999999</v>
      </c>
      <c r="U71" s="86" t="s">
        <v>270</v>
      </c>
      <c r="V71" s="201"/>
      <c r="W71" s="37" t="s">
        <v>127</v>
      </c>
      <c r="X71" s="183">
        <v>12.102577940529532</v>
      </c>
      <c r="Y71" s="88">
        <v>59.423657687999999</v>
      </c>
      <c r="Z71" s="61">
        <f t="shared" si="11"/>
        <v>0</v>
      </c>
      <c r="AA71" s="86" t="s">
        <v>270</v>
      </c>
      <c r="AB71" s="57"/>
      <c r="AC71" s="37" t="s">
        <v>127</v>
      </c>
      <c r="AD71" s="183">
        <v>12.018356188681107</v>
      </c>
      <c r="AE71" s="166">
        <v>59.423657687999999</v>
      </c>
      <c r="AF71" s="61">
        <f t="shared" si="20"/>
        <v>0</v>
      </c>
      <c r="AG71" s="86" t="s">
        <v>270</v>
      </c>
      <c r="AH71" s="37" t="s">
        <v>127</v>
      </c>
      <c r="AI71" s="52">
        <v>12.06</v>
      </c>
      <c r="AJ71" s="87">
        <v>59.423657687999999</v>
      </c>
      <c r="AL71" s="86"/>
      <c r="AM71" s="37"/>
      <c r="AN71" s="52"/>
      <c r="AO71" s="87"/>
      <c r="AQ71" s="86"/>
      <c r="AR71" s="37"/>
      <c r="AS71" s="52"/>
      <c r="AT71" s="87"/>
    </row>
    <row r="72" spans="1:46" thickBot="1">
      <c r="A72" t="str">
        <v>WALCO V60</v>
      </c>
      <c r="B72" s="113"/>
      <c r="C72" s="324" t="s">
        <v>270</v>
      </c>
      <c r="D72" s="325"/>
      <c r="E72" s="326" t="s">
        <v>127</v>
      </c>
      <c r="F72" s="321">
        <f t="shared" si="17"/>
        <v>14.7</v>
      </c>
      <c r="G72" s="322">
        <f t="shared" si="21"/>
        <v>12.252300554226805</v>
      </c>
      <c r="H72" s="327">
        <v>59.423657687999999</v>
      </c>
      <c r="I72" s="107"/>
      <c r="J72" s="108"/>
      <c r="K72" s="109"/>
      <c r="L72" s="108"/>
      <c r="N72" s="61">
        <f t="shared" si="18"/>
        <v>-0.90765554360839151</v>
      </c>
      <c r="O72" s="86" t="s">
        <v>278</v>
      </c>
      <c r="P72" s="57"/>
      <c r="Q72" s="37" t="s">
        <v>22</v>
      </c>
      <c r="R72" s="92">
        <f t="shared" si="16"/>
        <v>159.22</v>
      </c>
      <c r="S72" s="93">
        <f t="shared" si="19"/>
        <v>132.68041237113403</v>
      </c>
      <c r="T72" s="87">
        <v>643.5</v>
      </c>
      <c r="U72" s="86" t="s">
        <v>278</v>
      </c>
      <c r="V72" s="201"/>
      <c r="W72" s="37" t="s">
        <v>22</v>
      </c>
      <c r="X72" s="93">
        <v>131.05906313645622</v>
      </c>
      <c r="Y72" s="88">
        <v>643.5</v>
      </c>
      <c r="Z72" s="61">
        <f t="shared" si="11"/>
        <v>0</v>
      </c>
      <c r="AA72" s="86" t="s">
        <v>278</v>
      </c>
      <c r="AB72" s="57"/>
      <c r="AC72" s="37" t="s">
        <v>22</v>
      </c>
      <c r="AD72" s="93">
        <v>130.14702406947353</v>
      </c>
      <c r="AE72" s="87">
        <v>643.5</v>
      </c>
      <c r="AF72" s="61"/>
      <c r="AG72" s="86"/>
      <c r="AH72" s="37"/>
      <c r="AI72" s="52"/>
      <c r="AJ72" s="87"/>
      <c r="AL72" s="86"/>
      <c r="AM72" s="37"/>
      <c r="AN72" s="52"/>
      <c r="AO72" s="87"/>
      <c r="AQ72" s="86"/>
      <c r="AR72" s="37"/>
      <c r="AS72" s="52"/>
      <c r="AT72" s="87"/>
    </row>
    <row r="73" spans="1:46" thickBot="1">
      <c r="A73" t="str">
        <v>Usinage Lamellé collé</v>
      </c>
      <c r="B73" s="113"/>
      <c r="C73" s="324" t="s">
        <v>278</v>
      </c>
      <c r="D73" s="325"/>
      <c r="E73" s="326" t="s">
        <v>22</v>
      </c>
      <c r="F73" s="321">
        <f t="shared" si="17"/>
        <v>159.22</v>
      </c>
      <c r="G73" s="333">
        <f t="shared" si="21"/>
        <v>132.68041237113403</v>
      </c>
      <c r="H73" s="331">
        <v>643.5</v>
      </c>
      <c r="I73" s="107"/>
      <c r="J73" s="108"/>
      <c r="K73" s="109"/>
      <c r="L73" s="108"/>
      <c r="N73" s="61">
        <f t="shared" si="18"/>
        <v>4.4520037278657973</v>
      </c>
      <c r="O73" s="86" t="s">
        <v>279</v>
      </c>
      <c r="P73" s="57"/>
      <c r="Q73" s="37" t="s">
        <v>21</v>
      </c>
      <c r="R73" s="92"/>
      <c r="S73" s="52">
        <f>T73/S2</f>
        <v>24.336082474226806</v>
      </c>
      <c r="T73" s="87">
        <v>118.03</v>
      </c>
      <c r="U73" s="86" t="s">
        <v>279</v>
      </c>
      <c r="V73" s="201"/>
      <c r="W73" s="37" t="s">
        <v>21</v>
      </c>
      <c r="X73" s="52">
        <v>17.274949083503053</v>
      </c>
      <c r="Y73" s="88">
        <v>84.82</v>
      </c>
      <c r="Z73" s="61">
        <f t="shared" si="11"/>
        <v>-0.28136914343810904</v>
      </c>
      <c r="AA73" s="86" t="s">
        <v>279</v>
      </c>
      <c r="AB73" s="57"/>
      <c r="AC73" s="37" t="s">
        <v>21</v>
      </c>
      <c r="AD73" s="52">
        <v>23.871411423341044</v>
      </c>
      <c r="AE73" s="87">
        <v>118.03</v>
      </c>
      <c r="AF73" s="61"/>
      <c r="AG73" s="86"/>
      <c r="AH73" s="37"/>
      <c r="AI73" s="52"/>
      <c r="AJ73" s="87"/>
      <c r="AL73" s="86"/>
      <c r="AM73" s="37"/>
      <c r="AN73" s="52"/>
      <c r="AO73" s="87"/>
      <c r="AQ73" s="86"/>
      <c r="AR73" s="37"/>
      <c r="AS73" s="52"/>
      <c r="AT73" s="87"/>
    </row>
    <row r="74" spans="1:46" thickBot="1">
      <c r="A74" t="str">
        <v>STEICO Protect 40mm</v>
      </c>
      <c r="B74" s="113"/>
      <c r="C74" s="324" t="s">
        <v>279</v>
      </c>
      <c r="D74" s="325"/>
      <c r="E74" s="326" t="s">
        <v>21</v>
      </c>
      <c r="F74" s="321"/>
      <c r="G74" s="334">
        <f>H74/G2</f>
        <v>24.336082474226806</v>
      </c>
      <c r="H74" s="331">
        <v>118.03</v>
      </c>
      <c r="I74" s="107"/>
      <c r="J74" s="108"/>
      <c r="K74" s="109"/>
      <c r="L74" s="108"/>
      <c r="N74" s="61">
        <f t="shared" si="18"/>
        <v>0.73829160530191484</v>
      </c>
      <c r="O74" s="86" t="s">
        <v>280</v>
      </c>
      <c r="P74" s="57"/>
      <c r="Q74" s="37" t="s">
        <v>21</v>
      </c>
      <c r="R74" s="92"/>
      <c r="S74" s="52">
        <v>14</v>
      </c>
      <c r="T74" s="87">
        <f>S74*$G$2</f>
        <v>67.899999999999991</v>
      </c>
      <c r="U74" s="86" t="s">
        <v>280</v>
      </c>
      <c r="V74" s="201"/>
      <c r="W74" s="37" t="s">
        <v>21</v>
      </c>
      <c r="X74" s="52">
        <v>14</v>
      </c>
      <c r="Y74" s="88">
        <f>$X$2*X74</f>
        <v>68.740000000000009</v>
      </c>
      <c r="Z74" s="61">
        <f t="shared" si="11"/>
        <v>-6.9589927255396377E-3</v>
      </c>
      <c r="AA74" s="86" t="s">
        <v>280</v>
      </c>
      <c r="AB74" s="57"/>
      <c r="AC74" s="37" t="s">
        <v>21</v>
      </c>
      <c r="AD74" s="52">
        <v>14</v>
      </c>
      <c r="AE74" s="87">
        <f>AD74*$AD$2</f>
        <v>69.221713399999999</v>
      </c>
      <c r="AF74" s="61"/>
      <c r="AG74" s="86"/>
      <c r="AH74" s="37"/>
      <c r="AI74" s="52"/>
      <c r="AJ74" s="87"/>
      <c r="AL74" s="86"/>
      <c r="AM74" s="37"/>
      <c r="AN74" s="52"/>
      <c r="AO74" s="87"/>
      <c r="AQ74" s="86"/>
      <c r="AR74" s="37"/>
      <c r="AS74" s="52"/>
      <c r="AT74" s="87"/>
    </row>
    <row r="75" spans="1:46" thickBot="1">
      <c r="A75" t="str">
        <v>Ouate de cellulose 60kg/m3</v>
      </c>
      <c r="B75" s="113"/>
      <c r="C75" s="324" t="s">
        <v>280</v>
      </c>
      <c r="D75" s="325"/>
      <c r="E75" s="326" t="s">
        <v>21</v>
      </c>
      <c r="F75" s="321"/>
      <c r="G75" s="334">
        <v>14</v>
      </c>
      <c r="H75" s="331">
        <f>G75*$G$2</f>
        <v>67.899999999999991</v>
      </c>
      <c r="I75" s="107"/>
      <c r="J75" s="108"/>
      <c r="K75" s="109"/>
      <c r="L75" s="108"/>
      <c r="N75" s="61">
        <f t="shared" si="18"/>
        <v>-0.52517482517482528</v>
      </c>
      <c r="O75" s="86" t="s">
        <v>281</v>
      </c>
      <c r="P75" s="57"/>
      <c r="Q75" s="37" t="s">
        <v>21</v>
      </c>
      <c r="R75" s="92"/>
      <c r="S75" s="93">
        <f t="shared" ref="S75:S76" si="22">T75/$G$2</f>
        <v>29.484536082474229</v>
      </c>
      <c r="T75" s="87">
        <v>143</v>
      </c>
      <c r="U75" s="86" t="s">
        <v>281</v>
      </c>
      <c r="V75" s="201"/>
      <c r="W75" s="37" t="s">
        <v>21</v>
      </c>
      <c r="X75" s="93">
        <v>29.124236252545824</v>
      </c>
      <c r="Y75" s="88">
        <v>143</v>
      </c>
      <c r="Z75" s="61">
        <f t="shared" si="11"/>
        <v>0.28540270685899799</v>
      </c>
      <c r="AA75" s="86" t="s">
        <v>281</v>
      </c>
      <c r="AB75" s="57"/>
      <c r="AC75" s="37" t="s">
        <v>21</v>
      </c>
      <c r="AD75" s="52">
        <v>22.5</v>
      </c>
      <c r="AE75" s="87">
        <f>AD75*$AD$2</f>
        <v>111.24918225</v>
      </c>
      <c r="AF75" s="61"/>
      <c r="AG75" s="86"/>
      <c r="AH75" s="37"/>
      <c r="AI75" s="52"/>
      <c r="AJ75" s="87"/>
      <c r="AL75" s="86"/>
      <c r="AM75" s="37"/>
      <c r="AN75" s="52"/>
      <c r="AO75" s="87"/>
      <c r="AQ75" s="86"/>
      <c r="AR75" s="37"/>
      <c r="AS75" s="52"/>
      <c r="AT75" s="87"/>
    </row>
    <row r="76" spans="1:46" thickBot="1">
      <c r="A76" t="str">
        <v>Lame terrasse pin marron</v>
      </c>
      <c r="B76" s="113"/>
      <c r="C76" s="324" t="s">
        <v>281</v>
      </c>
      <c r="D76" s="325"/>
      <c r="E76" s="326" t="s">
        <v>21</v>
      </c>
      <c r="F76" s="321"/>
      <c r="G76" s="333">
        <f t="shared" ref="G76:G77" si="23">H76/$G$2</f>
        <v>29.484536082474229</v>
      </c>
      <c r="H76" s="331">
        <v>143</v>
      </c>
      <c r="I76" s="107"/>
      <c r="J76" s="108"/>
      <c r="K76" s="109"/>
      <c r="L76" s="108"/>
      <c r="N76" s="61">
        <f t="shared" si="18"/>
        <v>8.2258064516129039</v>
      </c>
      <c r="O76" s="86" t="s">
        <v>282</v>
      </c>
      <c r="P76" s="57"/>
      <c r="Q76" s="37" t="s">
        <v>127</v>
      </c>
      <c r="R76" s="92">
        <f t="shared" ref="R76:R92" si="24">IF(Q76="","",ROUND(S76*(1+$F$2),2))</f>
        <v>3.84</v>
      </c>
      <c r="S76" s="93">
        <f t="shared" si="22"/>
        <v>3.195876288659794</v>
      </c>
      <c r="T76" s="87">
        <v>15.5</v>
      </c>
      <c r="U76" s="86" t="s">
        <v>282</v>
      </c>
      <c r="V76" s="201"/>
      <c r="W76" s="37" t="s">
        <v>127</v>
      </c>
      <c r="X76" s="93">
        <v>3.1568228105906311</v>
      </c>
      <c r="Y76" s="88">
        <v>15.5</v>
      </c>
      <c r="Z76" s="61">
        <f t="shared" si="11"/>
        <v>0</v>
      </c>
      <c r="AA76" s="86" t="s">
        <v>282</v>
      </c>
      <c r="AB76" s="57"/>
      <c r="AC76" s="37" t="s">
        <v>127</v>
      </c>
      <c r="AD76" s="93">
        <v>3.1348545036159128</v>
      </c>
      <c r="AE76" s="87">
        <v>15.5</v>
      </c>
      <c r="AF76" s="61"/>
      <c r="AG76" s="86"/>
      <c r="AH76" s="37"/>
      <c r="AI76" s="52"/>
      <c r="AJ76" s="87"/>
      <c r="AL76" s="86"/>
      <c r="AM76" s="37"/>
      <c r="AN76" s="52"/>
      <c r="AO76" s="87"/>
      <c r="AQ76" s="86"/>
      <c r="AR76" s="37"/>
      <c r="AS76" s="52"/>
      <c r="AT76" s="87"/>
    </row>
    <row r="77" spans="1:46" thickBot="1">
      <c r="A77" t="str">
        <v>Silicone</v>
      </c>
      <c r="B77" s="113"/>
      <c r="C77" s="324" t="s">
        <v>282</v>
      </c>
      <c r="D77" s="325"/>
      <c r="E77" s="326" t="s">
        <v>127</v>
      </c>
      <c r="F77" s="321">
        <f t="shared" ref="F77:F137" si="25">IF(E77="","",ROUND(G77*(1+$F$2),2))</f>
        <v>3.84</v>
      </c>
      <c r="G77" s="333">
        <f t="shared" si="23"/>
        <v>3.195876288659794</v>
      </c>
      <c r="H77" s="331">
        <v>15.5</v>
      </c>
      <c r="I77" s="107"/>
      <c r="J77" s="108"/>
      <c r="K77" s="109"/>
      <c r="L77" s="108"/>
      <c r="N77" s="61">
        <f t="shared" si="18"/>
        <v>-0.97017223130953523</v>
      </c>
      <c r="O77" s="86" t="s">
        <v>283</v>
      </c>
      <c r="P77" s="57"/>
      <c r="Q77" s="37" t="s">
        <v>127</v>
      </c>
      <c r="R77" s="92">
        <f t="shared" si="24"/>
        <v>128.57</v>
      </c>
      <c r="S77" s="93">
        <f>T77/$G$2</f>
        <v>107.14432989690722</v>
      </c>
      <c r="T77" s="166">
        <v>519.65</v>
      </c>
      <c r="U77" s="86" t="s">
        <v>283</v>
      </c>
      <c r="V77" s="201"/>
      <c r="W77" s="37" t="s">
        <v>127</v>
      </c>
      <c r="X77" s="93">
        <v>105.83503054989816</v>
      </c>
      <c r="Y77" s="88">
        <v>519.65</v>
      </c>
      <c r="Z77" s="61">
        <f t="shared" si="11"/>
        <v>0</v>
      </c>
      <c r="AA77" s="86" t="s">
        <v>283</v>
      </c>
      <c r="AB77" s="57"/>
      <c r="AC77" s="37" t="s">
        <v>127</v>
      </c>
      <c r="AD77" s="93">
        <v>105.09852534219414</v>
      </c>
      <c r="AE77" s="166">
        <v>519.65</v>
      </c>
      <c r="AF77" s="61"/>
      <c r="AG77" s="86"/>
      <c r="AH77" s="37"/>
      <c r="AI77" s="52"/>
      <c r="AJ77" s="87"/>
      <c r="AL77" s="86"/>
      <c r="AM77" s="37"/>
      <c r="AN77" s="52"/>
      <c r="AO77" s="87"/>
      <c r="AQ77" s="86"/>
      <c r="AR77" s="37"/>
      <c r="AS77" s="52"/>
      <c r="AT77" s="87"/>
    </row>
    <row r="78" spans="1:46" thickBot="1">
      <c r="A78" t="str">
        <v>Résilient Xylophon</v>
      </c>
      <c r="B78" s="113"/>
      <c r="C78" s="324" t="s">
        <v>283</v>
      </c>
      <c r="D78" s="325"/>
      <c r="E78" s="326" t="s">
        <v>127</v>
      </c>
      <c r="F78" s="321">
        <f t="shared" si="25"/>
        <v>128.57</v>
      </c>
      <c r="G78" s="333">
        <f>H78/$G$2</f>
        <v>107.14432989690722</v>
      </c>
      <c r="H78" s="327">
        <v>519.65</v>
      </c>
      <c r="I78" s="107"/>
      <c r="J78" s="108"/>
      <c r="K78" s="109"/>
      <c r="L78" s="108"/>
      <c r="N78" s="61">
        <f t="shared" si="18"/>
        <v>2.6339160839160836</v>
      </c>
      <c r="O78" s="86" t="s">
        <v>284</v>
      </c>
      <c r="P78" s="57"/>
      <c r="Q78" s="37" t="s">
        <v>21</v>
      </c>
      <c r="R78" s="92">
        <f t="shared" si="24"/>
        <v>35.380000000000003</v>
      </c>
      <c r="S78" s="93">
        <f t="shared" ref="S78" si="26">T78/$G$2</f>
        <v>29.484536082474229</v>
      </c>
      <c r="T78" s="87">
        <v>143</v>
      </c>
      <c r="U78" s="86" t="s">
        <v>284</v>
      </c>
      <c r="V78" s="201"/>
      <c r="W78" s="37" t="s">
        <v>21</v>
      </c>
      <c r="X78" s="93">
        <v>29.124236252545824</v>
      </c>
      <c r="Y78" s="88">
        <v>143</v>
      </c>
      <c r="Z78" s="61">
        <f t="shared" si="11"/>
        <v>3.9100719326388891</v>
      </c>
      <c r="AA78" s="86" t="s">
        <v>284</v>
      </c>
      <c r="AB78" s="57"/>
      <c r="AC78" s="37" t="s">
        <v>21</v>
      </c>
      <c r="AD78" s="52">
        <v>22.5</v>
      </c>
      <c r="AE78" s="166">
        <v>29.123809581980094</v>
      </c>
      <c r="AF78" s="61"/>
      <c r="AG78" s="86"/>
      <c r="AH78" s="37"/>
      <c r="AI78" s="52"/>
      <c r="AJ78" s="87"/>
      <c r="AL78" s="86"/>
      <c r="AM78" s="37"/>
      <c r="AN78" s="52"/>
      <c r="AO78" s="87"/>
      <c r="AQ78" s="86"/>
      <c r="AR78" s="37"/>
      <c r="AS78" s="52"/>
      <c r="AT78" s="87"/>
    </row>
    <row r="79" spans="1:46" thickBot="1">
      <c r="A79" t="str">
        <v>Lame de terrasse pin cl4 brun</v>
      </c>
      <c r="B79" s="113"/>
      <c r="C79" s="324" t="s">
        <v>284</v>
      </c>
      <c r="D79" s="325"/>
      <c r="E79" s="326" t="s">
        <v>21</v>
      </c>
      <c r="F79" s="321">
        <f t="shared" si="25"/>
        <v>35.380000000000003</v>
      </c>
      <c r="G79" s="333">
        <f t="shared" ref="G79" si="27">H79/$G$2</f>
        <v>29.484536082474229</v>
      </c>
      <c r="H79" s="331">
        <v>143</v>
      </c>
      <c r="I79" s="107"/>
      <c r="J79" s="108"/>
      <c r="K79" s="109"/>
      <c r="L79" s="108"/>
      <c r="N79" s="61">
        <f t="shared" si="18"/>
        <v>293.84536082474227</v>
      </c>
      <c r="O79" s="86" t="s">
        <v>285</v>
      </c>
      <c r="P79" s="57"/>
      <c r="Q79" s="37" t="s">
        <v>127</v>
      </c>
      <c r="R79" s="92">
        <f t="shared" si="24"/>
        <v>0.12</v>
      </c>
      <c r="S79" s="52">
        <v>0.1</v>
      </c>
      <c r="T79" s="87">
        <f>S79*$G$2</f>
        <v>0.48499999999999999</v>
      </c>
      <c r="U79" s="86" t="s">
        <v>285</v>
      </c>
      <c r="V79" s="201"/>
      <c r="W79" s="37" t="s">
        <v>127</v>
      </c>
      <c r="X79" s="52">
        <v>0.1</v>
      </c>
      <c r="Y79" s="88">
        <f>$X$2*X79</f>
        <v>0.49100000000000005</v>
      </c>
      <c r="Z79" s="204">
        <f t="shared" si="11"/>
        <v>-6.958992725539819E-3</v>
      </c>
      <c r="AA79" s="86" t="s">
        <v>285</v>
      </c>
      <c r="AB79" s="57"/>
      <c r="AC79" s="37" t="s">
        <v>127</v>
      </c>
      <c r="AD79" s="52">
        <v>0.1</v>
      </c>
      <c r="AE79" s="87">
        <f>AD79*$AD$2</f>
        <v>0.49444081000000006</v>
      </c>
      <c r="AG79" s="86"/>
      <c r="AH79" s="37"/>
      <c r="AI79" s="52"/>
      <c r="AJ79" s="87"/>
      <c r="AL79" s="86"/>
      <c r="AM79" s="37"/>
      <c r="AN79" s="52"/>
      <c r="AO79" s="87"/>
      <c r="AQ79" s="86"/>
      <c r="AR79" s="37"/>
      <c r="AS79" s="52"/>
      <c r="AT79" s="87"/>
    </row>
    <row r="80" spans="1:46" thickBot="1">
      <c r="A80" t="str">
        <v>Vis 4,5x8 EVO</v>
      </c>
      <c r="B80" s="113"/>
      <c r="C80" s="324" t="s">
        <v>285</v>
      </c>
      <c r="D80" s="325"/>
      <c r="E80" s="326" t="s">
        <v>127</v>
      </c>
      <c r="F80" s="321">
        <f t="shared" si="25"/>
        <v>0.12</v>
      </c>
      <c r="G80" s="334">
        <v>0.1</v>
      </c>
      <c r="H80" s="331">
        <f>G80*$G$2</f>
        <v>0.48499999999999999</v>
      </c>
      <c r="I80" s="107"/>
      <c r="J80" s="108"/>
      <c r="K80" s="109"/>
      <c r="L80" s="108"/>
      <c r="N80" s="61">
        <f t="shared" si="18"/>
        <v>-0.16666666666666663</v>
      </c>
      <c r="O80" s="86" t="s">
        <v>286</v>
      </c>
      <c r="P80" s="57"/>
      <c r="Q80" s="37" t="s">
        <v>127</v>
      </c>
      <c r="R80" s="92">
        <f t="shared" si="24"/>
        <v>0.14000000000000001</v>
      </c>
      <c r="S80" s="52">
        <v>0.12</v>
      </c>
      <c r="T80" s="87">
        <f t="shared" ref="T80:T83" si="28">S80*$G$2</f>
        <v>0.58199999999999996</v>
      </c>
      <c r="U80" s="86" t="s">
        <v>286</v>
      </c>
      <c r="V80" s="201"/>
      <c r="W80" s="37" t="s">
        <v>127</v>
      </c>
      <c r="X80" s="52">
        <v>0.12</v>
      </c>
      <c r="Y80" s="88">
        <f>$X$2*X80</f>
        <v>0.58919999999999995</v>
      </c>
      <c r="Z80" s="204">
        <f t="shared" si="11"/>
        <v>-6.9589927255398944E-3</v>
      </c>
      <c r="AA80" s="86" t="s">
        <v>286</v>
      </c>
      <c r="AB80" s="57"/>
      <c r="AC80" s="37" t="s">
        <v>127</v>
      </c>
      <c r="AD80" s="52">
        <v>0.12</v>
      </c>
      <c r="AE80" s="87">
        <f>AD80*$AD$2</f>
        <v>0.59332897200000001</v>
      </c>
      <c r="AG80" s="86"/>
      <c r="AH80" s="37"/>
      <c r="AI80" s="52"/>
      <c r="AJ80" s="87"/>
      <c r="AL80" s="86"/>
      <c r="AM80" s="37"/>
      <c r="AN80" s="52"/>
      <c r="AO80" s="87"/>
      <c r="AQ80" s="86"/>
      <c r="AR80" s="37"/>
      <c r="AS80" s="52"/>
      <c r="AT80" s="87"/>
    </row>
    <row r="81" spans="1:46" thickBot="1">
      <c r="A81" t="str">
        <v>Vis 8x160 EVO</v>
      </c>
      <c r="B81" s="113"/>
      <c r="C81" s="324" t="s">
        <v>286</v>
      </c>
      <c r="D81" s="325"/>
      <c r="E81" s="326" t="s">
        <v>127</v>
      </c>
      <c r="F81" s="321">
        <f t="shared" si="25"/>
        <v>0.14000000000000001</v>
      </c>
      <c r="G81" s="334">
        <v>0.12</v>
      </c>
      <c r="H81" s="331">
        <f t="shared" ref="H81:H84" si="29">G81*$G$2</f>
        <v>0.58199999999999996</v>
      </c>
      <c r="I81" s="107"/>
      <c r="J81" s="108"/>
      <c r="K81" s="109"/>
      <c r="L81" s="108"/>
      <c r="N81" s="61">
        <f t="shared" si="18"/>
        <v>-0.95372750642673521</v>
      </c>
      <c r="O81" s="86" t="s">
        <v>287</v>
      </c>
      <c r="P81" s="57"/>
      <c r="Q81" s="37" t="s">
        <v>23</v>
      </c>
      <c r="R81" s="92">
        <f t="shared" si="24"/>
        <v>3.11</v>
      </c>
      <c r="S81" s="52">
        <f>15.56/6</f>
        <v>2.5933333333333333</v>
      </c>
      <c r="T81" s="87">
        <f t="shared" si="28"/>
        <v>12.577666666666666</v>
      </c>
      <c r="U81" s="86" t="s">
        <v>287</v>
      </c>
      <c r="V81" s="201"/>
      <c r="W81" s="37" t="s">
        <v>23</v>
      </c>
      <c r="X81" s="52">
        <v>2.5933333333333333</v>
      </c>
      <c r="Y81" s="88">
        <f>$X$2*X81</f>
        <v>12.733266666666667</v>
      </c>
      <c r="Z81" s="204">
        <f t="shared" si="11"/>
        <v>-6.9589927255398198E-3</v>
      </c>
      <c r="AA81" s="86" t="s">
        <v>287</v>
      </c>
      <c r="AB81" s="57"/>
      <c r="AC81" s="37" t="s">
        <v>23</v>
      </c>
      <c r="AD81" s="52">
        <v>2.5933333333333333</v>
      </c>
      <c r="AE81" s="87">
        <f>AD81*$AD$2</f>
        <v>12.822498339333334</v>
      </c>
      <c r="AG81" s="86"/>
      <c r="AH81" s="37"/>
      <c r="AI81" s="52"/>
      <c r="AJ81" s="87"/>
      <c r="AL81" s="86"/>
      <c r="AM81" s="37"/>
      <c r="AN81" s="52"/>
      <c r="AO81" s="87"/>
      <c r="AQ81" s="86"/>
      <c r="AR81" s="37"/>
      <c r="AS81" s="52"/>
      <c r="AT81" s="87"/>
    </row>
    <row r="82" spans="1:46" thickBot="1">
      <c r="A82" t="str">
        <v>Granuloroll</v>
      </c>
      <c r="B82" s="113"/>
      <c r="C82" s="324" t="s">
        <v>287</v>
      </c>
      <c r="D82" s="325"/>
      <c r="E82" s="326" t="s">
        <v>23</v>
      </c>
      <c r="F82" s="321">
        <f t="shared" si="25"/>
        <v>3.11</v>
      </c>
      <c r="G82" s="334">
        <f>15.56/6</f>
        <v>2.5933333333333333</v>
      </c>
      <c r="H82" s="331">
        <f t="shared" si="29"/>
        <v>12.577666666666666</v>
      </c>
      <c r="I82" s="107"/>
      <c r="J82" s="108"/>
      <c r="K82" s="109"/>
      <c r="L82" s="108"/>
      <c r="N82" s="61">
        <f t="shared" si="18"/>
        <v>-0.9980051282051281</v>
      </c>
      <c r="O82" s="86" t="s">
        <v>288</v>
      </c>
      <c r="P82" s="57"/>
      <c r="Q82" s="37" t="s">
        <v>22</v>
      </c>
      <c r="R82" s="92">
        <f t="shared" si="24"/>
        <v>1560</v>
      </c>
      <c r="S82" s="52">
        <v>1300</v>
      </c>
      <c r="T82" s="87">
        <f t="shared" si="28"/>
        <v>6304.9999999999991</v>
      </c>
      <c r="U82" s="86" t="s">
        <v>288</v>
      </c>
      <c r="V82" s="201"/>
      <c r="W82" s="37" t="s">
        <v>22</v>
      </c>
      <c r="X82" s="52">
        <v>1300</v>
      </c>
      <c r="Y82" s="88">
        <f>$X$2*X82</f>
        <v>6383</v>
      </c>
      <c r="Z82" s="204">
        <f t="shared" si="11"/>
        <v>-6.9589927255398996E-3</v>
      </c>
      <c r="AA82" s="86" t="s">
        <v>288</v>
      </c>
      <c r="AB82" s="57"/>
      <c r="AC82" s="37" t="s">
        <v>22</v>
      </c>
      <c r="AD82" s="52">
        <v>1300</v>
      </c>
      <c r="AE82" s="87">
        <f>AD82*$AD$2</f>
        <v>6427.7305300000007</v>
      </c>
      <c r="AG82" s="86"/>
      <c r="AH82" s="37"/>
      <c r="AI82" s="52"/>
      <c r="AJ82" s="87"/>
      <c r="AL82" s="86"/>
      <c r="AM82" s="37"/>
      <c r="AN82" s="52"/>
      <c r="AO82" s="87"/>
      <c r="AQ82" s="86"/>
      <c r="AR82" s="37"/>
      <c r="AS82" s="52"/>
      <c r="AT82" s="87"/>
    </row>
    <row r="83" spans="1:46" thickBot="1">
      <c r="A83" t="str">
        <v>LC douglas (fourn.+ usiné France)</v>
      </c>
      <c r="B83" s="113"/>
      <c r="C83" s="324" t="s">
        <v>288</v>
      </c>
      <c r="D83" s="325"/>
      <c r="E83" s="326" t="s">
        <v>22</v>
      </c>
      <c r="F83" s="321">
        <f t="shared" si="25"/>
        <v>1560</v>
      </c>
      <c r="G83" s="334">
        <v>1300</v>
      </c>
      <c r="H83" s="331">
        <f t="shared" si="29"/>
        <v>6304.9999999999991</v>
      </c>
      <c r="I83" s="107"/>
      <c r="J83" s="108"/>
      <c r="K83" s="109"/>
      <c r="L83" s="108"/>
      <c r="N83" s="61">
        <f t="shared" si="18"/>
        <v>12.402061855670102</v>
      </c>
      <c r="O83" s="86" t="s">
        <v>295</v>
      </c>
      <c r="P83" s="57"/>
      <c r="Q83" s="37" t="s">
        <v>22</v>
      </c>
      <c r="R83" s="92">
        <f t="shared" si="24"/>
        <v>116.4</v>
      </c>
      <c r="S83" s="52">
        <v>97</v>
      </c>
      <c r="T83" s="87">
        <f t="shared" si="28"/>
        <v>470.45</v>
      </c>
      <c r="U83" s="86" t="s">
        <v>295</v>
      </c>
      <c r="V83" s="201"/>
      <c r="W83" s="37" t="s">
        <v>22</v>
      </c>
      <c r="X83" s="52">
        <v>97</v>
      </c>
      <c r="Y83" s="88">
        <f>$X$2*X83</f>
        <v>476.27000000000004</v>
      </c>
      <c r="AA83" s="86"/>
      <c r="AB83" s="57"/>
      <c r="AC83" s="37"/>
      <c r="AD83" s="52"/>
      <c r="AE83" s="87"/>
      <c r="AG83" s="86"/>
      <c r="AH83" s="37"/>
      <c r="AI83" s="52"/>
      <c r="AJ83" s="87"/>
      <c r="AL83" s="86"/>
      <c r="AM83" s="37"/>
      <c r="AN83" s="52"/>
      <c r="AO83" s="87"/>
      <c r="AQ83" s="86"/>
      <c r="AR83" s="37"/>
      <c r="AS83" s="52"/>
      <c r="AT83" s="87"/>
    </row>
    <row r="84" spans="1:46" thickBot="1">
      <c r="A84" t="str">
        <v>Talpa particulier</v>
      </c>
      <c r="B84" s="113"/>
      <c r="C84" s="324" t="s">
        <v>295</v>
      </c>
      <c r="D84" s="325"/>
      <c r="E84" s="326" t="s">
        <v>22</v>
      </c>
      <c r="F84" s="321">
        <f t="shared" si="25"/>
        <v>116.4</v>
      </c>
      <c r="G84" s="334">
        <v>97</v>
      </c>
      <c r="H84" s="331">
        <f t="shared" si="29"/>
        <v>470.45</v>
      </c>
      <c r="I84" s="107"/>
      <c r="J84" s="108"/>
      <c r="K84" s="109"/>
      <c r="L84" s="108"/>
      <c r="N84" s="61">
        <f t="shared" si="18"/>
        <v>60.657929226736563</v>
      </c>
      <c r="O84" s="86" t="s">
        <v>296</v>
      </c>
      <c r="P84" s="57"/>
      <c r="Q84" s="37" t="s">
        <v>21</v>
      </c>
      <c r="R84" s="92">
        <f t="shared" si="24"/>
        <v>1.89</v>
      </c>
      <c r="S84" s="93">
        <f t="shared" ref="S84" si="30">T84/$G$2</f>
        <v>1.57319587628866</v>
      </c>
      <c r="T84" s="87">
        <v>7.63</v>
      </c>
      <c r="U84" s="86" t="s">
        <v>296</v>
      </c>
      <c r="V84" s="201"/>
      <c r="W84" s="37" t="s">
        <v>21</v>
      </c>
      <c r="X84" s="93">
        <v>1.5539714867617107</v>
      </c>
      <c r="Y84" s="88">
        <v>7.63</v>
      </c>
      <c r="AA84" s="86"/>
      <c r="AB84" s="57"/>
      <c r="AC84" s="37"/>
      <c r="AD84" s="52"/>
      <c r="AE84" s="87"/>
      <c r="AG84" s="86"/>
      <c r="AH84" s="37"/>
      <c r="AI84" s="52"/>
      <c r="AJ84" s="87"/>
      <c r="AL84" s="86"/>
      <c r="AM84" s="37"/>
      <c r="AN84" s="52"/>
      <c r="AO84" s="87"/>
      <c r="AQ84" s="86"/>
      <c r="AR84" s="37"/>
      <c r="AS84" s="52"/>
      <c r="AT84" s="87"/>
    </row>
    <row r="85" spans="1:46" thickBot="1">
      <c r="A85" t="str">
        <v>V33 Solvent</v>
      </c>
      <c r="B85" s="113"/>
      <c r="C85" s="324" t="s">
        <v>296</v>
      </c>
      <c r="D85" s="325"/>
      <c r="E85" s="326" t="s">
        <v>21</v>
      </c>
      <c r="F85" s="321">
        <f t="shared" si="25"/>
        <v>1.89</v>
      </c>
      <c r="G85" s="333">
        <f t="shared" ref="G85" si="31">H85/$G$2</f>
        <v>1.57319587628866</v>
      </c>
      <c r="H85" s="331">
        <v>7.63</v>
      </c>
      <c r="I85" s="107"/>
      <c r="J85" s="108"/>
      <c r="K85" s="109"/>
      <c r="L85" s="108"/>
      <c r="N85" s="61">
        <f t="shared" si="18"/>
        <v>-0.84959589986201456</v>
      </c>
      <c r="O85" s="86" t="s">
        <v>307</v>
      </c>
      <c r="P85" s="57"/>
      <c r="Q85" s="37" t="s">
        <v>21</v>
      </c>
      <c r="R85" s="92">
        <f t="shared" si="24"/>
        <v>12.55</v>
      </c>
      <c r="S85" s="52">
        <f>T85/$G$2</f>
        <v>10.45979381443299</v>
      </c>
      <c r="T85" s="87">
        <v>50.73</v>
      </c>
      <c r="U85" s="86" t="s">
        <v>307</v>
      </c>
      <c r="V85" s="201"/>
      <c r="W85" s="37" t="s">
        <v>21</v>
      </c>
      <c r="X85" s="52">
        <v>10.331975560081466</v>
      </c>
      <c r="Y85" s="88">
        <v>50.73</v>
      </c>
      <c r="AA85" s="86"/>
      <c r="AB85" s="57"/>
      <c r="AC85" s="37"/>
      <c r="AD85" s="52"/>
      <c r="AE85" s="87"/>
      <c r="AG85" s="86"/>
      <c r="AH85" s="37"/>
      <c r="AI85" s="52"/>
      <c r="AJ85" s="87"/>
      <c r="AL85" s="86"/>
      <c r="AM85" s="37"/>
      <c r="AN85" s="52"/>
      <c r="AO85" s="87"/>
      <c r="AQ85" s="86"/>
      <c r="AR85" s="37"/>
      <c r="AS85" s="52"/>
      <c r="AT85" s="87"/>
    </row>
    <row r="86" spans="1:46" thickBot="1">
      <c r="A86" t="str">
        <v>STEICO Protect 20 mm</v>
      </c>
      <c r="B86" s="113" t="s">
        <v>300</v>
      </c>
      <c r="C86" s="324" t="s">
        <v>307</v>
      </c>
      <c r="D86" s="325"/>
      <c r="E86" s="326" t="s">
        <v>21</v>
      </c>
      <c r="F86" s="321">
        <f t="shared" si="25"/>
        <v>12.55</v>
      </c>
      <c r="G86" s="334">
        <f>H86/$G$2</f>
        <v>10.45979381443299</v>
      </c>
      <c r="H86" s="331">
        <v>50.73</v>
      </c>
      <c r="I86" s="107"/>
      <c r="J86" s="108"/>
      <c r="K86" s="109"/>
      <c r="L86" s="108"/>
      <c r="N86" s="61">
        <f t="shared" si="18"/>
        <v>8.0106571936056827</v>
      </c>
      <c r="O86" s="86" t="s">
        <v>308</v>
      </c>
      <c r="P86" s="57"/>
      <c r="Q86" s="37" t="s">
        <v>76</v>
      </c>
      <c r="R86" s="92">
        <f t="shared" si="24"/>
        <v>1.39</v>
      </c>
      <c r="S86" s="52">
        <f>T86/$G$2</f>
        <v>1.1608247422680413</v>
      </c>
      <c r="T86" s="87">
        <v>5.63</v>
      </c>
      <c r="U86" s="86" t="s">
        <v>308</v>
      </c>
      <c r="V86" s="201"/>
      <c r="W86" s="37" t="s">
        <v>76</v>
      </c>
      <c r="X86" s="52">
        <v>1.1466395112016292</v>
      </c>
      <c r="Y86" s="88">
        <v>5.63</v>
      </c>
      <c r="AA86" s="86"/>
      <c r="AB86" s="57"/>
      <c r="AC86" s="37"/>
      <c r="AD86" s="52"/>
      <c r="AE86" s="87"/>
      <c r="AG86" s="86"/>
      <c r="AH86" s="37"/>
      <c r="AI86" s="52"/>
      <c r="AJ86" s="87"/>
      <c r="AL86" s="86"/>
      <c r="AM86" s="37"/>
      <c r="AN86" s="52"/>
      <c r="AO86" s="87"/>
      <c r="AQ86" s="86"/>
      <c r="AR86" s="37"/>
      <c r="AS86" s="52"/>
      <c r="AT86" s="87"/>
    </row>
    <row r="87" spans="1:46" thickBot="1">
      <c r="A87" t="str">
        <v>STEICO ZELL</v>
      </c>
      <c r="B87" s="113" t="s">
        <v>306</v>
      </c>
      <c r="C87" s="324" t="s">
        <v>308</v>
      </c>
      <c r="D87" s="325"/>
      <c r="E87" s="326" t="s">
        <v>76</v>
      </c>
      <c r="F87" s="321">
        <f t="shared" si="25"/>
        <v>1.39</v>
      </c>
      <c r="G87" s="334">
        <f>H87/$G$2</f>
        <v>1.1608247422680413</v>
      </c>
      <c r="H87" s="331">
        <v>5.63</v>
      </c>
      <c r="I87" s="107"/>
      <c r="J87" s="108"/>
      <c r="K87" s="109"/>
      <c r="L87" s="108"/>
      <c r="N87" s="61">
        <f t="shared" si="18"/>
        <v>-0.8591443582687015</v>
      </c>
      <c r="O87" s="86" t="s">
        <v>309</v>
      </c>
      <c r="P87" s="57"/>
      <c r="Q87" s="37" t="s">
        <v>21</v>
      </c>
      <c r="R87" s="92">
        <f t="shared" si="24"/>
        <v>9.89</v>
      </c>
      <c r="S87" s="52">
        <f>T87/$G$2</f>
        <v>8.2412371134020628</v>
      </c>
      <c r="T87" s="87">
        <v>39.97</v>
      </c>
      <c r="U87" s="86" t="s">
        <v>309</v>
      </c>
      <c r="V87" s="201"/>
      <c r="W87" s="37" t="s">
        <v>21</v>
      </c>
      <c r="X87" s="52">
        <v>8.1405295315682284</v>
      </c>
      <c r="Y87" s="88">
        <v>39.97</v>
      </c>
      <c r="AA87" s="86"/>
      <c r="AB87" s="57"/>
      <c r="AC87" s="37"/>
      <c r="AD87" s="52"/>
      <c r="AE87" s="87"/>
      <c r="AG87" s="86"/>
      <c r="AH87" s="37"/>
      <c r="AI87" s="52"/>
      <c r="AJ87" s="87"/>
      <c r="AL87" s="86"/>
      <c r="AM87" s="37"/>
      <c r="AN87" s="52"/>
      <c r="AO87" s="87"/>
      <c r="AQ87" s="86"/>
      <c r="AR87" s="37"/>
      <c r="AS87" s="52"/>
      <c r="AT87" s="87"/>
    </row>
    <row r="88" spans="1:46" thickBot="1">
      <c r="A88" t="str">
        <v>Vata lemn 80 mm</v>
      </c>
      <c r="B88" s="113"/>
      <c r="C88" s="324" t="s">
        <v>309</v>
      </c>
      <c r="D88" s="325"/>
      <c r="E88" s="326" t="s">
        <v>21</v>
      </c>
      <c r="F88" s="321">
        <f t="shared" si="25"/>
        <v>9.89</v>
      </c>
      <c r="G88" s="334">
        <f>H88/$G$2</f>
        <v>8.2412371134020628</v>
      </c>
      <c r="H88" s="331">
        <v>39.97</v>
      </c>
      <c r="I88" s="107"/>
      <c r="J88" s="108"/>
      <c r="K88" s="109"/>
      <c r="L88" s="108"/>
      <c r="N88" s="61">
        <f t="shared" si="18"/>
        <v>1.8693467336683416</v>
      </c>
      <c r="O88" s="86" t="s">
        <v>310</v>
      </c>
      <c r="P88" s="57"/>
      <c r="Q88" s="37" t="s">
        <v>23</v>
      </c>
      <c r="R88" s="92">
        <f t="shared" si="24"/>
        <v>3.45</v>
      </c>
      <c r="S88" s="52">
        <f>T88/$G$2</f>
        <v>2.8721649484536083</v>
      </c>
      <c r="T88" s="87">
        <v>13.93</v>
      </c>
      <c r="U88" s="86" t="s">
        <v>310</v>
      </c>
      <c r="V88" s="201"/>
      <c r="W88" s="37" t="s">
        <v>23</v>
      </c>
      <c r="X88" s="52">
        <v>2.8370672097759675</v>
      </c>
      <c r="Y88" s="88">
        <v>13.93</v>
      </c>
      <c r="AA88" s="86"/>
      <c r="AB88" s="57"/>
      <c r="AC88" s="37"/>
      <c r="AD88" s="52"/>
      <c r="AE88" s="87"/>
      <c r="AG88" s="86"/>
      <c r="AH88" s="37"/>
      <c r="AI88" s="52"/>
      <c r="AJ88" s="87"/>
      <c r="AL88" s="86"/>
      <c r="AM88" s="37"/>
      <c r="AN88" s="52"/>
      <c r="AO88" s="87"/>
      <c r="AQ88" s="86"/>
      <c r="AR88" s="37"/>
      <c r="AS88" s="52"/>
      <c r="AT88" s="87"/>
    </row>
    <row r="89" spans="1:46" thickBot="1">
      <c r="A89" t="str">
        <v>Level350</v>
      </c>
      <c r="B89" s="113"/>
      <c r="C89" s="324" t="s">
        <v>310</v>
      </c>
      <c r="D89" s="325"/>
      <c r="E89" s="326" t="s">
        <v>23</v>
      </c>
      <c r="F89" s="321">
        <f t="shared" si="25"/>
        <v>3.45</v>
      </c>
      <c r="G89" s="334">
        <f>H89/$G$2</f>
        <v>2.8721649484536083</v>
      </c>
      <c r="H89" s="331">
        <v>13.93</v>
      </c>
      <c r="I89" s="107"/>
      <c r="J89" s="108"/>
      <c r="K89" s="109"/>
      <c r="L89" s="108"/>
      <c r="N89" s="61">
        <f t="shared" si="18"/>
        <v>-0.50903163274297292</v>
      </c>
      <c r="O89" s="86" t="s">
        <v>311</v>
      </c>
      <c r="P89" s="57"/>
      <c r="Q89" s="37" t="s">
        <v>23</v>
      </c>
      <c r="R89" s="92">
        <f t="shared" si="24"/>
        <v>7.02</v>
      </c>
      <c r="S89" s="52">
        <v>5.85</v>
      </c>
      <c r="T89" s="87">
        <f t="shared" ref="T89" si="32">S89*$G$2</f>
        <v>28.372499999999995</v>
      </c>
      <c r="U89" s="86" t="s">
        <v>311</v>
      </c>
      <c r="V89" s="201"/>
      <c r="W89" s="37" t="s">
        <v>23</v>
      </c>
      <c r="X89" s="52">
        <v>5.85</v>
      </c>
      <c r="Y89" s="88">
        <f>$X$2*X89</f>
        <v>28.723499999999998</v>
      </c>
      <c r="AA89" s="86"/>
      <c r="AB89" s="57"/>
      <c r="AC89" s="37"/>
      <c r="AD89" s="52"/>
      <c r="AE89" s="87"/>
      <c r="AG89" s="86"/>
      <c r="AH89" s="37"/>
      <c r="AI89" s="52"/>
      <c r="AJ89" s="87"/>
      <c r="AL89" s="86"/>
      <c r="AM89" s="37"/>
      <c r="AN89" s="52"/>
      <c r="AO89" s="87"/>
      <c r="AQ89" s="86"/>
      <c r="AR89" s="37"/>
      <c r="AS89" s="52"/>
      <c r="AT89" s="87"/>
    </row>
    <row r="90" spans="1:46" thickBot="1">
      <c r="A90" t="str">
        <v>Connect250</v>
      </c>
      <c r="B90" s="113"/>
      <c r="C90" s="324" t="s">
        <v>311</v>
      </c>
      <c r="D90" s="325"/>
      <c r="E90" s="326" t="s">
        <v>23</v>
      </c>
      <c r="F90" s="321">
        <f t="shared" si="25"/>
        <v>7.02</v>
      </c>
      <c r="G90" s="334">
        <v>5.85</v>
      </c>
      <c r="H90" s="331">
        <f t="shared" ref="H90" si="33">G90*$G$2</f>
        <v>28.372499999999995</v>
      </c>
      <c r="I90" s="107"/>
      <c r="J90" s="108"/>
      <c r="K90" s="109"/>
      <c r="L90" s="108"/>
      <c r="N90" s="61">
        <f t="shared" si="18"/>
        <v>36.332236842105253</v>
      </c>
      <c r="O90" s="86" t="s">
        <v>312</v>
      </c>
      <c r="P90" s="57"/>
      <c r="Q90" s="37" t="s">
        <v>127</v>
      </c>
      <c r="R90" s="92">
        <f t="shared" si="24"/>
        <v>0.19</v>
      </c>
      <c r="S90" s="52">
        <f t="shared" ref="S90:S119" si="34">T90/$G$2</f>
        <v>0.15670103092783508</v>
      </c>
      <c r="T90" s="87">
        <v>0.76</v>
      </c>
      <c r="U90" s="86" t="s">
        <v>312</v>
      </c>
      <c r="V90" s="201"/>
      <c r="W90" s="37" t="s">
        <v>127</v>
      </c>
      <c r="X90" s="52">
        <v>0.15478615071283094</v>
      </c>
      <c r="Y90" s="88">
        <v>0.76</v>
      </c>
      <c r="AA90" s="86"/>
      <c r="AB90" s="57"/>
      <c r="AC90" s="37"/>
      <c r="AD90" s="52"/>
      <c r="AE90" s="87"/>
      <c r="AG90" s="86"/>
      <c r="AH90" s="37"/>
      <c r="AI90" s="52"/>
      <c r="AJ90" s="87"/>
      <c r="AL90" s="86"/>
      <c r="AM90" s="37"/>
      <c r="AN90" s="52"/>
      <c r="AO90" s="87"/>
      <c r="AQ90" s="86"/>
      <c r="AR90" s="37"/>
      <c r="AS90" s="52"/>
      <c r="AT90" s="87"/>
    </row>
    <row r="91" spans="1:46" thickBot="1">
      <c r="A91" t="str">
        <v>kkf4570</v>
      </c>
      <c r="B91" s="113"/>
      <c r="C91" s="324" t="s">
        <v>312</v>
      </c>
      <c r="D91" s="325"/>
      <c r="E91" s="326" t="s">
        <v>127</v>
      </c>
      <c r="F91" s="321">
        <f>IF(E91="","",ROUND(G91*(1+$F$2),2))</f>
        <v>0.19</v>
      </c>
      <c r="G91" s="334">
        <f t="shared" ref="G91:G137" si="35">H91/$G$2</f>
        <v>0.15670103092783508</v>
      </c>
      <c r="H91" s="331">
        <v>0.76</v>
      </c>
      <c r="I91" s="107"/>
      <c r="J91" s="108"/>
      <c r="K91" s="109"/>
      <c r="L91" s="108"/>
      <c r="N91" s="61">
        <f t="shared" si="18"/>
        <v>-0.6</v>
      </c>
      <c r="O91" s="86" t="s">
        <v>313</v>
      </c>
      <c r="P91" s="57"/>
      <c r="Q91" s="37" t="s">
        <v>114</v>
      </c>
      <c r="R91" s="92">
        <f t="shared" si="24"/>
        <v>0.47</v>
      </c>
      <c r="S91" s="52">
        <f t="shared" si="34"/>
        <v>0.39175257731958762</v>
      </c>
      <c r="T91" s="87">
        <v>1.9</v>
      </c>
      <c r="U91" s="86" t="s">
        <v>313</v>
      </c>
      <c r="V91" s="201"/>
      <c r="W91" s="37" t="s">
        <v>114</v>
      </c>
      <c r="X91" s="52">
        <v>0.38696537678207737</v>
      </c>
      <c r="Y91" s="88">
        <v>1.9</v>
      </c>
      <c r="AA91" s="86"/>
      <c r="AB91" s="57"/>
      <c r="AC91" s="37"/>
      <c r="AD91" s="52"/>
      <c r="AE91" s="87"/>
      <c r="AG91" s="86"/>
      <c r="AH91" s="37"/>
      <c r="AI91" s="52"/>
      <c r="AJ91" s="87"/>
      <c r="AL91" s="86"/>
      <c r="AM91" s="37"/>
      <c r="AN91" s="52"/>
      <c r="AO91" s="87"/>
      <c r="AQ91" s="86"/>
      <c r="AR91" s="37"/>
      <c r="AS91" s="52"/>
      <c r="AT91" s="87"/>
    </row>
    <row r="92" spans="1:46" thickBot="1">
      <c r="A92" t="str">
        <v>Vis STR-H 100</v>
      </c>
      <c r="B92" s="113"/>
      <c r="C92" s="324" t="s">
        <v>313</v>
      </c>
      <c r="D92" s="325"/>
      <c r="E92" s="326" t="s">
        <v>114</v>
      </c>
      <c r="F92" s="321">
        <f t="shared" ref="F92:F97" si="36">IF(E92="","",ROUND(G92*(1+$F$2),2))</f>
        <v>0.47</v>
      </c>
      <c r="G92" s="334">
        <f t="shared" si="35"/>
        <v>0.39175257731958762</v>
      </c>
      <c r="H92" s="331">
        <v>1.9</v>
      </c>
      <c r="I92" s="107"/>
      <c r="J92" s="108"/>
      <c r="K92" s="109"/>
      <c r="L92" s="108"/>
      <c r="N92" s="61">
        <f t="shared" si="18"/>
        <v>-0.95250000000000001</v>
      </c>
      <c r="O92" s="86" t="s">
        <v>314</v>
      </c>
      <c r="P92" s="57"/>
      <c r="Q92" s="37" t="s">
        <v>21</v>
      </c>
      <c r="R92" s="92">
        <f t="shared" si="24"/>
        <v>9.9</v>
      </c>
      <c r="S92" s="52">
        <f t="shared" si="34"/>
        <v>8.247422680412372</v>
      </c>
      <c r="T92" s="87">
        <v>40</v>
      </c>
      <c r="U92" s="86" t="s">
        <v>314</v>
      </c>
      <c r="V92" s="201"/>
      <c r="W92" s="37" t="s">
        <v>21</v>
      </c>
      <c r="X92" s="52">
        <v>8.146639511201629</v>
      </c>
      <c r="Y92" s="88">
        <v>40</v>
      </c>
      <c r="AA92" s="86"/>
      <c r="AB92" s="57"/>
      <c r="AC92" s="37"/>
      <c r="AD92" s="52"/>
      <c r="AE92" s="87"/>
      <c r="AG92" s="86"/>
      <c r="AH92" s="37"/>
      <c r="AI92" s="52"/>
      <c r="AJ92" s="87"/>
      <c r="AL92" s="86"/>
      <c r="AM92" s="37"/>
      <c r="AN92" s="52"/>
      <c r="AO92" s="87"/>
      <c r="AQ92" s="86"/>
      <c r="AR92" s="37"/>
      <c r="AS92" s="52"/>
      <c r="AT92" s="87"/>
    </row>
    <row r="93" spans="1:46" thickBot="1">
      <c r="A93" t="str">
        <v>Polistiren</v>
      </c>
      <c r="B93" s="113"/>
      <c r="C93" s="324" t="s">
        <v>314</v>
      </c>
      <c r="D93" s="325"/>
      <c r="E93" s="326" t="s">
        <v>21</v>
      </c>
      <c r="F93" s="321">
        <f t="shared" si="36"/>
        <v>9.9</v>
      </c>
      <c r="G93" s="334">
        <f t="shared" si="35"/>
        <v>8.247422680412372</v>
      </c>
      <c r="H93" s="331">
        <v>40</v>
      </c>
      <c r="I93" s="107"/>
      <c r="J93" s="108"/>
      <c r="K93" s="109"/>
      <c r="L93" s="108"/>
      <c r="N93" s="61">
        <f t="shared" si="18"/>
        <v>4.1101231539680096</v>
      </c>
      <c r="O93" s="86" t="s">
        <v>299</v>
      </c>
      <c r="P93" s="57"/>
      <c r="Q93" s="37" t="s">
        <v>23</v>
      </c>
      <c r="R93" s="92">
        <v>1.91</v>
      </c>
      <c r="S93" s="52">
        <f t="shared" si="34"/>
        <v>1.613938144329897</v>
      </c>
      <c r="T93" s="87">
        <v>7.8276000000000003</v>
      </c>
      <c r="U93" s="86" t="s">
        <v>299</v>
      </c>
      <c r="V93" s="201"/>
      <c r="W93" s="37" t="s">
        <v>23</v>
      </c>
      <c r="X93" s="52">
        <v>1.5942158859470468</v>
      </c>
      <c r="Y93" s="88">
        <v>7.8276000000000003</v>
      </c>
      <c r="AA93" s="86"/>
      <c r="AB93" s="57"/>
      <c r="AC93" s="37"/>
      <c r="AD93" s="52"/>
      <c r="AE93" s="87"/>
      <c r="AG93" s="86"/>
      <c r="AH93" s="37"/>
      <c r="AI93" s="52"/>
      <c r="AJ93" s="87"/>
      <c r="AL93" s="86"/>
      <c r="AM93" s="37"/>
      <c r="AN93" s="52"/>
      <c r="AO93" s="87"/>
      <c r="AQ93" s="86"/>
      <c r="AR93" s="37"/>
      <c r="AS93" s="52"/>
      <c r="AT93" s="87"/>
    </row>
    <row r="94" spans="1:46" thickBot="1">
      <c r="A94" t="str">
        <v>START100</v>
      </c>
      <c r="B94" s="113"/>
      <c r="C94" s="324" t="s">
        <v>299</v>
      </c>
      <c r="D94" s="325"/>
      <c r="E94" s="326" t="s">
        <v>23</v>
      </c>
      <c r="F94" s="321">
        <f t="shared" si="36"/>
        <v>1.94</v>
      </c>
      <c r="G94" s="334">
        <f t="shared" si="35"/>
        <v>1.613938144329897</v>
      </c>
      <c r="H94" s="331">
        <v>7.8276000000000003</v>
      </c>
      <c r="I94" s="107"/>
      <c r="J94" s="108"/>
      <c r="K94" s="109"/>
      <c r="L94" s="108"/>
      <c r="N94" s="61">
        <f t="shared" si="18"/>
        <v>-0.73008275862068961</v>
      </c>
      <c r="O94" s="86" t="s">
        <v>305</v>
      </c>
      <c r="P94" s="57"/>
      <c r="Q94" s="37" t="s">
        <v>23</v>
      </c>
      <c r="R94" s="92">
        <v>7.09</v>
      </c>
      <c r="S94" s="52">
        <f t="shared" si="34"/>
        <v>5.9793814432989691</v>
      </c>
      <c r="T94" s="87">
        <v>29</v>
      </c>
      <c r="U94" s="86" t="s">
        <v>305</v>
      </c>
      <c r="V94" s="201"/>
      <c r="W94" s="37" t="s">
        <v>23</v>
      </c>
      <c r="X94" s="52">
        <v>5.9063136456211813</v>
      </c>
      <c r="Y94" s="88">
        <v>29</v>
      </c>
      <c r="AA94" s="86"/>
      <c r="AB94" s="57"/>
      <c r="AC94" s="37"/>
      <c r="AD94" s="52"/>
      <c r="AE94" s="87"/>
      <c r="AG94" s="86"/>
      <c r="AH94" s="37"/>
      <c r="AI94" s="52"/>
      <c r="AJ94" s="87"/>
      <c r="AL94" s="86"/>
      <c r="AM94" s="37"/>
      <c r="AN94" s="52"/>
      <c r="AO94" s="87"/>
      <c r="AQ94" s="86"/>
      <c r="AR94" s="37"/>
      <c r="AS94" s="52"/>
      <c r="AT94" s="87"/>
    </row>
    <row r="95" spans="1:46" thickBot="1">
      <c r="A95" t="str">
        <v>lemn, 100 x 100 mm</v>
      </c>
      <c r="B95" s="113"/>
      <c r="C95" s="324" t="s">
        <v>305</v>
      </c>
      <c r="D95" s="325"/>
      <c r="E95" s="326" t="s">
        <v>23</v>
      </c>
      <c r="F95" s="321">
        <f t="shared" si="36"/>
        <v>7.53</v>
      </c>
      <c r="G95" s="334">
        <f t="shared" si="35"/>
        <v>6.2783505154639174</v>
      </c>
      <c r="H95" s="331">
        <f>3045*0.01</f>
        <v>30.45</v>
      </c>
      <c r="I95" s="107"/>
      <c r="J95" s="108"/>
      <c r="K95" s="109"/>
      <c r="L95" s="108"/>
      <c r="N95" s="61">
        <f t="shared" si="18"/>
        <v>0.26874999999999999</v>
      </c>
      <c r="O95" s="86" t="s">
        <v>316</v>
      </c>
      <c r="P95" s="57"/>
      <c r="Q95" s="37" t="s">
        <v>23</v>
      </c>
      <c r="R95" s="92"/>
      <c r="S95" s="52">
        <f t="shared" si="34"/>
        <v>4.9484536082474229</v>
      </c>
      <c r="T95" s="120">
        <v>24</v>
      </c>
      <c r="U95" s="86" t="s">
        <v>316</v>
      </c>
      <c r="V95" s="201"/>
      <c r="W95" s="37" t="s">
        <v>23</v>
      </c>
      <c r="X95" s="52">
        <v>4.887983706720977</v>
      </c>
      <c r="Y95" s="88">
        <v>24</v>
      </c>
      <c r="AA95" s="86"/>
      <c r="AB95" s="57"/>
      <c r="AC95" s="37"/>
      <c r="AD95" s="52"/>
      <c r="AE95" s="87"/>
      <c r="AG95" s="86"/>
      <c r="AH95" s="37"/>
      <c r="AI95" s="52"/>
      <c r="AJ95" s="87"/>
      <c r="AL95" s="86"/>
      <c r="AM95" s="37"/>
      <c r="AN95" s="52"/>
      <c r="AO95" s="87"/>
      <c r="AQ95" s="86"/>
      <c r="AR95" s="37"/>
      <c r="AS95" s="52"/>
      <c r="AT95" s="87"/>
    </row>
    <row r="96" spans="1:46" thickBot="1">
      <c r="A96" t="str">
        <v>lemn, 80 x 100 mm</v>
      </c>
      <c r="B96" s="113"/>
      <c r="C96" s="324" t="s">
        <v>316</v>
      </c>
      <c r="D96" s="325"/>
      <c r="E96" s="326" t="s">
        <v>23</v>
      </c>
      <c r="F96" s="321">
        <f t="shared" si="36"/>
        <v>6.03</v>
      </c>
      <c r="G96" s="334">
        <f t="shared" si="35"/>
        <v>5.0226804123711339</v>
      </c>
      <c r="H96" s="331">
        <f>3045*0.008</f>
        <v>24.36</v>
      </c>
      <c r="I96" s="107"/>
      <c r="J96" s="108"/>
      <c r="K96" s="109"/>
      <c r="L96" s="108"/>
      <c r="N96" s="61">
        <f t="shared" si="18"/>
        <v>121.41206030150752</v>
      </c>
      <c r="O96" s="191" t="s">
        <v>317</v>
      </c>
      <c r="P96" s="57"/>
      <c r="Q96" s="37" t="s">
        <v>127</v>
      </c>
      <c r="R96" s="92">
        <f t="shared" ref="R96:R99" si="37">IF(Q96="","",ROUND(S96*(1+$F$2),2))</f>
        <v>0.05</v>
      </c>
      <c r="S96" s="52">
        <f t="shared" si="34"/>
        <v>4.1030927835051551E-2</v>
      </c>
      <c r="T96" s="88">
        <v>0.19900000000000001</v>
      </c>
      <c r="U96" s="86" t="s">
        <v>317</v>
      </c>
      <c r="V96" s="201"/>
      <c r="W96" s="37" t="s">
        <v>127</v>
      </c>
      <c r="X96" s="52">
        <v>4.0529531568228104E-2</v>
      </c>
      <c r="Y96" s="88">
        <v>0.19900000000000001</v>
      </c>
      <c r="AA96" s="86"/>
      <c r="AB96" s="57"/>
      <c r="AC96" s="37"/>
      <c r="AD96" s="52"/>
      <c r="AE96" s="87"/>
      <c r="AG96" s="86"/>
      <c r="AH96" s="37"/>
      <c r="AI96" s="52"/>
      <c r="AJ96" s="87"/>
      <c r="AL96" s="86"/>
      <c r="AM96" s="37"/>
      <c r="AN96" s="52"/>
      <c r="AO96" s="87"/>
      <c r="AQ96" s="86"/>
      <c r="AR96" s="37"/>
      <c r="AS96" s="52"/>
      <c r="AT96" s="87"/>
    </row>
    <row r="97" spans="1:46" thickBot="1">
      <c r="A97" t="str">
        <v>lemn, 60x70 mm</v>
      </c>
      <c r="B97" s="113"/>
      <c r="C97" s="324" t="s">
        <v>634</v>
      </c>
      <c r="D97" s="325"/>
      <c r="E97" s="326" t="s">
        <v>23</v>
      </c>
      <c r="F97" s="321">
        <f t="shared" si="36"/>
        <v>3.16</v>
      </c>
      <c r="G97" s="334">
        <f t="shared" si="35"/>
        <v>2.6369072164948455</v>
      </c>
      <c r="H97" s="331">
        <f>3045*0.06*0.07</f>
        <v>12.789</v>
      </c>
      <c r="I97" s="107"/>
      <c r="J97" s="108"/>
      <c r="K97" s="109"/>
      <c r="L97" s="108"/>
      <c r="N97" s="61"/>
      <c r="O97" s="191"/>
      <c r="P97" s="201"/>
      <c r="Q97" s="37"/>
      <c r="R97" s="92"/>
      <c r="S97" s="52"/>
      <c r="T97" s="88"/>
      <c r="U97" s="86"/>
      <c r="V97" s="201"/>
      <c r="W97" s="37"/>
      <c r="X97" s="52"/>
      <c r="Y97" s="88"/>
      <c r="AA97" s="86"/>
      <c r="AB97" s="201"/>
      <c r="AC97" s="37"/>
      <c r="AD97" s="52"/>
      <c r="AE97" s="87"/>
      <c r="AG97" s="86"/>
      <c r="AH97" s="37"/>
      <c r="AI97" s="52"/>
      <c r="AJ97" s="87"/>
      <c r="AL97" s="86"/>
      <c r="AM97" s="37"/>
      <c r="AN97" s="52"/>
      <c r="AO97" s="87"/>
      <c r="AQ97" s="86"/>
      <c r="AR97" s="37"/>
      <c r="AS97" s="52"/>
      <c r="AT97" s="87"/>
    </row>
    <row r="98" spans="1:46" thickBot="1">
      <c r="A98" t="str">
        <v>Surub pt.lemn cap inecat TX 6x80</v>
      </c>
      <c r="B98" s="113"/>
      <c r="C98" s="324" t="s">
        <v>317</v>
      </c>
      <c r="D98" s="325"/>
      <c r="E98" s="326" t="s">
        <v>127</v>
      </c>
      <c r="F98" s="321">
        <f t="shared" ref="F98:F120" si="38">IF(E98="","",ROUND(G98*(1+$F$2),2))</f>
        <v>0.05</v>
      </c>
      <c r="G98" s="334">
        <f t="shared" si="35"/>
        <v>4.1030927835051551E-2</v>
      </c>
      <c r="H98" s="330">
        <v>0.19900000000000001</v>
      </c>
      <c r="I98" s="107"/>
      <c r="J98" s="108"/>
      <c r="K98" s="109"/>
      <c r="L98" s="108"/>
      <c r="N98" s="61">
        <f t="shared" si="18"/>
        <v>-0.48974358974358972</v>
      </c>
      <c r="O98" s="191" t="s">
        <v>318</v>
      </c>
      <c r="P98" s="57"/>
      <c r="Q98" s="37" t="s">
        <v>127</v>
      </c>
      <c r="R98" s="92">
        <f t="shared" si="37"/>
        <v>0.1</v>
      </c>
      <c r="S98" s="52">
        <f t="shared" si="34"/>
        <v>8.0412371134020624E-2</v>
      </c>
      <c r="T98" s="88">
        <v>0.39</v>
      </c>
      <c r="U98" s="86" t="s">
        <v>318</v>
      </c>
      <c r="V98" s="201"/>
      <c r="W98" s="37" t="s">
        <v>127</v>
      </c>
      <c r="X98" s="52">
        <v>7.9429735234215884E-2</v>
      </c>
      <c r="Y98" s="88">
        <v>0.39</v>
      </c>
      <c r="AA98" s="86"/>
      <c r="AB98" s="57"/>
      <c r="AC98" s="37"/>
      <c r="AD98" s="52"/>
      <c r="AE98" s="87"/>
      <c r="AG98" s="86"/>
      <c r="AH98" s="37"/>
      <c r="AI98" s="52"/>
      <c r="AJ98" s="87"/>
      <c r="AL98" s="86"/>
      <c r="AM98" s="37"/>
      <c r="AN98" s="52"/>
      <c r="AO98" s="87"/>
      <c r="AQ98" s="86"/>
      <c r="AR98" s="37"/>
      <c r="AS98" s="52"/>
      <c r="AT98" s="87"/>
    </row>
    <row r="99" spans="1:46" thickBot="1">
      <c r="A99" t="str">
        <v>Surub pt.lemn cap inecat TX 6x140</v>
      </c>
      <c r="B99" s="113"/>
      <c r="C99" s="324" t="s">
        <v>318</v>
      </c>
      <c r="D99" s="325"/>
      <c r="E99" s="326" t="s">
        <v>127</v>
      </c>
      <c r="F99" s="321">
        <f t="shared" si="38"/>
        <v>0.1</v>
      </c>
      <c r="G99" s="334">
        <f t="shared" si="35"/>
        <v>8.0412371134020624E-2</v>
      </c>
      <c r="H99" s="330">
        <v>0.39</v>
      </c>
      <c r="I99" s="107"/>
      <c r="J99" s="108"/>
      <c r="K99" s="109"/>
      <c r="L99" s="108"/>
      <c r="N99" s="61">
        <f t="shared" si="18"/>
        <v>-0.95362663495838285</v>
      </c>
      <c r="O99" s="192" t="s">
        <v>319</v>
      </c>
      <c r="P99" s="193"/>
      <c r="Q99" s="193" t="s">
        <v>82</v>
      </c>
      <c r="R99" s="193">
        <f t="shared" si="37"/>
        <v>2.08</v>
      </c>
      <c r="S99" s="52">
        <f t="shared" si="34"/>
        <v>1.7340206185567011</v>
      </c>
      <c r="T99" s="88">
        <v>8.41</v>
      </c>
      <c r="U99" s="86" t="s">
        <v>319</v>
      </c>
      <c r="V99" s="201"/>
      <c r="W99" s="37" t="s">
        <v>82</v>
      </c>
      <c r="X99" s="52">
        <v>1.7128309572301426</v>
      </c>
      <c r="Y99" s="88">
        <v>8.41</v>
      </c>
      <c r="AA99" s="86"/>
      <c r="AB99" s="57"/>
      <c r="AC99" s="37"/>
      <c r="AD99" s="52"/>
      <c r="AE99" s="87"/>
      <c r="AG99" s="86"/>
      <c r="AH99" s="37"/>
      <c r="AI99" s="52"/>
      <c r="AJ99" s="87"/>
      <c r="AL99" s="86"/>
      <c r="AM99" s="37"/>
      <c r="AN99" s="52"/>
      <c r="AO99" s="87"/>
      <c r="AQ99" s="86"/>
      <c r="AR99" s="37"/>
      <c r="AS99" s="52"/>
      <c r="AT99" s="87"/>
    </row>
    <row r="100" spans="1:46" thickBot="1">
      <c r="A100" t="str">
        <v>Silicon alb 300</v>
      </c>
      <c r="B100" s="113"/>
      <c r="C100" s="335" t="s">
        <v>319</v>
      </c>
      <c r="D100" s="335"/>
      <c r="E100" s="335" t="s">
        <v>82</v>
      </c>
      <c r="F100" s="335">
        <f t="shared" si="38"/>
        <v>2.08</v>
      </c>
      <c r="G100" s="334">
        <f t="shared" si="35"/>
        <v>1.7340206185567011</v>
      </c>
      <c r="H100" s="330">
        <v>8.41</v>
      </c>
      <c r="I100" s="107"/>
      <c r="J100" s="108"/>
      <c r="K100" s="109"/>
      <c r="L100" s="108"/>
      <c r="N100" s="61">
        <f t="shared" si="18"/>
        <v>-0.60755949603359771</v>
      </c>
      <c r="O100" s="192" t="s">
        <v>320</v>
      </c>
      <c r="P100" s="193"/>
      <c r="Q100" s="194" t="s">
        <v>82</v>
      </c>
      <c r="R100" s="193"/>
      <c r="S100" s="52">
        <f t="shared" si="34"/>
        <v>4.4185567010309281</v>
      </c>
      <c r="T100" s="195">
        <v>21.43</v>
      </c>
      <c r="U100" s="86" t="s">
        <v>320</v>
      </c>
      <c r="V100" s="201"/>
      <c r="W100" s="37" t="s">
        <v>82</v>
      </c>
      <c r="X100" s="52">
        <v>4.3645621181262726</v>
      </c>
      <c r="Y100" s="88">
        <v>21.43</v>
      </c>
      <c r="AA100" s="86"/>
      <c r="AB100" s="57"/>
      <c r="AC100" s="37"/>
      <c r="AD100" s="52"/>
      <c r="AE100" s="87"/>
      <c r="AG100" s="86"/>
      <c r="AH100" s="37"/>
      <c r="AI100" s="52"/>
      <c r="AJ100" s="87"/>
      <c r="AL100" s="86"/>
      <c r="AM100" s="37"/>
      <c r="AN100" s="52"/>
      <c r="AO100" s="87"/>
      <c r="AQ100" s="86"/>
      <c r="AR100" s="37"/>
      <c r="AS100" s="52"/>
      <c r="AT100" s="87"/>
    </row>
    <row r="101" spans="1:46" thickBot="1">
      <c r="A101" t="str">
        <v>Tubulatura 1010</v>
      </c>
      <c r="B101" s="113"/>
      <c r="C101" s="335" t="s">
        <v>320</v>
      </c>
      <c r="D101" s="335"/>
      <c r="E101" s="336" t="s">
        <v>82</v>
      </c>
      <c r="F101" s="335"/>
      <c r="G101" s="334">
        <f t="shared" si="35"/>
        <v>4.4185567010309281</v>
      </c>
      <c r="H101" s="337">
        <v>21.43</v>
      </c>
      <c r="I101" s="107"/>
      <c r="J101" s="108"/>
      <c r="K101" s="109"/>
      <c r="L101" s="108"/>
      <c r="N101" s="61">
        <f t="shared" si="18"/>
        <v>-0.60765287440497984</v>
      </c>
      <c r="O101" s="192" t="s">
        <v>321</v>
      </c>
      <c r="P101" s="193"/>
      <c r="Q101" s="194" t="s">
        <v>82</v>
      </c>
      <c r="R101" s="193"/>
      <c r="S101" s="52">
        <f t="shared" si="34"/>
        <v>11.261855670103094</v>
      </c>
      <c r="T101" s="195">
        <v>54.62</v>
      </c>
      <c r="U101" s="86" t="s">
        <v>321</v>
      </c>
      <c r="V101" s="201"/>
      <c r="W101" s="37" t="s">
        <v>82</v>
      </c>
      <c r="X101" s="52">
        <v>11.124236252545824</v>
      </c>
      <c r="Y101" s="88">
        <v>54.62</v>
      </c>
      <c r="AA101" s="86"/>
      <c r="AB101" s="57"/>
      <c r="AC101" s="37"/>
      <c r="AD101" s="52"/>
      <c r="AE101" s="87"/>
      <c r="AG101" s="86"/>
      <c r="AH101" s="37"/>
      <c r="AI101" s="52"/>
      <c r="AJ101" s="87"/>
      <c r="AL101" s="86"/>
      <c r="AM101" s="37"/>
      <c r="AN101" s="52"/>
      <c r="AO101" s="87"/>
      <c r="AQ101" s="86"/>
      <c r="AR101" s="37"/>
      <c r="AS101" s="52"/>
      <c r="AT101" s="87"/>
    </row>
    <row r="102" spans="1:46" thickBot="1">
      <c r="A102" t="str">
        <v>folie natur 25</v>
      </c>
      <c r="B102" s="113"/>
      <c r="C102" s="335" t="s">
        <v>321</v>
      </c>
      <c r="D102" s="335"/>
      <c r="E102" s="336" t="s">
        <v>82</v>
      </c>
      <c r="F102" s="335"/>
      <c r="G102" s="334">
        <f t="shared" si="35"/>
        <v>11.261855670103094</v>
      </c>
      <c r="H102" s="337">
        <v>54.62</v>
      </c>
      <c r="I102" s="107"/>
      <c r="J102" s="108"/>
      <c r="K102" s="109"/>
      <c r="L102" s="108"/>
      <c r="N102" s="61">
        <f t="shared" si="18"/>
        <v>3.1918649270913275</v>
      </c>
      <c r="O102" s="192" t="s">
        <v>322</v>
      </c>
      <c r="P102" s="193"/>
      <c r="Q102" s="193" t="s">
        <v>82</v>
      </c>
      <c r="R102" s="193"/>
      <c r="S102" s="52">
        <f t="shared" si="34"/>
        <v>2.6865979381443301</v>
      </c>
      <c r="T102" s="88">
        <v>13.03</v>
      </c>
      <c r="U102" s="86" t="s">
        <v>322</v>
      </c>
      <c r="V102" s="201"/>
      <c r="W102" s="37" t="s">
        <v>82</v>
      </c>
      <c r="X102" s="52">
        <v>2.6537678207739304</v>
      </c>
      <c r="Y102" s="88">
        <v>13.03</v>
      </c>
      <c r="AA102" s="86"/>
      <c r="AB102" s="57"/>
      <c r="AC102" s="37"/>
      <c r="AD102" s="52"/>
      <c r="AE102" s="87"/>
      <c r="AG102" s="86"/>
      <c r="AH102" s="37"/>
      <c r="AI102" s="52"/>
      <c r="AJ102" s="87"/>
      <c r="AL102" s="86"/>
      <c r="AM102" s="37"/>
      <c r="AN102" s="52"/>
      <c r="AO102" s="87"/>
      <c r="AQ102" s="86"/>
      <c r="AR102" s="37"/>
      <c r="AS102" s="52"/>
      <c r="AT102" s="87"/>
    </row>
    <row r="103" spans="1:46" thickBot="1">
      <c r="A103" t="str">
        <v>spuma PO 750ml</v>
      </c>
      <c r="B103" s="113"/>
      <c r="C103" s="335" t="s">
        <v>322</v>
      </c>
      <c r="D103" s="335"/>
      <c r="E103" s="335" t="s">
        <v>82</v>
      </c>
      <c r="F103" s="335"/>
      <c r="G103" s="334">
        <f t="shared" si="35"/>
        <v>2.6865979381443301</v>
      </c>
      <c r="H103" s="330">
        <v>13.03</v>
      </c>
      <c r="I103" s="107"/>
      <c r="J103" s="108"/>
      <c r="K103" s="109"/>
      <c r="L103" s="108"/>
      <c r="N103" s="61">
        <f t="shared" ref="N103:N119" si="39">(H103-T103)/T103</f>
        <v>968.49404761904759</v>
      </c>
      <c r="O103" s="192" t="s">
        <v>323</v>
      </c>
      <c r="P103" s="193"/>
      <c r="Q103" s="193" t="s">
        <v>82</v>
      </c>
      <c r="R103" s="193"/>
      <c r="S103" s="52">
        <f t="shared" si="34"/>
        <v>2.771134020618557E-3</v>
      </c>
      <c r="T103" s="196">
        <v>1.3440000000000001E-2</v>
      </c>
      <c r="U103" s="86" t="s">
        <v>323</v>
      </c>
      <c r="V103" s="201"/>
      <c r="W103" s="37" t="s">
        <v>82</v>
      </c>
      <c r="X103" s="52">
        <v>2.7372708757637475E-3</v>
      </c>
      <c r="Y103" s="88">
        <v>1.3440000000000001E-2</v>
      </c>
      <c r="AA103" s="86"/>
      <c r="AB103" s="57"/>
      <c r="AC103" s="37"/>
      <c r="AD103" s="52"/>
      <c r="AE103" s="87"/>
      <c r="AG103" s="86"/>
      <c r="AH103" s="37"/>
      <c r="AI103" s="52"/>
      <c r="AJ103" s="87"/>
      <c r="AL103" s="86"/>
      <c r="AM103" s="37"/>
      <c r="AN103" s="52"/>
      <c r="AO103" s="87"/>
      <c r="AQ103" s="86"/>
      <c r="AR103" s="37"/>
      <c r="AS103" s="52"/>
      <c r="AT103" s="87"/>
    </row>
    <row r="104" spans="1:46" thickBot="1">
      <c r="A104" t="str">
        <v>surub lemn 4x40</v>
      </c>
      <c r="B104" s="113"/>
      <c r="C104" s="335" t="s">
        <v>323</v>
      </c>
      <c r="D104" s="335"/>
      <c r="E104" s="335" t="s">
        <v>82</v>
      </c>
      <c r="F104" s="335"/>
      <c r="G104" s="334">
        <f t="shared" si="35"/>
        <v>2.771134020618557E-3</v>
      </c>
      <c r="H104" s="338">
        <v>1.3440000000000001E-2</v>
      </c>
      <c r="I104" s="107"/>
      <c r="J104" s="108"/>
      <c r="K104" s="109"/>
      <c r="L104" s="108"/>
      <c r="N104" s="61">
        <f t="shared" si="39"/>
        <v>-0.75018587360594791</v>
      </c>
      <c r="O104" s="192" t="s">
        <v>324</v>
      </c>
      <c r="P104" s="193"/>
      <c r="Q104" s="194" t="s">
        <v>82</v>
      </c>
      <c r="R104" s="193"/>
      <c r="S104" s="52">
        <f t="shared" si="34"/>
        <v>1.109278350515464E-2</v>
      </c>
      <c r="T104" s="196">
        <v>5.3800000000000001E-2</v>
      </c>
      <c r="U104" s="86" t="s">
        <v>324</v>
      </c>
      <c r="V104" s="201"/>
      <c r="W104" s="37" t="s">
        <v>82</v>
      </c>
      <c r="X104" s="52">
        <v>1.0957230142566192E-2</v>
      </c>
      <c r="Y104" s="88">
        <v>5.3800000000000001E-2</v>
      </c>
      <c r="AA104" s="86"/>
      <c r="AB104" s="57"/>
      <c r="AC104" s="37"/>
      <c r="AD104" s="52"/>
      <c r="AE104" s="87"/>
      <c r="AG104" s="86"/>
      <c r="AH104" s="37"/>
      <c r="AI104" s="52"/>
      <c r="AJ104" s="87"/>
      <c r="AL104" s="86"/>
      <c r="AM104" s="37"/>
      <c r="AN104" s="52"/>
      <c r="AO104" s="87"/>
      <c r="AQ104" s="86"/>
      <c r="AR104" s="37"/>
      <c r="AS104" s="52"/>
      <c r="AT104" s="87"/>
    </row>
    <row r="105" spans="1:46" thickBot="1">
      <c r="A105" t="str">
        <v>surub lemn 4x80</v>
      </c>
      <c r="B105" s="113"/>
      <c r="C105" s="335" t="s">
        <v>324</v>
      </c>
      <c r="D105" s="335"/>
      <c r="E105" s="336" t="s">
        <v>82</v>
      </c>
      <c r="F105" s="335"/>
      <c r="G105" s="334">
        <f t="shared" si="35"/>
        <v>2.1649484536082474E-2</v>
      </c>
      <c r="H105" s="338">
        <v>0.105</v>
      </c>
      <c r="I105" s="107"/>
      <c r="J105" s="108"/>
      <c r="K105" s="109"/>
      <c r="L105" s="108"/>
      <c r="N105" s="61">
        <f t="shared" si="39"/>
        <v>-0.70938278438970392</v>
      </c>
      <c r="O105" s="192" t="s">
        <v>325</v>
      </c>
      <c r="P105" s="193"/>
      <c r="Q105" s="194" t="s">
        <v>82</v>
      </c>
      <c r="R105" s="193"/>
      <c r="S105" s="52">
        <f t="shared" si="34"/>
        <v>7.4494845360824749E-2</v>
      </c>
      <c r="T105" s="196">
        <v>0.36130000000000001</v>
      </c>
      <c r="U105" s="86" t="s">
        <v>325</v>
      </c>
      <c r="V105" s="201"/>
      <c r="W105" s="37" t="s">
        <v>82</v>
      </c>
      <c r="X105" s="52">
        <v>7.3584521384928714E-2</v>
      </c>
      <c r="Y105" s="88">
        <v>0.36130000000000001</v>
      </c>
      <c r="AA105" s="86"/>
      <c r="AB105" s="57"/>
      <c r="AC105" s="37"/>
      <c r="AD105" s="52"/>
      <c r="AE105" s="87"/>
      <c r="AG105" s="86"/>
      <c r="AH105" s="37"/>
      <c r="AI105" s="52"/>
      <c r="AJ105" s="87"/>
      <c r="AL105" s="86"/>
      <c r="AM105" s="37"/>
      <c r="AN105" s="52"/>
      <c r="AO105" s="87"/>
      <c r="AQ105" s="86"/>
      <c r="AR105" s="37"/>
      <c r="AS105" s="52"/>
      <c r="AT105" s="87"/>
    </row>
    <row r="106" spans="1:46" thickBot="1">
      <c r="A106" t="str">
        <v>surub lemn 6x100</v>
      </c>
      <c r="B106" s="113"/>
      <c r="C106" s="335" t="s">
        <v>325</v>
      </c>
      <c r="D106" s="335"/>
      <c r="E106" s="336" t="s">
        <v>82</v>
      </c>
      <c r="F106" s="335"/>
      <c r="G106" s="334">
        <f t="shared" si="35"/>
        <v>7.4494845360824749E-2</v>
      </c>
      <c r="H106" s="338">
        <v>0.36130000000000001</v>
      </c>
      <c r="I106" s="107"/>
      <c r="J106" s="108"/>
      <c r="K106" s="109"/>
      <c r="L106" s="108"/>
      <c r="N106" s="61">
        <f t="shared" si="39"/>
        <v>-0.18881903906600808</v>
      </c>
      <c r="O106" s="192" t="s">
        <v>326</v>
      </c>
      <c r="P106" s="193"/>
      <c r="Q106" s="193" t="s">
        <v>82</v>
      </c>
      <c r="R106" s="193"/>
      <c r="S106" s="52">
        <f t="shared" si="34"/>
        <v>9.1835051546391766E-2</v>
      </c>
      <c r="T106" s="196">
        <v>0.44540000000000002</v>
      </c>
      <c r="U106" s="86" t="s">
        <v>326</v>
      </c>
      <c r="V106" s="201"/>
      <c r="W106" s="37" t="s">
        <v>82</v>
      </c>
      <c r="X106" s="52">
        <v>9.0712830957230151E-2</v>
      </c>
      <c r="Y106" s="88">
        <v>0.44540000000000002</v>
      </c>
      <c r="AA106" s="86"/>
      <c r="AB106" s="57"/>
      <c r="AC106" s="37"/>
      <c r="AD106" s="52"/>
      <c r="AE106" s="87"/>
      <c r="AG106" s="86"/>
      <c r="AH106" s="37"/>
      <c r="AI106" s="52"/>
      <c r="AJ106" s="87"/>
      <c r="AL106" s="86"/>
      <c r="AM106" s="37"/>
      <c r="AN106" s="52"/>
      <c r="AO106" s="87"/>
      <c r="AQ106" s="86"/>
      <c r="AR106" s="37"/>
      <c r="AS106" s="52"/>
      <c r="AT106" s="87"/>
    </row>
    <row r="107" spans="1:46" thickBot="1">
      <c r="A107" t="str">
        <v>surub lemn 6x120</v>
      </c>
      <c r="B107" s="113"/>
      <c r="C107" s="335" t="s">
        <v>326</v>
      </c>
      <c r="D107" s="335"/>
      <c r="E107" s="335" t="s">
        <v>82</v>
      </c>
      <c r="F107" s="335"/>
      <c r="G107" s="334">
        <f t="shared" si="35"/>
        <v>9.1835051546391766E-2</v>
      </c>
      <c r="H107" s="338">
        <v>0.44540000000000002</v>
      </c>
      <c r="I107" s="107"/>
      <c r="J107" s="108"/>
      <c r="K107" s="109"/>
      <c r="L107" s="108"/>
      <c r="N107" s="61">
        <f t="shared" si="39"/>
        <v>-0.29335237188640323</v>
      </c>
      <c r="O107" s="192" t="s">
        <v>327</v>
      </c>
      <c r="P107" s="193"/>
      <c r="Q107" s="193" t="s">
        <v>82</v>
      </c>
      <c r="R107" s="193"/>
      <c r="S107" s="52">
        <f t="shared" si="34"/>
        <v>0.12995876288659794</v>
      </c>
      <c r="T107" s="197">
        <v>0.63029999999999997</v>
      </c>
      <c r="U107" s="86" t="s">
        <v>327</v>
      </c>
      <c r="V107" s="201"/>
      <c r="W107" s="37" t="s">
        <v>82</v>
      </c>
      <c r="X107" s="52">
        <v>0.12837067209775965</v>
      </c>
      <c r="Y107" s="88">
        <v>0.63029999999999997</v>
      </c>
      <c r="AA107" s="86"/>
      <c r="AB107" s="57"/>
      <c r="AC107" s="37"/>
      <c r="AD107" s="52"/>
      <c r="AE107" s="87"/>
      <c r="AG107" s="86"/>
      <c r="AH107" s="37"/>
      <c r="AI107" s="52"/>
      <c r="AJ107" s="87"/>
      <c r="AL107" s="86"/>
      <c r="AM107" s="37"/>
      <c r="AN107" s="52"/>
      <c r="AO107" s="87"/>
      <c r="AQ107" s="86"/>
      <c r="AR107" s="37"/>
      <c r="AS107" s="52"/>
      <c r="AT107" s="87"/>
    </row>
    <row r="108" spans="1:46" thickBot="1">
      <c r="A108" t="str">
        <v>surub lemn 6x150</v>
      </c>
      <c r="B108" s="113"/>
      <c r="C108" s="335" t="s">
        <v>327</v>
      </c>
      <c r="D108" s="335"/>
      <c r="E108" s="335" t="s">
        <v>82</v>
      </c>
      <c r="F108" s="335"/>
      <c r="G108" s="334">
        <f t="shared" si="35"/>
        <v>0.12995876288659794</v>
      </c>
      <c r="H108" s="339">
        <v>0.63029999999999997</v>
      </c>
      <c r="I108" s="107"/>
      <c r="J108" s="108"/>
      <c r="K108" s="109"/>
      <c r="L108" s="108"/>
      <c r="N108" s="61">
        <f t="shared" si="39"/>
        <v>-0.94612820512820517</v>
      </c>
      <c r="O108" s="191" t="s">
        <v>328</v>
      </c>
      <c r="P108" s="57"/>
      <c r="Q108" s="37" t="s">
        <v>82</v>
      </c>
      <c r="R108" s="92">
        <f t="shared" ref="R108:R170" si="40">IF(Q108="","",ROUND(S108*(1+$F$2),2))</f>
        <v>2.89</v>
      </c>
      <c r="S108" s="52">
        <f t="shared" si="34"/>
        <v>2.4123711340206184</v>
      </c>
      <c r="T108" s="88">
        <v>11.7</v>
      </c>
      <c r="U108" s="86" t="s">
        <v>328</v>
      </c>
      <c r="V108" s="201"/>
      <c r="W108" s="37" t="s">
        <v>82</v>
      </c>
      <c r="X108" s="52">
        <v>2.3828920570264764</v>
      </c>
      <c r="Y108" s="88">
        <v>11.7</v>
      </c>
      <c r="AA108" s="86"/>
      <c r="AB108" s="57"/>
      <c r="AC108" s="37"/>
      <c r="AD108" s="52"/>
      <c r="AE108" s="87"/>
      <c r="AG108" s="86"/>
      <c r="AH108" s="37"/>
      <c r="AI108" s="52"/>
      <c r="AJ108" s="87"/>
      <c r="AL108" s="86"/>
      <c r="AM108" s="37"/>
      <c r="AN108" s="52"/>
      <c r="AO108" s="87"/>
      <c r="AQ108" s="86"/>
      <c r="AR108" s="37"/>
      <c r="AS108" s="52"/>
      <c r="AT108" s="87"/>
    </row>
    <row r="109" spans="1:46" thickBot="1">
      <c r="A109" t="str">
        <v>Chinga transport de 50</v>
      </c>
      <c r="B109" s="113"/>
      <c r="C109" s="324" t="s">
        <v>328</v>
      </c>
      <c r="D109" s="325"/>
      <c r="E109" s="326" t="s">
        <v>82</v>
      </c>
      <c r="F109" s="321">
        <f t="shared" si="38"/>
        <v>2.89</v>
      </c>
      <c r="G109" s="334">
        <f t="shared" si="35"/>
        <v>2.4123711340206184</v>
      </c>
      <c r="H109" s="330">
        <v>11.7</v>
      </c>
      <c r="I109" s="107"/>
      <c r="J109" s="108"/>
      <c r="K109" s="109"/>
      <c r="L109" s="108"/>
      <c r="N109" s="61">
        <f t="shared" si="39"/>
        <v>-0.12030075187969935</v>
      </c>
      <c r="O109" s="191" t="s">
        <v>329</v>
      </c>
      <c r="P109" s="57"/>
      <c r="Q109" s="193" t="s">
        <v>82</v>
      </c>
      <c r="R109" s="92">
        <f t="shared" si="40"/>
        <v>3.29</v>
      </c>
      <c r="S109" s="52">
        <f t="shared" si="34"/>
        <v>2.7422680412371139</v>
      </c>
      <c r="T109" s="88">
        <v>13.3</v>
      </c>
      <c r="U109" s="86" t="s">
        <v>329</v>
      </c>
      <c r="V109" s="201"/>
      <c r="W109" s="37" t="s">
        <v>82</v>
      </c>
      <c r="X109" s="52">
        <v>2.7087576374745419</v>
      </c>
      <c r="Y109" s="88">
        <v>13.3</v>
      </c>
      <c r="AA109" s="86"/>
      <c r="AB109" s="57"/>
      <c r="AC109" s="37"/>
      <c r="AD109" s="52"/>
      <c r="AE109" s="87"/>
      <c r="AG109" s="86"/>
      <c r="AH109" s="37"/>
      <c r="AI109" s="52"/>
      <c r="AJ109" s="87"/>
      <c r="AL109" s="86"/>
      <c r="AM109" s="37"/>
      <c r="AN109" s="52"/>
      <c r="AO109" s="87"/>
      <c r="AQ109" s="86"/>
      <c r="AR109" s="37"/>
      <c r="AS109" s="52"/>
      <c r="AT109" s="87"/>
    </row>
    <row r="110" spans="1:46" thickBot="1">
      <c r="A110" t="str">
        <v>Chinga transport de 100</v>
      </c>
      <c r="B110" s="113"/>
      <c r="C110" s="324" t="s">
        <v>329</v>
      </c>
      <c r="D110" s="325"/>
      <c r="E110" s="335" t="s">
        <v>82</v>
      </c>
      <c r="F110" s="321">
        <f t="shared" si="38"/>
        <v>3.29</v>
      </c>
      <c r="G110" s="334">
        <f t="shared" si="35"/>
        <v>2.7422680412371139</v>
      </c>
      <c r="H110" s="330">
        <v>13.3</v>
      </c>
      <c r="I110" s="107"/>
      <c r="J110" s="108"/>
      <c r="K110" s="109"/>
      <c r="L110" s="108"/>
      <c r="N110" s="61">
        <f t="shared" si="39"/>
        <v>-0.59051724137931028</v>
      </c>
      <c r="O110" s="191" t="s">
        <v>330</v>
      </c>
      <c r="P110" s="57"/>
      <c r="Q110" s="37" t="s">
        <v>78</v>
      </c>
      <c r="R110" s="92">
        <f t="shared" si="40"/>
        <v>8.0399999999999991</v>
      </c>
      <c r="S110" s="52">
        <f t="shared" si="34"/>
        <v>6.6969072164948455</v>
      </c>
      <c r="T110" s="88">
        <v>32.479999999999997</v>
      </c>
      <c r="U110" s="86" t="s">
        <v>330</v>
      </c>
      <c r="V110" s="201"/>
      <c r="W110" s="37" t="s">
        <v>78</v>
      </c>
      <c r="X110" s="52">
        <v>6.6150712830957223</v>
      </c>
      <c r="Y110" s="88">
        <v>32.479999999999997</v>
      </c>
      <c r="AA110" s="86"/>
      <c r="AB110" s="57"/>
      <c r="AC110" s="37"/>
      <c r="AD110" s="52"/>
      <c r="AE110" s="87"/>
      <c r="AG110" s="86"/>
      <c r="AH110" s="37"/>
      <c r="AI110" s="52"/>
      <c r="AJ110" s="87"/>
      <c r="AL110" s="86"/>
      <c r="AM110" s="37"/>
      <c r="AN110" s="52"/>
      <c r="AO110" s="87"/>
      <c r="AQ110" s="86"/>
      <c r="AR110" s="37"/>
      <c r="AS110" s="52"/>
      <c r="AT110" s="87"/>
    </row>
    <row r="111" spans="1:46" thickBot="1">
      <c r="A111" t="str">
        <v>Wenghe bait</v>
      </c>
      <c r="B111" s="113"/>
      <c r="C111" s="324" t="s">
        <v>330</v>
      </c>
      <c r="D111" s="325"/>
      <c r="E111" s="326" t="s">
        <v>78</v>
      </c>
      <c r="F111" s="321">
        <f t="shared" si="38"/>
        <v>8.0399999999999991</v>
      </c>
      <c r="G111" s="334">
        <f t="shared" si="35"/>
        <v>6.6969072164948455</v>
      </c>
      <c r="H111" s="330">
        <v>32.479999999999997</v>
      </c>
      <c r="I111" s="107"/>
      <c r="J111" s="108"/>
      <c r="K111" s="109"/>
      <c r="L111" s="108"/>
      <c r="N111" s="61">
        <f t="shared" si="39"/>
        <v>177.46153846153842</v>
      </c>
      <c r="O111" s="191" t="s">
        <v>331</v>
      </c>
      <c r="P111" s="57"/>
      <c r="Q111" s="37" t="s">
        <v>127</v>
      </c>
      <c r="R111" s="92">
        <f t="shared" si="40"/>
        <v>0.05</v>
      </c>
      <c r="S111" s="52">
        <f t="shared" si="34"/>
        <v>3.7525773195876293E-2</v>
      </c>
      <c r="T111" s="88">
        <v>0.182</v>
      </c>
      <c r="U111" s="86" t="s">
        <v>331</v>
      </c>
      <c r="V111" s="201"/>
      <c r="W111" s="37" t="s">
        <v>127</v>
      </c>
      <c r="X111" s="52">
        <v>3.7067209775967412E-2</v>
      </c>
      <c r="Y111" s="88">
        <v>0.182</v>
      </c>
      <c r="AA111" s="86"/>
      <c r="AB111" s="57"/>
      <c r="AC111" s="37"/>
      <c r="AD111" s="52"/>
      <c r="AE111" s="87"/>
      <c r="AG111" s="86"/>
      <c r="AH111" s="37"/>
      <c r="AI111" s="52"/>
      <c r="AJ111" s="87"/>
      <c r="AL111" s="86"/>
      <c r="AM111" s="37"/>
      <c r="AN111" s="52"/>
      <c r="AO111" s="87"/>
      <c r="AQ111" s="86"/>
      <c r="AR111" s="37"/>
      <c r="AS111" s="52"/>
      <c r="AT111" s="87"/>
    </row>
    <row r="112" spans="1:46" thickBot="1">
      <c r="A112" t="str">
        <v>Capse THD 90mm</v>
      </c>
      <c r="B112" s="113"/>
      <c r="C112" s="324" t="s">
        <v>331</v>
      </c>
      <c r="D112" s="325"/>
      <c r="E112" s="326" t="s">
        <v>127</v>
      </c>
      <c r="F112" s="321">
        <f t="shared" si="38"/>
        <v>0.05</v>
      </c>
      <c r="G112" s="334">
        <f t="shared" si="35"/>
        <v>3.7525773195876293E-2</v>
      </c>
      <c r="H112" s="330">
        <v>0.182</v>
      </c>
      <c r="I112" s="107"/>
      <c r="J112" s="108"/>
      <c r="K112" s="109"/>
      <c r="L112" s="108"/>
      <c r="N112" s="61">
        <f t="shared" si="39"/>
        <v>-0.64313725490196083</v>
      </c>
      <c r="O112" s="192" t="s">
        <v>332</v>
      </c>
      <c r="P112" s="57"/>
      <c r="Q112" s="37" t="s">
        <v>127</v>
      </c>
      <c r="R112" s="92">
        <f t="shared" si="40"/>
        <v>0.13</v>
      </c>
      <c r="S112" s="52">
        <f t="shared" si="34"/>
        <v>0.10515463917525775</v>
      </c>
      <c r="T112" s="88">
        <v>0.51</v>
      </c>
      <c r="U112" s="86" t="s">
        <v>332</v>
      </c>
      <c r="V112" s="201"/>
      <c r="W112" s="37" t="s">
        <v>127</v>
      </c>
      <c r="X112" s="52">
        <v>0.10386965376782077</v>
      </c>
      <c r="Y112" s="88">
        <v>0.51</v>
      </c>
      <c r="AA112" s="86"/>
      <c r="AB112" s="57"/>
      <c r="AC112" s="37"/>
      <c r="AD112" s="52"/>
      <c r="AE112" s="87"/>
      <c r="AG112" s="86"/>
      <c r="AH112" s="37"/>
      <c r="AI112" s="52"/>
      <c r="AJ112" s="87"/>
      <c r="AL112" s="86"/>
      <c r="AM112" s="37"/>
      <c r="AN112" s="52"/>
      <c r="AO112" s="87"/>
      <c r="AQ112" s="86"/>
      <c r="AR112" s="37"/>
      <c r="AS112" s="52"/>
      <c r="AT112" s="87"/>
    </row>
    <row r="113" spans="1:46" thickBot="1">
      <c r="A113" t="str">
        <v>surub lemn 6x160</v>
      </c>
      <c r="B113" s="113"/>
      <c r="C113" s="335" t="s">
        <v>332</v>
      </c>
      <c r="D113" s="325"/>
      <c r="E113" s="326" t="s">
        <v>127</v>
      </c>
      <c r="F113" s="321">
        <f t="shared" si="38"/>
        <v>0.13</v>
      </c>
      <c r="G113" s="334">
        <f t="shared" si="35"/>
        <v>0.10515463917525775</v>
      </c>
      <c r="H113" s="330">
        <v>0.51</v>
      </c>
      <c r="I113" s="107"/>
      <c r="J113" s="108"/>
      <c r="K113" s="109"/>
      <c r="L113" s="108"/>
      <c r="N113" s="61">
        <f t="shared" si="39"/>
        <v>3.8850574712643677</v>
      </c>
      <c r="O113" s="192" t="s">
        <v>333</v>
      </c>
      <c r="P113" s="193"/>
      <c r="Q113" s="193" t="s">
        <v>127</v>
      </c>
      <c r="R113" s="193">
        <f t="shared" si="40"/>
        <v>0.03</v>
      </c>
      <c r="S113" s="52">
        <f t="shared" si="34"/>
        <v>2.1525773195876292E-2</v>
      </c>
      <c r="T113" s="88">
        <v>0.10440000000000001</v>
      </c>
      <c r="U113" s="86" t="s">
        <v>333</v>
      </c>
      <c r="V113" s="201"/>
      <c r="W113" s="37" t="s">
        <v>127</v>
      </c>
      <c r="X113" s="52">
        <v>2.1262729124236254E-2</v>
      </c>
      <c r="Y113" s="88">
        <v>0.10440000000000001</v>
      </c>
      <c r="AA113" s="86"/>
      <c r="AB113" s="57"/>
      <c r="AC113" s="37"/>
      <c r="AD113" s="52"/>
      <c r="AE113" s="87"/>
      <c r="AG113" s="86"/>
      <c r="AH113" s="37"/>
      <c r="AI113" s="52"/>
      <c r="AJ113" s="87"/>
      <c r="AL113" s="86"/>
      <c r="AM113" s="37"/>
      <c r="AN113" s="52"/>
      <c r="AO113" s="87"/>
      <c r="AQ113" s="86"/>
      <c r="AR113" s="37"/>
      <c r="AS113" s="52"/>
      <c r="AT113" s="87"/>
    </row>
    <row r="114" spans="1:46" thickBot="1">
      <c r="A114" t="str">
        <v>surub pt. Lemn 4,5x80</v>
      </c>
      <c r="B114" s="113"/>
      <c r="C114" s="335" t="s">
        <v>333</v>
      </c>
      <c r="D114" s="335"/>
      <c r="E114" s="335" t="s">
        <v>127</v>
      </c>
      <c r="F114" s="335">
        <f t="shared" si="38"/>
        <v>0.06</v>
      </c>
      <c r="G114" s="334">
        <f t="shared" si="35"/>
        <v>5.1546391752577324E-2</v>
      </c>
      <c r="H114" s="330">
        <v>0.25</v>
      </c>
      <c r="I114" s="107"/>
      <c r="J114" s="108"/>
      <c r="K114" s="109"/>
      <c r="L114" s="108"/>
      <c r="N114" s="61">
        <f t="shared" si="39"/>
        <v>0.55279503105590055</v>
      </c>
      <c r="O114" s="192" t="s">
        <v>334</v>
      </c>
      <c r="P114" s="57"/>
      <c r="Q114" s="37" t="s">
        <v>127</v>
      </c>
      <c r="R114" s="92">
        <f t="shared" si="40"/>
        <v>0.04</v>
      </c>
      <c r="S114" s="52">
        <f t="shared" si="34"/>
        <v>3.3195876288659797E-2</v>
      </c>
      <c r="T114" s="88">
        <v>0.161</v>
      </c>
      <c r="U114" s="86" t="s">
        <v>334</v>
      </c>
      <c r="V114" s="201"/>
      <c r="W114" s="37" t="s">
        <v>127</v>
      </c>
      <c r="X114" s="52">
        <v>3.2790224032586558E-2</v>
      </c>
      <c r="Y114" s="88">
        <v>0.161</v>
      </c>
      <c r="AA114" s="86"/>
      <c r="AB114" s="57"/>
      <c r="AC114" s="37"/>
      <c r="AD114" s="52"/>
      <c r="AE114" s="87"/>
      <c r="AG114" s="86"/>
      <c r="AH114" s="37"/>
      <c r="AI114" s="52"/>
      <c r="AJ114" s="87"/>
      <c r="AL114" s="86"/>
      <c r="AM114" s="37"/>
      <c r="AN114" s="52"/>
      <c r="AO114" s="87"/>
      <c r="AQ114" s="86"/>
      <c r="AR114" s="37"/>
      <c r="AS114" s="52"/>
      <c r="AT114" s="87"/>
    </row>
    <row r="115" spans="1:46" thickBot="1">
      <c r="A115" t="str">
        <v>surub pt. Lemn 6x160</v>
      </c>
      <c r="B115" s="113"/>
      <c r="C115" s="335" t="s">
        <v>334</v>
      </c>
      <c r="D115" s="325"/>
      <c r="E115" s="326" t="s">
        <v>127</v>
      </c>
      <c r="F115" s="321">
        <f t="shared" si="38"/>
        <v>0.04</v>
      </c>
      <c r="G115" s="334">
        <f t="shared" si="35"/>
        <v>3.3195876288659797E-2</v>
      </c>
      <c r="H115" s="330">
        <v>0.161</v>
      </c>
      <c r="I115" s="107"/>
      <c r="J115" s="108"/>
      <c r="K115" s="109"/>
      <c r="L115" s="108"/>
      <c r="N115" s="61">
        <f t="shared" si="39"/>
        <v>-0.97653061224489801</v>
      </c>
      <c r="O115" s="198" t="s">
        <v>335</v>
      </c>
      <c r="P115" s="57"/>
      <c r="Q115" s="37" t="s">
        <v>21</v>
      </c>
      <c r="R115" s="92">
        <f t="shared" si="40"/>
        <v>1.7</v>
      </c>
      <c r="S115" s="52">
        <f t="shared" si="34"/>
        <v>1.4144329896907217</v>
      </c>
      <c r="T115" s="87">
        <v>6.86</v>
      </c>
      <c r="U115" s="86" t="s">
        <v>335</v>
      </c>
      <c r="V115" s="201"/>
      <c r="W115" s="37" t="s">
        <v>21</v>
      </c>
      <c r="X115" s="52">
        <v>1.3971486761710794</v>
      </c>
      <c r="Y115" s="88">
        <v>6.86</v>
      </c>
      <c r="AA115" s="86"/>
      <c r="AB115" s="57"/>
      <c r="AC115" s="37"/>
      <c r="AD115" s="52"/>
      <c r="AE115" s="87"/>
      <c r="AG115" s="86"/>
      <c r="AH115" s="37"/>
      <c r="AI115" s="52"/>
      <c r="AJ115" s="87"/>
      <c r="AL115" s="86"/>
      <c r="AM115" s="37"/>
      <c r="AN115" s="52"/>
      <c r="AO115" s="87"/>
      <c r="AQ115" s="86"/>
      <c r="AR115" s="37"/>
      <c r="AS115" s="52"/>
      <c r="AT115" s="87"/>
    </row>
    <row r="116" spans="1:46" thickBot="1">
      <c r="A116" t="str">
        <v>Rigips 12,5</v>
      </c>
      <c r="B116" s="113"/>
      <c r="C116" s="324" t="s">
        <v>335</v>
      </c>
      <c r="D116" s="325"/>
      <c r="E116" s="326" t="s">
        <v>21</v>
      </c>
      <c r="F116" s="321">
        <f t="shared" si="38"/>
        <v>1.7</v>
      </c>
      <c r="G116" s="334">
        <f t="shared" si="35"/>
        <v>1.4144329896907217</v>
      </c>
      <c r="H116" s="331">
        <v>6.86</v>
      </c>
      <c r="I116" s="107"/>
      <c r="J116" s="108"/>
      <c r="K116" s="109"/>
      <c r="L116" s="108"/>
      <c r="N116" s="61">
        <f t="shared" si="39"/>
        <v>-0.38030713640469738</v>
      </c>
      <c r="O116" s="198" t="s">
        <v>336</v>
      </c>
      <c r="P116" s="57"/>
      <c r="Q116" s="37" t="s">
        <v>21</v>
      </c>
      <c r="R116" s="92">
        <f t="shared" si="40"/>
        <v>2.74</v>
      </c>
      <c r="S116" s="52">
        <f t="shared" si="34"/>
        <v>2.282474226804124</v>
      </c>
      <c r="T116" s="87">
        <v>11.07</v>
      </c>
      <c r="U116" s="86" t="s">
        <v>336</v>
      </c>
      <c r="V116" s="201"/>
      <c r="W116" s="37" t="s">
        <v>21</v>
      </c>
      <c r="X116" s="52">
        <v>2.2545824847250509</v>
      </c>
      <c r="Y116" s="88">
        <v>11.07</v>
      </c>
      <c r="AA116" s="86"/>
      <c r="AB116" s="57"/>
      <c r="AC116" s="37"/>
      <c r="AD116" s="52"/>
      <c r="AE116" s="87"/>
      <c r="AG116" s="86"/>
      <c r="AH116" s="37"/>
      <c r="AI116" s="52"/>
      <c r="AJ116" s="87"/>
      <c r="AL116" s="86"/>
      <c r="AM116" s="37"/>
      <c r="AN116" s="52"/>
      <c r="AO116" s="87"/>
      <c r="AQ116" s="86"/>
      <c r="AR116" s="37"/>
      <c r="AS116" s="52"/>
      <c r="AT116" s="87"/>
    </row>
    <row r="117" spans="1:46" thickBot="1">
      <c r="A117" t="str">
        <v>Rigips Diamant de 15</v>
      </c>
      <c r="B117" s="113"/>
      <c r="C117" s="324" t="s">
        <v>336</v>
      </c>
      <c r="D117" s="325"/>
      <c r="E117" s="326" t="s">
        <v>21</v>
      </c>
      <c r="F117" s="321">
        <f t="shared" si="38"/>
        <v>12.37</v>
      </c>
      <c r="G117" s="334">
        <f t="shared" si="35"/>
        <v>10.309278350515465</v>
      </c>
      <c r="H117" s="331">
        <v>50</v>
      </c>
      <c r="I117" s="107"/>
      <c r="J117" s="108"/>
      <c r="K117" s="109"/>
      <c r="L117" s="108"/>
      <c r="N117" s="61">
        <f t="shared" si="39"/>
        <v>3.8875855327468227</v>
      </c>
      <c r="O117" s="198" t="s">
        <v>337</v>
      </c>
      <c r="P117" s="57"/>
      <c r="Q117" s="37" t="s">
        <v>21</v>
      </c>
      <c r="R117" s="92">
        <f t="shared" si="40"/>
        <v>2.5299999999999998</v>
      </c>
      <c r="S117" s="52">
        <f t="shared" si="34"/>
        <v>2.109278350515464</v>
      </c>
      <c r="T117" s="87">
        <v>10.23</v>
      </c>
      <c r="U117" s="86" t="s">
        <v>337</v>
      </c>
      <c r="V117" s="201"/>
      <c r="W117" s="37" t="s">
        <v>21</v>
      </c>
      <c r="X117" s="52">
        <v>2.0835030549898166</v>
      </c>
      <c r="Y117" s="88">
        <v>10.23</v>
      </c>
      <c r="AA117" s="86"/>
      <c r="AB117" s="57"/>
      <c r="AC117" s="37"/>
      <c r="AD117" s="52"/>
      <c r="AE117" s="87"/>
      <c r="AG117" s="86"/>
      <c r="AH117" s="37"/>
      <c r="AI117" s="52"/>
      <c r="AJ117" s="87"/>
      <c r="AL117" s="86"/>
      <c r="AM117" s="37"/>
      <c r="AN117" s="52"/>
      <c r="AO117" s="87"/>
      <c r="AQ117" s="86"/>
      <c r="AR117" s="37"/>
      <c r="AS117" s="52"/>
      <c r="AT117" s="87"/>
    </row>
    <row r="118" spans="1:46" thickBot="1">
      <c r="A118" t="str">
        <v>Rigips verde de 12,5</v>
      </c>
      <c r="B118" s="113"/>
      <c r="C118" s="324" t="s">
        <v>337</v>
      </c>
      <c r="D118" s="325"/>
      <c r="E118" s="326" t="s">
        <v>21</v>
      </c>
      <c r="F118" s="321">
        <f t="shared" si="38"/>
        <v>2.5299999999999998</v>
      </c>
      <c r="G118" s="334">
        <f t="shared" si="35"/>
        <v>2.109278350515464</v>
      </c>
      <c r="H118" s="331">
        <v>10.23</v>
      </c>
      <c r="I118" s="107"/>
      <c r="J118" s="108"/>
      <c r="K118" s="109"/>
      <c r="L118" s="108"/>
      <c r="N118" s="61">
        <f t="shared" si="39"/>
        <v>-0.88308571428571425</v>
      </c>
      <c r="O118" s="212" t="s">
        <v>344</v>
      </c>
      <c r="P118" s="213"/>
      <c r="Q118" s="214" t="s">
        <v>21</v>
      </c>
      <c r="R118" s="215">
        <f t="shared" si="40"/>
        <v>21.65</v>
      </c>
      <c r="S118" s="183">
        <f t="shared" si="34"/>
        <v>18.041237113402062</v>
      </c>
      <c r="T118" s="216">
        <f>31.5/(0.12*3)</f>
        <v>87.5</v>
      </c>
      <c r="U118" s="86"/>
      <c r="V118" s="201"/>
      <c r="W118" s="37"/>
      <c r="X118" s="52"/>
      <c r="Y118" s="88"/>
      <c r="AA118" s="86"/>
      <c r="AB118" s="57"/>
      <c r="AC118" s="37"/>
      <c r="AD118" s="52"/>
      <c r="AE118" s="87"/>
      <c r="AG118" s="86"/>
      <c r="AH118" s="37"/>
      <c r="AI118" s="52"/>
      <c r="AJ118" s="87"/>
      <c r="AL118" s="86"/>
      <c r="AM118" s="37"/>
      <c r="AN118" s="52"/>
      <c r="AO118" s="87"/>
      <c r="AQ118" s="86"/>
      <c r="AR118" s="37"/>
      <c r="AS118" s="52"/>
      <c r="AT118" s="87"/>
    </row>
    <row r="119" spans="1:46" thickBot="1">
      <c r="A119" t="str">
        <v>Rigle rindeluite din lemn, 24 x 120 mm</v>
      </c>
      <c r="B119" s="113"/>
      <c r="C119" s="324" t="s">
        <v>344</v>
      </c>
      <c r="D119" s="325"/>
      <c r="E119" s="326" t="s">
        <v>21</v>
      </c>
      <c r="F119" s="321">
        <f t="shared" si="38"/>
        <v>21.65</v>
      </c>
      <c r="G119" s="322">
        <f t="shared" si="35"/>
        <v>18.041237113402062</v>
      </c>
      <c r="H119" s="331">
        <f>31.5/(0.12*3)</f>
        <v>87.5</v>
      </c>
      <c r="I119" s="107"/>
      <c r="J119" s="108"/>
      <c r="K119" s="109"/>
      <c r="L119" s="108"/>
      <c r="N119" s="61">
        <f t="shared" si="39"/>
        <v>-2.7777777777777776E-2</v>
      </c>
      <c r="O119" s="212" t="s">
        <v>345</v>
      </c>
      <c r="P119" s="213"/>
      <c r="Q119" s="214" t="s">
        <v>21</v>
      </c>
      <c r="R119" s="92">
        <f t="shared" si="40"/>
        <v>22.27</v>
      </c>
      <c r="S119" s="183">
        <f t="shared" si="34"/>
        <v>18.556701030927837</v>
      </c>
      <c r="T119" s="216">
        <f>72/(0.4*2)</f>
        <v>90</v>
      </c>
      <c r="U119" s="86"/>
      <c r="V119" s="201"/>
      <c r="W119" s="37"/>
      <c r="X119" s="52"/>
      <c r="Y119" s="88"/>
      <c r="AA119" s="86"/>
      <c r="AB119" s="57"/>
      <c r="AC119" s="37"/>
      <c r="AD119" s="52"/>
      <c r="AE119" s="87"/>
      <c r="AG119" s="86"/>
      <c r="AH119" s="37"/>
      <c r="AI119" s="52"/>
      <c r="AJ119" s="87"/>
      <c r="AL119" s="86"/>
      <c r="AM119" s="37"/>
      <c r="AN119" s="52"/>
      <c r="AO119" s="87"/>
      <c r="AQ119" s="86"/>
      <c r="AR119" s="37"/>
      <c r="AS119" s="52"/>
      <c r="AT119" s="87"/>
    </row>
    <row r="120" spans="1:46" thickBot="1">
      <c r="A120" t="str">
        <v>Lame de plancher massif</v>
      </c>
      <c r="B120" s="113"/>
      <c r="C120" s="324" t="s">
        <v>345</v>
      </c>
      <c r="D120" s="325"/>
      <c r="E120" s="326" t="s">
        <v>21</v>
      </c>
      <c r="F120" s="321">
        <f t="shared" si="38"/>
        <v>22.27</v>
      </c>
      <c r="G120" s="322">
        <f t="shared" si="35"/>
        <v>18.556701030927837</v>
      </c>
      <c r="H120" s="331">
        <f>72/(0.4*2)</f>
        <v>90</v>
      </c>
      <c r="I120" s="107"/>
      <c r="J120" s="108"/>
      <c r="K120" s="109"/>
      <c r="L120" s="108"/>
      <c r="O120" s="86"/>
      <c r="P120" s="57"/>
      <c r="Q120" s="37"/>
      <c r="R120" s="92" t="str">
        <f t="shared" si="40"/>
        <v/>
      </c>
      <c r="S120" s="52"/>
      <c r="T120" s="87"/>
      <c r="U120" s="86"/>
      <c r="V120" s="201"/>
      <c r="W120" s="37"/>
      <c r="X120" s="52"/>
      <c r="Y120" s="87"/>
      <c r="AA120" s="86"/>
      <c r="AB120" s="57"/>
      <c r="AC120" s="37"/>
      <c r="AD120" s="52"/>
      <c r="AE120" s="87"/>
      <c r="AG120" s="86"/>
      <c r="AH120" s="37"/>
      <c r="AI120" s="52"/>
      <c r="AJ120" s="87"/>
      <c r="AL120" s="86"/>
      <c r="AM120" s="37"/>
      <c r="AN120" s="52"/>
      <c r="AO120" s="87"/>
      <c r="AQ120" s="86"/>
      <c r="AR120" s="37"/>
      <c r="AS120" s="52"/>
      <c r="AT120" s="87"/>
    </row>
    <row r="121" spans="1:46" thickBot="1">
      <c r="A121" t="str">
        <v>ITE 4cm EPS80</v>
      </c>
      <c r="B121" s="113"/>
      <c r="C121" s="324" t="s">
        <v>378</v>
      </c>
      <c r="D121" s="325"/>
      <c r="E121" s="326" t="s">
        <v>21</v>
      </c>
      <c r="F121" s="321">
        <f t="shared" si="25"/>
        <v>3.34</v>
      </c>
      <c r="G121" s="322">
        <f t="shared" si="35"/>
        <v>2.7814432989690725</v>
      </c>
      <c r="H121" s="331">
        <v>13.49</v>
      </c>
      <c r="I121" s="107"/>
      <c r="J121" s="108"/>
      <c r="K121" s="109"/>
      <c r="L121" s="108"/>
      <c r="O121" s="86"/>
      <c r="P121" s="57"/>
      <c r="Q121" s="37"/>
      <c r="R121" s="92" t="str">
        <f t="shared" si="40"/>
        <v/>
      </c>
      <c r="S121" s="52"/>
      <c r="T121" s="87"/>
      <c r="U121" s="86"/>
      <c r="V121" s="201"/>
      <c r="W121" s="37"/>
      <c r="X121" s="52"/>
      <c r="Y121" s="87"/>
      <c r="AA121" s="86"/>
      <c r="AB121" s="57"/>
      <c r="AC121" s="37"/>
      <c r="AD121" s="52"/>
      <c r="AE121" s="87"/>
      <c r="AG121" s="86"/>
      <c r="AH121" s="37"/>
      <c r="AI121" s="52"/>
      <c r="AJ121" s="87"/>
      <c r="AL121" s="86"/>
      <c r="AM121" s="37"/>
      <c r="AN121" s="52"/>
      <c r="AO121" s="87"/>
      <c r="AQ121" s="86"/>
      <c r="AR121" s="37"/>
      <c r="AS121" s="52"/>
      <c r="AT121" s="87"/>
    </row>
    <row r="122" spans="1:46" thickBot="1">
      <c r="A122" t="str">
        <v>BAUMIT SUPRAFIX</v>
      </c>
      <c r="B122" s="113"/>
      <c r="C122" s="324" t="s">
        <v>379</v>
      </c>
      <c r="D122" s="325"/>
      <c r="E122" s="326" t="s">
        <v>21</v>
      </c>
      <c r="F122" s="321">
        <f t="shared" si="25"/>
        <v>4.7300000000000004</v>
      </c>
      <c r="G122" s="334">
        <f t="shared" si="35"/>
        <v>3.9443298969072167</v>
      </c>
      <c r="H122" s="331">
        <v>19.13</v>
      </c>
      <c r="I122" s="107"/>
      <c r="J122" s="108"/>
      <c r="K122" s="109"/>
      <c r="L122" s="108"/>
      <c r="O122" s="86"/>
      <c r="P122" s="57"/>
      <c r="Q122" s="37"/>
      <c r="R122" s="92" t="str">
        <f t="shared" si="40"/>
        <v/>
      </c>
      <c r="S122" s="52"/>
      <c r="T122" s="87"/>
      <c r="U122" s="86"/>
      <c r="V122" s="201"/>
      <c r="W122" s="37"/>
      <c r="X122" s="52"/>
      <c r="Y122" s="87"/>
      <c r="AA122" s="86"/>
      <c r="AB122" s="57"/>
      <c r="AC122" s="37"/>
      <c r="AD122" s="52"/>
      <c r="AE122" s="87"/>
      <c r="AG122" s="86"/>
      <c r="AH122" s="37"/>
      <c r="AI122" s="52"/>
      <c r="AJ122" s="87"/>
      <c r="AL122" s="86"/>
      <c r="AM122" s="37"/>
      <c r="AN122" s="52"/>
      <c r="AO122" s="87"/>
      <c r="AQ122" s="86"/>
      <c r="AR122" s="37"/>
      <c r="AS122" s="52"/>
      <c r="AT122" s="87"/>
    </row>
    <row r="123" spans="1:46" thickBot="1">
      <c r="A123" t="str">
        <v>Rozeta 55 mm diam</v>
      </c>
      <c r="B123" s="113"/>
      <c r="C123" s="340" t="s">
        <v>395</v>
      </c>
      <c r="D123" s="325"/>
      <c r="E123" s="326" t="s">
        <v>82</v>
      </c>
      <c r="F123" s="326">
        <f t="shared" si="25"/>
        <v>0.14000000000000001</v>
      </c>
      <c r="G123" s="334">
        <f t="shared" si="35"/>
        <v>0.11546391752577322</v>
      </c>
      <c r="H123" s="341">
        <v>0.56000000000000005</v>
      </c>
      <c r="I123" s="107"/>
      <c r="J123" s="108"/>
      <c r="K123" s="109"/>
      <c r="L123" s="108"/>
      <c r="O123" s="86"/>
      <c r="P123" s="57"/>
      <c r="Q123" s="37"/>
      <c r="R123" s="92" t="str">
        <f t="shared" si="40"/>
        <v/>
      </c>
      <c r="S123" s="52"/>
      <c r="T123" s="87"/>
      <c r="U123" s="86"/>
      <c r="V123" s="201"/>
      <c r="W123" s="37"/>
      <c r="X123" s="52"/>
      <c r="Y123" s="87"/>
      <c r="AA123" s="86"/>
      <c r="AB123" s="57"/>
      <c r="AC123" s="37"/>
      <c r="AD123" s="52"/>
      <c r="AE123" s="87"/>
      <c r="AG123" s="86"/>
      <c r="AH123" s="37"/>
      <c r="AI123" s="52"/>
      <c r="AJ123" s="87"/>
      <c r="AL123" s="86"/>
      <c r="AM123" s="37"/>
      <c r="AN123" s="52"/>
      <c r="AO123" s="87"/>
      <c r="AQ123" s="86"/>
      <c r="AR123" s="37"/>
      <c r="AS123" s="52"/>
      <c r="AT123" s="87"/>
    </row>
    <row r="124" spans="1:46" thickBot="1">
      <c r="A124" t="str">
        <v>BAR9030</v>
      </c>
      <c r="B124" s="113"/>
      <c r="C124" s="340" t="s">
        <v>396</v>
      </c>
      <c r="D124" s="325"/>
      <c r="E124" s="326" t="s">
        <v>21</v>
      </c>
      <c r="F124" s="326">
        <f t="shared" si="25"/>
        <v>0.85</v>
      </c>
      <c r="G124" s="334">
        <f t="shared" si="35"/>
        <v>0.70927835051546395</v>
      </c>
      <c r="H124" s="341">
        <v>3.44</v>
      </c>
      <c r="I124" s="107"/>
      <c r="J124" s="108"/>
      <c r="K124" s="109"/>
      <c r="L124" s="108"/>
      <c r="O124" s="86"/>
      <c r="P124" s="57"/>
      <c r="Q124" s="37"/>
      <c r="R124" s="92" t="str">
        <f t="shared" si="40"/>
        <v/>
      </c>
      <c r="S124" s="52"/>
      <c r="T124" s="87"/>
      <c r="U124" s="86"/>
      <c r="V124" s="201"/>
      <c r="W124" s="37"/>
      <c r="X124" s="52"/>
      <c r="Y124" s="87"/>
      <c r="AA124" s="86"/>
      <c r="AB124" s="57"/>
      <c r="AC124" s="37"/>
      <c r="AD124" s="52"/>
      <c r="AE124" s="87"/>
      <c r="AG124" s="86"/>
      <c r="AH124" s="37"/>
      <c r="AI124" s="52"/>
      <c r="AJ124" s="87"/>
      <c r="AL124" s="86"/>
      <c r="AM124" s="37"/>
      <c r="AN124" s="52"/>
      <c r="AO124" s="87"/>
      <c r="AQ124" s="86"/>
      <c r="AR124" s="37"/>
      <c r="AS124" s="52"/>
      <c r="AT124" s="87"/>
    </row>
    <row r="125" spans="1:46" thickBot="1">
      <c r="A125" t="str">
        <v>Bardage 19x140 UYLS</v>
      </c>
      <c r="B125" s="113"/>
      <c r="C125" s="340" t="s">
        <v>397</v>
      </c>
      <c r="D125" s="325"/>
      <c r="E125" s="326" t="s">
        <v>23</v>
      </c>
      <c r="F125" s="326">
        <f t="shared" si="25"/>
        <v>6.26</v>
      </c>
      <c r="G125" s="326">
        <v>5.22</v>
      </c>
      <c r="H125" s="341">
        <v>0</v>
      </c>
      <c r="I125" s="107"/>
      <c r="J125" s="108"/>
      <c r="K125" s="109"/>
      <c r="L125" s="108"/>
      <c r="O125" s="86"/>
      <c r="P125" s="57"/>
      <c r="Q125" s="37"/>
      <c r="R125" s="92" t="str">
        <f t="shared" si="40"/>
        <v/>
      </c>
      <c r="S125" s="52"/>
      <c r="T125" s="87"/>
      <c r="U125" s="86"/>
      <c r="V125" s="201"/>
      <c r="W125" s="37"/>
      <c r="X125" s="52"/>
      <c r="Y125" s="87"/>
      <c r="AA125" s="86"/>
      <c r="AB125" s="57"/>
      <c r="AC125" s="37"/>
      <c r="AD125" s="52"/>
      <c r="AE125" s="87"/>
      <c r="AG125" s="86"/>
      <c r="AH125" s="37"/>
      <c r="AI125" s="52"/>
      <c r="AJ125" s="87"/>
      <c r="AL125" s="86"/>
      <c r="AM125" s="37"/>
      <c r="AN125" s="52"/>
      <c r="AO125" s="87"/>
      <c r="AQ125" s="86"/>
      <c r="AR125" s="37"/>
      <c r="AS125" s="52"/>
      <c r="AT125" s="87"/>
    </row>
    <row r="126" spans="1:46" thickBot="1">
      <c r="A126" t="str">
        <v>Bardage 19x117 UTV</v>
      </c>
      <c r="B126" s="113"/>
      <c r="C126" s="340" t="s">
        <v>398</v>
      </c>
      <c r="D126" s="325"/>
      <c r="E126" s="326" t="s">
        <v>23</v>
      </c>
      <c r="F126" s="326">
        <f t="shared" si="25"/>
        <v>4.93</v>
      </c>
      <c r="G126" s="326">
        <v>4.1100000000000003</v>
      </c>
      <c r="H126" s="341">
        <v>0</v>
      </c>
      <c r="I126" s="107"/>
      <c r="J126" s="108"/>
      <c r="K126" s="109"/>
      <c r="L126" s="108"/>
      <c r="O126" s="86"/>
      <c r="P126" s="57"/>
      <c r="Q126" s="37"/>
      <c r="R126" s="92" t="str">
        <f t="shared" si="40"/>
        <v/>
      </c>
      <c r="S126" s="52"/>
      <c r="T126" s="87"/>
      <c r="U126" s="86"/>
      <c r="V126" s="201"/>
      <c r="W126" s="37"/>
      <c r="X126" s="52"/>
      <c r="Y126" s="87"/>
      <c r="AA126" s="86"/>
      <c r="AB126" s="57"/>
      <c r="AC126" s="37"/>
      <c r="AD126" s="52"/>
      <c r="AE126" s="87"/>
      <c r="AG126" s="86"/>
      <c r="AH126" s="37"/>
      <c r="AI126" s="52"/>
      <c r="AJ126" s="87"/>
      <c r="AL126" s="86"/>
      <c r="AM126" s="37"/>
      <c r="AN126" s="52"/>
      <c r="AO126" s="87"/>
      <c r="AQ126" s="86"/>
      <c r="AR126" s="37"/>
      <c r="AS126" s="52"/>
      <c r="AT126" s="87"/>
    </row>
    <row r="127" spans="1:46" thickBot="1">
      <c r="A127" t="str">
        <v xml:space="preserve">PVC - protection </v>
      </c>
      <c r="B127" s="113"/>
      <c r="C127" s="342" t="s">
        <v>399</v>
      </c>
      <c r="D127" s="325"/>
      <c r="E127" s="326" t="s">
        <v>21</v>
      </c>
      <c r="F127" s="326">
        <f t="shared" si="25"/>
        <v>0.49</v>
      </c>
      <c r="G127" s="334">
        <f t="shared" si="35"/>
        <v>0.41237113402061859</v>
      </c>
      <c r="H127" s="341">
        <v>2</v>
      </c>
      <c r="I127" s="107"/>
      <c r="J127" s="108"/>
      <c r="K127" s="109"/>
      <c r="L127" s="108"/>
      <c r="O127" s="86"/>
      <c r="P127" s="57"/>
      <c r="Q127" s="37"/>
      <c r="R127" s="92" t="str">
        <f t="shared" si="40"/>
        <v/>
      </c>
      <c r="S127" s="52"/>
      <c r="T127" s="87"/>
      <c r="U127" s="86"/>
      <c r="V127" s="201"/>
      <c r="W127" s="37"/>
      <c r="X127" s="52"/>
      <c r="Y127" s="87"/>
      <c r="AA127" s="86"/>
      <c r="AB127" s="57"/>
      <c r="AC127" s="37"/>
      <c r="AD127" s="52"/>
      <c r="AE127" s="87"/>
      <c r="AG127" s="86"/>
      <c r="AH127" s="37"/>
      <c r="AI127" s="52"/>
      <c r="AJ127" s="87"/>
      <c r="AL127" s="86"/>
      <c r="AM127" s="37"/>
      <c r="AN127" s="52"/>
      <c r="AO127" s="87"/>
      <c r="AQ127" s="86"/>
      <c r="AR127" s="37"/>
      <c r="AS127" s="52"/>
      <c r="AT127" s="87"/>
    </row>
    <row r="128" spans="1:46" thickBot="1">
      <c r="A128" t="str">
        <v>Barrier SD 90 (3x30m)</v>
      </c>
      <c r="B128" s="113"/>
      <c r="C128" s="324" t="s">
        <v>400</v>
      </c>
      <c r="D128" s="325"/>
      <c r="E128" s="326" t="s">
        <v>21</v>
      </c>
      <c r="F128" s="321">
        <f t="shared" si="25"/>
        <v>0.85</v>
      </c>
      <c r="G128" s="334">
        <f t="shared" si="35"/>
        <v>0.71065292096219934</v>
      </c>
      <c r="H128" s="331">
        <f>310.2/(3*30)</f>
        <v>3.4466666666666663</v>
      </c>
      <c r="I128" s="107"/>
      <c r="J128" s="108"/>
      <c r="K128" s="109"/>
      <c r="L128" s="108"/>
      <c r="O128" s="86"/>
      <c r="P128" s="57"/>
      <c r="Q128" s="37"/>
      <c r="R128" s="92" t="str">
        <f t="shared" si="40"/>
        <v/>
      </c>
      <c r="S128" s="52"/>
      <c r="T128" s="87"/>
      <c r="U128" s="86"/>
      <c r="V128" s="201"/>
      <c r="W128" s="37"/>
      <c r="X128" s="52"/>
      <c r="Y128" s="87"/>
      <c r="AA128" s="86"/>
      <c r="AB128" s="57"/>
      <c r="AC128" s="37"/>
      <c r="AD128" s="52"/>
      <c r="AE128" s="87"/>
      <c r="AG128" s="86"/>
      <c r="AH128" s="37"/>
      <c r="AI128" s="52"/>
      <c r="AJ128" s="87"/>
      <c r="AL128" s="86"/>
      <c r="AM128" s="37"/>
      <c r="AN128" s="52"/>
      <c r="AO128" s="87"/>
      <c r="AQ128" s="86"/>
      <c r="AR128" s="37"/>
      <c r="AS128" s="52"/>
      <c r="AT128" s="87"/>
    </row>
    <row r="129" spans="1:46" thickBot="1">
      <c r="A129" t="str">
        <v>Transpir 150 (3x50m)</v>
      </c>
      <c r="B129" s="113"/>
      <c r="C129" s="324" t="s">
        <v>401</v>
      </c>
      <c r="D129" s="325"/>
      <c r="E129" s="326" t="s">
        <v>21</v>
      </c>
      <c r="F129" s="321">
        <f t="shared" si="25"/>
        <v>1.53</v>
      </c>
      <c r="G129" s="334">
        <f t="shared" si="35"/>
        <v>1.274639175257732</v>
      </c>
      <c r="H129" s="331">
        <f>927.3/(3*50)</f>
        <v>6.1819999999999995</v>
      </c>
      <c r="I129" s="107"/>
      <c r="J129" s="108"/>
      <c r="K129" s="109"/>
      <c r="L129" s="108"/>
      <c r="O129" s="86"/>
      <c r="P129" s="57"/>
      <c r="Q129" s="37"/>
      <c r="R129" s="92" t="str">
        <f t="shared" si="40"/>
        <v/>
      </c>
      <c r="S129" s="52"/>
      <c r="T129" s="87"/>
      <c r="U129" s="86"/>
      <c r="V129" s="201"/>
      <c r="W129" s="37"/>
      <c r="X129" s="52"/>
      <c r="Y129" s="87"/>
      <c r="AA129" s="86"/>
      <c r="AB129" s="57"/>
      <c r="AC129" s="37"/>
      <c r="AD129" s="52"/>
      <c r="AE129" s="87"/>
      <c r="AG129" s="86"/>
      <c r="AH129" s="37"/>
      <c r="AI129" s="52"/>
      <c r="AJ129" s="87"/>
      <c r="AL129" s="86"/>
      <c r="AM129" s="37"/>
      <c r="AN129" s="52"/>
      <c r="AO129" s="87"/>
      <c r="AQ129" s="86"/>
      <c r="AR129" s="37"/>
      <c r="AS129" s="52"/>
      <c r="AT129" s="87"/>
    </row>
    <row r="130" spans="1:46" thickBot="1">
      <c r="A130" t="str">
        <v>lemn, 30 x 80 mm</v>
      </c>
      <c r="B130" s="113"/>
      <c r="C130" s="324" t="s">
        <v>404</v>
      </c>
      <c r="D130" s="325"/>
      <c r="E130" s="326" t="s">
        <v>23</v>
      </c>
      <c r="F130" s="321">
        <v>7.09</v>
      </c>
      <c r="G130" s="334">
        <f t="shared" si="35"/>
        <v>2.0090721649484538</v>
      </c>
      <c r="H130" s="331">
        <f>H96/2.5</f>
        <v>9.7439999999999998</v>
      </c>
      <c r="I130" s="107"/>
      <c r="J130" s="108"/>
      <c r="K130" s="109"/>
      <c r="L130" s="108"/>
      <c r="O130" s="86"/>
      <c r="P130" s="57"/>
      <c r="Q130" s="37"/>
      <c r="R130" s="92" t="str">
        <f t="shared" si="40"/>
        <v/>
      </c>
      <c r="S130" s="52"/>
      <c r="T130" s="87"/>
      <c r="U130" s="86"/>
      <c r="V130" s="201"/>
      <c r="W130" s="37"/>
      <c r="X130" s="52"/>
      <c r="Y130" s="87"/>
      <c r="AA130" s="86"/>
      <c r="AB130" s="57"/>
      <c r="AC130" s="37"/>
      <c r="AD130" s="52"/>
      <c r="AE130" s="87"/>
      <c r="AG130" s="86"/>
      <c r="AH130" s="37"/>
      <c r="AI130" s="52"/>
      <c r="AJ130" s="87"/>
      <c r="AL130" s="86"/>
      <c r="AM130" s="37"/>
      <c r="AN130" s="52"/>
      <c r="AO130" s="87"/>
      <c r="AQ130" s="86"/>
      <c r="AR130" s="37"/>
      <c r="AS130" s="52"/>
      <c r="AT130" s="87"/>
    </row>
    <row r="131" spans="1:46" thickBot="1">
      <c r="A131" t="str">
        <v>TERRAUV75</v>
      </c>
      <c r="B131" s="113"/>
      <c r="C131" s="324" t="s">
        <v>406</v>
      </c>
      <c r="D131" s="325"/>
      <c r="E131" s="326" t="s">
        <v>23</v>
      </c>
      <c r="F131" s="321">
        <f t="shared" si="25"/>
        <v>1.49</v>
      </c>
      <c r="G131" s="334">
        <f t="shared" si="35"/>
        <v>1.2412371134020621</v>
      </c>
      <c r="H131" s="331">
        <f>60.2/10</f>
        <v>6.0200000000000005</v>
      </c>
      <c r="I131" s="304"/>
      <c r="J131" s="108"/>
      <c r="K131" s="109"/>
      <c r="L131" s="108"/>
      <c r="O131" s="86"/>
      <c r="P131" s="57"/>
      <c r="Q131" s="37"/>
      <c r="R131" s="92" t="str">
        <f t="shared" si="40"/>
        <v/>
      </c>
      <c r="S131" s="52"/>
      <c r="T131" s="87"/>
      <c r="U131" s="86"/>
      <c r="V131" s="201"/>
      <c r="W131" s="37"/>
      <c r="X131" s="52"/>
      <c r="Y131" s="87"/>
      <c r="AA131" s="86"/>
      <c r="AB131" s="57"/>
      <c r="AC131" s="37"/>
      <c r="AD131" s="52"/>
      <c r="AE131" s="87"/>
      <c r="AG131" s="86"/>
      <c r="AH131" s="37"/>
      <c r="AI131" s="52"/>
      <c r="AJ131" s="87"/>
      <c r="AL131" s="86"/>
      <c r="AM131" s="37"/>
      <c r="AN131" s="52"/>
      <c r="AO131" s="87"/>
      <c r="AQ131" s="86"/>
      <c r="AR131" s="37"/>
      <c r="AS131" s="52"/>
      <c r="AT131" s="87"/>
    </row>
    <row r="132" spans="1:46" thickBot="1">
      <c r="A132" t="str">
        <v>Pare-pluie support continu</v>
      </c>
      <c r="B132" s="113"/>
      <c r="C132" s="324" t="s">
        <v>413</v>
      </c>
      <c r="D132" s="325"/>
      <c r="E132" s="326" t="s">
        <v>21</v>
      </c>
      <c r="F132" s="321">
        <f t="shared" si="25"/>
        <v>2.08</v>
      </c>
      <c r="G132" s="334">
        <f t="shared" si="35"/>
        <v>1.7298969072164951</v>
      </c>
      <c r="H132" s="331">
        <v>8.39</v>
      </c>
      <c r="I132" s="107"/>
      <c r="J132" s="108"/>
      <c r="K132" s="109"/>
      <c r="L132" s="108"/>
      <c r="O132" s="86"/>
      <c r="P132" s="57"/>
      <c r="Q132" s="37"/>
      <c r="R132" s="92" t="str">
        <f t="shared" si="40"/>
        <v/>
      </c>
      <c r="S132" s="52"/>
      <c r="T132" s="87"/>
      <c r="U132" s="86"/>
      <c r="V132" s="201"/>
      <c r="W132" s="37"/>
      <c r="X132" s="52"/>
      <c r="Y132" s="87"/>
      <c r="AA132" s="86"/>
      <c r="AB132" s="57"/>
      <c r="AC132" s="37"/>
      <c r="AD132" s="52"/>
      <c r="AE132" s="87"/>
      <c r="AG132" s="86"/>
      <c r="AH132" s="37"/>
      <c r="AI132" s="52"/>
      <c r="AJ132" s="87"/>
      <c r="AL132" s="86"/>
      <c r="AM132" s="37"/>
      <c r="AN132" s="52"/>
      <c r="AO132" s="87"/>
      <c r="AQ132" s="86"/>
      <c r="AR132" s="37"/>
      <c r="AS132" s="52"/>
      <c r="AT132" s="87"/>
    </row>
    <row r="133" spans="1:46" thickBot="1">
      <c r="A133" t="str">
        <v>lemn, 20 x 30 mm</v>
      </c>
      <c r="B133" s="113"/>
      <c r="C133" s="324" t="s">
        <v>421</v>
      </c>
      <c r="D133" s="325"/>
      <c r="E133" s="326" t="s">
        <v>23</v>
      </c>
      <c r="F133" s="321">
        <f t="shared" si="25"/>
        <v>0.67</v>
      </c>
      <c r="G133" s="334">
        <f t="shared" si="35"/>
        <v>0.55670103092783518</v>
      </c>
      <c r="H133" s="331">
        <v>2.7</v>
      </c>
      <c r="I133" s="107"/>
      <c r="J133" s="108"/>
      <c r="K133" s="109"/>
      <c r="L133" s="108"/>
      <c r="O133" s="86"/>
      <c r="P133" s="57"/>
      <c r="Q133" s="37"/>
      <c r="R133" s="92" t="str">
        <f t="shared" si="40"/>
        <v/>
      </c>
      <c r="S133" s="52"/>
      <c r="T133" s="87"/>
      <c r="U133" s="86"/>
      <c r="V133" s="201"/>
      <c r="W133" s="37"/>
      <c r="X133" s="52"/>
      <c r="Y133" s="87"/>
      <c r="AA133" s="86"/>
      <c r="AB133" s="57"/>
      <c r="AC133" s="37"/>
      <c r="AD133" s="52"/>
      <c r="AE133" s="87"/>
      <c r="AG133" s="86"/>
      <c r="AH133" s="37"/>
      <c r="AI133" s="52"/>
      <c r="AJ133" s="87"/>
      <c r="AL133" s="86"/>
      <c r="AM133" s="37"/>
      <c r="AN133" s="52"/>
      <c r="AO133" s="87"/>
      <c r="AQ133" s="86"/>
      <c r="AR133" s="37"/>
      <c r="AS133" s="52"/>
      <c r="AT133" s="87"/>
    </row>
    <row r="134" spans="1:46" thickBot="1">
      <c r="A134" t="str">
        <v>lemn, 27 x 30 mm</v>
      </c>
      <c r="B134" s="113"/>
      <c r="C134" s="324" t="s">
        <v>423</v>
      </c>
      <c r="D134" s="325"/>
      <c r="E134" s="326" t="s">
        <v>23</v>
      </c>
      <c r="F134" s="321">
        <f t="shared" si="25"/>
        <v>0.87</v>
      </c>
      <c r="G134" s="334">
        <f t="shared" si="35"/>
        <v>0.72164948453608257</v>
      </c>
      <c r="H134" s="331">
        <v>3.5</v>
      </c>
      <c r="I134" s="107"/>
      <c r="J134" s="108"/>
      <c r="K134" s="109"/>
      <c r="L134" s="108"/>
      <c r="O134" s="86"/>
      <c r="P134" s="57"/>
      <c r="Q134" s="37"/>
      <c r="R134" s="92" t="str">
        <f t="shared" si="40"/>
        <v/>
      </c>
      <c r="S134" s="52"/>
      <c r="T134" s="87"/>
      <c r="U134" s="86"/>
      <c r="V134" s="201"/>
      <c r="W134" s="37"/>
      <c r="X134" s="52"/>
      <c r="Y134" s="87"/>
      <c r="AA134" s="86"/>
      <c r="AB134" s="57"/>
      <c r="AC134" s="37"/>
      <c r="AD134" s="52"/>
      <c r="AE134" s="87"/>
      <c r="AG134" s="86"/>
      <c r="AH134" s="37"/>
      <c r="AI134" s="52"/>
      <c r="AJ134" s="87"/>
      <c r="AL134" s="86"/>
      <c r="AM134" s="37"/>
      <c r="AN134" s="52"/>
      <c r="AO134" s="87"/>
      <c r="AQ134" s="86"/>
      <c r="AR134" s="37"/>
      <c r="AS134" s="52"/>
      <c r="AT134" s="87"/>
    </row>
    <row r="135" spans="1:46" thickBot="1">
      <c r="A135" t="str">
        <v>lemn, 20 x 45 mm</v>
      </c>
      <c r="B135" s="113"/>
      <c r="C135" s="324" t="s">
        <v>424</v>
      </c>
      <c r="D135" s="325"/>
      <c r="E135" s="326" t="s">
        <v>23</v>
      </c>
      <c r="F135" s="321">
        <f t="shared" si="25"/>
        <v>0.83</v>
      </c>
      <c r="G135" s="334">
        <f t="shared" si="35"/>
        <v>0.69278350515463916</v>
      </c>
      <c r="H135" s="331">
        <v>3.36</v>
      </c>
      <c r="I135" s="107"/>
      <c r="J135" s="108"/>
      <c r="K135" s="109"/>
      <c r="L135" s="108"/>
      <c r="O135" s="86"/>
      <c r="P135" s="57"/>
      <c r="Q135" s="37"/>
      <c r="R135" s="92" t="str">
        <f t="shared" si="40"/>
        <v/>
      </c>
      <c r="S135" s="52"/>
      <c r="T135" s="87"/>
      <c r="U135" s="86"/>
      <c r="V135" s="201"/>
      <c r="W135" s="37"/>
      <c r="X135" s="52"/>
      <c r="Y135" s="87"/>
      <c r="AA135" s="86"/>
      <c r="AB135" s="57"/>
      <c r="AC135" s="37"/>
      <c r="AD135" s="52"/>
      <c r="AE135" s="87"/>
      <c r="AG135" s="86"/>
      <c r="AH135" s="37"/>
      <c r="AI135" s="52"/>
      <c r="AJ135" s="87"/>
      <c r="AL135" s="86"/>
      <c r="AM135" s="37"/>
      <c r="AN135" s="52"/>
      <c r="AO135" s="87"/>
      <c r="AQ135" s="86"/>
      <c r="AR135" s="37"/>
      <c r="AS135" s="52"/>
      <c r="AT135" s="87"/>
    </row>
    <row r="136" spans="1:46" thickBot="1">
      <c r="A136" t="str">
        <v>Pare-pluie sur OSB Sd&lt;1,5</v>
      </c>
      <c r="B136" s="113"/>
      <c r="C136" s="324" t="s">
        <v>428</v>
      </c>
      <c r="D136" s="325"/>
      <c r="E136" s="326" t="s">
        <v>21</v>
      </c>
      <c r="F136" s="321">
        <f t="shared" si="25"/>
        <v>2.08</v>
      </c>
      <c r="G136" s="334">
        <f t="shared" si="35"/>
        <v>1.7298969072164951</v>
      </c>
      <c r="H136" s="331">
        <v>8.39</v>
      </c>
      <c r="I136" s="107"/>
      <c r="J136" s="108"/>
      <c r="K136" s="109"/>
      <c r="L136" s="108"/>
      <c r="O136" s="86"/>
      <c r="P136" s="57"/>
      <c r="Q136" s="37"/>
      <c r="R136" s="92" t="str">
        <f t="shared" si="40"/>
        <v/>
      </c>
      <c r="S136" s="52"/>
      <c r="T136" s="87"/>
      <c r="U136" s="86"/>
      <c r="V136" s="201"/>
      <c r="W136" s="37"/>
      <c r="X136" s="52"/>
      <c r="Y136" s="87"/>
      <c r="AA136" s="86"/>
      <c r="AB136" s="57"/>
      <c r="AC136" s="37"/>
      <c r="AD136" s="52"/>
      <c r="AE136" s="87"/>
      <c r="AG136" s="86"/>
      <c r="AH136" s="37"/>
      <c r="AI136" s="52"/>
      <c r="AJ136" s="87"/>
      <c r="AL136" s="86"/>
      <c r="AM136" s="37"/>
      <c r="AN136" s="52"/>
      <c r="AO136" s="87"/>
      <c r="AQ136" s="86"/>
      <c r="AR136" s="37"/>
      <c r="AS136" s="52"/>
      <c r="AT136" s="87"/>
    </row>
    <row r="137" spans="1:46" thickBot="1">
      <c r="A137" t="str">
        <v>lemn, 30 x 45 mm</v>
      </c>
      <c r="B137" s="113"/>
      <c r="C137" s="324" t="s">
        <v>430</v>
      </c>
      <c r="D137" s="325"/>
      <c r="E137" s="326" t="s">
        <v>23</v>
      </c>
      <c r="F137" s="321">
        <f t="shared" si="25"/>
        <v>1.1100000000000001</v>
      </c>
      <c r="G137" s="334">
        <f t="shared" si="35"/>
        <v>0.92371134020618573</v>
      </c>
      <c r="H137" s="331">
        <v>4.4800000000000004</v>
      </c>
      <c r="I137" s="107"/>
      <c r="J137" s="108"/>
      <c r="K137" s="109"/>
      <c r="L137" s="108"/>
      <c r="O137" s="86"/>
      <c r="P137" s="57"/>
      <c r="Q137" s="37"/>
      <c r="R137" s="92" t="str">
        <f t="shared" si="40"/>
        <v/>
      </c>
      <c r="S137" s="52"/>
      <c r="T137" s="87"/>
      <c r="U137" s="86"/>
      <c r="V137" s="201"/>
      <c r="W137" s="37"/>
      <c r="X137" s="52"/>
      <c r="Y137" s="87"/>
      <c r="AA137" s="86"/>
      <c r="AB137" s="57"/>
      <c r="AC137" s="37"/>
      <c r="AD137" s="52"/>
      <c r="AE137" s="87"/>
      <c r="AG137" s="86"/>
      <c r="AH137" s="37"/>
      <c r="AI137" s="52"/>
      <c r="AJ137" s="87"/>
      <c r="AL137" s="86"/>
      <c r="AM137" s="37"/>
      <c r="AN137" s="52"/>
      <c r="AO137" s="87"/>
      <c r="AQ137" s="86"/>
      <c r="AR137" s="37"/>
      <c r="AS137" s="52"/>
      <c r="AT137" s="87"/>
    </row>
    <row r="138" spans="1:46" thickBot="1">
      <c r="A138" t="str">
        <v>Boitier BSAS46137</v>
      </c>
      <c r="B138" s="113"/>
      <c r="C138" s="324" t="s">
        <v>453</v>
      </c>
      <c r="D138" s="325"/>
      <c r="E138" s="326" t="s">
        <v>114</v>
      </c>
      <c r="F138" s="321">
        <f t="shared" ref="F138:F145" si="41">IF(E138="","",ROUND(G138*(1+$D$2),2))</f>
        <v>2.2000000000000002</v>
      </c>
      <c r="G138" s="334">
        <f>H138/$G$2</f>
        <v>2.1952577319587632</v>
      </c>
      <c r="H138" s="331">
        <f>10.14*1.05</f>
        <v>10.647</v>
      </c>
      <c r="I138" s="107"/>
      <c r="J138" s="108"/>
      <c r="K138" s="109"/>
      <c r="L138" s="108"/>
      <c r="O138" s="86"/>
      <c r="P138" s="57"/>
      <c r="Q138" s="37"/>
      <c r="R138" s="92" t="str">
        <f t="shared" si="40"/>
        <v/>
      </c>
      <c r="S138" s="52"/>
      <c r="T138" s="87"/>
      <c r="U138" s="86"/>
      <c r="V138" s="201"/>
      <c r="W138" s="37"/>
      <c r="X138" s="52"/>
      <c r="Y138" s="87"/>
      <c r="AA138" s="86"/>
      <c r="AB138" s="57"/>
      <c r="AC138" s="37"/>
      <c r="AD138" s="52"/>
      <c r="AE138" s="87"/>
      <c r="AG138" s="86"/>
      <c r="AH138" s="37"/>
      <c r="AI138" s="52"/>
      <c r="AJ138" s="87"/>
      <c r="AL138" s="86"/>
      <c r="AM138" s="37"/>
      <c r="AN138" s="52"/>
      <c r="AO138" s="87"/>
      <c r="AQ138" s="86"/>
      <c r="AR138" s="37"/>
      <c r="AS138" s="52"/>
      <c r="AT138" s="87"/>
    </row>
    <row r="139" spans="1:46" thickBot="1">
      <c r="A139" t="str">
        <v>SKS75100</v>
      </c>
      <c r="B139" s="113"/>
      <c r="C139" s="326" t="s">
        <v>455</v>
      </c>
      <c r="D139" s="325"/>
      <c r="E139" s="326" t="s">
        <v>127</v>
      </c>
      <c r="F139" s="321">
        <f>IF(E139="","",ROUND(G139*(1+$D$2),2))</f>
        <v>0.33</v>
      </c>
      <c r="G139" s="334">
        <f t="shared" ref="G139:G155" si="42">H139/$G$2</f>
        <v>0.32989690721649489</v>
      </c>
      <c r="H139" s="331">
        <v>1.6</v>
      </c>
      <c r="I139" s="107"/>
      <c r="J139" s="108"/>
      <c r="K139" s="109"/>
      <c r="L139" s="108"/>
      <c r="O139" s="86"/>
      <c r="P139" s="57"/>
      <c r="Q139" s="37"/>
      <c r="R139" s="92" t="str">
        <f t="shared" si="40"/>
        <v/>
      </c>
      <c r="S139" s="52"/>
      <c r="T139" s="87"/>
      <c r="U139" s="86"/>
      <c r="V139" s="201"/>
      <c r="W139" s="37"/>
      <c r="X139" s="52"/>
      <c r="Y139" s="87"/>
      <c r="AA139" s="86"/>
      <c r="AB139" s="57"/>
      <c r="AC139" s="37"/>
      <c r="AD139" s="52"/>
      <c r="AE139" s="87"/>
      <c r="AG139" s="86"/>
      <c r="AH139" s="37"/>
      <c r="AI139" s="52"/>
      <c r="AJ139" s="87"/>
      <c r="AL139" s="86"/>
      <c r="AM139" s="37"/>
      <c r="AN139" s="52"/>
      <c r="AO139" s="87"/>
      <c r="AQ139" s="86"/>
      <c r="AR139" s="37"/>
      <c r="AS139" s="52"/>
      <c r="AT139" s="87"/>
    </row>
    <row r="140" spans="1:46" thickBot="1">
      <c r="A140" t="str">
        <v>GROUND200</v>
      </c>
      <c r="B140" s="113"/>
      <c r="C140" s="326" t="s">
        <v>456</v>
      </c>
      <c r="D140" s="325"/>
      <c r="E140" s="326" t="s">
        <v>23</v>
      </c>
      <c r="F140" s="321">
        <f t="shared" si="41"/>
        <v>3.2</v>
      </c>
      <c r="G140" s="334">
        <f t="shared" si="42"/>
        <v>3.195876288659794</v>
      </c>
      <c r="H140" s="331">
        <v>15.5</v>
      </c>
      <c r="I140" s="107"/>
      <c r="J140" s="108"/>
      <c r="K140" s="109"/>
      <c r="L140" s="108"/>
      <c r="O140" s="86"/>
      <c r="P140" s="57"/>
      <c r="Q140" s="37"/>
      <c r="R140" s="92" t="str">
        <f t="shared" si="40"/>
        <v/>
      </c>
      <c r="S140" s="52"/>
      <c r="T140" s="87"/>
      <c r="U140" s="86"/>
      <c r="V140" s="201"/>
      <c r="W140" s="37"/>
      <c r="X140" s="52"/>
      <c r="Y140" s="87"/>
      <c r="AA140" s="86"/>
      <c r="AB140" s="57"/>
      <c r="AC140" s="37"/>
      <c r="AD140" s="52"/>
      <c r="AE140" s="87"/>
      <c r="AG140" s="86"/>
      <c r="AH140" s="37"/>
      <c r="AI140" s="52"/>
      <c r="AJ140" s="87"/>
      <c r="AL140" s="86"/>
      <c r="AM140" s="37"/>
      <c r="AN140" s="52"/>
      <c r="AO140" s="87"/>
      <c r="AQ140" s="86"/>
      <c r="AR140" s="37"/>
      <c r="AS140" s="52"/>
      <c r="AT140" s="87"/>
    </row>
    <row r="141" spans="1:46" thickBot="1">
      <c r="A141" t="str">
        <v>AB110135</v>
      </c>
      <c r="B141" s="113"/>
      <c r="C141" s="326" t="s">
        <v>457</v>
      </c>
      <c r="D141" s="325"/>
      <c r="E141" s="326" t="s">
        <v>127</v>
      </c>
      <c r="F141" s="321">
        <f t="shared" si="41"/>
        <v>1.27</v>
      </c>
      <c r="G141" s="334">
        <f t="shared" si="42"/>
        <v>1.2742268041237115</v>
      </c>
      <c r="H141" s="331">
        <v>6.18</v>
      </c>
      <c r="I141" s="107"/>
      <c r="J141" s="108"/>
      <c r="K141" s="109"/>
      <c r="L141" s="108"/>
      <c r="O141" s="86"/>
      <c r="P141" s="57"/>
      <c r="Q141" s="37"/>
      <c r="R141" s="92" t="str">
        <f t="shared" si="40"/>
        <v/>
      </c>
      <c r="S141" s="52"/>
      <c r="T141" s="87"/>
      <c r="U141" s="86"/>
      <c r="V141" s="201"/>
      <c r="W141" s="37"/>
      <c r="X141" s="52"/>
      <c r="Y141" s="87"/>
      <c r="AA141" s="86"/>
      <c r="AB141" s="57"/>
      <c r="AC141" s="37"/>
      <c r="AD141" s="52"/>
      <c r="AE141" s="87"/>
      <c r="AG141" s="86"/>
      <c r="AH141" s="37"/>
      <c r="AI141" s="52"/>
      <c r="AJ141" s="87"/>
      <c r="AL141" s="86"/>
      <c r="AM141" s="37"/>
      <c r="AN141" s="52"/>
      <c r="AO141" s="87"/>
      <c r="AQ141" s="86"/>
      <c r="AR141" s="37"/>
      <c r="AS141" s="52"/>
      <c r="AT141" s="87"/>
    </row>
    <row r="142" spans="1:46" thickBot="1">
      <c r="A142" t="str">
        <v>Polistiren EPS80 40mm</v>
      </c>
      <c r="B142" s="113"/>
      <c r="C142" s="326" t="s">
        <v>458</v>
      </c>
      <c r="D142" s="325"/>
      <c r="E142" s="326" t="s">
        <v>21</v>
      </c>
      <c r="F142" s="321">
        <f t="shared" si="41"/>
        <v>5.46</v>
      </c>
      <c r="G142" s="334">
        <f t="shared" si="42"/>
        <v>5.463917525773196</v>
      </c>
      <c r="H142" s="331">
        <v>26.5</v>
      </c>
      <c r="I142" s="107"/>
      <c r="J142" s="108"/>
      <c r="K142" s="109"/>
      <c r="L142" s="108"/>
      <c r="O142" s="86"/>
      <c r="P142" s="57"/>
      <c r="Q142" s="37"/>
      <c r="R142" s="92" t="str">
        <f t="shared" si="40"/>
        <v/>
      </c>
      <c r="S142" s="52"/>
      <c r="T142" s="87"/>
      <c r="U142" s="86"/>
      <c r="V142" s="201"/>
      <c r="W142" s="37"/>
      <c r="X142" s="52"/>
      <c r="Y142" s="87"/>
      <c r="AA142" s="86"/>
      <c r="AB142" s="57"/>
      <c r="AC142" s="37"/>
      <c r="AD142" s="52"/>
      <c r="AE142" s="87"/>
      <c r="AG142" s="86"/>
      <c r="AH142" s="37"/>
      <c r="AI142" s="52"/>
      <c r="AJ142" s="87"/>
      <c r="AL142" s="86"/>
      <c r="AM142" s="37"/>
      <c r="AN142" s="52"/>
      <c r="AO142" s="87"/>
      <c r="AQ142" s="86"/>
      <c r="AR142" s="37"/>
      <c r="AS142" s="52"/>
      <c r="AT142" s="87"/>
    </row>
    <row r="143" spans="1:46" thickBot="1">
      <c r="A143" t="str">
        <v>Adeziv PU DENBRAVEN 870 mml</v>
      </c>
      <c r="B143" s="113"/>
      <c r="C143" s="326" t="s">
        <v>459</v>
      </c>
      <c r="D143" s="325"/>
      <c r="E143" s="326" t="s">
        <v>127</v>
      </c>
      <c r="F143" s="321">
        <f t="shared" si="41"/>
        <v>9.65</v>
      </c>
      <c r="G143" s="334">
        <f t="shared" si="42"/>
        <v>9.6494845360824737</v>
      </c>
      <c r="H143" s="331">
        <v>46.8</v>
      </c>
      <c r="I143" s="107"/>
      <c r="J143" s="108"/>
      <c r="K143" s="109"/>
      <c r="L143" s="108"/>
      <c r="O143" s="86"/>
      <c r="P143" s="57"/>
      <c r="Q143" s="37"/>
      <c r="R143" s="92" t="str">
        <f t="shared" si="40"/>
        <v/>
      </c>
      <c r="S143" s="52"/>
      <c r="T143" s="87"/>
      <c r="U143" s="86"/>
      <c r="V143" s="201"/>
      <c r="W143" s="37"/>
      <c r="X143" s="52"/>
      <c r="Y143" s="87"/>
      <c r="AA143" s="86"/>
      <c r="AB143" s="57"/>
      <c r="AC143" s="37"/>
      <c r="AD143" s="52"/>
      <c r="AE143" s="87"/>
      <c r="AG143" s="86"/>
      <c r="AH143" s="37"/>
      <c r="AI143" s="52"/>
      <c r="AJ143" s="87"/>
      <c r="AL143" s="86"/>
      <c r="AM143" s="37"/>
      <c r="AN143" s="52"/>
      <c r="AO143" s="87"/>
      <c r="AQ143" s="86"/>
      <c r="AR143" s="37"/>
      <c r="AS143" s="52"/>
      <c r="AT143" s="87"/>
    </row>
    <row r="144" spans="1:46" thickBot="1">
      <c r="A144" t="str">
        <v>Vata de sticla 50 mm</v>
      </c>
      <c r="B144" s="113"/>
      <c r="C144" s="324" t="s">
        <v>460</v>
      </c>
      <c r="D144" s="325"/>
      <c r="E144" s="326" t="s">
        <v>21</v>
      </c>
      <c r="F144" s="321">
        <f t="shared" si="41"/>
        <v>1.2</v>
      </c>
      <c r="G144" s="334">
        <f t="shared" si="42"/>
        <v>1.1958762886597938</v>
      </c>
      <c r="H144" s="331">
        <v>5.8</v>
      </c>
      <c r="I144" s="107"/>
      <c r="J144" s="108"/>
      <c r="K144" s="109"/>
      <c r="L144" s="108"/>
      <c r="O144" s="86"/>
      <c r="P144" s="57"/>
      <c r="Q144" s="37"/>
      <c r="R144" s="92" t="str">
        <f t="shared" si="40"/>
        <v/>
      </c>
      <c r="S144" s="52"/>
      <c r="T144" s="87"/>
      <c r="U144" s="86"/>
      <c r="V144" s="201"/>
      <c r="W144" s="37"/>
      <c r="X144" s="52"/>
      <c r="Y144" s="87"/>
      <c r="AA144" s="86"/>
      <c r="AB144" s="57"/>
      <c r="AC144" s="37"/>
      <c r="AD144" s="52"/>
      <c r="AE144" s="87"/>
      <c r="AG144" s="86"/>
      <c r="AH144" s="37"/>
      <c r="AI144" s="52"/>
      <c r="AJ144" s="87"/>
      <c r="AL144" s="86"/>
      <c r="AM144" s="37"/>
      <c r="AN144" s="52"/>
      <c r="AO144" s="87"/>
      <c r="AQ144" s="86"/>
      <c r="AR144" s="37"/>
      <c r="AS144" s="52"/>
      <c r="AT144" s="87"/>
    </row>
    <row r="145" spans="1:46" thickBot="1">
      <c r="A145" t="str">
        <v>Tub copex 16 mm</v>
      </c>
      <c r="B145" s="113"/>
      <c r="C145" s="324" t="s">
        <v>470</v>
      </c>
      <c r="D145" s="325"/>
      <c r="E145" s="326" t="s">
        <v>23</v>
      </c>
      <c r="F145" s="321">
        <f t="shared" si="41"/>
        <v>0.23</v>
      </c>
      <c r="G145" s="334">
        <f t="shared" si="42"/>
        <v>0.22680412371134023</v>
      </c>
      <c r="H145" s="331">
        <v>1.1000000000000001</v>
      </c>
      <c r="I145" s="107"/>
      <c r="J145" s="108"/>
      <c r="K145" s="109"/>
      <c r="L145" s="108"/>
      <c r="O145" s="86"/>
      <c r="P145" s="57"/>
      <c r="Q145" s="37"/>
      <c r="R145" s="92" t="str">
        <f t="shared" si="40"/>
        <v/>
      </c>
      <c r="S145" s="52"/>
      <c r="T145" s="87"/>
      <c r="U145" s="86"/>
      <c r="V145" s="201"/>
      <c r="W145" s="37"/>
      <c r="X145" s="52"/>
      <c r="Y145" s="87"/>
      <c r="AA145" s="86"/>
      <c r="AB145" s="57"/>
      <c r="AC145" s="37"/>
      <c r="AD145" s="52"/>
      <c r="AE145" s="87"/>
      <c r="AG145" s="86"/>
      <c r="AH145" s="37"/>
      <c r="AI145" s="52"/>
      <c r="AJ145" s="87"/>
      <c r="AL145" s="86"/>
      <c r="AM145" s="37"/>
      <c r="AN145" s="52"/>
      <c r="AO145" s="87"/>
      <c r="AQ145" s="86"/>
      <c r="AR145" s="37"/>
      <c r="AS145" s="52"/>
      <c r="AT145" s="87"/>
    </row>
    <row r="146" spans="1:46" thickBot="1">
      <c r="A146" t="str">
        <v xml:space="preserve">Doza </v>
      </c>
      <c r="B146" s="113"/>
      <c r="C146" s="324" t="s">
        <v>471</v>
      </c>
      <c r="D146" s="325"/>
      <c r="E146" s="326" t="s">
        <v>127</v>
      </c>
      <c r="F146" s="321">
        <f t="shared" ref="F146:F180" si="43">IF(E146="","",ROUND(G146*(1+$F$2),2))</f>
        <v>1.98</v>
      </c>
      <c r="G146" s="334">
        <f t="shared" si="42"/>
        <v>1.6494845360824744</v>
      </c>
      <c r="H146" s="331">
        <v>8</v>
      </c>
      <c r="I146" s="107"/>
      <c r="J146" s="108"/>
      <c r="K146" s="109"/>
      <c r="L146" s="108"/>
      <c r="O146" s="86"/>
      <c r="P146" s="57"/>
      <c r="Q146" s="37"/>
      <c r="R146" s="92" t="str">
        <f t="shared" si="40"/>
        <v/>
      </c>
      <c r="S146" s="52"/>
      <c r="T146" s="87"/>
      <c r="U146" s="86"/>
      <c r="V146" s="201"/>
      <c r="W146" s="37"/>
      <c r="X146" s="52"/>
      <c r="Y146" s="87"/>
      <c r="AA146" s="86"/>
      <c r="AB146" s="57"/>
      <c r="AC146" s="37"/>
      <c r="AD146" s="52"/>
      <c r="AE146" s="87"/>
      <c r="AG146" s="86"/>
      <c r="AH146" s="37"/>
      <c r="AI146" s="52"/>
      <c r="AJ146" s="87"/>
      <c r="AL146" s="86"/>
      <c r="AM146" s="37"/>
      <c r="AN146" s="52"/>
      <c r="AO146" s="87"/>
      <c r="AQ146" s="86"/>
      <c r="AR146" s="37"/>
      <c r="AS146" s="52"/>
      <c r="AT146" s="87"/>
    </row>
    <row r="147" spans="1:46" thickBot="1">
      <c r="A147" t="str">
        <v>Fermacell H2O</v>
      </c>
      <c r="B147" s="113"/>
      <c r="C147" s="324" t="s">
        <v>505</v>
      </c>
      <c r="D147" s="325"/>
      <c r="E147" s="326" t="s">
        <v>21</v>
      </c>
      <c r="F147" s="321">
        <f t="shared" si="43"/>
        <v>20.59</v>
      </c>
      <c r="G147" s="322">
        <f t="shared" si="42"/>
        <v>17.158762886597938</v>
      </c>
      <c r="H147" s="343">
        <v>83.22</v>
      </c>
      <c r="I147" s="302"/>
      <c r="J147" s="108"/>
      <c r="K147" s="109"/>
      <c r="L147" s="108"/>
      <c r="O147" s="86"/>
      <c r="P147" s="57"/>
      <c r="Q147" s="37"/>
      <c r="R147" s="92" t="str">
        <f t="shared" si="40"/>
        <v/>
      </c>
      <c r="S147" s="52"/>
      <c r="T147" s="87"/>
      <c r="U147" s="86"/>
      <c r="V147" s="201"/>
      <c r="W147" s="37"/>
      <c r="X147" s="52"/>
      <c r="Y147" s="87"/>
      <c r="AA147" s="86"/>
      <c r="AB147" s="57"/>
      <c r="AC147" s="37"/>
      <c r="AD147" s="52"/>
      <c r="AE147" s="87"/>
      <c r="AG147" s="86"/>
      <c r="AH147" s="37"/>
      <c r="AI147" s="52"/>
      <c r="AJ147" s="87"/>
      <c r="AL147" s="86"/>
      <c r="AM147" s="37"/>
      <c r="AN147" s="52"/>
      <c r="AO147" s="87"/>
      <c r="AQ147" s="86"/>
      <c r="AR147" s="37"/>
      <c r="AS147" s="52"/>
      <c r="AT147" s="87"/>
    </row>
    <row r="148" spans="1:46" thickBot="1">
      <c r="A148" t="str">
        <v>Adeziv Baumit Suprafix</v>
      </c>
      <c r="B148" s="113"/>
      <c r="C148" s="326" t="s">
        <v>506</v>
      </c>
      <c r="D148" s="326"/>
      <c r="E148" s="326" t="s">
        <v>76</v>
      </c>
      <c r="F148" s="326">
        <f t="shared" si="43"/>
        <v>0.97</v>
      </c>
      <c r="G148" s="344">
        <f t="shared" si="42"/>
        <v>0.81237113402061856</v>
      </c>
      <c r="H148" s="345">
        <v>3.94</v>
      </c>
      <c r="I148" s="302"/>
      <c r="J148" s="108"/>
      <c r="K148" s="109"/>
      <c r="L148" s="108"/>
      <c r="O148" s="86"/>
      <c r="P148" s="57"/>
      <c r="Q148" s="37"/>
      <c r="R148" s="92" t="str">
        <f t="shared" si="40"/>
        <v/>
      </c>
      <c r="S148" s="52"/>
      <c r="T148" s="87"/>
      <c r="U148" s="86"/>
      <c r="V148" s="201"/>
      <c r="W148" s="37"/>
      <c r="X148" s="52"/>
      <c r="Y148" s="87"/>
      <c r="AA148" s="86"/>
      <c r="AB148" s="57"/>
      <c r="AC148" s="37"/>
      <c r="AD148" s="52"/>
      <c r="AE148" s="87"/>
      <c r="AG148" s="86"/>
      <c r="AH148" s="37"/>
      <c r="AI148" s="52"/>
      <c r="AJ148" s="87"/>
      <c r="AL148" s="86"/>
      <c r="AM148" s="37"/>
      <c r="AN148" s="52"/>
      <c r="AO148" s="87"/>
      <c r="AQ148" s="86"/>
      <c r="AR148" s="37"/>
      <c r="AS148" s="52"/>
      <c r="AT148" s="87"/>
    </row>
    <row r="149" spans="1:46" thickBot="1">
      <c r="A149" t="str">
        <v>Primer Baumit Superprimer</v>
      </c>
      <c r="B149" s="303"/>
      <c r="C149" s="326" t="s">
        <v>507</v>
      </c>
      <c r="D149" s="326"/>
      <c r="E149" s="326" t="s">
        <v>76</v>
      </c>
      <c r="F149" s="326">
        <f t="shared" si="43"/>
        <v>2.71</v>
      </c>
      <c r="G149" s="344">
        <f t="shared" si="42"/>
        <v>2.2577319587628866</v>
      </c>
      <c r="H149" s="345">
        <v>10.95</v>
      </c>
      <c r="I149" s="302"/>
      <c r="J149" s="108"/>
      <c r="K149" s="109"/>
      <c r="L149" s="108"/>
      <c r="O149" s="86"/>
      <c r="P149" s="57"/>
      <c r="Q149" s="37"/>
      <c r="R149" s="92" t="str">
        <f t="shared" si="40"/>
        <v/>
      </c>
      <c r="S149" s="52"/>
      <c r="T149" s="87"/>
      <c r="U149" s="86"/>
      <c r="V149" s="201"/>
      <c r="W149" s="37"/>
      <c r="X149" s="52"/>
      <c r="Y149" s="87"/>
      <c r="AA149" s="86"/>
      <c r="AB149" s="57"/>
      <c r="AC149" s="37"/>
      <c r="AD149" s="52"/>
      <c r="AE149" s="87"/>
      <c r="AG149" s="86"/>
      <c r="AH149" s="37"/>
      <c r="AI149" s="52"/>
      <c r="AJ149" s="87"/>
      <c r="AL149" s="86"/>
      <c r="AM149" s="37"/>
      <c r="AN149" s="52"/>
      <c r="AO149" s="87"/>
      <c r="AQ149" s="86"/>
      <c r="AR149" s="37"/>
      <c r="AS149" s="52"/>
      <c r="AT149" s="87"/>
    </row>
    <row r="150" spans="1:46" thickBot="1">
      <c r="A150" t="str">
        <v>Pare vapeur IN 120 (3x50)</v>
      </c>
      <c r="B150" s="303"/>
      <c r="C150" s="324" t="s">
        <v>508</v>
      </c>
      <c r="D150" s="325"/>
      <c r="E150" s="326" t="s">
        <v>21</v>
      </c>
      <c r="F150" s="321">
        <f t="shared" si="43"/>
        <v>1.43</v>
      </c>
      <c r="G150" s="334">
        <f t="shared" si="42"/>
        <v>1.1943489881634213</v>
      </c>
      <c r="H150" s="331">
        <f>782/135</f>
        <v>5.7925925925925927</v>
      </c>
      <c r="I150" s="107"/>
      <c r="J150" s="108"/>
      <c r="K150" s="109"/>
      <c r="L150" s="108"/>
      <c r="O150" s="86"/>
      <c r="P150" s="57"/>
      <c r="Q150" s="37"/>
      <c r="R150" s="92" t="str">
        <f t="shared" si="40"/>
        <v/>
      </c>
      <c r="S150" s="52"/>
      <c r="T150" s="87"/>
      <c r="U150" s="86"/>
      <c r="V150" s="201"/>
      <c r="W150" s="37"/>
      <c r="X150" s="52"/>
      <c r="Y150" s="87"/>
      <c r="AA150" s="86"/>
      <c r="AB150" s="57"/>
      <c r="AC150" s="37"/>
      <c r="AD150" s="52"/>
      <c r="AE150" s="87"/>
      <c r="AG150" s="86"/>
      <c r="AH150" s="37"/>
      <c r="AI150" s="52"/>
      <c r="AJ150" s="87"/>
      <c r="AL150" s="86"/>
      <c r="AM150" s="37"/>
      <c r="AN150" s="52"/>
      <c r="AO150" s="87"/>
      <c r="AQ150" s="86"/>
      <c r="AR150" s="37"/>
      <c r="AS150" s="52"/>
      <c r="AT150" s="87"/>
    </row>
    <row r="151" spans="1:46" thickBot="1">
      <c r="A151" t="str">
        <v>Alumidi320L+5 bolturi</v>
      </c>
      <c r="B151" s="113"/>
      <c r="C151" s="324" t="s">
        <v>518</v>
      </c>
      <c r="D151" s="325"/>
      <c r="E151" s="326" t="s">
        <v>127</v>
      </c>
      <c r="F151" s="321">
        <f t="shared" si="43"/>
        <v>34.64</v>
      </c>
      <c r="G151" s="334">
        <f t="shared" si="42"/>
        <v>28.865979381443299</v>
      </c>
      <c r="H151" s="331">
        <v>140</v>
      </c>
      <c r="I151" s="107"/>
      <c r="J151" s="108"/>
      <c r="K151" s="109"/>
      <c r="L151" s="108"/>
      <c r="O151" s="86"/>
      <c r="P151" s="57"/>
      <c r="Q151" s="37"/>
      <c r="R151" s="92" t="str">
        <f t="shared" si="40"/>
        <v/>
      </c>
      <c r="S151" s="52"/>
      <c r="T151" s="87"/>
      <c r="U151" s="86"/>
      <c r="V151" s="201"/>
      <c r="W151" s="37"/>
      <c r="X151" s="52"/>
      <c r="Y151" s="87"/>
      <c r="AA151" s="86"/>
      <c r="AB151" s="57"/>
      <c r="AC151" s="37"/>
      <c r="AD151" s="52"/>
      <c r="AE151" s="87"/>
      <c r="AG151" s="86"/>
      <c r="AH151" s="37"/>
      <c r="AI151" s="52"/>
      <c r="AJ151" s="87"/>
      <c r="AL151" s="86"/>
      <c r="AM151" s="37"/>
      <c r="AN151" s="52"/>
      <c r="AO151" s="87"/>
      <c r="AQ151" s="86"/>
      <c r="AR151" s="37"/>
      <c r="AS151" s="52"/>
      <c r="AT151" s="87"/>
    </row>
    <row r="152" spans="1:46" thickBot="1">
      <c r="A152" t="str">
        <v>Pied de poteau F700140LIFT + 4 bolturi</v>
      </c>
      <c r="B152" s="113"/>
      <c r="C152" s="324" t="s">
        <v>519</v>
      </c>
      <c r="D152" s="325"/>
      <c r="E152" s="326" t="s">
        <v>127</v>
      </c>
      <c r="F152" s="321">
        <f t="shared" si="43"/>
        <v>12.37</v>
      </c>
      <c r="G152" s="334">
        <f t="shared" si="42"/>
        <v>10.309278350515465</v>
      </c>
      <c r="H152" s="331">
        <v>50</v>
      </c>
      <c r="I152" s="107"/>
      <c r="J152" s="108"/>
      <c r="K152" s="109"/>
      <c r="L152" s="108"/>
      <c r="O152" s="86"/>
      <c r="P152" s="57"/>
      <c r="Q152" s="37"/>
      <c r="R152" s="92" t="str">
        <f t="shared" si="40"/>
        <v/>
      </c>
      <c r="S152" s="52"/>
      <c r="T152" s="87"/>
      <c r="U152" s="86"/>
      <c r="V152" s="201"/>
      <c r="W152" s="37"/>
      <c r="X152" s="52"/>
      <c r="Y152" s="87"/>
      <c r="AA152" s="86"/>
      <c r="AB152" s="57"/>
      <c r="AC152" s="37"/>
      <c r="AD152" s="52"/>
      <c r="AE152" s="87"/>
      <c r="AG152" s="86"/>
      <c r="AH152" s="37"/>
      <c r="AI152" s="52"/>
      <c r="AJ152" s="87"/>
      <c r="AL152" s="86"/>
      <c r="AM152" s="37"/>
      <c r="AN152" s="52"/>
      <c r="AO152" s="87"/>
      <c r="AQ152" s="86"/>
      <c r="AR152" s="37"/>
      <c r="AS152" s="52"/>
      <c r="AT152" s="87"/>
    </row>
    <row r="153" spans="1:46" thickBot="1">
      <c r="A153" t="str">
        <v>Baumit StarContact White</v>
      </c>
      <c r="B153" s="113"/>
      <c r="C153" s="324" t="s">
        <v>539</v>
      </c>
      <c r="D153" s="325"/>
      <c r="E153" s="326" t="s">
        <v>21</v>
      </c>
      <c r="F153" s="321">
        <f t="shared" si="43"/>
        <v>3.41</v>
      </c>
      <c r="G153" s="334">
        <f t="shared" si="42"/>
        <v>2.8453608247422681</v>
      </c>
      <c r="H153" s="331">
        <f>69/25*5</f>
        <v>13.799999999999999</v>
      </c>
      <c r="I153" s="107"/>
      <c r="J153" s="108"/>
      <c r="K153" s="109"/>
      <c r="L153" s="108"/>
      <c r="O153" s="86"/>
      <c r="P153" s="57"/>
      <c r="Q153" s="37"/>
      <c r="R153" s="92" t="str">
        <f t="shared" si="40"/>
        <v/>
      </c>
      <c r="S153" s="52"/>
      <c r="T153" s="87"/>
      <c r="U153" s="86"/>
      <c r="V153" s="201"/>
      <c r="W153" s="37"/>
      <c r="X153" s="52"/>
      <c r="Y153" s="87"/>
      <c r="AA153" s="86"/>
      <c r="AB153" s="57"/>
      <c r="AC153" s="37"/>
      <c r="AD153" s="52"/>
      <c r="AE153" s="87"/>
      <c r="AG153" s="86"/>
      <c r="AH153" s="37"/>
      <c r="AI153" s="52"/>
      <c r="AJ153" s="87"/>
      <c r="AL153" s="86"/>
      <c r="AM153" s="37"/>
      <c r="AN153" s="52"/>
      <c r="AO153" s="87"/>
      <c r="AQ153" s="86"/>
      <c r="AR153" s="37"/>
      <c r="AS153" s="52"/>
      <c r="AT153" s="87"/>
    </row>
    <row r="154" spans="1:46" thickBot="1">
      <c r="A154" t="str">
        <v>Baumit Uniprimer</v>
      </c>
      <c r="B154" s="113"/>
      <c r="C154" s="324" t="s">
        <v>540</v>
      </c>
      <c r="D154" s="325"/>
      <c r="E154" s="326" t="s">
        <v>21</v>
      </c>
      <c r="F154" s="321">
        <f t="shared" si="43"/>
        <v>0.99</v>
      </c>
      <c r="G154" s="334">
        <f t="shared" si="42"/>
        <v>0.82474226804123718</v>
      </c>
      <c r="H154" s="331">
        <f>200/20*0.4</f>
        <v>4</v>
      </c>
      <c r="I154" s="107"/>
      <c r="J154" s="108"/>
      <c r="K154" s="109"/>
      <c r="L154" s="108"/>
      <c r="O154" s="86"/>
      <c r="P154" s="57"/>
      <c r="Q154" s="37"/>
      <c r="R154" s="92" t="str">
        <f t="shared" si="40"/>
        <v/>
      </c>
      <c r="S154" s="52"/>
      <c r="T154" s="87"/>
      <c r="U154" s="86"/>
      <c r="V154" s="201"/>
      <c r="W154" s="37"/>
      <c r="X154" s="52"/>
      <c r="Y154" s="87"/>
      <c r="AA154" s="86"/>
      <c r="AB154" s="57"/>
      <c r="AC154" s="37"/>
      <c r="AD154" s="52"/>
      <c r="AE154" s="87"/>
      <c r="AG154" s="86"/>
      <c r="AH154" s="37"/>
      <c r="AI154" s="52"/>
      <c r="AJ154" s="87"/>
      <c r="AL154" s="86"/>
      <c r="AM154" s="37"/>
      <c r="AN154" s="52"/>
      <c r="AO154" s="87"/>
      <c r="AQ154" s="86"/>
      <c r="AR154" s="37"/>
      <c r="AS154" s="52"/>
      <c r="AT154" s="87"/>
    </row>
    <row r="155" spans="1:46" thickBot="1">
      <c r="A155" t="str">
        <v>Lambriu 19 mm cl4</v>
      </c>
      <c r="B155" s="113"/>
      <c r="C155" s="324" t="s">
        <v>557</v>
      </c>
      <c r="D155" s="325"/>
      <c r="E155" s="326" t="s">
        <v>21</v>
      </c>
      <c r="F155" s="321">
        <f t="shared" si="43"/>
        <v>17.809999999999999</v>
      </c>
      <c r="G155" s="334">
        <f t="shared" si="42"/>
        <v>14.845360824742269</v>
      </c>
      <c r="H155" s="331">
        <v>72</v>
      </c>
      <c r="I155" s="107"/>
      <c r="J155" s="108"/>
      <c r="K155" s="109"/>
      <c r="L155" s="108"/>
      <c r="O155" s="86"/>
      <c r="P155" s="57"/>
      <c r="Q155" s="37"/>
      <c r="R155" s="92" t="str">
        <f t="shared" si="40"/>
        <v/>
      </c>
      <c r="S155" s="52"/>
      <c r="T155" s="87"/>
      <c r="U155" s="86"/>
      <c r="V155" s="201"/>
      <c r="W155" s="37"/>
      <c r="X155" s="52"/>
      <c r="Y155" s="87"/>
      <c r="AA155" s="86"/>
      <c r="AB155" s="57"/>
      <c r="AC155" s="37"/>
      <c r="AD155" s="52"/>
      <c r="AE155" s="87"/>
      <c r="AG155" s="86"/>
      <c r="AH155" s="37"/>
      <c r="AI155" s="52"/>
      <c r="AJ155" s="87"/>
      <c r="AL155" s="86"/>
      <c r="AM155" s="37"/>
      <c r="AN155" s="52"/>
      <c r="AO155" s="87"/>
      <c r="AQ155" s="86"/>
      <c r="AR155" s="37"/>
      <c r="AS155" s="52"/>
      <c r="AT155" s="87"/>
    </row>
    <row r="156" spans="1:46" thickBot="1">
      <c r="B156" s="113"/>
      <c r="C156" s="324"/>
      <c r="D156" s="325"/>
      <c r="E156" s="326"/>
      <c r="F156" s="321" t="str">
        <f t="shared" si="43"/>
        <v/>
      </c>
      <c r="G156" s="334"/>
      <c r="H156" s="331"/>
      <c r="I156" s="107"/>
      <c r="J156" s="108"/>
      <c r="K156" s="109"/>
      <c r="L156" s="108"/>
      <c r="O156" s="86"/>
      <c r="P156" s="57"/>
      <c r="Q156" s="37"/>
      <c r="R156" s="92" t="str">
        <f t="shared" si="40"/>
        <v/>
      </c>
      <c r="S156" s="52"/>
      <c r="T156" s="87"/>
      <c r="U156" s="86"/>
      <c r="V156" s="201"/>
      <c r="W156" s="37"/>
      <c r="X156" s="52"/>
      <c r="Y156" s="87"/>
      <c r="AA156" s="86"/>
      <c r="AB156" s="57"/>
      <c r="AC156" s="37"/>
      <c r="AD156" s="52"/>
      <c r="AE156" s="87"/>
      <c r="AG156" s="86"/>
      <c r="AH156" s="37"/>
      <c r="AI156" s="52"/>
      <c r="AJ156" s="87"/>
      <c r="AL156" s="86"/>
      <c r="AM156" s="37"/>
      <c r="AN156" s="52"/>
      <c r="AO156" s="87"/>
      <c r="AQ156" s="86"/>
      <c r="AR156" s="37"/>
      <c r="AS156" s="52"/>
      <c r="AT156" s="87"/>
    </row>
    <row r="157" spans="1:46" thickBot="1">
      <c r="B157" s="113"/>
      <c r="C157" s="324"/>
      <c r="D157" s="325"/>
      <c r="E157" s="326"/>
      <c r="F157" s="321" t="str">
        <f t="shared" si="43"/>
        <v/>
      </c>
      <c r="G157" s="334"/>
      <c r="H157" s="331"/>
      <c r="I157" s="107"/>
      <c r="J157" s="108"/>
      <c r="K157" s="109"/>
      <c r="L157" s="108"/>
      <c r="O157" s="86"/>
      <c r="P157" s="57"/>
      <c r="Q157" s="37"/>
      <c r="R157" s="92" t="str">
        <f t="shared" si="40"/>
        <v/>
      </c>
      <c r="S157" s="52"/>
      <c r="T157" s="87"/>
      <c r="U157" s="86"/>
      <c r="V157" s="201"/>
      <c r="W157" s="37"/>
      <c r="X157" s="52"/>
      <c r="Y157" s="87"/>
      <c r="AA157" s="86"/>
      <c r="AB157" s="57"/>
      <c r="AC157" s="37"/>
      <c r="AD157" s="52"/>
      <c r="AE157" s="87"/>
      <c r="AG157" s="86"/>
      <c r="AH157" s="37"/>
      <c r="AI157" s="52"/>
      <c r="AJ157" s="87"/>
      <c r="AL157" s="86"/>
      <c r="AM157" s="37"/>
      <c r="AN157" s="52"/>
      <c r="AO157" s="87"/>
      <c r="AQ157" s="86"/>
      <c r="AR157" s="37"/>
      <c r="AS157" s="52"/>
      <c r="AT157" s="87"/>
    </row>
    <row r="158" spans="1:46" thickBot="1">
      <c r="B158" s="113"/>
      <c r="C158" s="324"/>
      <c r="D158" s="325"/>
      <c r="E158" s="326"/>
      <c r="F158" s="321" t="str">
        <f t="shared" si="43"/>
        <v/>
      </c>
      <c r="G158" s="334"/>
      <c r="H158" s="331"/>
      <c r="I158" s="107"/>
      <c r="J158" s="108"/>
      <c r="K158" s="109"/>
      <c r="L158" s="108"/>
      <c r="O158" s="86"/>
      <c r="P158" s="57"/>
      <c r="Q158" s="37"/>
      <c r="R158" s="92" t="str">
        <f t="shared" si="40"/>
        <v/>
      </c>
      <c r="S158" s="52"/>
      <c r="T158" s="87"/>
      <c r="U158" s="86"/>
      <c r="V158" s="201"/>
      <c r="W158" s="37"/>
      <c r="X158" s="52"/>
      <c r="Y158" s="87"/>
      <c r="AA158" s="86"/>
      <c r="AB158" s="57"/>
      <c r="AC158" s="37"/>
      <c r="AD158" s="52"/>
      <c r="AE158" s="87"/>
      <c r="AG158" s="86"/>
      <c r="AH158" s="37"/>
      <c r="AI158" s="52"/>
      <c r="AJ158" s="87"/>
      <c r="AL158" s="86"/>
      <c r="AM158" s="37"/>
      <c r="AN158" s="52"/>
      <c r="AO158" s="87"/>
      <c r="AQ158" s="86"/>
      <c r="AR158" s="37"/>
      <c r="AS158" s="52"/>
      <c r="AT158" s="87"/>
    </row>
    <row r="159" spans="1:46" thickBot="1">
      <c r="B159" s="113"/>
      <c r="C159" s="324"/>
      <c r="D159" s="325"/>
      <c r="E159" s="326"/>
      <c r="F159" s="321" t="str">
        <f t="shared" si="43"/>
        <v/>
      </c>
      <c r="G159" s="334"/>
      <c r="H159" s="331"/>
      <c r="I159" s="107"/>
      <c r="J159" s="108"/>
      <c r="K159" s="109"/>
      <c r="L159" s="108"/>
      <c r="O159" s="86"/>
      <c r="P159" s="57"/>
      <c r="Q159" s="37"/>
      <c r="R159" s="92" t="str">
        <f t="shared" si="40"/>
        <v/>
      </c>
      <c r="S159" s="52"/>
      <c r="T159" s="87"/>
      <c r="U159" s="86"/>
      <c r="V159" s="201"/>
      <c r="W159" s="37"/>
      <c r="X159" s="52"/>
      <c r="Y159" s="87"/>
      <c r="AA159" s="86"/>
      <c r="AB159" s="57"/>
      <c r="AC159" s="37"/>
      <c r="AD159" s="52"/>
      <c r="AE159" s="87"/>
      <c r="AG159" s="86"/>
      <c r="AH159" s="37"/>
      <c r="AI159" s="52"/>
      <c r="AJ159" s="87"/>
      <c r="AL159" s="86"/>
      <c r="AM159" s="37"/>
      <c r="AN159" s="52"/>
      <c r="AO159" s="87"/>
      <c r="AQ159" s="86"/>
      <c r="AR159" s="37"/>
      <c r="AS159" s="52"/>
      <c r="AT159" s="87"/>
    </row>
    <row r="160" spans="1:46" thickBot="1">
      <c r="B160" s="113"/>
      <c r="C160" s="324"/>
      <c r="D160" s="325"/>
      <c r="E160" s="326"/>
      <c r="F160" s="321" t="str">
        <f t="shared" si="43"/>
        <v/>
      </c>
      <c r="G160" s="334"/>
      <c r="H160" s="331"/>
      <c r="I160" s="107"/>
      <c r="J160" s="108"/>
      <c r="K160" s="109"/>
      <c r="L160" s="108"/>
      <c r="O160" s="86"/>
      <c r="P160" s="57"/>
      <c r="Q160" s="37"/>
      <c r="R160" s="92" t="str">
        <f t="shared" si="40"/>
        <v/>
      </c>
      <c r="S160" s="52"/>
      <c r="T160" s="87"/>
      <c r="U160" s="86"/>
      <c r="V160" s="201"/>
      <c r="W160" s="37"/>
      <c r="X160" s="52"/>
      <c r="Y160" s="87"/>
      <c r="AA160" s="86"/>
      <c r="AB160" s="57"/>
      <c r="AC160" s="37"/>
      <c r="AD160" s="52"/>
      <c r="AE160" s="87"/>
      <c r="AG160" s="86"/>
      <c r="AH160" s="37"/>
      <c r="AI160" s="52"/>
      <c r="AJ160" s="87"/>
      <c r="AL160" s="86"/>
      <c r="AM160" s="37"/>
      <c r="AN160" s="52"/>
      <c r="AO160" s="87"/>
      <c r="AQ160" s="86"/>
      <c r="AR160" s="37"/>
      <c r="AS160" s="52"/>
      <c r="AT160" s="87"/>
    </row>
    <row r="161" spans="2:46" thickBot="1">
      <c r="B161" s="113"/>
      <c r="C161" s="324"/>
      <c r="D161" s="325"/>
      <c r="E161" s="326"/>
      <c r="F161" s="321" t="str">
        <f t="shared" si="43"/>
        <v/>
      </c>
      <c r="G161" s="334"/>
      <c r="H161" s="331"/>
      <c r="I161" s="107"/>
      <c r="J161" s="108"/>
      <c r="K161" s="109"/>
      <c r="L161" s="108"/>
      <c r="O161" s="86"/>
      <c r="P161" s="57"/>
      <c r="Q161" s="37"/>
      <c r="R161" s="92" t="str">
        <f t="shared" si="40"/>
        <v/>
      </c>
      <c r="S161" s="52"/>
      <c r="T161" s="87"/>
      <c r="U161" s="86"/>
      <c r="V161" s="201"/>
      <c r="W161" s="37"/>
      <c r="X161" s="52"/>
      <c r="Y161" s="87"/>
      <c r="AA161" s="86"/>
      <c r="AB161" s="57"/>
      <c r="AC161" s="37"/>
      <c r="AD161" s="52"/>
      <c r="AE161" s="87"/>
      <c r="AG161" s="86"/>
      <c r="AH161" s="37"/>
      <c r="AI161" s="52"/>
      <c r="AJ161" s="87"/>
      <c r="AL161" s="86"/>
      <c r="AM161" s="37"/>
      <c r="AN161" s="52"/>
      <c r="AO161" s="87"/>
      <c r="AQ161" s="86"/>
      <c r="AR161" s="37"/>
      <c r="AS161" s="52"/>
      <c r="AT161" s="87"/>
    </row>
    <row r="162" spans="2:46" thickBot="1">
      <c r="B162" s="113"/>
      <c r="C162" s="324"/>
      <c r="D162" s="325"/>
      <c r="E162" s="326"/>
      <c r="F162" s="321" t="str">
        <f t="shared" si="43"/>
        <v/>
      </c>
      <c r="G162" s="334"/>
      <c r="H162" s="331"/>
      <c r="I162" s="107"/>
      <c r="J162" s="108"/>
      <c r="K162" s="109"/>
      <c r="L162" s="108"/>
      <c r="O162" s="86"/>
      <c r="P162" s="57"/>
      <c r="Q162" s="37"/>
      <c r="R162" s="92" t="str">
        <f t="shared" si="40"/>
        <v/>
      </c>
      <c r="S162" s="52"/>
      <c r="T162" s="87"/>
      <c r="U162" s="86"/>
      <c r="V162" s="201"/>
      <c r="W162" s="37"/>
      <c r="X162" s="52"/>
      <c r="Y162" s="87"/>
      <c r="AA162" s="86"/>
      <c r="AB162" s="57"/>
      <c r="AC162" s="37"/>
      <c r="AD162" s="52"/>
      <c r="AE162" s="87"/>
      <c r="AG162" s="86"/>
      <c r="AH162" s="37"/>
      <c r="AI162" s="52"/>
      <c r="AJ162" s="87"/>
      <c r="AL162" s="86"/>
      <c r="AM162" s="37"/>
      <c r="AN162" s="52"/>
      <c r="AO162" s="87"/>
      <c r="AQ162" s="86"/>
      <c r="AR162" s="37"/>
      <c r="AS162" s="52"/>
      <c r="AT162" s="87"/>
    </row>
    <row r="163" spans="2:46" thickBot="1">
      <c r="B163" s="113"/>
      <c r="C163" s="324"/>
      <c r="D163" s="325"/>
      <c r="E163" s="326"/>
      <c r="F163" s="321" t="str">
        <f t="shared" si="43"/>
        <v/>
      </c>
      <c r="G163" s="334"/>
      <c r="H163" s="331"/>
      <c r="I163" s="107"/>
      <c r="J163" s="108"/>
      <c r="K163" s="109"/>
      <c r="L163" s="108"/>
      <c r="O163" s="86"/>
      <c r="P163" s="57"/>
      <c r="Q163" s="37"/>
      <c r="R163" s="92" t="str">
        <f t="shared" si="40"/>
        <v/>
      </c>
      <c r="S163" s="52"/>
      <c r="T163" s="87"/>
      <c r="U163" s="86"/>
      <c r="V163" s="201"/>
      <c r="W163" s="37"/>
      <c r="X163" s="52"/>
      <c r="Y163" s="87"/>
      <c r="AA163" s="86"/>
      <c r="AB163" s="57"/>
      <c r="AC163" s="37"/>
      <c r="AD163" s="52"/>
      <c r="AE163" s="87"/>
      <c r="AG163" s="86"/>
      <c r="AH163" s="37"/>
      <c r="AI163" s="52"/>
      <c r="AJ163" s="87"/>
      <c r="AL163" s="86"/>
      <c r="AM163" s="37"/>
      <c r="AN163" s="52"/>
      <c r="AO163" s="87"/>
      <c r="AQ163" s="86"/>
      <c r="AR163" s="37"/>
      <c r="AS163" s="52"/>
      <c r="AT163" s="87"/>
    </row>
    <row r="164" spans="2:46" thickBot="1">
      <c r="B164" s="113"/>
      <c r="C164" s="324"/>
      <c r="D164" s="325"/>
      <c r="E164" s="326"/>
      <c r="F164" s="321" t="str">
        <f t="shared" si="43"/>
        <v/>
      </c>
      <c r="G164" s="334"/>
      <c r="H164" s="331"/>
      <c r="I164" s="107"/>
      <c r="J164" s="108"/>
      <c r="K164" s="109"/>
      <c r="L164" s="108"/>
      <c r="O164" s="86"/>
      <c r="P164" s="57"/>
      <c r="Q164" s="37"/>
      <c r="R164" s="92" t="str">
        <f t="shared" si="40"/>
        <v/>
      </c>
      <c r="S164" s="52"/>
      <c r="T164" s="87"/>
      <c r="U164" s="86"/>
      <c r="V164" s="201"/>
      <c r="W164" s="37"/>
      <c r="X164" s="52"/>
      <c r="Y164" s="87"/>
      <c r="AA164" s="86"/>
      <c r="AB164" s="57"/>
      <c r="AC164" s="37"/>
      <c r="AD164" s="52"/>
      <c r="AE164" s="87"/>
      <c r="AG164" s="86"/>
      <c r="AH164" s="37"/>
      <c r="AI164" s="52"/>
      <c r="AJ164" s="87"/>
      <c r="AL164" s="86"/>
      <c r="AM164" s="37"/>
      <c r="AN164" s="52"/>
      <c r="AO164" s="87"/>
      <c r="AQ164" s="86"/>
      <c r="AR164" s="37"/>
      <c r="AS164" s="52"/>
      <c r="AT164" s="87"/>
    </row>
    <row r="165" spans="2:46" thickBot="1">
      <c r="B165" s="113"/>
      <c r="C165" s="324"/>
      <c r="D165" s="325"/>
      <c r="E165" s="326"/>
      <c r="F165" s="321" t="str">
        <f t="shared" si="43"/>
        <v/>
      </c>
      <c r="G165" s="334"/>
      <c r="H165" s="331"/>
      <c r="I165" s="107"/>
      <c r="J165" s="108"/>
      <c r="K165" s="109"/>
      <c r="L165" s="108"/>
      <c r="O165" s="86"/>
      <c r="P165" s="57"/>
      <c r="Q165" s="37"/>
      <c r="R165" s="92" t="str">
        <f t="shared" si="40"/>
        <v/>
      </c>
      <c r="S165" s="52"/>
      <c r="T165" s="87"/>
      <c r="U165" s="86"/>
      <c r="V165" s="201"/>
      <c r="W165" s="37"/>
      <c r="X165" s="52"/>
      <c r="Y165" s="87"/>
      <c r="AA165" s="86"/>
      <c r="AB165" s="57"/>
      <c r="AC165" s="37"/>
      <c r="AD165" s="52"/>
      <c r="AE165" s="87"/>
      <c r="AG165" s="86"/>
      <c r="AH165" s="37"/>
      <c r="AI165" s="52"/>
      <c r="AJ165" s="87"/>
      <c r="AL165" s="86"/>
      <c r="AM165" s="37"/>
      <c r="AN165" s="52"/>
      <c r="AO165" s="87"/>
      <c r="AQ165" s="86"/>
      <c r="AR165" s="37"/>
      <c r="AS165" s="52"/>
      <c r="AT165" s="87"/>
    </row>
    <row r="166" spans="2:46" thickBot="1">
      <c r="B166" s="113"/>
      <c r="C166" s="324"/>
      <c r="D166" s="325"/>
      <c r="E166" s="326"/>
      <c r="F166" s="321" t="str">
        <f t="shared" si="43"/>
        <v/>
      </c>
      <c r="G166" s="334"/>
      <c r="H166" s="331"/>
      <c r="I166" s="107"/>
      <c r="J166" s="108"/>
      <c r="K166" s="109"/>
      <c r="L166" s="108"/>
      <c r="O166" s="86"/>
      <c r="P166" s="57"/>
      <c r="Q166" s="37"/>
      <c r="R166" s="92" t="str">
        <f t="shared" si="40"/>
        <v/>
      </c>
      <c r="S166" s="52"/>
      <c r="T166" s="87"/>
      <c r="U166" s="86"/>
      <c r="V166" s="201"/>
      <c r="W166" s="37"/>
      <c r="X166" s="52"/>
      <c r="Y166" s="87"/>
      <c r="AA166" s="86"/>
      <c r="AB166" s="57"/>
      <c r="AC166" s="37"/>
      <c r="AD166" s="52"/>
      <c r="AE166" s="87"/>
      <c r="AG166" s="86"/>
      <c r="AH166" s="37"/>
      <c r="AI166" s="52"/>
      <c r="AJ166" s="87"/>
      <c r="AL166" s="86"/>
      <c r="AM166" s="37"/>
      <c r="AN166" s="52"/>
      <c r="AO166" s="87"/>
      <c r="AQ166" s="86"/>
      <c r="AR166" s="37"/>
      <c r="AS166" s="52"/>
      <c r="AT166" s="87"/>
    </row>
    <row r="167" spans="2:46" thickBot="1">
      <c r="B167" s="113"/>
      <c r="C167" s="324"/>
      <c r="D167" s="325"/>
      <c r="E167" s="326"/>
      <c r="F167" s="321" t="str">
        <f t="shared" si="43"/>
        <v/>
      </c>
      <c r="G167" s="334"/>
      <c r="H167" s="331"/>
      <c r="I167" s="107"/>
      <c r="J167" s="108"/>
      <c r="K167" s="109"/>
      <c r="L167" s="108"/>
      <c r="O167" s="86"/>
      <c r="P167" s="57"/>
      <c r="Q167" s="37"/>
      <c r="R167" s="92" t="str">
        <f t="shared" si="40"/>
        <v/>
      </c>
      <c r="S167" s="52"/>
      <c r="T167" s="87"/>
      <c r="U167" s="86"/>
      <c r="V167" s="201"/>
      <c r="W167" s="37"/>
      <c r="X167" s="52"/>
      <c r="Y167" s="87"/>
      <c r="AA167" s="86"/>
      <c r="AB167" s="57"/>
      <c r="AC167" s="37"/>
      <c r="AD167" s="52"/>
      <c r="AE167" s="87"/>
      <c r="AG167" s="86"/>
      <c r="AH167" s="37"/>
      <c r="AI167" s="52"/>
      <c r="AJ167" s="87"/>
      <c r="AL167" s="86"/>
      <c r="AM167" s="37"/>
      <c r="AN167" s="52"/>
      <c r="AO167" s="87"/>
      <c r="AQ167" s="86"/>
      <c r="AR167" s="37"/>
      <c r="AS167" s="52"/>
      <c r="AT167" s="87"/>
    </row>
    <row r="168" spans="2:46" thickBot="1">
      <c r="B168" s="113"/>
      <c r="C168" s="324"/>
      <c r="D168" s="325"/>
      <c r="E168" s="326"/>
      <c r="F168" s="321" t="str">
        <f t="shared" si="43"/>
        <v/>
      </c>
      <c r="G168" s="334"/>
      <c r="H168" s="331"/>
      <c r="I168" s="107"/>
      <c r="J168" s="108"/>
      <c r="K168" s="109"/>
      <c r="L168" s="108"/>
      <c r="O168" s="86"/>
      <c r="P168" s="57"/>
      <c r="Q168" s="37"/>
      <c r="R168" s="92" t="str">
        <f t="shared" si="40"/>
        <v/>
      </c>
      <c r="S168" s="52"/>
      <c r="T168" s="87"/>
      <c r="U168" s="86"/>
      <c r="V168" s="201"/>
      <c r="W168" s="37"/>
      <c r="X168" s="52"/>
      <c r="Y168" s="87"/>
      <c r="AA168" s="86"/>
      <c r="AB168" s="57"/>
      <c r="AC168" s="37"/>
      <c r="AD168" s="52"/>
      <c r="AE168" s="87"/>
      <c r="AG168" s="86"/>
      <c r="AH168" s="37"/>
      <c r="AI168" s="52"/>
      <c r="AJ168" s="87"/>
      <c r="AL168" s="86"/>
      <c r="AM168" s="37"/>
      <c r="AN168" s="52"/>
      <c r="AO168" s="87"/>
      <c r="AQ168" s="86"/>
      <c r="AR168" s="37"/>
      <c r="AS168" s="52"/>
      <c r="AT168" s="87"/>
    </row>
    <row r="169" spans="2:46" thickBot="1">
      <c r="B169" s="113"/>
      <c r="C169" s="324"/>
      <c r="D169" s="325"/>
      <c r="E169" s="326"/>
      <c r="F169" s="321" t="str">
        <f t="shared" si="43"/>
        <v/>
      </c>
      <c r="G169" s="334"/>
      <c r="H169" s="331"/>
      <c r="I169" s="107"/>
      <c r="J169" s="108"/>
      <c r="K169" s="109"/>
      <c r="L169" s="108"/>
      <c r="O169" s="86"/>
      <c r="P169" s="57"/>
      <c r="Q169" s="37"/>
      <c r="R169" s="92" t="str">
        <f t="shared" si="40"/>
        <v/>
      </c>
      <c r="S169" s="52"/>
      <c r="T169" s="87"/>
      <c r="U169" s="86"/>
      <c r="V169" s="201"/>
      <c r="W169" s="37"/>
      <c r="X169" s="52"/>
      <c r="Y169" s="87"/>
      <c r="AA169" s="86"/>
      <c r="AB169" s="57"/>
      <c r="AC169" s="37"/>
      <c r="AD169" s="52"/>
      <c r="AE169" s="87"/>
      <c r="AG169" s="86"/>
      <c r="AH169" s="37"/>
      <c r="AI169" s="52"/>
      <c r="AJ169" s="87"/>
      <c r="AL169" s="86"/>
      <c r="AM169" s="37"/>
      <c r="AN169" s="52"/>
      <c r="AO169" s="87"/>
      <c r="AQ169" s="86"/>
      <c r="AR169" s="37"/>
      <c r="AS169" s="52"/>
      <c r="AT169" s="87"/>
    </row>
    <row r="170" spans="2:46" thickBot="1">
      <c r="B170" s="113"/>
      <c r="C170" s="324"/>
      <c r="D170" s="325"/>
      <c r="E170" s="326"/>
      <c r="F170" s="321" t="str">
        <f t="shared" si="43"/>
        <v/>
      </c>
      <c r="G170" s="334"/>
      <c r="H170" s="331"/>
      <c r="I170" s="107"/>
      <c r="J170" s="108"/>
      <c r="K170" s="109"/>
      <c r="L170" s="108"/>
      <c r="O170" s="86"/>
      <c r="P170" s="57"/>
      <c r="Q170" s="37"/>
      <c r="R170" s="92" t="str">
        <f t="shared" si="40"/>
        <v/>
      </c>
      <c r="S170" s="52"/>
      <c r="T170" s="87"/>
      <c r="U170" s="86"/>
      <c r="V170" s="201"/>
      <c r="W170" s="37"/>
      <c r="X170" s="52"/>
      <c r="Y170" s="87"/>
      <c r="AA170" s="86"/>
      <c r="AB170" s="57"/>
      <c r="AC170" s="37"/>
      <c r="AD170" s="52"/>
      <c r="AE170" s="87"/>
      <c r="AG170" s="86"/>
      <c r="AH170" s="37"/>
      <c r="AI170" s="52"/>
      <c r="AJ170" s="87"/>
      <c r="AL170" s="86"/>
      <c r="AM170" s="37"/>
      <c r="AN170" s="52"/>
      <c r="AO170" s="87"/>
      <c r="AQ170" s="86"/>
      <c r="AR170" s="37"/>
      <c r="AS170" s="52"/>
      <c r="AT170" s="87"/>
    </row>
    <row r="171" spans="2:46" thickBot="1">
      <c r="B171" s="113"/>
      <c r="C171" s="324"/>
      <c r="D171" s="325"/>
      <c r="E171" s="326"/>
      <c r="F171" s="321" t="str">
        <f t="shared" si="43"/>
        <v/>
      </c>
      <c r="G171" s="334"/>
      <c r="H171" s="331"/>
      <c r="I171" s="107"/>
      <c r="J171" s="108"/>
      <c r="K171" s="109"/>
      <c r="L171" s="108"/>
      <c r="O171" s="86"/>
      <c r="P171" s="57"/>
      <c r="Q171" s="37"/>
      <c r="R171" s="92" t="str">
        <f t="shared" ref="R171:R234" si="44">IF(Q171="","",ROUND(S171*(1+$F$2),2))</f>
        <v/>
      </c>
      <c r="S171" s="52"/>
      <c r="T171" s="87"/>
      <c r="U171" s="86"/>
      <c r="V171" s="201"/>
      <c r="W171" s="37"/>
      <c r="X171" s="52"/>
      <c r="Y171" s="87"/>
      <c r="AA171" s="86"/>
      <c r="AB171" s="57"/>
      <c r="AC171" s="37"/>
      <c r="AD171" s="52"/>
      <c r="AE171" s="87"/>
      <c r="AG171" s="86"/>
      <c r="AH171" s="37"/>
      <c r="AI171" s="52"/>
      <c r="AJ171" s="87"/>
      <c r="AL171" s="86"/>
      <c r="AM171" s="37"/>
      <c r="AN171" s="52"/>
      <c r="AO171" s="87"/>
      <c r="AQ171" s="86"/>
      <c r="AR171" s="37"/>
      <c r="AS171" s="52"/>
      <c r="AT171" s="87"/>
    </row>
    <row r="172" spans="2:46" thickBot="1">
      <c r="B172" s="113"/>
      <c r="C172" s="324"/>
      <c r="D172" s="325"/>
      <c r="E172" s="326"/>
      <c r="F172" s="321" t="str">
        <f t="shared" si="43"/>
        <v/>
      </c>
      <c r="G172" s="334"/>
      <c r="H172" s="331"/>
      <c r="I172" s="107"/>
      <c r="J172" s="108"/>
      <c r="K172" s="109"/>
      <c r="L172" s="108"/>
      <c r="O172" s="86"/>
      <c r="P172" s="57"/>
      <c r="Q172" s="37"/>
      <c r="R172" s="92" t="str">
        <f t="shared" si="44"/>
        <v/>
      </c>
      <c r="S172" s="52"/>
      <c r="T172" s="87"/>
      <c r="U172" s="86"/>
      <c r="V172" s="201"/>
      <c r="W172" s="37"/>
      <c r="X172" s="52"/>
      <c r="Y172" s="87"/>
      <c r="AA172" s="86"/>
      <c r="AB172" s="57"/>
      <c r="AC172" s="37"/>
      <c r="AD172" s="52"/>
      <c r="AE172" s="87"/>
      <c r="AG172" s="86"/>
      <c r="AH172" s="37"/>
      <c r="AI172" s="52"/>
      <c r="AJ172" s="87"/>
      <c r="AL172" s="86"/>
      <c r="AM172" s="37"/>
      <c r="AN172" s="52"/>
      <c r="AO172" s="87"/>
      <c r="AQ172" s="86"/>
      <c r="AR172" s="37"/>
      <c r="AS172" s="52"/>
      <c r="AT172" s="87"/>
    </row>
    <row r="173" spans="2:46" thickBot="1">
      <c r="B173" s="113"/>
      <c r="C173" s="324"/>
      <c r="D173" s="325"/>
      <c r="E173" s="326"/>
      <c r="F173" s="321" t="str">
        <f t="shared" si="43"/>
        <v/>
      </c>
      <c r="G173" s="334"/>
      <c r="H173" s="331"/>
      <c r="I173" s="107"/>
      <c r="J173" s="108"/>
      <c r="K173" s="109"/>
      <c r="L173" s="108"/>
      <c r="O173" s="86"/>
      <c r="P173" s="57"/>
      <c r="Q173" s="37"/>
      <c r="R173" s="92" t="str">
        <f t="shared" si="44"/>
        <v/>
      </c>
      <c r="S173" s="52"/>
      <c r="T173" s="87"/>
      <c r="U173" s="86"/>
      <c r="V173" s="201"/>
      <c r="W173" s="37"/>
      <c r="X173" s="52"/>
      <c r="Y173" s="87"/>
      <c r="AA173" s="86"/>
      <c r="AB173" s="57"/>
      <c r="AC173" s="37"/>
      <c r="AD173" s="52"/>
      <c r="AE173" s="87"/>
      <c r="AG173" s="86"/>
      <c r="AH173" s="37"/>
      <c r="AI173" s="52"/>
      <c r="AJ173" s="87"/>
      <c r="AL173" s="86"/>
      <c r="AM173" s="37"/>
      <c r="AN173" s="52"/>
      <c r="AO173" s="87"/>
      <c r="AQ173" s="86"/>
      <c r="AR173" s="37"/>
      <c r="AS173" s="52"/>
      <c r="AT173" s="87"/>
    </row>
    <row r="174" spans="2:46" thickBot="1">
      <c r="B174" s="113"/>
      <c r="C174" s="324"/>
      <c r="D174" s="325"/>
      <c r="E174" s="326"/>
      <c r="F174" s="321" t="str">
        <f t="shared" si="43"/>
        <v/>
      </c>
      <c r="G174" s="334"/>
      <c r="H174" s="331"/>
      <c r="I174" s="107"/>
      <c r="J174" s="108"/>
      <c r="K174" s="109"/>
      <c r="L174" s="108"/>
      <c r="O174" s="86"/>
      <c r="P174" s="57"/>
      <c r="Q174" s="37"/>
      <c r="R174" s="92" t="str">
        <f t="shared" si="44"/>
        <v/>
      </c>
      <c r="S174" s="52"/>
      <c r="T174" s="87"/>
      <c r="U174" s="86"/>
      <c r="V174" s="201"/>
      <c r="W174" s="37"/>
      <c r="X174" s="52"/>
      <c r="Y174" s="87"/>
      <c r="AA174" s="86"/>
      <c r="AB174" s="57"/>
      <c r="AC174" s="37"/>
      <c r="AD174" s="52"/>
      <c r="AE174" s="87"/>
      <c r="AG174" s="86"/>
      <c r="AH174" s="37"/>
      <c r="AI174" s="52"/>
      <c r="AJ174" s="87"/>
      <c r="AL174" s="86"/>
      <c r="AM174" s="37"/>
      <c r="AN174" s="52"/>
      <c r="AO174" s="87"/>
      <c r="AQ174" s="86"/>
      <c r="AR174" s="37"/>
      <c r="AS174" s="52"/>
      <c r="AT174" s="87"/>
    </row>
    <row r="175" spans="2:46" thickBot="1">
      <c r="B175" s="113"/>
      <c r="C175" s="324"/>
      <c r="D175" s="325"/>
      <c r="E175" s="326"/>
      <c r="F175" s="321" t="str">
        <f t="shared" si="43"/>
        <v/>
      </c>
      <c r="G175" s="334"/>
      <c r="H175" s="331"/>
      <c r="I175" s="107"/>
      <c r="J175" s="108"/>
      <c r="K175" s="109"/>
      <c r="L175" s="108"/>
      <c r="O175" s="86"/>
      <c r="P175" s="57"/>
      <c r="Q175" s="37"/>
      <c r="R175" s="92" t="str">
        <f t="shared" si="44"/>
        <v/>
      </c>
      <c r="S175" s="52"/>
      <c r="T175" s="87"/>
      <c r="U175" s="86"/>
      <c r="V175" s="201"/>
      <c r="W175" s="37"/>
      <c r="X175" s="52"/>
      <c r="Y175" s="87"/>
      <c r="AA175" s="86"/>
      <c r="AB175" s="57"/>
      <c r="AC175" s="37"/>
      <c r="AD175" s="52"/>
      <c r="AE175" s="87"/>
      <c r="AG175" s="86"/>
      <c r="AH175" s="37"/>
      <c r="AI175" s="52"/>
      <c r="AJ175" s="87"/>
      <c r="AL175" s="86"/>
      <c r="AM175" s="37"/>
      <c r="AN175" s="52"/>
      <c r="AO175" s="87"/>
      <c r="AQ175" s="86"/>
      <c r="AR175" s="37"/>
      <c r="AS175" s="52"/>
      <c r="AT175" s="87"/>
    </row>
    <row r="176" spans="2:46" thickBot="1">
      <c r="B176" s="113"/>
      <c r="C176" s="324"/>
      <c r="D176" s="325"/>
      <c r="E176" s="326"/>
      <c r="F176" s="321" t="str">
        <f t="shared" si="43"/>
        <v/>
      </c>
      <c r="G176" s="334"/>
      <c r="H176" s="331"/>
      <c r="I176" s="107"/>
      <c r="J176" s="108"/>
      <c r="K176" s="109"/>
      <c r="L176" s="108"/>
      <c r="O176" s="86"/>
      <c r="P176" s="57"/>
      <c r="Q176" s="37"/>
      <c r="R176" s="92" t="str">
        <f t="shared" si="44"/>
        <v/>
      </c>
      <c r="S176" s="52"/>
      <c r="T176" s="87"/>
      <c r="U176" s="86"/>
      <c r="V176" s="201"/>
      <c r="W176" s="37"/>
      <c r="X176" s="52"/>
      <c r="Y176" s="87"/>
      <c r="AA176" s="86"/>
      <c r="AB176" s="57"/>
      <c r="AC176" s="37"/>
      <c r="AD176" s="52"/>
      <c r="AE176" s="87"/>
      <c r="AG176" s="86"/>
      <c r="AH176" s="37"/>
      <c r="AI176" s="52"/>
      <c r="AJ176" s="87"/>
      <c r="AL176" s="86"/>
      <c r="AM176" s="37"/>
      <c r="AN176" s="52"/>
      <c r="AO176" s="87"/>
      <c r="AQ176" s="86"/>
      <c r="AR176" s="37"/>
      <c r="AS176" s="52"/>
      <c r="AT176" s="87"/>
    </row>
    <row r="177" spans="2:46" thickBot="1">
      <c r="B177" s="113"/>
      <c r="C177" s="324"/>
      <c r="D177" s="325"/>
      <c r="E177" s="326"/>
      <c r="F177" s="321" t="str">
        <f t="shared" si="43"/>
        <v/>
      </c>
      <c r="G177" s="334"/>
      <c r="H177" s="331"/>
      <c r="I177" s="107"/>
      <c r="J177" s="108"/>
      <c r="K177" s="109"/>
      <c r="L177" s="108"/>
      <c r="O177" s="86"/>
      <c r="P177" s="57"/>
      <c r="Q177" s="37"/>
      <c r="R177" s="92" t="str">
        <f t="shared" si="44"/>
        <v/>
      </c>
      <c r="S177" s="52"/>
      <c r="T177" s="87"/>
      <c r="U177" s="86"/>
      <c r="V177" s="201"/>
      <c r="W177" s="37"/>
      <c r="X177" s="52"/>
      <c r="Y177" s="87"/>
      <c r="AA177" s="86"/>
      <c r="AB177" s="57"/>
      <c r="AC177" s="37"/>
      <c r="AD177" s="52"/>
      <c r="AE177" s="87"/>
      <c r="AG177" s="86"/>
      <c r="AH177" s="37"/>
      <c r="AI177" s="52"/>
      <c r="AJ177" s="87"/>
      <c r="AL177" s="86"/>
      <c r="AM177" s="37"/>
      <c r="AN177" s="52"/>
      <c r="AO177" s="87"/>
      <c r="AQ177" s="86"/>
      <c r="AR177" s="37"/>
      <c r="AS177" s="52"/>
      <c r="AT177" s="87"/>
    </row>
    <row r="178" spans="2:46" thickBot="1">
      <c r="B178" s="113"/>
      <c r="C178" s="324"/>
      <c r="D178" s="325"/>
      <c r="E178" s="326"/>
      <c r="F178" s="321" t="str">
        <f t="shared" si="43"/>
        <v/>
      </c>
      <c r="G178" s="334"/>
      <c r="H178" s="331"/>
      <c r="I178" s="107"/>
      <c r="J178" s="108"/>
      <c r="K178" s="109"/>
      <c r="L178" s="108"/>
      <c r="O178" s="86"/>
      <c r="P178" s="57"/>
      <c r="Q178" s="37"/>
      <c r="R178" s="92" t="str">
        <f t="shared" si="44"/>
        <v/>
      </c>
      <c r="S178" s="52"/>
      <c r="T178" s="87"/>
      <c r="U178" s="86"/>
      <c r="V178" s="201"/>
      <c r="W178" s="37"/>
      <c r="X178" s="52"/>
      <c r="Y178" s="87"/>
      <c r="AA178" s="86"/>
      <c r="AB178" s="57"/>
      <c r="AC178" s="37"/>
      <c r="AD178" s="52"/>
      <c r="AE178" s="87"/>
      <c r="AG178" s="86"/>
      <c r="AH178" s="37"/>
      <c r="AI178" s="52"/>
      <c r="AJ178" s="87"/>
      <c r="AL178" s="86"/>
      <c r="AM178" s="37"/>
      <c r="AN178" s="52"/>
      <c r="AO178" s="87"/>
      <c r="AQ178" s="86"/>
      <c r="AR178" s="37"/>
      <c r="AS178" s="52"/>
      <c r="AT178" s="87"/>
    </row>
    <row r="179" spans="2:46" thickBot="1">
      <c r="B179" s="113"/>
      <c r="C179" s="324"/>
      <c r="D179" s="325"/>
      <c r="E179" s="326"/>
      <c r="F179" s="321" t="str">
        <f t="shared" si="43"/>
        <v/>
      </c>
      <c r="G179" s="334"/>
      <c r="H179" s="331"/>
      <c r="I179" s="107"/>
      <c r="J179" s="108"/>
      <c r="K179" s="109"/>
      <c r="L179" s="108"/>
      <c r="O179" s="86"/>
      <c r="P179" s="57"/>
      <c r="Q179" s="37"/>
      <c r="R179" s="92" t="str">
        <f t="shared" si="44"/>
        <v/>
      </c>
      <c r="S179" s="52"/>
      <c r="T179" s="87"/>
      <c r="U179" s="86"/>
      <c r="V179" s="201"/>
      <c r="W179" s="37"/>
      <c r="X179" s="52"/>
      <c r="Y179" s="87"/>
      <c r="AA179" s="86"/>
      <c r="AB179" s="57"/>
      <c r="AC179" s="37"/>
      <c r="AD179" s="52"/>
      <c r="AE179" s="87"/>
      <c r="AG179" s="86"/>
      <c r="AH179" s="37"/>
      <c r="AI179" s="52"/>
      <c r="AJ179" s="87"/>
      <c r="AL179" s="86"/>
      <c r="AM179" s="37"/>
      <c r="AN179" s="52"/>
      <c r="AO179" s="87"/>
      <c r="AQ179" s="86"/>
      <c r="AR179" s="37"/>
      <c r="AS179" s="52"/>
      <c r="AT179" s="87"/>
    </row>
    <row r="180" spans="2:46" thickBot="1">
      <c r="B180" s="113"/>
      <c r="C180" s="324"/>
      <c r="D180" s="325"/>
      <c r="E180" s="326"/>
      <c r="F180" s="321" t="str">
        <f t="shared" si="43"/>
        <v/>
      </c>
      <c r="G180" s="334"/>
      <c r="H180" s="331"/>
      <c r="I180" s="107"/>
      <c r="J180" s="108"/>
      <c r="K180" s="109"/>
      <c r="L180" s="108"/>
      <c r="O180" s="86"/>
      <c r="P180" s="57"/>
      <c r="Q180" s="37"/>
      <c r="R180" s="92" t="str">
        <f t="shared" si="44"/>
        <v/>
      </c>
      <c r="S180" s="52"/>
      <c r="T180" s="87"/>
      <c r="U180" s="86"/>
      <c r="V180" s="201"/>
      <c r="W180" s="37"/>
      <c r="X180" s="52"/>
      <c r="Y180" s="87"/>
      <c r="AA180" s="86"/>
      <c r="AB180" s="57"/>
      <c r="AC180" s="37"/>
      <c r="AD180" s="52"/>
      <c r="AE180" s="87"/>
      <c r="AG180" s="86"/>
      <c r="AH180" s="37"/>
      <c r="AI180" s="52"/>
      <c r="AJ180" s="87"/>
      <c r="AL180" s="86"/>
      <c r="AM180" s="37"/>
      <c r="AN180" s="52"/>
      <c r="AO180" s="87"/>
      <c r="AQ180" s="86"/>
      <c r="AR180" s="37"/>
      <c r="AS180" s="52"/>
      <c r="AT180" s="87"/>
    </row>
    <row r="181" spans="2:46" thickBot="1">
      <c r="B181" s="113"/>
      <c r="C181" s="324"/>
      <c r="D181" s="346"/>
      <c r="E181" s="326"/>
      <c r="F181" s="321" t="str">
        <f t="shared" ref="F181:F197" si="45">IF(E181="","",ROUND(G181*(1+$F$2),2))</f>
        <v/>
      </c>
      <c r="G181" s="334"/>
      <c r="H181" s="331"/>
      <c r="I181" s="107"/>
      <c r="J181" s="108"/>
      <c r="K181" s="109"/>
      <c r="L181" s="108"/>
      <c r="O181" s="86"/>
      <c r="P181" s="57"/>
      <c r="Q181" s="37"/>
      <c r="R181" s="92" t="str">
        <f t="shared" si="44"/>
        <v/>
      </c>
      <c r="S181" s="52"/>
      <c r="T181" s="87"/>
      <c r="U181" s="86"/>
      <c r="V181" s="201"/>
      <c r="W181" s="37"/>
      <c r="X181" s="52"/>
      <c r="Y181" s="87"/>
      <c r="AA181" s="86"/>
      <c r="AB181" s="57"/>
      <c r="AC181" s="37"/>
      <c r="AD181" s="52"/>
      <c r="AE181" s="87"/>
      <c r="AG181" s="86"/>
      <c r="AH181" s="37"/>
      <c r="AI181" s="52"/>
      <c r="AJ181" s="87"/>
      <c r="AL181" s="86"/>
      <c r="AM181" s="37"/>
      <c r="AN181" s="52"/>
      <c r="AO181" s="87"/>
      <c r="AQ181" s="86"/>
      <c r="AR181" s="37"/>
      <c r="AS181" s="52"/>
      <c r="AT181" s="87"/>
    </row>
    <row r="182" spans="2:46" thickBot="1">
      <c r="B182" s="113"/>
      <c r="C182" s="324"/>
      <c r="D182" s="346"/>
      <c r="E182" s="326"/>
      <c r="F182" s="321" t="str">
        <f t="shared" si="45"/>
        <v/>
      </c>
      <c r="G182" s="334"/>
      <c r="H182" s="331"/>
      <c r="I182" s="107"/>
      <c r="J182" s="108"/>
      <c r="K182" s="109"/>
      <c r="L182" s="108"/>
      <c r="O182" s="86"/>
      <c r="P182" s="57"/>
      <c r="Q182" s="37"/>
      <c r="R182" s="92" t="str">
        <f t="shared" si="44"/>
        <v/>
      </c>
      <c r="S182" s="52"/>
      <c r="T182" s="87"/>
      <c r="U182" s="86"/>
      <c r="V182" s="201"/>
      <c r="W182" s="37"/>
      <c r="X182" s="52"/>
      <c r="Y182" s="87"/>
      <c r="AA182" s="86"/>
      <c r="AB182" s="57"/>
      <c r="AC182" s="37"/>
      <c r="AD182" s="52"/>
      <c r="AE182" s="87"/>
      <c r="AG182" s="86"/>
      <c r="AH182" s="37"/>
      <c r="AI182" s="52"/>
      <c r="AJ182" s="87"/>
      <c r="AL182" s="86"/>
      <c r="AM182" s="37"/>
      <c r="AN182" s="52"/>
      <c r="AO182" s="87"/>
      <c r="AQ182" s="86"/>
      <c r="AR182" s="37"/>
      <c r="AS182" s="52"/>
      <c r="AT182" s="87"/>
    </row>
    <row r="183" spans="2:46" thickBot="1">
      <c r="B183" s="113"/>
      <c r="C183" s="324"/>
      <c r="D183" s="346"/>
      <c r="E183" s="326"/>
      <c r="F183" s="321" t="str">
        <f t="shared" si="45"/>
        <v/>
      </c>
      <c r="G183" s="334"/>
      <c r="H183" s="331"/>
      <c r="I183" s="107"/>
      <c r="J183" s="108"/>
      <c r="K183" s="109"/>
      <c r="L183" s="108"/>
      <c r="O183" s="86"/>
      <c r="P183" s="57"/>
      <c r="Q183" s="37"/>
      <c r="R183" s="92" t="str">
        <f t="shared" si="44"/>
        <v/>
      </c>
      <c r="S183" s="52"/>
      <c r="T183" s="87"/>
      <c r="U183" s="86"/>
      <c r="V183" s="201"/>
      <c r="W183" s="37"/>
      <c r="X183" s="52"/>
      <c r="Y183" s="87"/>
      <c r="AA183" s="86"/>
      <c r="AB183" s="57"/>
      <c r="AC183" s="37"/>
      <c r="AD183" s="52"/>
      <c r="AE183" s="87"/>
      <c r="AG183" s="86"/>
      <c r="AH183" s="37"/>
      <c r="AI183" s="52"/>
      <c r="AJ183" s="87"/>
      <c r="AL183" s="86"/>
      <c r="AM183" s="37"/>
      <c r="AN183" s="52"/>
      <c r="AO183" s="87"/>
      <c r="AQ183" s="86"/>
      <c r="AR183" s="37"/>
      <c r="AS183" s="52"/>
      <c r="AT183" s="87"/>
    </row>
    <row r="184" spans="2:46" thickBot="1">
      <c r="B184" s="113"/>
      <c r="C184" s="324"/>
      <c r="D184" s="346"/>
      <c r="E184" s="326"/>
      <c r="F184" s="321" t="str">
        <f t="shared" si="45"/>
        <v/>
      </c>
      <c r="G184" s="334"/>
      <c r="H184" s="331"/>
      <c r="I184" s="107"/>
      <c r="J184" s="108"/>
      <c r="K184" s="109"/>
      <c r="L184" s="108"/>
      <c r="O184" s="86"/>
      <c r="P184" s="57"/>
      <c r="Q184" s="37"/>
      <c r="R184" s="92" t="str">
        <f t="shared" si="44"/>
        <v/>
      </c>
      <c r="S184" s="52"/>
      <c r="T184" s="87"/>
      <c r="U184" s="86"/>
      <c r="V184" s="201"/>
      <c r="W184" s="37"/>
      <c r="X184" s="52"/>
      <c r="Y184" s="87"/>
      <c r="AA184" s="86"/>
      <c r="AB184" s="57"/>
      <c r="AC184" s="37"/>
      <c r="AD184" s="52"/>
      <c r="AE184" s="87"/>
      <c r="AG184" s="86"/>
      <c r="AH184" s="37"/>
      <c r="AI184" s="52"/>
      <c r="AJ184" s="87"/>
      <c r="AL184" s="86"/>
      <c r="AM184" s="37"/>
      <c r="AN184" s="52"/>
      <c r="AO184" s="87"/>
      <c r="AQ184" s="86"/>
      <c r="AR184" s="37"/>
      <c r="AS184" s="52"/>
      <c r="AT184" s="87"/>
    </row>
    <row r="185" spans="2:46" thickBot="1">
      <c r="B185" s="113"/>
      <c r="C185" s="324"/>
      <c r="D185" s="346"/>
      <c r="E185" s="326"/>
      <c r="F185" s="321" t="str">
        <f t="shared" si="45"/>
        <v/>
      </c>
      <c r="G185" s="334"/>
      <c r="H185" s="331"/>
      <c r="I185" s="107"/>
      <c r="J185" s="108"/>
      <c r="K185" s="109"/>
      <c r="L185" s="108"/>
      <c r="O185" s="86"/>
      <c r="P185" s="57"/>
      <c r="Q185" s="37"/>
      <c r="R185" s="92" t="str">
        <f t="shared" si="44"/>
        <v/>
      </c>
      <c r="S185" s="52"/>
      <c r="T185" s="87"/>
      <c r="U185" s="86"/>
      <c r="V185" s="201"/>
      <c r="W185" s="37"/>
      <c r="X185" s="52"/>
      <c r="Y185" s="87"/>
      <c r="AA185" s="86"/>
      <c r="AB185" s="57"/>
      <c r="AC185" s="37"/>
      <c r="AD185" s="52"/>
      <c r="AE185" s="87"/>
      <c r="AG185" s="86"/>
      <c r="AH185" s="37"/>
      <c r="AI185" s="52"/>
      <c r="AJ185" s="87"/>
      <c r="AL185" s="86"/>
      <c r="AM185" s="37"/>
      <c r="AN185" s="52"/>
      <c r="AO185" s="87"/>
      <c r="AQ185" s="86"/>
      <c r="AR185" s="37"/>
      <c r="AS185" s="52"/>
      <c r="AT185" s="87"/>
    </row>
    <row r="186" spans="2:46" thickBot="1">
      <c r="B186" s="113"/>
      <c r="C186" s="324"/>
      <c r="D186" s="346"/>
      <c r="E186" s="326"/>
      <c r="F186" s="321" t="str">
        <f t="shared" si="45"/>
        <v/>
      </c>
      <c r="G186" s="334"/>
      <c r="H186" s="331"/>
      <c r="I186" s="107"/>
      <c r="J186" s="108"/>
      <c r="K186" s="109"/>
      <c r="L186" s="108"/>
      <c r="O186" s="86"/>
      <c r="P186" s="57"/>
      <c r="Q186" s="37"/>
      <c r="R186" s="92" t="str">
        <f t="shared" si="44"/>
        <v/>
      </c>
      <c r="S186" s="52"/>
      <c r="T186" s="87"/>
      <c r="U186" s="86"/>
      <c r="V186" s="201"/>
      <c r="W186" s="37"/>
      <c r="X186" s="52"/>
      <c r="Y186" s="87"/>
      <c r="AA186" s="86"/>
      <c r="AB186" s="57"/>
      <c r="AC186" s="37"/>
      <c r="AD186" s="52"/>
      <c r="AE186" s="87"/>
      <c r="AG186" s="86"/>
      <c r="AH186" s="37"/>
      <c r="AI186" s="52"/>
      <c r="AJ186" s="87"/>
      <c r="AL186" s="86"/>
      <c r="AM186" s="37"/>
      <c r="AN186" s="52"/>
      <c r="AO186" s="87"/>
      <c r="AQ186" s="86"/>
      <c r="AR186" s="37"/>
      <c r="AS186" s="52"/>
      <c r="AT186" s="87"/>
    </row>
    <row r="187" spans="2:46" thickBot="1">
      <c r="B187" s="113"/>
      <c r="C187" s="324"/>
      <c r="D187" s="346"/>
      <c r="E187" s="326"/>
      <c r="F187" s="321" t="str">
        <f t="shared" si="45"/>
        <v/>
      </c>
      <c r="G187" s="334"/>
      <c r="H187" s="331"/>
      <c r="I187" s="107"/>
      <c r="J187" s="108"/>
      <c r="K187" s="109"/>
      <c r="L187" s="108"/>
      <c r="O187" s="86"/>
      <c r="P187" s="57"/>
      <c r="Q187" s="37"/>
      <c r="R187" s="92" t="str">
        <f t="shared" si="44"/>
        <v/>
      </c>
      <c r="S187" s="52"/>
      <c r="T187" s="87"/>
      <c r="U187" s="86"/>
      <c r="V187" s="201"/>
      <c r="W187" s="37"/>
      <c r="X187" s="52"/>
      <c r="Y187" s="87"/>
      <c r="AA187" s="86"/>
      <c r="AB187" s="57"/>
      <c r="AC187" s="37"/>
      <c r="AD187" s="52"/>
      <c r="AE187" s="87"/>
      <c r="AG187" s="86"/>
      <c r="AH187" s="37"/>
      <c r="AI187" s="52"/>
      <c r="AJ187" s="87"/>
      <c r="AL187" s="86"/>
      <c r="AM187" s="37"/>
      <c r="AN187" s="52"/>
      <c r="AO187" s="87"/>
      <c r="AQ187" s="86"/>
      <c r="AR187" s="37"/>
      <c r="AS187" s="52"/>
      <c r="AT187" s="87"/>
    </row>
    <row r="188" spans="2:46" thickBot="1">
      <c r="B188" s="113"/>
      <c r="C188" s="324"/>
      <c r="D188" s="346"/>
      <c r="E188" s="326"/>
      <c r="F188" s="321" t="str">
        <f t="shared" si="45"/>
        <v/>
      </c>
      <c r="G188" s="334"/>
      <c r="H188" s="331"/>
      <c r="I188" s="107"/>
      <c r="J188" s="108"/>
      <c r="K188" s="109"/>
      <c r="L188" s="108"/>
      <c r="O188" s="86"/>
      <c r="P188" s="57"/>
      <c r="Q188" s="37"/>
      <c r="R188" s="92" t="str">
        <f t="shared" si="44"/>
        <v/>
      </c>
      <c r="S188" s="52"/>
      <c r="T188" s="87"/>
      <c r="U188" s="86"/>
      <c r="V188" s="201"/>
      <c r="W188" s="37"/>
      <c r="X188" s="52"/>
      <c r="Y188" s="87"/>
      <c r="AA188" s="86"/>
      <c r="AB188" s="57"/>
      <c r="AC188" s="37"/>
      <c r="AD188" s="52"/>
      <c r="AE188" s="87"/>
      <c r="AG188" s="86"/>
      <c r="AH188" s="37"/>
      <c r="AI188" s="52"/>
      <c r="AJ188" s="87"/>
      <c r="AL188" s="86"/>
      <c r="AM188" s="37"/>
      <c r="AN188" s="52"/>
      <c r="AO188" s="87"/>
      <c r="AQ188" s="86"/>
      <c r="AR188" s="37"/>
      <c r="AS188" s="52"/>
      <c r="AT188" s="87"/>
    </row>
    <row r="189" spans="2:46" thickBot="1">
      <c r="B189" s="113"/>
      <c r="C189" s="324"/>
      <c r="D189" s="346"/>
      <c r="E189" s="326"/>
      <c r="F189" s="321" t="str">
        <f t="shared" si="45"/>
        <v/>
      </c>
      <c r="G189" s="334"/>
      <c r="H189" s="331"/>
      <c r="I189" s="107"/>
      <c r="J189" s="108"/>
      <c r="K189" s="109"/>
      <c r="L189" s="108"/>
      <c r="O189" s="86"/>
      <c r="P189" s="57"/>
      <c r="Q189" s="37"/>
      <c r="R189" s="92" t="str">
        <f t="shared" si="44"/>
        <v/>
      </c>
      <c r="S189" s="52"/>
      <c r="T189" s="87"/>
      <c r="U189" s="86"/>
      <c r="V189" s="201"/>
      <c r="W189" s="37"/>
      <c r="X189" s="52"/>
      <c r="Y189" s="87"/>
      <c r="AA189" s="86"/>
      <c r="AB189" s="57"/>
      <c r="AC189" s="37"/>
      <c r="AD189" s="52"/>
      <c r="AE189" s="87"/>
      <c r="AG189" s="86"/>
      <c r="AH189" s="37"/>
      <c r="AI189" s="52"/>
      <c r="AJ189" s="87"/>
      <c r="AL189" s="86"/>
      <c r="AM189" s="37"/>
      <c r="AN189" s="52"/>
      <c r="AO189" s="87"/>
      <c r="AQ189" s="86"/>
      <c r="AR189" s="37"/>
      <c r="AS189" s="52"/>
      <c r="AT189" s="87"/>
    </row>
    <row r="190" spans="2:46" thickBot="1">
      <c r="B190" s="113"/>
      <c r="C190" s="324"/>
      <c r="D190" s="346"/>
      <c r="E190" s="326"/>
      <c r="F190" s="321" t="str">
        <f t="shared" si="45"/>
        <v/>
      </c>
      <c r="G190" s="334"/>
      <c r="H190" s="331"/>
      <c r="I190" s="107"/>
      <c r="J190" s="108"/>
      <c r="K190" s="109"/>
      <c r="L190" s="108"/>
      <c r="O190" s="86"/>
      <c r="P190" s="57"/>
      <c r="Q190" s="37"/>
      <c r="R190" s="92" t="str">
        <f t="shared" si="44"/>
        <v/>
      </c>
      <c r="S190" s="52"/>
      <c r="T190" s="87"/>
      <c r="U190" s="86"/>
      <c r="V190" s="201"/>
      <c r="W190" s="37"/>
      <c r="X190" s="52"/>
      <c r="Y190" s="87"/>
      <c r="AA190" s="86"/>
      <c r="AB190" s="57"/>
      <c r="AC190" s="37"/>
      <c r="AD190" s="52"/>
      <c r="AE190" s="87"/>
      <c r="AG190" s="86"/>
      <c r="AH190" s="37"/>
      <c r="AI190" s="52"/>
      <c r="AJ190" s="87"/>
      <c r="AL190" s="86"/>
      <c r="AM190" s="37"/>
      <c r="AN190" s="52"/>
      <c r="AO190" s="87"/>
      <c r="AQ190" s="86"/>
      <c r="AR190" s="37"/>
      <c r="AS190" s="52"/>
      <c r="AT190" s="87"/>
    </row>
    <row r="191" spans="2:46" thickBot="1">
      <c r="B191" s="113"/>
      <c r="C191" s="324"/>
      <c r="D191" s="346"/>
      <c r="E191" s="326"/>
      <c r="F191" s="321" t="str">
        <f t="shared" si="45"/>
        <v/>
      </c>
      <c r="G191" s="334"/>
      <c r="H191" s="331"/>
      <c r="I191" s="107"/>
      <c r="J191" s="108"/>
      <c r="K191" s="109"/>
      <c r="L191" s="108"/>
      <c r="O191" s="86"/>
      <c r="P191" s="57"/>
      <c r="Q191" s="37"/>
      <c r="R191" s="92" t="str">
        <f t="shared" si="44"/>
        <v/>
      </c>
      <c r="S191" s="52"/>
      <c r="T191" s="87"/>
      <c r="U191" s="86"/>
      <c r="V191" s="201"/>
      <c r="W191" s="37"/>
      <c r="X191" s="52"/>
      <c r="Y191" s="87"/>
      <c r="AA191" s="86"/>
      <c r="AB191" s="57"/>
      <c r="AC191" s="37"/>
      <c r="AD191" s="52"/>
      <c r="AE191" s="87"/>
      <c r="AG191" s="86"/>
      <c r="AH191" s="37"/>
      <c r="AI191" s="52"/>
      <c r="AJ191" s="87"/>
      <c r="AL191" s="86"/>
      <c r="AM191" s="37"/>
      <c r="AN191" s="52"/>
      <c r="AO191" s="87"/>
      <c r="AQ191" s="86"/>
      <c r="AR191" s="37"/>
      <c r="AS191" s="52"/>
      <c r="AT191" s="87"/>
    </row>
    <row r="192" spans="2:46" thickBot="1">
      <c r="B192" s="113"/>
      <c r="C192" s="324"/>
      <c r="D192" s="346"/>
      <c r="E192" s="326"/>
      <c r="F192" s="321" t="str">
        <f t="shared" si="45"/>
        <v/>
      </c>
      <c r="G192" s="334"/>
      <c r="H192" s="331"/>
      <c r="I192" s="107"/>
      <c r="J192" s="108"/>
      <c r="K192" s="109"/>
      <c r="L192" s="108"/>
      <c r="O192" s="86"/>
      <c r="P192" s="57"/>
      <c r="Q192" s="37"/>
      <c r="R192" s="92" t="str">
        <f t="shared" si="44"/>
        <v/>
      </c>
      <c r="S192" s="52"/>
      <c r="T192" s="87"/>
      <c r="U192" s="86"/>
      <c r="V192" s="201"/>
      <c r="W192" s="37"/>
      <c r="X192" s="52"/>
      <c r="Y192" s="87"/>
      <c r="AA192" s="86"/>
      <c r="AB192" s="57"/>
      <c r="AC192" s="37"/>
      <c r="AD192" s="52"/>
      <c r="AE192" s="87"/>
      <c r="AG192" s="86"/>
      <c r="AH192" s="37"/>
      <c r="AI192" s="52"/>
      <c r="AJ192" s="87"/>
      <c r="AL192" s="86"/>
      <c r="AM192" s="37"/>
      <c r="AN192" s="52"/>
      <c r="AO192" s="87"/>
      <c r="AQ192" s="86"/>
      <c r="AR192" s="37"/>
      <c r="AS192" s="52"/>
      <c r="AT192" s="87"/>
    </row>
    <row r="193" spans="2:46" thickBot="1">
      <c r="B193" s="113"/>
      <c r="C193" s="324"/>
      <c r="D193" s="346"/>
      <c r="E193" s="326"/>
      <c r="F193" s="321" t="str">
        <f t="shared" si="45"/>
        <v/>
      </c>
      <c r="G193" s="334"/>
      <c r="H193" s="331"/>
      <c r="I193" s="107"/>
      <c r="J193" s="108"/>
      <c r="K193" s="109"/>
      <c r="L193" s="108"/>
      <c r="O193" s="86"/>
      <c r="P193" s="57"/>
      <c r="Q193" s="37"/>
      <c r="R193" s="92" t="str">
        <f t="shared" si="44"/>
        <v/>
      </c>
      <c r="S193" s="52"/>
      <c r="T193" s="87"/>
      <c r="U193" s="86"/>
      <c r="V193" s="201"/>
      <c r="W193" s="37"/>
      <c r="X193" s="52"/>
      <c r="Y193" s="87"/>
      <c r="AA193" s="86"/>
      <c r="AB193" s="57"/>
      <c r="AC193" s="37"/>
      <c r="AD193" s="52"/>
      <c r="AE193" s="87"/>
      <c r="AG193" s="86"/>
      <c r="AH193" s="37"/>
      <c r="AI193" s="52"/>
      <c r="AJ193" s="87"/>
      <c r="AL193" s="86"/>
      <c r="AM193" s="37"/>
      <c r="AN193" s="52"/>
      <c r="AO193" s="87"/>
      <c r="AQ193" s="86"/>
      <c r="AR193" s="37"/>
      <c r="AS193" s="52"/>
      <c r="AT193" s="87"/>
    </row>
    <row r="194" spans="2:46" thickBot="1">
      <c r="B194" s="113"/>
      <c r="C194" s="324"/>
      <c r="D194" s="346"/>
      <c r="E194" s="326"/>
      <c r="F194" s="321" t="str">
        <f t="shared" si="45"/>
        <v/>
      </c>
      <c r="G194" s="334"/>
      <c r="H194" s="331"/>
      <c r="I194" s="107"/>
      <c r="J194" s="108"/>
      <c r="K194" s="109"/>
      <c r="L194" s="108"/>
      <c r="O194" s="86"/>
      <c r="P194" s="57"/>
      <c r="Q194" s="37"/>
      <c r="R194" s="92" t="str">
        <f t="shared" si="44"/>
        <v/>
      </c>
      <c r="S194" s="52"/>
      <c r="T194" s="87"/>
      <c r="U194" s="86"/>
      <c r="V194" s="201"/>
      <c r="W194" s="37"/>
      <c r="X194" s="52"/>
      <c r="Y194" s="87"/>
      <c r="AA194" s="86"/>
      <c r="AB194" s="57"/>
      <c r="AC194" s="37"/>
      <c r="AD194" s="52"/>
      <c r="AE194" s="87"/>
      <c r="AG194" s="86"/>
      <c r="AH194" s="37"/>
      <c r="AI194" s="52"/>
      <c r="AJ194" s="87"/>
      <c r="AL194" s="86"/>
      <c r="AM194" s="37"/>
      <c r="AN194" s="52"/>
      <c r="AO194" s="87"/>
      <c r="AQ194" s="86"/>
      <c r="AR194" s="37"/>
      <c r="AS194" s="52"/>
      <c r="AT194" s="87"/>
    </row>
    <row r="195" spans="2:46" thickBot="1">
      <c r="B195" s="113"/>
      <c r="C195" s="324"/>
      <c r="D195" s="346"/>
      <c r="E195" s="326"/>
      <c r="F195" s="321" t="str">
        <f t="shared" si="45"/>
        <v/>
      </c>
      <c r="G195" s="334"/>
      <c r="H195" s="331"/>
      <c r="I195" s="107"/>
      <c r="J195" s="108"/>
      <c r="K195" s="109"/>
      <c r="L195" s="108"/>
      <c r="O195" s="86"/>
      <c r="P195" s="57"/>
      <c r="Q195" s="37"/>
      <c r="R195" s="92" t="str">
        <f t="shared" si="44"/>
        <v/>
      </c>
      <c r="S195" s="52"/>
      <c r="T195" s="87"/>
      <c r="U195" s="86"/>
      <c r="V195" s="201"/>
      <c r="W195" s="37"/>
      <c r="X195" s="52"/>
      <c r="Y195" s="87"/>
      <c r="AA195" s="86"/>
      <c r="AB195" s="57"/>
      <c r="AC195" s="37"/>
      <c r="AD195" s="52"/>
      <c r="AE195" s="87"/>
      <c r="AG195" s="86"/>
      <c r="AH195" s="37"/>
      <c r="AI195" s="52"/>
      <c r="AJ195" s="87"/>
      <c r="AL195" s="86"/>
      <c r="AM195" s="37"/>
      <c r="AN195" s="52"/>
      <c r="AO195" s="87"/>
      <c r="AQ195" s="86"/>
      <c r="AR195" s="37"/>
      <c r="AS195" s="52"/>
      <c r="AT195" s="87"/>
    </row>
    <row r="196" spans="2:46" thickBot="1">
      <c r="B196" s="113"/>
      <c r="C196" s="324"/>
      <c r="D196" s="346"/>
      <c r="E196" s="326"/>
      <c r="F196" s="321" t="str">
        <f t="shared" si="45"/>
        <v/>
      </c>
      <c r="G196" s="334"/>
      <c r="H196" s="331"/>
      <c r="I196" s="107"/>
      <c r="J196" s="108"/>
      <c r="K196" s="109"/>
      <c r="L196" s="108"/>
      <c r="O196" s="86"/>
      <c r="P196" s="57"/>
      <c r="Q196" s="37"/>
      <c r="R196" s="92" t="str">
        <f t="shared" si="44"/>
        <v/>
      </c>
      <c r="S196" s="52"/>
      <c r="T196" s="87"/>
      <c r="U196" s="86"/>
      <c r="V196" s="201"/>
      <c r="W196" s="37"/>
      <c r="X196" s="52"/>
      <c r="Y196" s="87"/>
      <c r="AA196" s="86"/>
      <c r="AB196" s="57"/>
      <c r="AC196" s="37"/>
      <c r="AD196" s="52"/>
      <c r="AE196" s="87"/>
      <c r="AG196" s="86"/>
      <c r="AH196" s="37"/>
      <c r="AI196" s="52"/>
      <c r="AJ196" s="87"/>
      <c r="AL196" s="86"/>
      <c r="AM196" s="37"/>
      <c r="AN196" s="52"/>
      <c r="AO196" s="87"/>
      <c r="AQ196" s="86"/>
      <c r="AR196" s="37"/>
      <c r="AS196" s="52"/>
      <c r="AT196" s="87"/>
    </row>
    <row r="197" spans="2:46" thickBot="1">
      <c r="B197" s="113"/>
      <c r="C197" s="324"/>
      <c r="D197" s="346"/>
      <c r="E197" s="326"/>
      <c r="F197" s="321" t="str">
        <f t="shared" si="45"/>
        <v/>
      </c>
      <c r="G197" s="334"/>
      <c r="H197" s="331"/>
      <c r="I197" s="107"/>
      <c r="J197" s="108"/>
      <c r="K197" s="109"/>
      <c r="L197" s="108"/>
      <c r="O197" s="86"/>
      <c r="P197" s="57"/>
      <c r="Q197" s="37"/>
      <c r="R197" s="92" t="str">
        <f t="shared" si="44"/>
        <v/>
      </c>
      <c r="S197" s="52"/>
      <c r="T197" s="87"/>
      <c r="U197" s="86"/>
      <c r="V197" s="201"/>
      <c r="W197" s="37"/>
      <c r="X197" s="52"/>
      <c r="Y197" s="87"/>
      <c r="AA197" s="86"/>
      <c r="AB197" s="57"/>
      <c r="AC197" s="37"/>
      <c r="AD197" s="52"/>
      <c r="AE197" s="87"/>
      <c r="AG197" s="86"/>
      <c r="AH197" s="37"/>
      <c r="AI197" s="52"/>
      <c r="AJ197" s="87"/>
      <c r="AL197" s="86"/>
      <c r="AM197" s="37"/>
      <c r="AN197" s="52"/>
      <c r="AO197" s="87"/>
      <c r="AQ197" s="86"/>
      <c r="AR197" s="37"/>
      <c r="AS197" s="52"/>
      <c r="AT197" s="87"/>
    </row>
    <row r="198" spans="2:46" thickBot="1">
      <c r="B198" s="113"/>
      <c r="C198" s="324"/>
      <c r="D198" s="346"/>
      <c r="E198" s="326"/>
      <c r="F198" s="321" t="str">
        <f t="shared" ref="F198:F261" si="46">IF(E198="","",ROUND(G198*(1+$F$2),2))</f>
        <v/>
      </c>
      <c r="G198" s="334"/>
      <c r="H198" s="331"/>
      <c r="I198" s="107"/>
      <c r="J198" s="108"/>
      <c r="K198" s="109"/>
      <c r="L198" s="108"/>
      <c r="O198" s="86"/>
      <c r="P198" s="57"/>
      <c r="Q198" s="37"/>
      <c r="R198" s="92" t="str">
        <f t="shared" si="44"/>
        <v/>
      </c>
      <c r="S198" s="52"/>
      <c r="T198" s="87"/>
      <c r="U198" s="86"/>
      <c r="V198" s="201"/>
      <c r="W198" s="37"/>
      <c r="X198" s="52"/>
      <c r="Y198" s="87"/>
      <c r="AA198" s="86"/>
      <c r="AB198" s="57"/>
      <c r="AC198" s="37"/>
      <c r="AD198" s="52"/>
      <c r="AE198" s="87"/>
      <c r="AG198" s="86"/>
      <c r="AH198" s="37"/>
      <c r="AI198" s="52"/>
      <c r="AJ198" s="87"/>
      <c r="AL198" s="86"/>
      <c r="AM198" s="37"/>
      <c r="AN198" s="52"/>
      <c r="AO198" s="87"/>
      <c r="AQ198" s="86"/>
      <c r="AR198" s="37"/>
      <c r="AS198" s="52"/>
      <c r="AT198" s="87"/>
    </row>
    <row r="199" spans="2:46" thickBot="1">
      <c r="B199" s="113"/>
      <c r="C199" s="324"/>
      <c r="D199" s="346"/>
      <c r="E199" s="326"/>
      <c r="F199" s="321" t="str">
        <f t="shared" si="46"/>
        <v/>
      </c>
      <c r="G199" s="334"/>
      <c r="H199" s="331"/>
      <c r="I199" s="107"/>
      <c r="J199" s="108"/>
      <c r="K199" s="109"/>
      <c r="L199" s="108"/>
      <c r="O199" s="86"/>
      <c r="P199" s="57"/>
      <c r="Q199" s="37"/>
      <c r="R199" s="92" t="str">
        <f t="shared" si="44"/>
        <v/>
      </c>
      <c r="S199" s="52"/>
      <c r="T199" s="87"/>
      <c r="U199" s="86"/>
      <c r="V199" s="201"/>
      <c r="W199" s="37"/>
      <c r="X199" s="52"/>
      <c r="Y199" s="87"/>
      <c r="AA199" s="86"/>
      <c r="AB199" s="57"/>
      <c r="AC199" s="37"/>
      <c r="AD199" s="52"/>
      <c r="AE199" s="87"/>
      <c r="AG199" s="86"/>
      <c r="AH199" s="37"/>
      <c r="AI199" s="52"/>
      <c r="AJ199" s="87"/>
      <c r="AL199" s="86"/>
      <c r="AM199" s="37"/>
      <c r="AN199" s="52"/>
      <c r="AO199" s="87"/>
      <c r="AQ199" s="86"/>
      <c r="AR199" s="37"/>
      <c r="AS199" s="52"/>
      <c r="AT199" s="87"/>
    </row>
    <row r="200" spans="2:46" thickBot="1">
      <c r="B200" s="113"/>
      <c r="C200" s="324"/>
      <c r="D200" s="346"/>
      <c r="E200" s="326"/>
      <c r="F200" s="321" t="str">
        <f t="shared" si="46"/>
        <v/>
      </c>
      <c r="G200" s="334"/>
      <c r="H200" s="331"/>
      <c r="I200" s="107"/>
      <c r="J200" s="108"/>
      <c r="K200" s="109"/>
      <c r="L200" s="108"/>
      <c r="O200" s="86"/>
      <c r="P200" s="57"/>
      <c r="Q200" s="37"/>
      <c r="R200" s="92" t="str">
        <f t="shared" si="44"/>
        <v/>
      </c>
      <c r="S200" s="52"/>
      <c r="T200" s="87"/>
      <c r="U200" s="86"/>
      <c r="V200" s="201"/>
      <c r="W200" s="37"/>
      <c r="X200" s="52"/>
      <c r="Y200" s="87"/>
      <c r="AA200" s="86"/>
      <c r="AB200" s="57"/>
      <c r="AC200" s="37"/>
      <c r="AD200" s="52"/>
      <c r="AE200" s="87"/>
      <c r="AG200" s="86"/>
      <c r="AH200" s="37"/>
      <c r="AI200" s="52"/>
      <c r="AJ200" s="87"/>
      <c r="AL200" s="86"/>
      <c r="AM200" s="37"/>
      <c r="AN200" s="52"/>
      <c r="AO200" s="87"/>
      <c r="AQ200" s="86"/>
      <c r="AR200" s="37"/>
      <c r="AS200" s="52"/>
      <c r="AT200" s="87"/>
    </row>
    <row r="201" spans="2:46" thickBot="1">
      <c r="B201" s="113"/>
      <c r="C201" s="324"/>
      <c r="D201" s="346"/>
      <c r="E201" s="326"/>
      <c r="F201" s="321" t="str">
        <f t="shared" si="46"/>
        <v/>
      </c>
      <c r="G201" s="334"/>
      <c r="H201" s="331"/>
      <c r="I201" s="107"/>
      <c r="J201" s="108"/>
      <c r="K201" s="109"/>
      <c r="L201" s="108"/>
      <c r="O201" s="86"/>
      <c r="P201" s="57"/>
      <c r="Q201" s="37"/>
      <c r="R201" s="92" t="str">
        <f t="shared" si="44"/>
        <v/>
      </c>
      <c r="S201" s="52"/>
      <c r="T201" s="87"/>
      <c r="U201" s="86"/>
      <c r="V201" s="201"/>
      <c r="W201" s="37"/>
      <c r="X201" s="52"/>
      <c r="Y201" s="87"/>
      <c r="AA201" s="86"/>
      <c r="AB201" s="57"/>
      <c r="AC201" s="37"/>
      <c r="AD201" s="52"/>
      <c r="AE201" s="87"/>
      <c r="AG201" s="86"/>
      <c r="AH201" s="37"/>
      <c r="AI201" s="52"/>
      <c r="AJ201" s="87"/>
      <c r="AL201" s="86"/>
      <c r="AM201" s="37"/>
      <c r="AN201" s="52"/>
      <c r="AO201" s="87"/>
      <c r="AQ201" s="86"/>
      <c r="AR201" s="37"/>
      <c r="AS201" s="52"/>
      <c r="AT201" s="87"/>
    </row>
    <row r="202" spans="2:46" thickBot="1">
      <c r="B202" s="113"/>
      <c r="C202" s="324"/>
      <c r="D202" s="346"/>
      <c r="E202" s="326"/>
      <c r="F202" s="321" t="str">
        <f t="shared" si="46"/>
        <v/>
      </c>
      <c r="G202" s="334"/>
      <c r="H202" s="331"/>
      <c r="I202" s="107"/>
      <c r="J202" s="108"/>
      <c r="K202" s="109"/>
      <c r="L202" s="108"/>
      <c r="O202" s="86"/>
      <c r="P202" s="57"/>
      <c r="Q202" s="37"/>
      <c r="R202" s="92" t="str">
        <f t="shared" si="44"/>
        <v/>
      </c>
      <c r="S202" s="52"/>
      <c r="T202" s="87"/>
      <c r="U202" s="86"/>
      <c r="V202" s="201"/>
      <c r="W202" s="37"/>
      <c r="X202" s="52"/>
      <c r="Y202" s="87"/>
      <c r="AA202" s="86"/>
      <c r="AB202" s="57"/>
      <c r="AC202" s="37"/>
      <c r="AD202" s="52"/>
      <c r="AE202" s="87"/>
      <c r="AG202" s="86"/>
      <c r="AH202" s="37"/>
      <c r="AI202" s="52"/>
      <c r="AJ202" s="87"/>
      <c r="AL202" s="86"/>
      <c r="AM202" s="37"/>
      <c r="AN202" s="52"/>
      <c r="AO202" s="87"/>
      <c r="AQ202" s="86"/>
      <c r="AR202" s="37"/>
      <c r="AS202" s="52"/>
      <c r="AT202" s="87"/>
    </row>
    <row r="203" spans="2:46" thickBot="1">
      <c r="B203" s="113"/>
      <c r="C203" s="324"/>
      <c r="D203" s="346"/>
      <c r="E203" s="326"/>
      <c r="F203" s="321" t="str">
        <f t="shared" si="46"/>
        <v/>
      </c>
      <c r="G203" s="334"/>
      <c r="H203" s="331"/>
      <c r="I203" s="107"/>
      <c r="J203" s="108"/>
      <c r="K203" s="109"/>
      <c r="L203" s="108"/>
      <c r="O203" s="86"/>
      <c r="P203" s="57"/>
      <c r="Q203" s="37"/>
      <c r="R203" s="92" t="str">
        <f t="shared" si="44"/>
        <v/>
      </c>
      <c r="S203" s="52"/>
      <c r="T203" s="87"/>
      <c r="U203" s="86"/>
      <c r="V203" s="201"/>
      <c r="W203" s="37"/>
      <c r="X203" s="52"/>
      <c r="Y203" s="87"/>
      <c r="AA203" s="86"/>
      <c r="AB203" s="57"/>
      <c r="AC203" s="37"/>
      <c r="AD203" s="52"/>
      <c r="AE203" s="87"/>
      <c r="AG203" s="86"/>
      <c r="AH203" s="37"/>
      <c r="AI203" s="52"/>
      <c r="AJ203" s="87"/>
      <c r="AL203" s="86"/>
      <c r="AM203" s="37"/>
      <c r="AN203" s="52"/>
      <c r="AO203" s="87"/>
      <c r="AQ203" s="86"/>
      <c r="AR203" s="37"/>
      <c r="AS203" s="52"/>
      <c r="AT203" s="87"/>
    </row>
    <row r="204" spans="2:46" thickBot="1">
      <c r="B204" s="113"/>
      <c r="C204" s="324"/>
      <c r="D204" s="346"/>
      <c r="E204" s="326"/>
      <c r="F204" s="321" t="str">
        <f t="shared" si="46"/>
        <v/>
      </c>
      <c r="G204" s="334"/>
      <c r="H204" s="331"/>
      <c r="I204" s="107"/>
      <c r="J204" s="108"/>
      <c r="K204" s="109"/>
      <c r="L204" s="108"/>
      <c r="O204" s="86"/>
      <c r="P204" s="57"/>
      <c r="Q204" s="37"/>
      <c r="R204" s="92" t="str">
        <f t="shared" si="44"/>
        <v/>
      </c>
      <c r="S204" s="52"/>
      <c r="T204" s="87"/>
      <c r="U204" s="86"/>
      <c r="V204" s="201"/>
      <c r="W204" s="37"/>
      <c r="X204" s="52"/>
      <c r="Y204" s="87"/>
      <c r="AA204" s="86"/>
      <c r="AB204" s="57"/>
      <c r="AC204" s="37"/>
      <c r="AD204" s="52"/>
      <c r="AE204" s="87"/>
      <c r="AG204" s="86"/>
      <c r="AH204" s="37"/>
      <c r="AI204" s="52"/>
      <c r="AJ204" s="87"/>
      <c r="AL204" s="86"/>
      <c r="AM204" s="37"/>
      <c r="AN204" s="52"/>
      <c r="AO204" s="87"/>
      <c r="AQ204" s="86"/>
      <c r="AR204" s="37"/>
      <c r="AS204" s="52"/>
      <c r="AT204" s="87"/>
    </row>
    <row r="205" spans="2:46" thickBot="1">
      <c r="B205" s="113"/>
      <c r="C205" s="324"/>
      <c r="D205" s="346"/>
      <c r="E205" s="326"/>
      <c r="F205" s="321" t="str">
        <f t="shared" si="46"/>
        <v/>
      </c>
      <c r="G205" s="334"/>
      <c r="H205" s="331"/>
      <c r="I205" s="107"/>
      <c r="J205" s="108"/>
      <c r="K205" s="109"/>
      <c r="L205" s="108"/>
      <c r="O205" s="86"/>
      <c r="P205" s="57"/>
      <c r="Q205" s="37"/>
      <c r="R205" s="92" t="str">
        <f t="shared" si="44"/>
        <v/>
      </c>
      <c r="S205" s="52"/>
      <c r="T205" s="87"/>
      <c r="U205" s="86"/>
      <c r="V205" s="201"/>
      <c r="W205" s="37"/>
      <c r="X205" s="52"/>
      <c r="Y205" s="87"/>
      <c r="AA205" s="86"/>
      <c r="AB205" s="57"/>
      <c r="AC205" s="37"/>
      <c r="AD205" s="52"/>
      <c r="AE205" s="87"/>
      <c r="AG205" s="86"/>
      <c r="AH205" s="37"/>
      <c r="AI205" s="52"/>
      <c r="AJ205" s="87"/>
      <c r="AL205" s="86"/>
      <c r="AM205" s="37"/>
      <c r="AN205" s="52"/>
      <c r="AO205" s="87"/>
      <c r="AQ205" s="86"/>
      <c r="AR205" s="37"/>
      <c r="AS205" s="52"/>
      <c r="AT205" s="87"/>
    </row>
    <row r="206" spans="2:46" thickBot="1">
      <c r="B206" s="113"/>
      <c r="C206" s="324"/>
      <c r="D206" s="346"/>
      <c r="E206" s="326"/>
      <c r="F206" s="321" t="str">
        <f t="shared" si="46"/>
        <v/>
      </c>
      <c r="G206" s="334"/>
      <c r="H206" s="331"/>
      <c r="I206" s="107"/>
      <c r="J206" s="108"/>
      <c r="K206" s="109"/>
      <c r="L206" s="108"/>
      <c r="O206" s="86"/>
      <c r="P206" s="57"/>
      <c r="Q206" s="37"/>
      <c r="R206" s="92" t="str">
        <f t="shared" si="44"/>
        <v/>
      </c>
      <c r="S206" s="52"/>
      <c r="T206" s="87"/>
      <c r="U206" s="86"/>
      <c r="V206" s="201"/>
      <c r="W206" s="37"/>
      <c r="X206" s="52"/>
      <c r="Y206" s="87"/>
      <c r="AA206" s="86"/>
      <c r="AB206" s="57"/>
      <c r="AC206" s="37"/>
      <c r="AD206" s="52"/>
      <c r="AE206" s="87"/>
      <c r="AG206" s="86"/>
      <c r="AH206" s="37"/>
      <c r="AI206" s="52"/>
      <c r="AJ206" s="87"/>
      <c r="AL206" s="86"/>
      <c r="AM206" s="37"/>
      <c r="AN206" s="52"/>
      <c r="AO206" s="87"/>
      <c r="AQ206" s="86"/>
      <c r="AR206" s="37"/>
      <c r="AS206" s="52"/>
      <c r="AT206" s="87"/>
    </row>
    <row r="207" spans="2:46" thickBot="1">
      <c r="B207" s="113"/>
      <c r="C207" s="324"/>
      <c r="D207" s="346"/>
      <c r="E207" s="326"/>
      <c r="F207" s="321" t="str">
        <f t="shared" si="46"/>
        <v/>
      </c>
      <c r="G207" s="334"/>
      <c r="H207" s="331"/>
      <c r="I207" s="107"/>
      <c r="J207" s="108"/>
      <c r="K207" s="109"/>
      <c r="L207" s="108"/>
      <c r="O207" s="86"/>
      <c r="P207" s="57"/>
      <c r="Q207" s="37"/>
      <c r="R207" s="92" t="str">
        <f t="shared" si="44"/>
        <v/>
      </c>
      <c r="S207" s="52"/>
      <c r="T207" s="87"/>
      <c r="U207" s="86"/>
      <c r="V207" s="201"/>
      <c r="W207" s="37"/>
      <c r="X207" s="52"/>
      <c r="Y207" s="87"/>
      <c r="AA207" s="86"/>
      <c r="AB207" s="57"/>
      <c r="AC207" s="37"/>
      <c r="AD207" s="52"/>
      <c r="AE207" s="87"/>
      <c r="AG207" s="86"/>
      <c r="AH207" s="37"/>
      <c r="AI207" s="52"/>
      <c r="AJ207" s="87"/>
      <c r="AL207" s="86"/>
      <c r="AM207" s="37"/>
      <c r="AN207" s="52"/>
      <c r="AO207" s="87"/>
      <c r="AQ207" s="86"/>
      <c r="AR207" s="37"/>
      <c r="AS207" s="52"/>
      <c r="AT207" s="87"/>
    </row>
    <row r="208" spans="2:46" thickBot="1">
      <c r="B208" s="113"/>
      <c r="C208" s="324"/>
      <c r="D208" s="346"/>
      <c r="E208" s="326"/>
      <c r="F208" s="321" t="str">
        <f t="shared" si="46"/>
        <v/>
      </c>
      <c r="G208" s="334"/>
      <c r="H208" s="331"/>
      <c r="I208" s="107"/>
      <c r="J208" s="108"/>
      <c r="K208" s="109"/>
      <c r="L208" s="108"/>
      <c r="O208" s="86"/>
      <c r="P208" s="57"/>
      <c r="Q208" s="37"/>
      <c r="R208" s="92" t="str">
        <f t="shared" si="44"/>
        <v/>
      </c>
      <c r="S208" s="52"/>
      <c r="T208" s="87"/>
      <c r="U208" s="86"/>
      <c r="V208" s="201"/>
      <c r="W208" s="37"/>
      <c r="X208" s="52"/>
      <c r="Y208" s="87"/>
      <c r="AA208" s="86"/>
      <c r="AB208" s="57"/>
      <c r="AC208" s="37"/>
      <c r="AD208" s="52"/>
      <c r="AE208" s="87"/>
      <c r="AG208" s="86"/>
      <c r="AH208" s="37"/>
      <c r="AI208" s="52"/>
      <c r="AJ208" s="87"/>
      <c r="AL208" s="86"/>
      <c r="AM208" s="37"/>
      <c r="AN208" s="52"/>
      <c r="AO208" s="87"/>
      <c r="AQ208" s="86"/>
      <c r="AR208" s="37"/>
      <c r="AS208" s="52"/>
      <c r="AT208" s="87"/>
    </row>
    <row r="209" spans="2:46" thickBot="1">
      <c r="B209" s="113"/>
      <c r="C209" s="324"/>
      <c r="D209" s="346"/>
      <c r="E209" s="326"/>
      <c r="F209" s="321" t="str">
        <f t="shared" si="46"/>
        <v/>
      </c>
      <c r="G209" s="334"/>
      <c r="H209" s="331"/>
      <c r="I209" s="107"/>
      <c r="J209" s="108"/>
      <c r="K209" s="109"/>
      <c r="L209" s="108"/>
      <c r="O209" s="86"/>
      <c r="P209" s="57"/>
      <c r="Q209" s="37"/>
      <c r="R209" s="92" t="str">
        <f t="shared" si="44"/>
        <v/>
      </c>
      <c r="S209" s="52"/>
      <c r="T209" s="87"/>
      <c r="U209" s="86"/>
      <c r="V209" s="201"/>
      <c r="W209" s="37"/>
      <c r="X209" s="52"/>
      <c r="Y209" s="87"/>
      <c r="AA209" s="86"/>
      <c r="AB209" s="57"/>
      <c r="AC209" s="37"/>
      <c r="AD209" s="52"/>
      <c r="AE209" s="87"/>
      <c r="AG209" s="86"/>
      <c r="AH209" s="37"/>
      <c r="AI209" s="52"/>
      <c r="AJ209" s="87"/>
      <c r="AL209" s="86"/>
      <c r="AM209" s="37"/>
      <c r="AN209" s="52"/>
      <c r="AO209" s="87"/>
      <c r="AQ209" s="86"/>
      <c r="AR209" s="37"/>
      <c r="AS209" s="52"/>
      <c r="AT209" s="87"/>
    </row>
    <row r="210" spans="2:46" thickBot="1">
      <c r="B210" s="113"/>
      <c r="C210" s="324"/>
      <c r="D210" s="346"/>
      <c r="E210" s="326"/>
      <c r="F210" s="321" t="str">
        <f t="shared" si="46"/>
        <v/>
      </c>
      <c r="G210" s="334"/>
      <c r="H210" s="331"/>
      <c r="I210" s="107"/>
      <c r="J210" s="108"/>
      <c r="K210" s="109"/>
      <c r="L210" s="108"/>
      <c r="O210" s="86"/>
      <c r="P210" s="57"/>
      <c r="Q210" s="37"/>
      <c r="R210" s="92" t="str">
        <f t="shared" si="44"/>
        <v/>
      </c>
      <c r="S210" s="52"/>
      <c r="T210" s="87"/>
      <c r="U210" s="86"/>
      <c r="V210" s="201"/>
      <c r="W210" s="37"/>
      <c r="X210" s="52"/>
      <c r="Y210" s="87"/>
      <c r="AA210" s="86"/>
      <c r="AB210" s="57"/>
      <c r="AC210" s="37"/>
      <c r="AD210" s="52"/>
      <c r="AE210" s="87"/>
      <c r="AG210" s="86"/>
      <c r="AH210" s="37"/>
      <c r="AI210" s="52"/>
      <c r="AJ210" s="87"/>
      <c r="AL210" s="86"/>
      <c r="AM210" s="37"/>
      <c r="AN210" s="52"/>
      <c r="AO210" s="87"/>
      <c r="AQ210" s="86"/>
      <c r="AR210" s="37"/>
      <c r="AS210" s="52"/>
      <c r="AT210" s="87"/>
    </row>
    <row r="211" spans="2:46" thickBot="1">
      <c r="B211" s="113"/>
      <c r="C211" s="324"/>
      <c r="D211" s="346"/>
      <c r="E211" s="326"/>
      <c r="F211" s="321" t="str">
        <f t="shared" si="46"/>
        <v/>
      </c>
      <c r="G211" s="334"/>
      <c r="H211" s="331"/>
      <c r="I211" s="107"/>
      <c r="J211" s="108"/>
      <c r="K211" s="109"/>
      <c r="L211" s="108"/>
      <c r="O211" s="86"/>
      <c r="P211" s="57"/>
      <c r="Q211" s="37"/>
      <c r="R211" s="92" t="str">
        <f t="shared" si="44"/>
        <v/>
      </c>
      <c r="S211" s="52"/>
      <c r="T211" s="87"/>
      <c r="U211" s="86"/>
      <c r="V211" s="201"/>
      <c r="W211" s="37"/>
      <c r="X211" s="52"/>
      <c r="Y211" s="87"/>
      <c r="AA211" s="86"/>
      <c r="AB211" s="57"/>
      <c r="AC211" s="37"/>
      <c r="AD211" s="52"/>
      <c r="AE211" s="87"/>
      <c r="AG211" s="86"/>
      <c r="AH211" s="37"/>
      <c r="AI211" s="52"/>
      <c r="AJ211" s="87"/>
      <c r="AL211" s="86"/>
      <c r="AM211" s="37"/>
      <c r="AN211" s="52"/>
      <c r="AO211" s="87"/>
      <c r="AQ211" s="86"/>
      <c r="AR211" s="37"/>
      <c r="AS211" s="52"/>
      <c r="AT211" s="87"/>
    </row>
    <row r="212" spans="2:46" thickBot="1">
      <c r="B212" s="113"/>
      <c r="C212" s="324"/>
      <c r="D212" s="346"/>
      <c r="E212" s="326"/>
      <c r="F212" s="321" t="str">
        <f t="shared" si="46"/>
        <v/>
      </c>
      <c r="G212" s="334"/>
      <c r="H212" s="331"/>
      <c r="I212" s="107"/>
      <c r="J212" s="108"/>
      <c r="K212" s="109"/>
      <c r="L212" s="108"/>
      <c r="O212" s="86"/>
      <c r="P212" s="57"/>
      <c r="Q212" s="37"/>
      <c r="R212" s="92" t="str">
        <f t="shared" si="44"/>
        <v/>
      </c>
      <c r="S212" s="52"/>
      <c r="T212" s="87"/>
      <c r="U212" s="86"/>
      <c r="V212" s="201"/>
      <c r="W212" s="37"/>
      <c r="X212" s="52"/>
      <c r="Y212" s="87"/>
      <c r="AA212" s="86"/>
      <c r="AB212" s="57"/>
      <c r="AC212" s="37"/>
      <c r="AD212" s="52"/>
      <c r="AE212" s="87"/>
      <c r="AG212" s="86"/>
      <c r="AH212" s="37"/>
      <c r="AI212" s="52"/>
      <c r="AJ212" s="87"/>
      <c r="AL212" s="86"/>
      <c r="AM212" s="37"/>
      <c r="AN212" s="52"/>
      <c r="AO212" s="87"/>
      <c r="AQ212" s="86"/>
      <c r="AR212" s="37"/>
      <c r="AS212" s="52"/>
      <c r="AT212" s="87"/>
    </row>
    <row r="213" spans="2:46" thickBot="1">
      <c r="B213" s="113"/>
      <c r="C213" s="324"/>
      <c r="D213" s="346"/>
      <c r="E213" s="326"/>
      <c r="F213" s="321" t="str">
        <f t="shared" si="46"/>
        <v/>
      </c>
      <c r="G213" s="334"/>
      <c r="H213" s="331"/>
      <c r="I213" s="107"/>
      <c r="J213" s="108"/>
      <c r="K213" s="109"/>
      <c r="L213" s="108"/>
      <c r="O213" s="86"/>
      <c r="P213" s="57"/>
      <c r="Q213" s="37"/>
      <c r="R213" s="92" t="str">
        <f t="shared" si="44"/>
        <v/>
      </c>
      <c r="S213" s="52"/>
      <c r="T213" s="87"/>
      <c r="U213" s="86"/>
      <c r="V213" s="201"/>
      <c r="W213" s="37"/>
      <c r="X213" s="52"/>
      <c r="Y213" s="87"/>
      <c r="AA213" s="86"/>
      <c r="AB213" s="57"/>
      <c r="AC213" s="37"/>
      <c r="AD213" s="52"/>
      <c r="AE213" s="87"/>
      <c r="AG213" s="86"/>
      <c r="AH213" s="37"/>
      <c r="AI213" s="52"/>
      <c r="AJ213" s="87"/>
      <c r="AL213" s="86"/>
      <c r="AM213" s="37"/>
      <c r="AN213" s="52"/>
      <c r="AO213" s="87"/>
      <c r="AQ213" s="86"/>
      <c r="AR213" s="37"/>
      <c r="AS213" s="52"/>
      <c r="AT213" s="87"/>
    </row>
    <row r="214" spans="2:46" thickBot="1">
      <c r="B214" s="113"/>
      <c r="C214" s="324"/>
      <c r="D214" s="346"/>
      <c r="E214" s="326"/>
      <c r="F214" s="321" t="str">
        <f t="shared" si="46"/>
        <v/>
      </c>
      <c r="G214" s="334"/>
      <c r="H214" s="331"/>
      <c r="I214" s="107"/>
      <c r="J214" s="108"/>
      <c r="K214" s="109"/>
      <c r="L214" s="108"/>
      <c r="O214" s="86"/>
      <c r="P214" s="57"/>
      <c r="Q214" s="37"/>
      <c r="R214" s="92" t="str">
        <f t="shared" si="44"/>
        <v/>
      </c>
      <c r="S214" s="52"/>
      <c r="T214" s="87"/>
      <c r="U214" s="86"/>
      <c r="V214" s="201"/>
      <c r="W214" s="37"/>
      <c r="X214" s="52"/>
      <c r="Y214" s="87"/>
      <c r="AA214" s="86"/>
      <c r="AB214" s="57"/>
      <c r="AC214" s="37"/>
      <c r="AD214" s="52"/>
      <c r="AE214" s="87"/>
      <c r="AG214" s="86"/>
      <c r="AH214" s="37"/>
      <c r="AI214" s="52"/>
      <c r="AJ214" s="87"/>
      <c r="AL214" s="86"/>
      <c r="AM214" s="37"/>
      <c r="AN214" s="52"/>
      <c r="AO214" s="87"/>
      <c r="AQ214" s="86"/>
      <c r="AR214" s="37"/>
      <c r="AS214" s="52"/>
      <c r="AT214" s="87"/>
    </row>
    <row r="215" spans="2:46" thickBot="1">
      <c r="B215" s="113"/>
      <c r="C215" s="324"/>
      <c r="D215" s="346"/>
      <c r="E215" s="326"/>
      <c r="F215" s="321" t="str">
        <f t="shared" si="46"/>
        <v/>
      </c>
      <c r="G215" s="334"/>
      <c r="H215" s="331"/>
      <c r="I215" s="107"/>
      <c r="J215" s="108"/>
      <c r="K215" s="109"/>
      <c r="L215" s="108"/>
      <c r="O215" s="86"/>
      <c r="P215" s="57"/>
      <c r="Q215" s="37"/>
      <c r="R215" s="92" t="str">
        <f t="shared" si="44"/>
        <v/>
      </c>
      <c r="S215" s="52"/>
      <c r="T215" s="87"/>
      <c r="U215" s="86"/>
      <c r="V215" s="201"/>
      <c r="W215" s="37"/>
      <c r="X215" s="52"/>
      <c r="Y215" s="87"/>
      <c r="AA215" s="86"/>
      <c r="AB215" s="57"/>
      <c r="AC215" s="37"/>
      <c r="AD215" s="52"/>
      <c r="AE215" s="87"/>
      <c r="AG215" s="86"/>
      <c r="AH215" s="37"/>
      <c r="AI215" s="52"/>
      <c r="AJ215" s="87"/>
      <c r="AL215" s="86"/>
      <c r="AM215" s="37"/>
      <c r="AN215" s="52"/>
      <c r="AO215" s="87"/>
      <c r="AQ215" s="86"/>
      <c r="AR215" s="37"/>
      <c r="AS215" s="52"/>
      <c r="AT215" s="87"/>
    </row>
    <row r="216" spans="2:46" thickBot="1">
      <c r="B216" s="113"/>
      <c r="C216" s="324"/>
      <c r="D216" s="346"/>
      <c r="E216" s="326"/>
      <c r="F216" s="321" t="str">
        <f t="shared" si="46"/>
        <v/>
      </c>
      <c r="G216" s="334"/>
      <c r="H216" s="331"/>
      <c r="I216" s="107"/>
      <c r="J216" s="108"/>
      <c r="K216" s="109"/>
      <c r="L216" s="108"/>
      <c r="O216" s="86"/>
      <c r="P216" s="57"/>
      <c r="Q216" s="37"/>
      <c r="R216" s="92" t="str">
        <f t="shared" si="44"/>
        <v/>
      </c>
      <c r="S216" s="52"/>
      <c r="T216" s="87"/>
      <c r="U216" s="86"/>
      <c r="V216" s="201"/>
      <c r="W216" s="37"/>
      <c r="X216" s="52"/>
      <c r="Y216" s="87"/>
      <c r="AA216" s="86"/>
      <c r="AB216" s="57"/>
      <c r="AC216" s="37"/>
      <c r="AD216" s="52"/>
      <c r="AE216" s="87"/>
      <c r="AG216" s="86"/>
      <c r="AH216" s="37"/>
      <c r="AI216" s="52"/>
      <c r="AJ216" s="87"/>
      <c r="AL216" s="86"/>
      <c r="AM216" s="37"/>
      <c r="AN216" s="52"/>
      <c r="AO216" s="87"/>
      <c r="AQ216" s="86"/>
      <c r="AR216" s="37"/>
      <c r="AS216" s="52"/>
      <c r="AT216" s="87"/>
    </row>
    <row r="217" spans="2:46" thickBot="1">
      <c r="B217" s="113"/>
      <c r="C217" s="324"/>
      <c r="D217" s="346"/>
      <c r="E217" s="326"/>
      <c r="F217" s="321" t="str">
        <f t="shared" si="46"/>
        <v/>
      </c>
      <c r="G217" s="334"/>
      <c r="H217" s="331"/>
      <c r="I217" s="107"/>
      <c r="J217" s="108"/>
      <c r="K217" s="109"/>
      <c r="L217" s="108"/>
      <c r="O217" s="86"/>
      <c r="P217" s="57"/>
      <c r="Q217" s="37"/>
      <c r="R217" s="92" t="str">
        <f t="shared" si="44"/>
        <v/>
      </c>
      <c r="S217" s="52"/>
      <c r="T217" s="87"/>
      <c r="U217" s="86"/>
      <c r="V217" s="201"/>
      <c r="W217" s="37"/>
      <c r="X217" s="52"/>
      <c r="Y217" s="87"/>
      <c r="AA217" s="86"/>
      <c r="AB217" s="57"/>
      <c r="AC217" s="37"/>
      <c r="AD217" s="52"/>
      <c r="AE217" s="87"/>
      <c r="AG217" s="86"/>
      <c r="AH217" s="37"/>
      <c r="AI217" s="52"/>
      <c r="AJ217" s="87"/>
      <c r="AL217" s="86"/>
      <c r="AM217" s="37"/>
      <c r="AN217" s="52"/>
      <c r="AO217" s="87"/>
      <c r="AQ217" s="86"/>
      <c r="AR217" s="37"/>
      <c r="AS217" s="52"/>
      <c r="AT217" s="87"/>
    </row>
    <row r="218" spans="2:46" thickBot="1">
      <c r="B218" s="113"/>
      <c r="C218" s="324"/>
      <c r="D218" s="346"/>
      <c r="E218" s="326"/>
      <c r="F218" s="321" t="str">
        <f t="shared" si="46"/>
        <v/>
      </c>
      <c r="G218" s="334"/>
      <c r="H218" s="331"/>
      <c r="I218" s="107"/>
      <c r="J218" s="108"/>
      <c r="K218" s="109"/>
      <c r="L218" s="108"/>
      <c r="O218" s="86"/>
      <c r="P218" s="57"/>
      <c r="Q218" s="37"/>
      <c r="R218" s="92" t="str">
        <f t="shared" si="44"/>
        <v/>
      </c>
      <c r="S218" s="52"/>
      <c r="T218" s="87"/>
      <c r="U218" s="86"/>
      <c r="V218" s="201"/>
      <c r="W218" s="37"/>
      <c r="X218" s="52"/>
      <c r="Y218" s="87"/>
      <c r="AA218" s="86"/>
      <c r="AB218" s="57"/>
      <c r="AC218" s="37"/>
      <c r="AD218" s="52"/>
      <c r="AE218" s="87"/>
      <c r="AG218" s="86"/>
      <c r="AH218" s="37"/>
      <c r="AI218" s="52"/>
      <c r="AJ218" s="87"/>
      <c r="AL218" s="86"/>
      <c r="AM218" s="37"/>
      <c r="AN218" s="52"/>
      <c r="AO218" s="87"/>
      <c r="AQ218" s="86"/>
      <c r="AR218" s="37"/>
      <c r="AS218" s="52"/>
      <c r="AT218" s="87"/>
    </row>
    <row r="219" spans="2:46" thickBot="1">
      <c r="B219" s="113"/>
      <c r="C219" s="324"/>
      <c r="D219" s="346"/>
      <c r="E219" s="326"/>
      <c r="F219" s="321" t="str">
        <f t="shared" si="46"/>
        <v/>
      </c>
      <c r="G219" s="334"/>
      <c r="H219" s="331"/>
      <c r="I219" s="107"/>
      <c r="J219" s="108"/>
      <c r="K219" s="109"/>
      <c r="L219" s="108"/>
      <c r="O219" s="86"/>
      <c r="P219" s="57"/>
      <c r="Q219" s="37"/>
      <c r="R219" s="92" t="str">
        <f t="shared" si="44"/>
        <v/>
      </c>
      <c r="S219" s="52"/>
      <c r="T219" s="87"/>
      <c r="U219" s="86"/>
      <c r="V219" s="201"/>
      <c r="W219" s="37"/>
      <c r="X219" s="52"/>
      <c r="Y219" s="87"/>
      <c r="AA219" s="86"/>
      <c r="AB219" s="57"/>
      <c r="AC219" s="37"/>
      <c r="AD219" s="52"/>
      <c r="AE219" s="87"/>
      <c r="AG219" s="86"/>
      <c r="AH219" s="37"/>
      <c r="AI219" s="52"/>
      <c r="AJ219" s="87"/>
      <c r="AL219" s="86"/>
      <c r="AM219" s="37"/>
      <c r="AN219" s="52"/>
      <c r="AO219" s="87"/>
      <c r="AQ219" s="86"/>
      <c r="AR219" s="37"/>
      <c r="AS219" s="52"/>
      <c r="AT219" s="87"/>
    </row>
    <row r="220" spans="2:46" thickBot="1">
      <c r="B220" s="113"/>
      <c r="C220" s="324"/>
      <c r="D220" s="346"/>
      <c r="E220" s="326"/>
      <c r="F220" s="321" t="str">
        <f t="shared" si="46"/>
        <v/>
      </c>
      <c r="G220" s="334"/>
      <c r="H220" s="331"/>
      <c r="I220" s="107"/>
      <c r="J220" s="108"/>
      <c r="K220" s="109"/>
      <c r="L220" s="108"/>
      <c r="O220" s="86"/>
      <c r="P220" s="57"/>
      <c r="Q220" s="37"/>
      <c r="R220" s="92" t="str">
        <f t="shared" si="44"/>
        <v/>
      </c>
      <c r="S220" s="52"/>
      <c r="T220" s="87"/>
      <c r="U220" s="86"/>
      <c r="V220" s="201"/>
      <c r="W220" s="37"/>
      <c r="X220" s="52"/>
      <c r="Y220" s="87"/>
      <c r="AA220" s="86"/>
      <c r="AB220" s="57"/>
      <c r="AC220" s="37"/>
      <c r="AD220" s="52"/>
      <c r="AE220" s="87"/>
      <c r="AG220" s="86"/>
      <c r="AH220" s="37"/>
      <c r="AI220" s="52"/>
      <c r="AJ220" s="87"/>
      <c r="AL220" s="86"/>
      <c r="AM220" s="37"/>
      <c r="AN220" s="52"/>
      <c r="AO220" s="87"/>
      <c r="AQ220" s="86"/>
      <c r="AR220" s="37"/>
      <c r="AS220" s="52"/>
      <c r="AT220" s="87"/>
    </row>
    <row r="221" spans="2:46" thickBot="1">
      <c r="B221" s="113"/>
      <c r="C221" s="324"/>
      <c r="D221" s="346"/>
      <c r="E221" s="326"/>
      <c r="F221" s="321" t="str">
        <f t="shared" si="46"/>
        <v/>
      </c>
      <c r="G221" s="334"/>
      <c r="H221" s="331"/>
      <c r="I221" s="107"/>
      <c r="J221" s="108"/>
      <c r="K221" s="109"/>
      <c r="L221" s="108"/>
      <c r="O221" s="86"/>
      <c r="P221" s="57"/>
      <c r="Q221" s="37"/>
      <c r="R221" s="92" t="str">
        <f t="shared" si="44"/>
        <v/>
      </c>
      <c r="S221" s="52"/>
      <c r="T221" s="87"/>
      <c r="U221" s="86"/>
      <c r="V221" s="201"/>
      <c r="W221" s="37"/>
      <c r="X221" s="52"/>
      <c r="Y221" s="87"/>
      <c r="AA221" s="86"/>
      <c r="AB221" s="57"/>
      <c r="AC221" s="37"/>
      <c r="AD221" s="52"/>
      <c r="AE221" s="87"/>
      <c r="AG221" s="86"/>
      <c r="AH221" s="37"/>
      <c r="AI221" s="52"/>
      <c r="AJ221" s="87"/>
      <c r="AL221" s="86"/>
      <c r="AM221" s="37"/>
      <c r="AN221" s="52"/>
      <c r="AO221" s="87"/>
      <c r="AQ221" s="86"/>
      <c r="AR221" s="37"/>
      <c r="AS221" s="52"/>
      <c r="AT221" s="87"/>
    </row>
    <row r="222" spans="2:46" thickBot="1">
      <c r="B222" s="113"/>
      <c r="C222" s="324"/>
      <c r="D222" s="346"/>
      <c r="E222" s="326"/>
      <c r="F222" s="321" t="str">
        <f t="shared" si="46"/>
        <v/>
      </c>
      <c r="G222" s="334"/>
      <c r="H222" s="331"/>
      <c r="I222" s="107"/>
      <c r="J222" s="108"/>
      <c r="K222" s="109"/>
      <c r="L222" s="108"/>
      <c r="O222" s="86"/>
      <c r="P222" s="57"/>
      <c r="Q222" s="37"/>
      <c r="R222" s="92" t="str">
        <f t="shared" si="44"/>
        <v/>
      </c>
      <c r="S222" s="52"/>
      <c r="T222" s="87"/>
      <c r="U222" s="86"/>
      <c r="V222" s="201"/>
      <c r="W222" s="37"/>
      <c r="X222" s="52"/>
      <c r="Y222" s="87"/>
      <c r="AA222" s="86"/>
      <c r="AB222" s="57"/>
      <c r="AC222" s="37"/>
      <c r="AD222" s="52"/>
      <c r="AE222" s="87"/>
      <c r="AG222" s="86"/>
      <c r="AH222" s="37"/>
      <c r="AI222" s="52"/>
      <c r="AJ222" s="87"/>
      <c r="AL222" s="86"/>
      <c r="AM222" s="37"/>
      <c r="AN222" s="52"/>
      <c r="AO222" s="87"/>
      <c r="AQ222" s="86"/>
      <c r="AR222" s="37"/>
      <c r="AS222" s="52"/>
      <c r="AT222" s="87"/>
    </row>
    <row r="223" spans="2:46" thickBot="1">
      <c r="B223" s="113"/>
      <c r="C223" s="324"/>
      <c r="D223" s="346"/>
      <c r="E223" s="326"/>
      <c r="F223" s="321" t="str">
        <f t="shared" si="46"/>
        <v/>
      </c>
      <c r="G223" s="334"/>
      <c r="H223" s="331"/>
      <c r="I223" s="107"/>
      <c r="J223" s="108"/>
      <c r="K223" s="109"/>
      <c r="L223" s="108"/>
      <c r="O223" s="86"/>
      <c r="P223" s="57"/>
      <c r="Q223" s="37"/>
      <c r="R223" s="92" t="str">
        <f t="shared" si="44"/>
        <v/>
      </c>
      <c r="S223" s="52"/>
      <c r="T223" s="87"/>
      <c r="U223" s="86"/>
      <c r="V223" s="201"/>
      <c r="W223" s="37"/>
      <c r="X223" s="52"/>
      <c r="Y223" s="87"/>
      <c r="AA223" s="86"/>
      <c r="AB223" s="57"/>
      <c r="AC223" s="37"/>
      <c r="AD223" s="52"/>
      <c r="AE223" s="87"/>
      <c r="AG223" s="86"/>
      <c r="AH223" s="37"/>
      <c r="AI223" s="52"/>
      <c r="AJ223" s="87"/>
      <c r="AL223" s="86"/>
      <c r="AM223" s="37"/>
      <c r="AN223" s="52"/>
      <c r="AO223" s="87"/>
      <c r="AQ223" s="86"/>
      <c r="AR223" s="37"/>
      <c r="AS223" s="52"/>
      <c r="AT223" s="87"/>
    </row>
    <row r="224" spans="2:46" thickBot="1">
      <c r="B224" s="113"/>
      <c r="C224" s="324"/>
      <c r="D224" s="346"/>
      <c r="E224" s="326"/>
      <c r="F224" s="321" t="str">
        <f t="shared" si="46"/>
        <v/>
      </c>
      <c r="G224" s="334"/>
      <c r="H224" s="331"/>
      <c r="I224" s="107"/>
      <c r="J224" s="108"/>
      <c r="K224" s="109"/>
      <c r="L224" s="108"/>
      <c r="O224" s="86"/>
      <c r="P224" s="57"/>
      <c r="Q224" s="37"/>
      <c r="R224" s="92" t="str">
        <f t="shared" si="44"/>
        <v/>
      </c>
      <c r="S224" s="52"/>
      <c r="T224" s="87"/>
      <c r="U224" s="86"/>
      <c r="V224" s="201"/>
      <c r="W224" s="37"/>
      <c r="X224" s="52"/>
      <c r="Y224" s="87"/>
      <c r="AA224" s="86"/>
      <c r="AB224" s="57"/>
      <c r="AC224" s="37"/>
      <c r="AD224" s="52"/>
      <c r="AE224" s="87"/>
      <c r="AG224" s="86"/>
      <c r="AH224" s="37"/>
      <c r="AI224" s="52"/>
      <c r="AJ224" s="87"/>
      <c r="AL224" s="86"/>
      <c r="AM224" s="37"/>
      <c r="AN224" s="52"/>
      <c r="AO224" s="87"/>
      <c r="AQ224" s="86"/>
      <c r="AR224" s="37"/>
      <c r="AS224" s="52"/>
      <c r="AT224" s="87"/>
    </row>
    <row r="225" spans="2:46" thickBot="1">
      <c r="B225" s="113"/>
      <c r="C225" s="324"/>
      <c r="D225" s="346"/>
      <c r="E225" s="326"/>
      <c r="F225" s="321" t="str">
        <f t="shared" si="46"/>
        <v/>
      </c>
      <c r="G225" s="334"/>
      <c r="H225" s="331"/>
      <c r="I225" s="107"/>
      <c r="J225" s="108"/>
      <c r="K225" s="109"/>
      <c r="L225" s="108"/>
      <c r="O225" s="86"/>
      <c r="P225" s="57"/>
      <c r="Q225" s="37"/>
      <c r="R225" s="92" t="str">
        <f t="shared" si="44"/>
        <v/>
      </c>
      <c r="S225" s="52"/>
      <c r="T225" s="87"/>
      <c r="U225" s="86"/>
      <c r="V225" s="201"/>
      <c r="W225" s="37"/>
      <c r="X225" s="52"/>
      <c r="Y225" s="87"/>
      <c r="AA225" s="86"/>
      <c r="AB225" s="57"/>
      <c r="AC225" s="37"/>
      <c r="AD225" s="52"/>
      <c r="AE225" s="87"/>
      <c r="AG225" s="86"/>
      <c r="AH225" s="37"/>
      <c r="AI225" s="52"/>
      <c r="AJ225" s="87"/>
      <c r="AL225" s="86"/>
      <c r="AM225" s="37"/>
      <c r="AN225" s="52"/>
      <c r="AO225" s="87"/>
      <c r="AQ225" s="86"/>
      <c r="AR225" s="37"/>
      <c r="AS225" s="52"/>
      <c r="AT225" s="87"/>
    </row>
    <row r="226" spans="2:46" thickBot="1">
      <c r="B226" s="113"/>
      <c r="C226" s="324"/>
      <c r="D226" s="346"/>
      <c r="E226" s="326"/>
      <c r="F226" s="321" t="str">
        <f t="shared" si="46"/>
        <v/>
      </c>
      <c r="G226" s="334"/>
      <c r="H226" s="331"/>
      <c r="I226" s="107"/>
      <c r="J226" s="108"/>
      <c r="K226" s="109"/>
      <c r="L226" s="108"/>
      <c r="O226" s="86"/>
      <c r="P226" s="57"/>
      <c r="Q226" s="37"/>
      <c r="R226" s="92" t="str">
        <f t="shared" si="44"/>
        <v/>
      </c>
      <c r="S226" s="52"/>
      <c r="T226" s="87"/>
      <c r="U226" s="86"/>
      <c r="V226" s="201"/>
      <c r="W226" s="37"/>
      <c r="X226" s="52"/>
      <c r="Y226" s="87"/>
      <c r="AA226" s="86"/>
      <c r="AB226" s="57"/>
      <c r="AC226" s="37"/>
      <c r="AD226" s="52"/>
      <c r="AE226" s="87"/>
      <c r="AG226" s="86"/>
      <c r="AH226" s="37"/>
      <c r="AI226" s="52"/>
      <c r="AJ226" s="87"/>
      <c r="AL226" s="86"/>
      <c r="AM226" s="37"/>
      <c r="AN226" s="52"/>
      <c r="AO226" s="87"/>
      <c r="AQ226" s="86"/>
      <c r="AR226" s="37"/>
      <c r="AS226" s="52"/>
      <c r="AT226" s="87"/>
    </row>
    <row r="227" spans="2:46" thickBot="1">
      <c r="B227" s="113"/>
      <c r="C227" s="324"/>
      <c r="D227" s="346"/>
      <c r="E227" s="326"/>
      <c r="F227" s="321" t="str">
        <f t="shared" si="46"/>
        <v/>
      </c>
      <c r="G227" s="334"/>
      <c r="H227" s="331"/>
      <c r="I227" s="107"/>
      <c r="J227" s="108"/>
      <c r="K227" s="109"/>
      <c r="L227" s="108"/>
      <c r="O227" s="86"/>
      <c r="P227" s="57"/>
      <c r="Q227" s="37"/>
      <c r="R227" s="92" t="str">
        <f t="shared" si="44"/>
        <v/>
      </c>
      <c r="S227" s="52"/>
      <c r="T227" s="87"/>
      <c r="U227" s="86"/>
      <c r="V227" s="201"/>
      <c r="W227" s="37"/>
      <c r="X227" s="52"/>
      <c r="Y227" s="87"/>
      <c r="AA227" s="86"/>
      <c r="AB227" s="57"/>
      <c r="AC227" s="37"/>
      <c r="AD227" s="52"/>
      <c r="AE227" s="87"/>
      <c r="AG227" s="86"/>
      <c r="AH227" s="37"/>
      <c r="AI227" s="52"/>
      <c r="AJ227" s="87"/>
      <c r="AL227" s="86"/>
      <c r="AM227" s="37"/>
      <c r="AN227" s="52"/>
      <c r="AO227" s="87"/>
      <c r="AQ227" s="86"/>
      <c r="AR227" s="37"/>
      <c r="AS227" s="52"/>
      <c r="AT227" s="87"/>
    </row>
    <row r="228" spans="2:46" thickBot="1">
      <c r="B228" s="113"/>
      <c r="C228" s="324"/>
      <c r="D228" s="346"/>
      <c r="E228" s="326"/>
      <c r="F228" s="321" t="str">
        <f t="shared" si="46"/>
        <v/>
      </c>
      <c r="G228" s="334"/>
      <c r="H228" s="331"/>
      <c r="I228" s="107"/>
      <c r="J228" s="108"/>
      <c r="K228" s="109"/>
      <c r="L228" s="108"/>
      <c r="O228" s="86"/>
      <c r="P228" s="57"/>
      <c r="Q228" s="37"/>
      <c r="R228" s="92" t="str">
        <f t="shared" si="44"/>
        <v/>
      </c>
      <c r="S228" s="52"/>
      <c r="T228" s="87"/>
      <c r="U228" s="86"/>
      <c r="V228" s="201"/>
      <c r="W228" s="37"/>
      <c r="X228" s="52"/>
      <c r="Y228" s="87"/>
      <c r="AA228" s="86"/>
      <c r="AB228" s="57"/>
      <c r="AC228" s="37"/>
      <c r="AD228" s="52"/>
      <c r="AE228" s="87"/>
      <c r="AG228" s="86"/>
      <c r="AH228" s="37"/>
      <c r="AI228" s="52"/>
      <c r="AJ228" s="87"/>
      <c r="AL228" s="86"/>
      <c r="AM228" s="37"/>
      <c r="AN228" s="52"/>
      <c r="AO228" s="87"/>
      <c r="AQ228" s="86"/>
      <c r="AR228" s="37"/>
      <c r="AS228" s="52"/>
      <c r="AT228" s="87"/>
    </row>
    <row r="229" spans="2:46" thickBot="1">
      <c r="B229" s="113"/>
      <c r="C229" s="324"/>
      <c r="D229" s="346"/>
      <c r="E229" s="326"/>
      <c r="F229" s="321" t="str">
        <f t="shared" si="46"/>
        <v/>
      </c>
      <c r="G229" s="334"/>
      <c r="H229" s="331"/>
      <c r="I229" s="107"/>
      <c r="J229" s="108"/>
      <c r="K229" s="109"/>
      <c r="L229" s="108"/>
      <c r="O229" s="86"/>
      <c r="P229" s="57"/>
      <c r="Q229" s="37"/>
      <c r="R229" s="92" t="str">
        <f t="shared" si="44"/>
        <v/>
      </c>
      <c r="S229" s="52"/>
      <c r="T229" s="87"/>
      <c r="U229" s="86"/>
      <c r="V229" s="201"/>
      <c r="W229" s="37"/>
      <c r="X229" s="52"/>
      <c r="Y229" s="87"/>
      <c r="AA229" s="86"/>
      <c r="AB229" s="57"/>
      <c r="AC229" s="37"/>
      <c r="AD229" s="52"/>
      <c r="AE229" s="87"/>
      <c r="AG229" s="86"/>
      <c r="AH229" s="37"/>
      <c r="AI229" s="52"/>
      <c r="AJ229" s="87"/>
      <c r="AL229" s="86"/>
      <c r="AM229" s="37"/>
      <c r="AN229" s="52"/>
      <c r="AO229" s="87"/>
      <c r="AQ229" s="86"/>
      <c r="AR229" s="37"/>
      <c r="AS229" s="52"/>
      <c r="AT229" s="87"/>
    </row>
    <row r="230" spans="2:46" thickBot="1">
      <c r="B230" s="113"/>
      <c r="C230" s="324"/>
      <c r="D230" s="346"/>
      <c r="E230" s="326"/>
      <c r="F230" s="321" t="str">
        <f t="shared" si="46"/>
        <v/>
      </c>
      <c r="G230" s="334"/>
      <c r="H230" s="331"/>
      <c r="I230" s="107"/>
      <c r="J230" s="108"/>
      <c r="K230" s="109"/>
      <c r="L230" s="108"/>
      <c r="O230" s="86"/>
      <c r="P230" s="57"/>
      <c r="Q230" s="37"/>
      <c r="R230" s="92" t="str">
        <f t="shared" si="44"/>
        <v/>
      </c>
      <c r="S230" s="52"/>
      <c r="T230" s="87"/>
      <c r="U230" s="86"/>
      <c r="V230" s="201"/>
      <c r="W230" s="37"/>
      <c r="X230" s="52"/>
      <c r="Y230" s="87"/>
      <c r="AA230" s="86"/>
      <c r="AB230" s="57"/>
      <c r="AC230" s="37"/>
      <c r="AD230" s="52"/>
      <c r="AE230" s="87"/>
      <c r="AG230" s="86"/>
      <c r="AH230" s="37"/>
      <c r="AI230" s="52"/>
      <c r="AJ230" s="87"/>
      <c r="AL230" s="86"/>
      <c r="AM230" s="37"/>
      <c r="AN230" s="52"/>
      <c r="AO230" s="87"/>
      <c r="AQ230" s="86"/>
      <c r="AR230" s="37"/>
      <c r="AS230" s="52"/>
      <c r="AT230" s="87"/>
    </row>
    <row r="231" spans="2:46" thickBot="1">
      <c r="B231" s="113"/>
      <c r="C231" s="324"/>
      <c r="D231" s="346"/>
      <c r="E231" s="326"/>
      <c r="F231" s="321" t="str">
        <f t="shared" si="46"/>
        <v/>
      </c>
      <c r="G231" s="334"/>
      <c r="H231" s="331"/>
      <c r="I231" s="107"/>
      <c r="J231" s="108"/>
      <c r="K231" s="109"/>
      <c r="L231" s="108"/>
      <c r="O231" s="86"/>
      <c r="P231" s="57"/>
      <c r="Q231" s="37"/>
      <c r="R231" s="92" t="str">
        <f t="shared" si="44"/>
        <v/>
      </c>
      <c r="S231" s="52"/>
      <c r="T231" s="87"/>
      <c r="U231" s="86"/>
      <c r="V231" s="201"/>
      <c r="W231" s="37"/>
      <c r="X231" s="52"/>
      <c r="Y231" s="87"/>
      <c r="AA231" s="86"/>
      <c r="AB231" s="57"/>
      <c r="AC231" s="37"/>
      <c r="AD231" s="52"/>
      <c r="AE231" s="87"/>
      <c r="AG231" s="86"/>
      <c r="AH231" s="37"/>
      <c r="AI231" s="52"/>
      <c r="AJ231" s="87"/>
      <c r="AL231" s="86"/>
      <c r="AM231" s="37"/>
      <c r="AN231" s="52"/>
      <c r="AO231" s="87"/>
      <c r="AQ231" s="86"/>
      <c r="AR231" s="37"/>
      <c r="AS231" s="52"/>
      <c r="AT231" s="87"/>
    </row>
    <row r="232" spans="2:46" thickBot="1">
      <c r="B232" s="113"/>
      <c r="C232" s="324"/>
      <c r="D232" s="346"/>
      <c r="E232" s="326"/>
      <c r="F232" s="321" t="str">
        <f t="shared" si="46"/>
        <v/>
      </c>
      <c r="G232" s="334"/>
      <c r="H232" s="331"/>
      <c r="I232" s="107"/>
      <c r="J232" s="108"/>
      <c r="K232" s="109"/>
      <c r="L232" s="108"/>
      <c r="O232" s="86"/>
      <c r="P232" s="57"/>
      <c r="Q232" s="37"/>
      <c r="R232" s="92" t="str">
        <f t="shared" si="44"/>
        <v/>
      </c>
      <c r="S232" s="52"/>
      <c r="T232" s="87"/>
      <c r="U232" s="86"/>
      <c r="V232" s="201"/>
      <c r="W232" s="37"/>
      <c r="X232" s="52"/>
      <c r="Y232" s="87"/>
      <c r="AA232" s="86"/>
      <c r="AB232" s="57"/>
      <c r="AC232" s="37"/>
      <c r="AD232" s="52"/>
      <c r="AE232" s="87"/>
      <c r="AG232" s="86"/>
      <c r="AH232" s="37"/>
      <c r="AI232" s="52"/>
      <c r="AJ232" s="87"/>
      <c r="AL232" s="86"/>
      <c r="AM232" s="37"/>
      <c r="AN232" s="52"/>
      <c r="AO232" s="87"/>
      <c r="AQ232" s="86"/>
      <c r="AR232" s="37"/>
      <c r="AS232" s="52"/>
      <c r="AT232" s="87"/>
    </row>
    <row r="233" spans="2:46" thickBot="1">
      <c r="B233" s="113"/>
      <c r="C233" s="324"/>
      <c r="D233" s="346"/>
      <c r="E233" s="326"/>
      <c r="F233" s="321" t="str">
        <f t="shared" si="46"/>
        <v/>
      </c>
      <c r="G233" s="334"/>
      <c r="H233" s="331"/>
      <c r="I233" s="107"/>
      <c r="J233" s="108"/>
      <c r="K233" s="109"/>
      <c r="L233" s="108"/>
      <c r="O233" s="86"/>
      <c r="P233" s="57"/>
      <c r="Q233" s="37"/>
      <c r="R233" s="92" t="str">
        <f t="shared" si="44"/>
        <v/>
      </c>
      <c r="S233" s="52"/>
      <c r="T233" s="87"/>
      <c r="U233" s="86"/>
      <c r="V233" s="201"/>
      <c r="W233" s="37"/>
      <c r="X233" s="52"/>
      <c r="Y233" s="87"/>
      <c r="AA233" s="86"/>
      <c r="AB233" s="57"/>
      <c r="AC233" s="37"/>
      <c r="AD233" s="52"/>
      <c r="AE233" s="87"/>
      <c r="AG233" s="86"/>
      <c r="AH233" s="37"/>
      <c r="AI233" s="52"/>
      <c r="AJ233" s="87"/>
      <c r="AL233" s="86"/>
      <c r="AM233" s="37"/>
      <c r="AN233" s="52"/>
      <c r="AO233" s="87"/>
      <c r="AQ233" s="86"/>
      <c r="AR233" s="37"/>
      <c r="AS233" s="52"/>
      <c r="AT233" s="87"/>
    </row>
    <row r="234" spans="2:46" thickBot="1">
      <c r="B234" s="113"/>
      <c r="C234" s="324"/>
      <c r="D234" s="346"/>
      <c r="E234" s="326"/>
      <c r="F234" s="321" t="str">
        <f t="shared" si="46"/>
        <v/>
      </c>
      <c r="G234" s="334"/>
      <c r="H234" s="331"/>
      <c r="I234" s="107"/>
      <c r="J234" s="108"/>
      <c r="K234" s="109"/>
      <c r="L234" s="108"/>
      <c r="O234" s="86"/>
      <c r="P234" s="57"/>
      <c r="Q234" s="37"/>
      <c r="R234" s="92" t="str">
        <f t="shared" si="44"/>
        <v/>
      </c>
      <c r="S234" s="52"/>
      <c r="T234" s="87"/>
      <c r="U234" s="86"/>
      <c r="V234" s="201"/>
      <c r="W234" s="37"/>
      <c r="X234" s="52"/>
      <c r="Y234" s="87"/>
      <c r="AA234" s="86"/>
      <c r="AB234" s="57"/>
      <c r="AC234" s="37"/>
      <c r="AD234" s="52"/>
      <c r="AE234" s="87"/>
      <c r="AG234" s="86"/>
      <c r="AH234" s="37"/>
      <c r="AI234" s="52"/>
      <c r="AJ234" s="87"/>
      <c r="AL234" s="86"/>
      <c r="AM234" s="37"/>
      <c r="AN234" s="52"/>
      <c r="AO234" s="87"/>
      <c r="AQ234" s="86"/>
      <c r="AR234" s="37"/>
      <c r="AS234" s="52"/>
      <c r="AT234" s="87"/>
    </row>
    <row r="235" spans="2:46" thickBot="1">
      <c r="B235" s="113"/>
      <c r="C235" s="324"/>
      <c r="D235" s="346"/>
      <c r="E235" s="326"/>
      <c r="F235" s="321" t="str">
        <f t="shared" si="46"/>
        <v/>
      </c>
      <c r="G235" s="334"/>
      <c r="H235" s="331"/>
      <c r="I235" s="107"/>
      <c r="J235" s="108"/>
      <c r="K235" s="109"/>
      <c r="L235" s="108"/>
      <c r="O235" s="86"/>
      <c r="P235" s="57"/>
      <c r="Q235" s="37"/>
      <c r="R235" s="92" t="str">
        <f t="shared" ref="R235:R298" si="47">IF(Q235="","",ROUND(S235*(1+$F$2),2))</f>
        <v/>
      </c>
      <c r="S235" s="52"/>
      <c r="T235" s="87"/>
      <c r="U235" s="86"/>
      <c r="V235" s="201"/>
      <c r="W235" s="37"/>
      <c r="X235" s="52"/>
      <c r="Y235" s="87"/>
      <c r="AA235" s="86"/>
      <c r="AB235" s="57"/>
      <c r="AC235" s="37"/>
      <c r="AD235" s="52"/>
      <c r="AE235" s="87"/>
      <c r="AG235" s="86"/>
      <c r="AH235" s="37"/>
      <c r="AI235" s="52"/>
      <c r="AJ235" s="87"/>
      <c r="AL235" s="86"/>
      <c r="AM235" s="37"/>
      <c r="AN235" s="52"/>
      <c r="AO235" s="87"/>
      <c r="AQ235" s="86"/>
      <c r="AR235" s="37"/>
      <c r="AS235" s="52"/>
      <c r="AT235" s="87"/>
    </row>
    <row r="236" spans="2:46" thickBot="1">
      <c r="B236" s="113"/>
      <c r="C236" s="324"/>
      <c r="D236" s="346"/>
      <c r="E236" s="326"/>
      <c r="F236" s="321" t="str">
        <f t="shared" si="46"/>
        <v/>
      </c>
      <c r="G236" s="334"/>
      <c r="H236" s="331"/>
      <c r="I236" s="107"/>
      <c r="J236" s="108"/>
      <c r="K236" s="109"/>
      <c r="L236" s="108"/>
      <c r="O236" s="86"/>
      <c r="P236" s="57"/>
      <c r="Q236" s="37"/>
      <c r="R236" s="92" t="str">
        <f t="shared" si="47"/>
        <v/>
      </c>
      <c r="S236" s="52"/>
      <c r="T236" s="87"/>
      <c r="U236" s="86"/>
      <c r="V236" s="201"/>
      <c r="W236" s="37"/>
      <c r="X236" s="52"/>
      <c r="Y236" s="87"/>
      <c r="AA236" s="86"/>
      <c r="AB236" s="57"/>
      <c r="AC236" s="37"/>
      <c r="AD236" s="52"/>
      <c r="AE236" s="87"/>
      <c r="AG236" s="86"/>
      <c r="AH236" s="37"/>
      <c r="AI236" s="52"/>
      <c r="AJ236" s="87"/>
      <c r="AL236" s="86"/>
      <c r="AM236" s="37"/>
      <c r="AN236" s="52"/>
      <c r="AO236" s="87"/>
      <c r="AQ236" s="86"/>
      <c r="AR236" s="37"/>
      <c r="AS236" s="52"/>
      <c r="AT236" s="87"/>
    </row>
    <row r="237" spans="2:46" thickBot="1">
      <c r="B237" s="113"/>
      <c r="C237" s="324"/>
      <c r="D237" s="346"/>
      <c r="E237" s="326"/>
      <c r="F237" s="321" t="str">
        <f t="shared" si="46"/>
        <v/>
      </c>
      <c r="G237" s="334"/>
      <c r="H237" s="331"/>
      <c r="I237" s="107"/>
      <c r="J237" s="108"/>
      <c r="K237" s="109"/>
      <c r="L237" s="108"/>
      <c r="O237" s="86"/>
      <c r="P237" s="57"/>
      <c r="Q237" s="37"/>
      <c r="R237" s="92" t="str">
        <f t="shared" si="47"/>
        <v/>
      </c>
      <c r="S237" s="52"/>
      <c r="T237" s="87"/>
      <c r="U237" s="86"/>
      <c r="V237" s="201"/>
      <c r="W237" s="37"/>
      <c r="X237" s="52"/>
      <c r="Y237" s="87"/>
      <c r="AA237" s="86"/>
      <c r="AB237" s="57"/>
      <c r="AC237" s="37"/>
      <c r="AD237" s="52"/>
      <c r="AE237" s="87"/>
      <c r="AG237" s="86"/>
      <c r="AH237" s="37"/>
      <c r="AI237" s="52"/>
      <c r="AJ237" s="87"/>
      <c r="AL237" s="86"/>
      <c r="AM237" s="37"/>
      <c r="AN237" s="52"/>
      <c r="AO237" s="87"/>
      <c r="AQ237" s="86"/>
      <c r="AR237" s="37"/>
      <c r="AS237" s="52"/>
      <c r="AT237" s="87"/>
    </row>
    <row r="238" spans="2:46" thickBot="1">
      <c r="B238" s="113"/>
      <c r="C238" s="324"/>
      <c r="D238" s="346"/>
      <c r="E238" s="326"/>
      <c r="F238" s="321" t="str">
        <f t="shared" si="46"/>
        <v/>
      </c>
      <c r="G238" s="334"/>
      <c r="H238" s="331"/>
      <c r="I238" s="107"/>
      <c r="J238" s="108"/>
      <c r="K238" s="109"/>
      <c r="L238" s="108"/>
      <c r="O238" s="86"/>
      <c r="P238" s="57"/>
      <c r="Q238" s="37"/>
      <c r="R238" s="92" t="str">
        <f t="shared" si="47"/>
        <v/>
      </c>
      <c r="S238" s="52"/>
      <c r="T238" s="87"/>
      <c r="U238" s="86"/>
      <c r="V238" s="201"/>
      <c r="W238" s="37"/>
      <c r="X238" s="52"/>
      <c r="Y238" s="87"/>
      <c r="AA238" s="86"/>
      <c r="AB238" s="57"/>
      <c r="AC238" s="37"/>
      <c r="AD238" s="52"/>
      <c r="AE238" s="87"/>
      <c r="AG238" s="86"/>
      <c r="AH238" s="37"/>
      <c r="AI238" s="52"/>
      <c r="AJ238" s="87"/>
      <c r="AL238" s="86"/>
      <c r="AM238" s="37"/>
      <c r="AN238" s="52"/>
      <c r="AO238" s="87"/>
      <c r="AQ238" s="86"/>
      <c r="AR238" s="37"/>
      <c r="AS238" s="52"/>
      <c r="AT238" s="87"/>
    </row>
    <row r="239" spans="2:46" thickBot="1">
      <c r="B239" s="113"/>
      <c r="C239" s="324"/>
      <c r="D239" s="346"/>
      <c r="E239" s="326"/>
      <c r="F239" s="321" t="str">
        <f t="shared" si="46"/>
        <v/>
      </c>
      <c r="G239" s="334"/>
      <c r="H239" s="331"/>
      <c r="I239" s="107"/>
      <c r="J239" s="108"/>
      <c r="K239" s="109"/>
      <c r="L239" s="108"/>
      <c r="O239" s="86"/>
      <c r="P239" s="57"/>
      <c r="Q239" s="37"/>
      <c r="R239" s="92" t="str">
        <f t="shared" si="47"/>
        <v/>
      </c>
      <c r="S239" s="52"/>
      <c r="T239" s="87"/>
      <c r="U239" s="86"/>
      <c r="V239" s="201"/>
      <c r="W239" s="37"/>
      <c r="X239" s="52"/>
      <c r="Y239" s="87"/>
      <c r="AA239" s="86"/>
      <c r="AB239" s="57"/>
      <c r="AC239" s="37"/>
      <c r="AD239" s="52"/>
      <c r="AE239" s="87"/>
      <c r="AG239" s="86"/>
      <c r="AH239" s="37"/>
      <c r="AI239" s="52"/>
      <c r="AJ239" s="87"/>
      <c r="AL239" s="86"/>
      <c r="AM239" s="37"/>
      <c r="AN239" s="52"/>
      <c r="AO239" s="87"/>
      <c r="AQ239" s="86"/>
      <c r="AR239" s="37"/>
      <c r="AS239" s="52"/>
      <c r="AT239" s="87"/>
    </row>
    <row r="240" spans="2:46" thickBot="1">
      <c r="B240" s="113"/>
      <c r="C240" s="324"/>
      <c r="D240" s="346"/>
      <c r="E240" s="326"/>
      <c r="F240" s="321" t="str">
        <f t="shared" si="46"/>
        <v/>
      </c>
      <c r="G240" s="334"/>
      <c r="H240" s="331"/>
      <c r="I240" s="107"/>
      <c r="J240" s="108"/>
      <c r="K240" s="109"/>
      <c r="L240" s="108"/>
      <c r="O240" s="86"/>
      <c r="P240" s="57"/>
      <c r="Q240" s="37"/>
      <c r="R240" s="92" t="str">
        <f t="shared" si="47"/>
        <v/>
      </c>
      <c r="S240" s="52"/>
      <c r="T240" s="87"/>
      <c r="U240" s="86"/>
      <c r="V240" s="201"/>
      <c r="W240" s="37"/>
      <c r="X240" s="52"/>
      <c r="Y240" s="87"/>
      <c r="AA240" s="86"/>
      <c r="AB240" s="57"/>
      <c r="AC240" s="37"/>
      <c r="AD240" s="52"/>
      <c r="AE240" s="87"/>
      <c r="AG240" s="86"/>
      <c r="AH240" s="37"/>
      <c r="AI240" s="52"/>
      <c r="AJ240" s="87"/>
      <c r="AL240" s="86"/>
      <c r="AM240" s="37"/>
      <c r="AN240" s="52"/>
      <c r="AO240" s="87"/>
      <c r="AQ240" s="86"/>
      <c r="AR240" s="37"/>
      <c r="AS240" s="52"/>
      <c r="AT240" s="87"/>
    </row>
    <row r="241" spans="2:46" thickBot="1">
      <c r="B241" s="113"/>
      <c r="C241" s="324"/>
      <c r="D241" s="346"/>
      <c r="E241" s="326"/>
      <c r="F241" s="321" t="str">
        <f t="shared" si="46"/>
        <v/>
      </c>
      <c r="G241" s="334"/>
      <c r="H241" s="331"/>
      <c r="I241" s="107"/>
      <c r="J241" s="108"/>
      <c r="K241" s="109"/>
      <c r="L241" s="108"/>
      <c r="O241" s="86"/>
      <c r="P241" s="57"/>
      <c r="Q241" s="37"/>
      <c r="R241" s="92" t="str">
        <f t="shared" si="47"/>
        <v/>
      </c>
      <c r="S241" s="52"/>
      <c r="T241" s="87"/>
      <c r="U241" s="86"/>
      <c r="V241" s="201"/>
      <c r="W241" s="37"/>
      <c r="X241" s="52"/>
      <c r="Y241" s="87"/>
      <c r="AA241" s="86"/>
      <c r="AB241" s="57"/>
      <c r="AC241" s="37"/>
      <c r="AD241" s="52"/>
      <c r="AE241" s="87"/>
      <c r="AG241" s="86"/>
      <c r="AH241" s="37"/>
      <c r="AI241" s="52"/>
      <c r="AJ241" s="87"/>
      <c r="AL241" s="86"/>
      <c r="AM241" s="37"/>
      <c r="AN241" s="52"/>
      <c r="AO241" s="87"/>
      <c r="AQ241" s="86"/>
      <c r="AR241" s="37"/>
      <c r="AS241" s="52"/>
      <c r="AT241" s="87"/>
    </row>
    <row r="242" spans="2:46" thickBot="1">
      <c r="B242" s="113"/>
      <c r="C242" s="324"/>
      <c r="D242" s="346"/>
      <c r="E242" s="326"/>
      <c r="F242" s="321" t="str">
        <f t="shared" si="46"/>
        <v/>
      </c>
      <c r="G242" s="334"/>
      <c r="H242" s="331"/>
      <c r="I242" s="107"/>
      <c r="J242" s="108"/>
      <c r="K242" s="109"/>
      <c r="L242" s="108"/>
      <c r="O242" s="86"/>
      <c r="P242" s="57"/>
      <c r="Q242" s="37"/>
      <c r="R242" s="92" t="str">
        <f t="shared" si="47"/>
        <v/>
      </c>
      <c r="S242" s="52"/>
      <c r="T242" s="87"/>
      <c r="U242" s="86"/>
      <c r="V242" s="201"/>
      <c r="W242" s="37"/>
      <c r="X242" s="52"/>
      <c r="Y242" s="87"/>
      <c r="AA242" s="86"/>
      <c r="AB242" s="57"/>
      <c r="AC242" s="37"/>
      <c r="AD242" s="52"/>
      <c r="AE242" s="87"/>
      <c r="AG242" s="86"/>
      <c r="AH242" s="37"/>
      <c r="AI242" s="52"/>
      <c r="AJ242" s="87"/>
      <c r="AL242" s="86"/>
      <c r="AM242" s="37"/>
      <c r="AN242" s="52"/>
      <c r="AO242" s="87"/>
      <c r="AQ242" s="86"/>
      <c r="AR242" s="37"/>
      <c r="AS242" s="52"/>
      <c r="AT242" s="87"/>
    </row>
    <row r="243" spans="2:46" thickBot="1">
      <c r="B243" s="113"/>
      <c r="C243" s="324"/>
      <c r="D243" s="346"/>
      <c r="E243" s="326"/>
      <c r="F243" s="321" t="str">
        <f t="shared" si="46"/>
        <v/>
      </c>
      <c r="G243" s="334"/>
      <c r="H243" s="331"/>
      <c r="I243" s="107"/>
      <c r="J243" s="108"/>
      <c r="K243" s="109"/>
      <c r="L243" s="108"/>
      <c r="O243" s="86"/>
      <c r="P243" s="57"/>
      <c r="Q243" s="37"/>
      <c r="R243" s="92" t="str">
        <f t="shared" si="47"/>
        <v/>
      </c>
      <c r="S243" s="52"/>
      <c r="T243" s="87"/>
      <c r="U243" s="86"/>
      <c r="V243" s="201"/>
      <c r="W243" s="37"/>
      <c r="X243" s="52"/>
      <c r="Y243" s="87"/>
      <c r="AA243" s="86"/>
      <c r="AB243" s="57"/>
      <c r="AC243" s="37"/>
      <c r="AD243" s="52"/>
      <c r="AE243" s="87"/>
      <c r="AG243" s="86"/>
      <c r="AH243" s="37"/>
      <c r="AI243" s="52"/>
      <c r="AJ243" s="87"/>
      <c r="AL243" s="86"/>
      <c r="AM243" s="37"/>
      <c r="AN243" s="52"/>
      <c r="AO243" s="87"/>
      <c r="AQ243" s="86"/>
      <c r="AR243" s="37"/>
      <c r="AS243" s="52"/>
      <c r="AT243" s="87"/>
    </row>
    <row r="244" spans="2:46" thickBot="1">
      <c r="B244" s="113"/>
      <c r="C244" s="324"/>
      <c r="D244" s="346"/>
      <c r="E244" s="326"/>
      <c r="F244" s="321" t="str">
        <f t="shared" si="46"/>
        <v/>
      </c>
      <c r="G244" s="334"/>
      <c r="H244" s="331"/>
      <c r="I244" s="107"/>
      <c r="J244" s="108"/>
      <c r="K244" s="109"/>
      <c r="L244" s="108"/>
      <c r="O244" s="86"/>
      <c r="P244" s="57"/>
      <c r="Q244" s="37"/>
      <c r="R244" s="92" t="str">
        <f t="shared" si="47"/>
        <v/>
      </c>
      <c r="S244" s="52"/>
      <c r="T244" s="87"/>
      <c r="U244" s="86"/>
      <c r="V244" s="201"/>
      <c r="W244" s="37"/>
      <c r="X244" s="52"/>
      <c r="Y244" s="87"/>
      <c r="AA244" s="86"/>
      <c r="AB244" s="57"/>
      <c r="AC244" s="37"/>
      <c r="AD244" s="52"/>
      <c r="AE244" s="87"/>
      <c r="AG244" s="86"/>
      <c r="AH244" s="37"/>
      <c r="AI244" s="52"/>
      <c r="AJ244" s="87"/>
      <c r="AL244" s="86"/>
      <c r="AM244" s="37"/>
      <c r="AN244" s="52"/>
      <c r="AO244" s="87"/>
      <c r="AQ244" s="86"/>
      <c r="AR244" s="37"/>
      <c r="AS244" s="52"/>
      <c r="AT244" s="87"/>
    </row>
    <row r="245" spans="2:46" thickBot="1">
      <c r="B245" s="113"/>
      <c r="C245" s="324"/>
      <c r="D245" s="346"/>
      <c r="E245" s="326"/>
      <c r="F245" s="321" t="str">
        <f t="shared" si="46"/>
        <v/>
      </c>
      <c r="G245" s="334"/>
      <c r="H245" s="331"/>
      <c r="I245" s="107"/>
      <c r="J245" s="108"/>
      <c r="K245" s="109"/>
      <c r="L245" s="108"/>
      <c r="O245" s="86"/>
      <c r="P245" s="57"/>
      <c r="Q245" s="37"/>
      <c r="R245" s="92" t="str">
        <f t="shared" si="47"/>
        <v/>
      </c>
      <c r="S245" s="52"/>
      <c r="T245" s="87"/>
      <c r="U245" s="86"/>
      <c r="V245" s="201"/>
      <c r="W245" s="37"/>
      <c r="X245" s="52"/>
      <c r="Y245" s="87"/>
      <c r="AA245" s="86"/>
      <c r="AB245" s="57"/>
      <c r="AC245" s="37"/>
      <c r="AD245" s="52"/>
      <c r="AE245" s="87"/>
      <c r="AG245" s="86"/>
      <c r="AH245" s="37"/>
      <c r="AI245" s="52"/>
      <c r="AJ245" s="87"/>
      <c r="AL245" s="86"/>
      <c r="AM245" s="37"/>
      <c r="AN245" s="52"/>
      <c r="AO245" s="87"/>
      <c r="AQ245" s="86"/>
      <c r="AR245" s="37"/>
      <c r="AS245" s="52"/>
      <c r="AT245" s="87"/>
    </row>
    <row r="246" spans="2:46" thickBot="1">
      <c r="B246" s="113"/>
      <c r="C246" s="324"/>
      <c r="D246" s="346"/>
      <c r="E246" s="326"/>
      <c r="F246" s="321" t="str">
        <f t="shared" si="46"/>
        <v/>
      </c>
      <c r="G246" s="334"/>
      <c r="H246" s="331"/>
      <c r="I246" s="107"/>
      <c r="J246" s="108"/>
      <c r="K246" s="109"/>
      <c r="L246" s="108"/>
      <c r="O246" s="86"/>
      <c r="P246" s="57"/>
      <c r="Q246" s="37"/>
      <c r="R246" s="92" t="str">
        <f t="shared" si="47"/>
        <v/>
      </c>
      <c r="S246" s="52"/>
      <c r="T246" s="87"/>
      <c r="U246" s="86"/>
      <c r="V246" s="201"/>
      <c r="W246" s="37"/>
      <c r="X246" s="52"/>
      <c r="Y246" s="87"/>
      <c r="AA246" s="86"/>
      <c r="AB246" s="57"/>
      <c r="AC246" s="37"/>
      <c r="AD246" s="52"/>
      <c r="AE246" s="87"/>
      <c r="AG246" s="86"/>
      <c r="AH246" s="37"/>
      <c r="AI246" s="52"/>
      <c r="AJ246" s="87"/>
      <c r="AL246" s="86"/>
      <c r="AM246" s="37"/>
      <c r="AN246" s="52"/>
      <c r="AO246" s="87"/>
      <c r="AQ246" s="86"/>
      <c r="AR246" s="37"/>
      <c r="AS246" s="52"/>
      <c r="AT246" s="87"/>
    </row>
    <row r="247" spans="2:46" thickBot="1">
      <c r="B247" s="113"/>
      <c r="C247" s="324"/>
      <c r="D247" s="346"/>
      <c r="E247" s="326"/>
      <c r="F247" s="321" t="str">
        <f t="shared" si="46"/>
        <v/>
      </c>
      <c r="G247" s="334"/>
      <c r="H247" s="331"/>
      <c r="I247" s="107"/>
      <c r="J247" s="108"/>
      <c r="K247" s="109"/>
      <c r="L247" s="108"/>
      <c r="O247" s="86"/>
      <c r="P247" s="57"/>
      <c r="Q247" s="37"/>
      <c r="R247" s="92" t="str">
        <f t="shared" si="47"/>
        <v/>
      </c>
      <c r="S247" s="52"/>
      <c r="T247" s="87"/>
      <c r="U247" s="86"/>
      <c r="V247" s="201"/>
      <c r="W247" s="37"/>
      <c r="X247" s="52"/>
      <c r="Y247" s="87"/>
      <c r="AA247" s="86"/>
      <c r="AB247" s="57"/>
      <c r="AC247" s="37"/>
      <c r="AD247" s="52"/>
      <c r="AE247" s="87"/>
      <c r="AG247" s="86"/>
      <c r="AH247" s="37"/>
      <c r="AI247" s="52"/>
      <c r="AJ247" s="87"/>
      <c r="AL247" s="86"/>
      <c r="AM247" s="37"/>
      <c r="AN247" s="52"/>
      <c r="AO247" s="87"/>
      <c r="AQ247" s="86"/>
      <c r="AR247" s="37"/>
      <c r="AS247" s="52"/>
      <c r="AT247" s="87"/>
    </row>
    <row r="248" spans="2:46" thickBot="1">
      <c r="B248" s="113"/>
      <c r="C248" s="324"/>
      <c r="D248" s="346"/>
      <c r="E248" s="326"/>
      <c r="F248" s="321" t="str">
        <f t="shared" si="46"/>
        <v/>
      </c>
      <c r="G248" s="334"/>
      <c r="H248" s="331"/>
      <c r="I248" s="107"/>
      <c r="J248" s="108"/>
      <c r="K248" s="109"/>
      <c r="L248" s="108"/>
      <c r="O248" s="86"/>
      <c r="P248" s="57"/>
      <c r="Q248" s="37"/>
      <c r="R248" s="92" t="str">
        <f t="shared" si="47"/>
        <v/>
      </c>
      <c r="S248" s="52"/>
      <c r="T248" s="87"/>
      <c r="U248" s="86"/>
      <c r="V248" s="201"/>
      <c r="W248" s="37"/>
      <c r="X248" s="52"/>
      <c r="Y248" s="87"/>
      <c r="AA248" s="86"/>
      <c r="AB248" s="57"/>
      <c r="AC248" s="37"/>
      <c r="AD248" s="52"/>
      <c r="AE248" s="87"/>
      <c r="AG248" s="86"/>
      <c r="AH248" s="37"/>
      <c r="AI248" s="52"/>
      <c r="AJ248" s="87"/>
      <c r="AL248" s="86"/>
      <c r="AM248" s="37"/>
      <c r="AN248" s="52"/>
      <c r="AO248" s="87"/>
      <c r="AQ248" s="86"/>
      <c r="AR248" s="37"/>
      <c r="AS248" s="52"/>
      <c r="AT248" s="87"/>
    </row>
    <row r="249" spans="2:46" thickBot="1">
      <c r="B249" s="113"/>
      <c r="C249" s="324"/>
      <c r="D249" s="346"/>
      <c r="E249" s="326"/>
      <c r="F249" s="321" t="str">
        <f t="shared" si="46"/>
        <v/>
      </c>
      <c r="G249" s="334"/>
      <c r="H249" s="331"/>
      <c r="I249" s="107"/>
      <c r="J249" s="108"/>
      <c r="K249" s="109"/>
      <c r="L249" s="108"/>
      <c r="O249" s="86"/>
      <c r="P249" s="57"/>
      <c r="Q249" s="37"/>
      <c r="R249" s="92" t="str">
        <f t="shared" si="47"/>
        <v/>
      </c>
      <c r="S249" s="52"/>
      <c r="T249" s="87"/>
      <c r="U249" s="86"/>
      <c r="V249" s="201"/>
      <c r="W249" s="37"/>
      <c r="X249" s="52"/>
      <c r="Y249" s="87"/>
      <c r="AA249" s="86"/>
      <c r="AB249" s="57"/>
      <c r="AC249" s="37"/>
      <c r="AD249" s="52"/>
      <c r="AE249" s="87"/>
      <c r="AG249" s="86"/>
      <c r="AH249" s="37"/>
      <c r="AI249" s="52"/>
      <c r="AJ249" s="87"/>
      <c r="AL249" s="86"/>
      <c r="AM249" s="37"/>
      <c r="AN249" s="52"/>
      <c r="AO249" s="87"/>
      <c r="AQ249" s="86"/>
      <c r="AR249" s="37"/>
      <c r="AS249" s="52"/>
      <c r="AT249" s="87"/>
    </row>
    <row r="250" spans="2:46" thickBot="1">
      <c r="B250" s="113"/>
      <c r="C250" s="324"/>
      <c r="D250" s="346"/>
      <c r="E250" s="326"/>
      <c r="F250" s="321" t="str">
        <f t="shared" si="46"/>
        <v/>
      </c>
      <c r="G250" s="334"/>
      <c r="H250" s="331"/>
      <c r="I250" s="107"/>
      <c r="J250" s="108"/>
      <c r="K250" s="109"/>
      <c r="L250" s="108"/>
      <c r="O250" s="86"/>
      <c r="P250" s="57"/>
      <c r="Q250" s="37"/>
      <c r="R250" s="92" t="str">
        <f t="shared" si="47"/>
        <v/>
      </c>
      <c r="S250" s="52"/>
      <c r="T250" s="87"/>
      <c r="U250" s="86"/>
      <c r="V250" s="201"/>
      <c r="W250" s="37"/>
      <c r="X250" s="52"/>
      <c r="Y250" s="87"/>
      <c r="AA250" s="86"/>
      <c r="AB250" s="57"/>
      <c r="AC250" s="37"/>
      <c r="AD250" s="52"/>
      <c r="AE250" s="87"/>
      <c r="AG250" s="86"/>
      <c r="AH250" s="37"/>
      <c r="AI250" s="52"/>
      <c r="AJ250" s="87"/>
      <c r="AL250" s="86"/>
      <c r="AM250" s="37"/>
      <c r="AN250" s="52"/>
      <c r="AO250" s="87"/>
      <c r="AQ250" s="86"/>
      <c r="AR250" s="37"/>
      <c r="AS250" s="52"/>
      <c r="AT250" s="87"/>
    </row>
    <row r="251" spans="2:46" thickBot="1">
      <c r="B251" s="113"/>
      <c r="C251" s="324"/>
      <c r="D251" s="346"/>
      <c r="E251" s="326"/>
      <c r="F251" s="321" t="str">
        <f t="shared" si="46"/>
        <v/>
      </c>
      <c r="G251" s="334"/>
      <c r="H251" s="331"/>
      <c r="I251" s="107"/>
      <c r="J251" s="108"/>
      <c r="K251" s="109"/>
      <c r="L251" s="108"/>
      <c r="O251" s="86"/>
      <c r="P251" s="57"/>
      <c r="Q251" s="37"/>
      <c r="R251" s="92" t="str">
        <f t="shared" si="47"/>
        <v/>
      </c>
      <c r="S251" s="52"/>
      <c r="T251" s="87"/>
      <c r="U251" s="86"/>
      <c r="V251" s="201"/>
      <c r="W251" s="37"/>
      <c r="X251" s="52"/>
      <c r="Y251" s="87"/>
      <c r="AA251" s="86"/>
      <c r="AB251" s="57"/>
      <c r="AC251" s="37"/>
      <c r="AD251" s="52"/>
      <c r="AE251" s="87"/>
      <c r="AG251" s="86"/>
      <c r="AH251" s="37"/>
      <c r="AI251" s="52"/>
      <c r="AJ251" s="87"/>
      <c r="AL251" s="86"/>
      <c r="AM251" s="37"/>
      <c r="AN251" s="52"/>
      <c r="AO251" s="87"/>
      <c r="AQ251" s="86"/>
      <c r="AR251" s="37"/>
      <c r="AS251" s="52"/>
      <c r="AT251" s="87"/>
    </row>
    <row r="252" spans="2:46" thickBot="1">
      <c r="B252" s="113"/>
      <c r="C252" s="324"/>
      <c r="D252" s="346"/>
      <c r="E252" s="326"/>
      <c r="F252" s="321" t="str">
        <f t="shared" si="46"/>
        <v/>
      </c>
      <c r="G252" s="334"/>
      <c r="H252" s="331"/>
      <c r="I252" s="107"/>
      <c r="J252" s="108"/>
      <c r="K252" s="109"/>
      <c r="L252" s="108"/>
      <c r="O252" s="86"/>
      <c r="P252" s="57"/>
      <c r="Q252" s="37"/>
      <c r="R252" s="92" t="str">
        <f t="shared" si="47"/>
        <v/>
      </c>
      <c r="S252" s="52"/>
      <c r="T252" s="87"/>
      <c r="U252" s="86"/>
      <c r="V252" s="201"/>
      <c r="W252" s="37"/>
      <c r="X252" s="52"/>
      <c r="Y252" s="87"/>
      <c r="AA252" s="86"/>
      <c r="AB252" s="57"/>
      <c r="AC252" s="37"/>
      <c r="AD252" s="52"/>
      <c r="AE252" s="87"/>
      <c r="AG252" s="86"/>
      <c r="AH252" s="37"/>
      <c r="AI252" s="52"/>
      <c r="AJ252" s="87"/>
      <c r="AL252" s="86"/>
      <c r="AM252" s="37"/>
      <c r="AN252" s="52"/>
      <c r="AO252" s="87"/>
      <c r="AQ252" s="86"/>
      <c r="AR252" s="37"/>
      <c r="AS252" s="52"/>
      <c r="AT252" s="87"/>
    </row>
    <row r="253" spans="2:46" thickBot="1">
      <c r="B253" s="113"/>
      <c r="C253" s="324"/>
      <c r="D253" s="346"/>
      <c r="E253" s="326"/>
      <c r="F253" s="321" t="str">
        <f t="shared" si="46"/>
        <v/>
      </c>
      <c r="G253" s="334"/>
      <c r="H253" s="331"/>
      <c r="I253" s="107"/>
      <c r="J253" s="108"/>
      <c r="K253" s="109"/>
      <c r="L253" s="108"/>
      <c r="O253" s="86"/>
      <c r="P253" s="57"/>
      <c r="Q253" s="37"/>
      <c r="R253" s="92" t="str">
        <f t="shared" si="47"/>
        <v/>
      </c>
      <c r="S253" s="52"/>
      <c r="T253" s="87"/>
      <c r="U253" s="86"/>
      <c r="V253" s="201"/>
      <c r="W253" s="37"/>
      <c r="X253" s="52"/>
      <c r="Y253" s="87"/>
      <c r="AA253" s="86"/>
      <c r="AB253" s="57"/>
      <c r="AC253" s="37"/>
      <c r="AD253" s="52"/>
      <c r="AE253" s="87"/>
      <c r="AG253" s="86"/>
      <c r="AH253" s="37"/>
      <c r="AI253" s="52"/>
      <c r="AJ253" s="87"/>
      <c r="AL253" s="86"/>
      <c r="AM253" s="37"/>
      <c r="AN253" s="52"/>
      <c r="AO253" s="87"/>
      <c r="AQ253" s="86"/>
      <c r="AR253" s="37"/>
      <c r="AS253" s="52"/>
      <c r="AT253" s="87"/>
    </row>
    <row r="254" spans="2:46" thickBot="1">
      <c r="B254" s="113"/>
      <c r="C254" s="324"/>
      <c r="D254" s="346"/>
      <c r="E254" s="326"/>
      <c r="F254" s="321" t="str">
        <f t="shared" si="46"/>
        <v/>
      </c>
      <c r="G254" s="334"/>
      <c r="H254" s="331"/>
      <c r="I254" s="107"/>
      <c r="J254" s="108"/>
      <c r="K254" s="109"/>
      <c r="L254" s="108"/>
      <c r="O254" s="86"/>
      <c r="P254" s="57"/>
      <c r="Q254" s="37"/>
      <c r="R254" s="92" t="str">
        <f t="shared" si="47"/>
        <v/>
      </c>
      <c r="S254" s="52"/>
      <c r="T254" s="87"/>
      <c r="U254" s="86"/>
      <c r="V254" s="201"/>
      <c r="W254" s="37"/>
      <c r="X254" s="52"/>
      <c r="Y254" s="87"/>
      <c r="AA254" s="86"/>
      <c r="AB254" s="57"/>
      <c r="AC254" s="37"/>
      <c r="AD254" s="52"/>
      <c r="AE254" s="87"/>
      <c r="AG254" s="86"/>
      <c r="AH254" s="37"/>
      <c r="AI254" s="52"/>
      <c r="AJ254" s="87"/>
      <c r="AL254" s="86"/>
      <c r="AM254" s="37"/>
      <c r="AN254" s="52"/>
      <c r="AO254" s="87"/>
      <c r="AQ254" s="86"/>
      <c r="AR254" s="37"/>
      <c r="AS254" s="52"/>
      <c r="AT254" s="87"/>
    </row>
    <row r="255" spans="2:46" thickBot="1">
      <c r="B255" s="113"/>
      <c r="C255" s="324"/>
      <c r="D255" s="346"/>
      <c r="E255" s="326"/>
      <c r="F255" s="321" t="str">
        <f t="shared" si="46"/>
        <v/>
      </c>
      <c r="G255" s="334"/>
      <c r="H255" s="331"/>
      <c r="I255" s="107"/>
      <c r="J255" s="108"/>
      <c r="K255" s="109"/>
      <c r="L255" s="108"/>
      <c r="O255" s="86"/>
      <c r="P255" s="57"/>
      <c r="Q255" s="37"/>
      <c r="R255" s="92" t="str">
        <f t="shared" si="47"/>
        <v/>
      </c>
      <c r="S255" s="52"/>
      <c r="T255" s="87"/>
      <c r="U255" s="86"/>
      <c r="V255" s="201"/>
      <c r="W255" s="37"/>
      <c r="X255" s="52"/>
      <c r="Y255" s="87"/>
      <c r="AA255" s="86"/>
      <c r="AB255" s="57"/>
      <c r="AC255" s="37"/>
      <c r="AD255" s="52"/>
      <c r="AE255" s="87"/>
      <c r="AG255" s="86"/>
      <c r="AH255" s="37"/>
      <c r="AI255" s="52"/>
      <c r="AJ255" s="87"/>
      <c r="AL255" s="86"/>
      <c r="AM255" s="37"/>
      <c r="AN255" s="52"/>
      <c r="AO255" s="87"/>
      <c r="AQ255" s="86"/>
      <c r="AR255" s="37"/>
      <c r="AS255" s="52"/>
      <c r="AT255" s="87"/>
    </row>
    <row r="256" spans="2:46" thickBot="1">
      <c r="B256" s="113"/>
      <c r="C256" s="324"/>
      <c r="D256" s="346"/>
      <c r="E256" s="326"/>
      <c r="F256" s="321" t="str">
        <f t="shared" si="46"/>
        <v/>
      </c>
      <c r="G256" s="334"/>
      <c r="H256" s="331"/>
      <c r="I256" s="107"/>
      <c r="J256" s="108"/>
      <c r="K256" s="109"/>
      <c r="L256" s="108"/>
      <c r="O256" s="86"/>
      <c r="P256" s="57"/>
      <c r="Q256" s="37"/>
      <c r="R256" s="92" t="str">
        <f t="shared" si="47"/>
        <v/>
      </c>
      <c r="S256" s="52"/>
      <c r="T256" s="87"/>
      <c r="U256" s="86"/>
      <c r="V256" s="201"/>
      <c r="W256" s="37"/>
      <c r="X256" s="52"/>
      <c r="Y256" s="87"/>
      <c r="AA256" s="86"/>
      <c r="AB256" s="57"/>
      <c r="AC256" s="37"/>
      <c r="AD256" s="52"/>
      <c r="AE256" s="87"/>
      <c r="AG256" s="86"/>
      <c r="AH256" s="37"/>
      <c r="AI256" s="52"/>
      <c r="AJ256" s="87"/>
      <c r="AL256" s="86"/>
      <c r="AM256" s="37"/>
      <c r="AN256" s="52"/>
      <c r="AO256" s="87"/>
      <c r="AQ256" s="86"/>
      <c r="AR256" s="37"/>
      <c r="AS256" s="52"/>
      <c r="AT256" s="87"/>
    </row>
    <row r="257" spans="2:46" thickBot="1">
      <c r="B257" s="113"/>
      <c r="C257" s="324"/>
      <c r="D257" s="346"/>
      <c r="E257" s="326"/>
      <c r="F257" s="321" t="str">
        <f t="shared" si="46"/>
        <v/>
      </c>
      <c r="G257" s="334"/>
      <c r="H257" s="331"/>
      <c r="I257" s="107"/>
      <c r="J257" s="108"/>
      <c r="K257" s="109"/>
      <c r="L257" s="108"/>
      <c r="O257" s="86"/>
      <c r="P257" s="57"/>
      <c r="Q257" s="37"/>
      <c r="R257" s="92" t="str">
        <f t="shared" si="47"/>
        <v/>
      </c>
      <c r="S257" s="52"/>
      <c r="T257" s="87"/>
      <c r="U257" s="86"/>
      <c r="V257" s="201"/>
      <c r="W257" s="37"/>
      <c r="X257" s="52"/>
      <c r="Y257" s="87"/>
      <c r="AA257" s="86"/>
      <c r="AB257" s="57"/>
      <c r="AC257" s="37"/>
      <c r="AD257" s="52"/>
      <c r="AE257" s="87"/>
      <c r="AG257" s="86"/>
      <c r="AH257" s="37"/>
      <c r="AI257" s="52"/>
      <c r="AJ257" s="87"/>
      <c r="AL257" s="86"/>
      <c r="AM257" s="37"/>
      <c r="AN257" s="52"/>
      <c r="AO257" s="87"/>
      <c r="AQ257" s="86"/>
      <c r="AR257" s="37"/>
      <c r="AS257" s="52"/>
      <c r="AT257" s="87"/>
    </row>
    <row r="258" spans="2:46" thickBot="1">
      <c r="B258" s="113"/>
      <c r="C258" s="324"/>
      <c r="D258" s="346"/>
      <c r="E258" s="326"/>
      <c r="F258" s="321" t="str">
        <f t="shared" si="46"/>
        <v/>
      </c>
      <c r="G258" s="334"/>
      <c r="H258" s="331"/>
      <c r="I258" s="107"/>
      <c r="J258" s="108"/>
      <c r="K258" s="109"/>
      <c r="L258" s="108"/>
      <c r="O258" s="86"/>
      <c r="P258" s="57"/>
      <c r="Q258" s="37"/>
      <c r="R258" s="92" t="str">
        <f t="shared" si="47"/>
        <v/>
      </c>
      <c r="S258" s="52"/>
      <c r="T258" s="87"/>
      <c r="U258" s="86"/>
      <c r="V258" s="201"/>
      <c r="W258" s="37"/>
      <c r="X258" s="52"/>
      <c r="Y258" s="87"/>
      <c r="AA258" s="86"/>
      <c r="AB258" s="57"/>
      <c r="AC258" s="37"/>
      <c r="AD258" s="52"/>
      <c r="AE258" s="87"/>
      <c r="AG258" s="86"/>
      <c r="AH258" s="37"/>
      <c r="AI258" s="52"/>
      <c r="AJ258" s="87"/>
      <c r="AL258" s="86"/>
      <c r="AM258" s="37"/>
      <c r="AN258" s="52"/>
      <c r="AO258" s="87"/>
      <c r="AQ258" s="86"/>
      <c r="AR258" s="37"/>
      <c r="AS258" s="52"/>
      <c r="AT258" s="87"/>
    </row>
    <row r="259" spans="2:46" thickBot="1">
      <c r="B259" s="113"/>
      <c r="C259" s="324"/>
      <c r="D259" s="346"/>
      <c r="E259" s="326"/>
      <c r="F259" s="321" t="str">
        <f t="shared" si="46"/>
        <v/>
      </c>
      <c r="G259" s="334"/>
      <c r="H259" s="331"/>
      <c r="I259" s="107"/>
      <c r="J259" s="108"/>
      <c r="K259" s="109"/>
      <c r="L259" s="108"/>
      <c r="O259" s="86"/>
      <c r="P259" s="57"/>
      <c r="Q259" s="37"/>
      <c r="R259" s="92" t="str">
        <f t="shared" si="47"/>
        <v/>
      </c>
      <c r="S259" s="52"/>
      <c r="T259" s="87"/>
      <c r="U259" s="86"/>
      <c r="V259" s="201"/>
      <c r="W259" s="37"/>
      <c r="X259" s="52"/>
      <c r="Y259" s="87"/>
      <c r="AA259" s="86"/>
      <c r="AB259" s="57"/>
      <c r="AC259" s="37"/>
      <c r="AD259" s="52"/>
      <c r="AE259" s="87"/>
      <c r="AG259" s="86"/>
      <c r="AH259" s="37"/>
      <c r="AI259" s="52"/>
      <c r="AJ259" s="87"/>
      <c r="AL259" s="86"/>
      <c r="AM259" s="37"/>
      <c r="AN259" s="52"/>
      <c r="AO259" s="87"/>
      <c r="AQ259" s="86"/>
      <c r="AR259" s="37"/>
      <c r="AS259" s="52"/>
      <c r="AT259" s="87"/>
    </row>
    <row r="260" spans="2:46" thickBot="1">
      <c r="B260" s="113"/>
      <c r="C260" s="324"/>
      <c r="D260" s="346"/>
      <c r="E260" s="326"/>
      <c r="F260" s="321" t="str">
        <f t="shared" si="46"/>
        <v/>
      </c>
      <c r="G260" s="334"/>
      <c r="H260" s="331"/>
      <c r="I260" s="107"/>
      <c r="J260" s="108"/>
      <c r="K260" s="109"/>
      <c r="L260" s="108"/>
      <c r="O260" s="86"/>
      <c r="P260" s="57"/>
      <c r="Q260" s="37"/>
      <c r="R260" s="92" t="str">
        <f t="shared" si="47"/>
        <v/>
      </c>
      <c r="S260" s="52"/>
      <c r="T260" s="87"/>
      <c r="U260" s="86"/>
      <c r="V260" s="201"/>
      <c r="W260" s="37"/>
      <c r="X260" s="52"/>
      <c r="Y260" s="87"/>
      <c r="AA260" s="86"/>
      <c r="AB260" s="57"/>
      <c r="AC260" s="37"/>
      <c r="AD260" s="52"/>
      <c r="AE260" s="87"/>
      <c r="AG260" s="86"/>
      <c r="AH260" s="37"/>
      <c r="AI260" s="52"/>
      <c r="AJ260" s="87"/>
      <c r="AL260" s="86"/>
      <c r="AM260" s="37"/>
      <c r="AN260" s="52"/>
      <c r="AO260" s="87"/>
      <c r="AQ260" s="86"/>
      <c r="AR260" s="37"/>
      <c r="AS260" s="52"/>
      <c r="AT260" s="87"/>
    </row>
    <row r="261" spans="2:46" thickBot="1">
      <c r="B261" s="113"/>
      <c r="C261" s="324"/>
      <c r="D261" s="346"/>
      <c r="E261" s="326"/>
      <c r="F261" s="321" t="str">
        <f t="shared" si="46"/>
        <v/>
      </c>
      <c r="G261" s="334"/>
      <c r="H261" s="331"/>
      <c r="I261" s="107"/>
      <c r="J261" s="108"/>
      <c r="K261" s="109"/>
      <c r="L261" s="108"/>
      <c r="O261" s="86"/>
      <c r="P261" s="57"/>
      <c r="Q261" s="37"/>
      <c r="R261" s="92" t="str">
        <f t="shared" si="47"/>
        <v/>
      </c>
      <c r="S261" s="52"/>
      <c r="T261" s="87"/>
      <c r="U261" s="86"/>
      <c r="V261" s="201"/>
      <c r="W261" s="37"/>
      <c r="X261" s="52"/>
      <c r="Y261" s="87"/>
      <c r="AA261" s="86"/>
      <c r="AB261" s="57"/>
      <c r="AC261" s="37"/>
      <c r="AD261" s="52"/>
      <c r="AE261" s="87"/>
      <c r="AG261" s="86"/>
      <c r="AH261" s="37"/>
      <c r="AI261" s="52"/>
      <c r="AJ261" s="87"/>
      <c r="AL261" s="86"/>
      <c r="AM261" s="37"/>
      <c r="AN261" s="52"/>
      <c r="AO261" s="87"/>
      <c r="AQ261" s="86"/>
      <c r="AR261" s="37"/>
      <c r="AS261" s="52"/>
      <c r="AT261" s="87"/>
    </row>
    <row r="262" spans="2:46" thickBot="1">
      <c r="B262" s="113"/>
      <c r="C262" s="324"/>
      <c r="D262" s="346"/>
      <c r="E262" s="326"/>
      <c r="F262" s="321" t="str">
        <f t="shared" ref="F262:F325" si="48">IF(E262="","",ROUND(G262*(1+$F$2),2))</f>
        <v/>
      </c>
      <c r="G262" s="334"/>
      <c r="H262" s="331"/>
      <c r="I262" s="107"/>
      <c r="J262" s="108"/>
      <c r="K262" s="109"/>
      <c r="L262" s="108"/>
      <c r="O262" s="86"/>
      <c r="P262" s="57"/>
      <c r="Q262" s="37"/>
      <c r="R262" s="92" t="str">
        <f t="shared" si="47"/>
        <v/>
      </c>
      <c r="S262" s="52"/>
      <c r="T262" s="87"/>
      <c r="U262" s="86"/>
      <c r="V262" s="201"/>
      <c r="W262" s="37"/>
      <c r="X262" s="52"/>
      <c r="Y262" s="87"/>
      <c r="AA262" s="86"/>
      <c r="AB262" s="57"/>
      <c r="AC262" s="37"/>
      <c r="AD262" s="52"/>
      <c r="AE262" s="87"/>
      <c r="AG262" s="86"/>
      <c r="AH262" s="37"/>
      <c r="AI262" s="52"/>
      <c r="AJ262" s="87"/>
      <c r="AL262" s="86"/>
      <c r="AM262" s="37"/>
      <c r="AN262" s="52"/>
      <c r="AO262" s="87"/>
      <c r="AQ262" s="86"/>
      <c r="AR262" s="37"/>
      <c r="AS262" s="52"/>
      <c r="AT262" s="87"/>
    </row>
    <row r="263" spans="2:46" thickBot="1">
      <c r="B263" s="113"/>
      <c r="C263" s="324"/>
      <c r="D263" s="346"/>
      <c r="E263" s="326"/>
      <c r="F263" s="321" t="str">
        <f t="shared" si="48"/>
        <v/>
      </c>
      <c r="G263" s="334"/>
      <c r="H263" s="331"/>
      <c r="I263" s="107"/>
      <c r="J263" s="108"/>
      <c r="K263" s="109"/>
      <c r="L263" s="108"/>
      <c r="O263" s="86"/>
      <c r="P263" s="57"/>
      <c r="Q263" s="37"/>
      <c r="R263" s="92" t="str">
        <f t="shared" si="47"/>
        <v/>
      </c>
      <c r="S263" s="52"/>
      <c r="T263" s="87"/>
      <c r="U263" s="86"/>
      <c r="V263" s="201"/>
      <c r="W263" s="37"/>
      <c r="X263" s="52"/>
      <c r="Y263" s="87"/>
      <c r="AA263" s="86"/>
      <c r="AB263" s="57"/>
      <c r="AC263" s="37"/>
      <c r="AD263" s="52"/>
      <c r="AE263" s="87"/>
      <c r="AG263" s="86"/>
      <c r="AH263" s="37"/>
      <c r="AI263" s="52"/>
      <c r="AJ263" s="87"/>
      <c r="AL263" s="86"/>
      <c r="AM263" s="37"/>
      <c r="AN263" s="52"/>
      <c r="AO263" s="87"/>
      <c r="AQ263" s="86"/>
      <c r="AR263" s="37"/>
      <c r="AS263" s="52"/>
      <c r="AT263" s="87"/>
    </row>
    <row r="264" spans="2:46" thickBot="1">
      <c r="B264" s="113"/>
      <c r="C264" s="324"/>
      <c r="D264" s="346"/>
      <c r="E264" s="326"/>
      <c r="F264" s="321" t="str">
        <f t="shared" si="48"/>
        <v/>
      </c>
      <c r="G264" s="334"/>
      <c r="H264" s="331"/>
      <c r="I264" s="107"/>
      <c r="J264" s="108"/>
      <c r="K264" s="109"/>
      <c r="L264" s="108"/>
      <c r="O264" s="86"/>
      <c r="P264" s="57"/>
      <c r="Q264" s="37"/>
      <c r="R264" s="92" t="str">
        <f t="shared" si="47"/>
        <v/>
      </c>
      <c r="S264" s="52"/>
      <c r="T264" s="87"/>
      <c r="U264" s="86"/>
      <c r="V264" s="201"/>
      <c r="W264" s="37"/>
      <c r="X264" s="52"/>
      <c r="Y264" s="87"/>
      <c r="AA264" s="86"/>
      <c r="AB264" s="57"/>
      <c r="AC264" s="37"/>
      <c r="AD264" s="52"/>
      <c r="AE264" s="87"/>
      <c r="AG264" s="86"/>
      <c r="AH264" s="37"/>
      <c r="AI264" s="52"/>
      <c r="AJ264" s="87"/>
      <c r="AL264" s="86"/>
      <c r="AM264" s="37"/>
      <c r="AN264" s="52"/>
      <c r="AO264" s="87"/>
      <c r="AQ264" s="86"/>
      <c r="AR264" s="37"/>
      <c r="AS264" s="52"/>
      <c r="AT264" s="87"/>
    </row>
    <row r="265" spans="2:46" thickBot="1">
      <c r="B265" s="113"/>
      <c r="C265" s="324"/>
      <c r="D265" s="346"/>
      <c r="E265" s="326"/>
      <c r="F265" s="321" t="str">
        <f t="shared" si="48"/>
        <v/>
      </c>
      <c r="G265" s="334"/>
      <c r="H265" s="331"/>
      <c r="I265" s="107"/>
      <c r="J265" s="108"/>
      <c r="K265" s="109"/>
      <c r="L265" s="108"/>
      <c r="O265" s="86"/>
      <c r="P265" s="57"/>
      <c r="Q265" s="37"/>
      <c r="R265" s="92" t="str">
        <f t="shared" si="47"/>
        <v/>
      </c>
      <c r="S265" s="52"/>
      <c r="T265" s="87"/>
      <c r="U265" s="86"/>
      <c r="V265" s="201"/>
      <c r="W265" s="37"/>
      <c r="X265" s="52"/>
      <c r="Y265" s="87"/>
      <c r="AA265" s="86"/>
      <c r="AB265" s="57"/>
      <c r="AC265" s="37"/>
      <c r="AD265" s="52"/>
      <c r="AE265" s="87"/>
      <c r="AG265" s="86"/>
      <c r="AH265" s="37"/>
      <c r="AI265" s="52"/>
      <c r="AJ265" s="87"/>
      <c r="AL265" s="86"/>
      <c r="AM265" s="37"/>
      <c r="AN265" s="52"/>
      <c r="AO265" s="87"/>
      <c r="AQ265" s="86"/>
      <c r="AR265" s="37"/>
      <c r="AS265" s="52"/>
      <c r="AT265" s="87"/>
    </row>
    <row r="266" spans="2:46" thickBot="1">
      <c r="B266" s="113"/>
      <c r="C266" s="324"/>
      <c r="D266" s="346"/>
      <c r="E266" s="326"/>
      <c r="F266" s="321" t="str">
        <f t="shared" si="48"/>
        <v/>
      </c>
      <c r="G266" s="334"/>
      <c r="H266" s="331"/>
      <c r="I266" s="107"/>
      <c r="J266" s="108"/>
      <c r="K266" s="109"/>
      <c r="L266" s="108"/>
      <c r="O266" s="86"/>
      <c r="P266" s="57"/>
      <c r="Q266" s="37"/>
      <c r="R266" s="92" t="str">
        <f t="shared" si="47"/>
        <v/>
      </c>
      <c r="S266" s="52"/>
      <c r="T266" s="87"/>
      <c r="U266" s="86"/>
      <c r="V266" s="201"/>
      <c r="W266" s="37"/>
      <c r="X266" s="52"/>
      <c r="Y266" s="87"/>
      <c r="AA266" s="86"/>
      <c r="AB266" s="57"/>
      <c r="AC266" s="37"/>
      <c r="AD266" s="52"/>
      <c r="AE266" s="87"/>
      <c r="AG266" s="86"/>
      <c r="AH266" s="37"/>
      <c r="AI266" s="52"/>
      <c r="AJ266" s="87"/>
      <c r="AL266" s="86"/>
      <c r="AM266" s="37"/>
      <c r="AN266" s="52"/>
      <c r="AO266" s="87"/>
      <c r="AQ266" s="86"/>
      <c r="AR266" s="37"/>
      <c r="AS266" s="52"/>
      <c r="AT266" s="87"/>
    </row>
    <row r="267" spans="2:46" thickBot="1">
      <c r="B267" s="113"/>
      <c r="C267" s="324"/>
      <c r="D267" s="346"/>
      <c r="E267" s="326"/>
      <c r="F267" s="321" t="str">
        <f t="shared" si="48"/>
        <v/>
      </c>
      <c r="G267" s="334"/>
      <c r="H267" s="331"/>
      <c r="I267" s="107"/>
      <c r="J267" s="108"/>
      <c r="K267" s="109"/>
      <c r="L267" s="108"/>
      <c r="O267" s="86"/>
      <c r="P267" s="57"/>
      <c r="Q267" s="37"/>
      <c r="R267" s="92" t="str">
        <f t="shared" si="47"/>
        <v/>
      </c>
      <c r="S267" s="52"/>
      <c r="T267" s="87"/>
      <c r="U267" s="86"/>
      <c r="V267" s="201"/>
      <c r="W267" s="37"/>
      <c r="X267" s="52"/>
      <c r="Y267" s="87"/>
      <c r="AA267" s="86"/>
      <c r="AB267" s="57"/>
      <c r="AC267" s="37"/>
      <c r="AD267" s="52"/>
      <c r="AE267" s="87"/>
      <c r="AG267" s="86"/>
      <c r="AH267" s="37"/>
      <c r="AI267" s="52"/>
      <c r="AJ267" s="87"/>
      <c r="AL267" s="86"/>
      <c r="AM267" s="37"/>
      <c r="AN267" s="52"/>
      <c r="AO267" s="87"/>
      <c r="AQ267" s="86"/>
      <c r="AR267" s="37"/>
      <c r="AS267" s="52"/>
      <c r="AT267" s="87"/>
    </row>
    <row r="268" spans="2:46" thickBot="1">
      <c r="B268" s="113"/>
      <c r="C268" s="324"/>
      <c r="D268" s="346"/>
      <c r="E268" s="326"/>
      <c r="F268" s="321" t="str">
        <f t="shared" si="48"/>
        <v/>
      </c>
      <c r="G268" s="334"/>
      <c r="H268" s="331"/>
      <c r="I268" s="107"/>
      <c r="J268" s="108"/>
      <c r="K268" s="109"/>
      <c r="L268" s="108"/>
      <c r="O268" s="86"/>
      <c r="P268" s="57"/>
      <c r="Q268" s="37"/>
      <c r="R268" s="92" t="str">
        <f t="shared" si="47"/>
        <v/>
      </c>
      <c r="S268" s="52"/>
      <c r="T268" s="87"/>
      <c r="U268" s="86"/>
      <c r="V268" s="201"/>
      <c r="W268" s="37"/>
      <c r="X268" s="52"/>
      <c r="Y268" s="87"/>
      <c r="AA268" s="86"/>
      <c r="AB268" s="57"/>
      <c r="AC268" s="37"/>
      <c r="AD268" s="52"/>
      <c r="AE268" s="87"/>
      <c r="AG268" s="86"/>
      <c r="AH268" s="37"/>
      <c r="AI268" s="52"/>
      <c r="AJ268" s="87"/>
      <c r="AL268" s="86"/>
      <c r="AM268" s="37"/>
      <c r="AN268" s="52"/>
      <c r="AO268" s="87"/>
      <c r="AQ268" s="86"/>
      <c r="AR268" s="37"/>
      <c r="AS268" s="52"/>
      <c r="AT268" s="87"/>
    </row>
    <row r="269" spans="2:46" thickBot="1">
      <c r="B269" s="113"/>
      <c r="C269" s="324"/>
      <c r="D269" s="346"/>
      <c r="E269" s="326"/>
      <c r="F269" s="321" t="str">
        <f t="shared" si="48"/>
        <v/>
      </c>
      <c r="G269" s="334"/>
      <c r="H269" s="331"/>
      <c r="I269" s="107"/>
      <c r="J269" s="108"/>
      <c r="K269" s="109"/>
      <c r="L269" s="108"/>
      <c r="O269" s="86"/>
      <c r="P269" s="57"/>
      <c r="Q269" s="37"/>
      <c r="R269" s="92" t="str">
        <f t="shared" si="47"/>
        <v/>
      </c>
      <c r="S269" s="52"/>
      <c r="T269" s="87"/>
      <c r="U269" s="86"/>
      <c r="V269" s="201"/>
      <c r="W269" s="37"/>
      <c r="X269" s="52"/>
      <c r="Y269" s="87"/>
      <c r="AA269" s="86"/>
      <c r="AB269" s="57"/>
      <c r="AC269" s="37"/>
      <c r="AD269" s="52"/>
      <c r="AE269" s="87"/>
      <c r="AG269" s="86"/>
      <c r="AH269" s="37"/>
      <c r="AI269" s="52"/>
      <c r="AJ269" s="87"/>
      <c r="AL269" s="86"/>
      <c r="AM269" s="37"/>
      <c r="AN269" s="52"/>
      <c r="AO269" s="87"/>
      <c r="AQ269" s="86"/>
      <c r="AR269" s="37"/>
      <c r="AS269" s="52"/>
      <c r="AT269" s="87"/>
    </row>
    <row r="270" spans="2:46" thickBot="1">
      <c r="B270" s="113"/>
      <c r="C270" s="324"/>
      <c r="D270" s="346"/>
      <c r="E270" s="326"/>
      <c r="F270" s="321" t="str">
        <f t="shared" si="48"/>
        <v/>
      </c>
      <c r="G270" s="334"/>
      <c r="H270" s="331"/>
      <c r="I270" s="107"/>
      <c r="J270" s="108"/>
      <c r="K270" s="109"/>
      <c r="L270" s="108"/>
      <c r="O270" s="86"/>
      <c r="P270" s="57"/>
      <c r="Q270" s="37"/>
      <c r="R270" s="92" t="str">
        <f t="shared" si="47"/>
        <v/>
      </c>
      <c r="S270" s="52"/>
      <c r="T270" s="87"/>
      <c r="U270" s="86"/>
      <c r="V270" s="201"/>
      <c r="W270" s="37"/>
      <c r="X270" s="52"/>
      <c r="Y270" s="87"/>
      <c r="AA270" s="86"/>
      <c r="AB270" s="57"/>
      <c r="AC270" s="37"/>
      <c r="AD270" s="52"/>
      <c r="AE270" s="87"/>
      <c r="AG270" s="86"/>
      <c r="AH270" s="37"/>
      <c r="AI270" s="52"/>
      <c r="AJ270" s="87"/>
      <c r="AL270" s="86"/>
      <c r="AM270" s="37"/>
      <c r="AN270" s="52"/>
      <c r="AO270" s="87"/>
      <c r="AQ270" s="86"/>
      <c r="AR270" s="37"/>
      <c r="AS270" s="52"/>
      <c r="AT270" s="87"/>
    </row>
    <row r="271" spans="2:46" thickBot="1">
      <c r="B271" s="113"/>
      <c r="C271" s="324"/>
      <c r="D271" s="346"/>
      <c r="E271" s="326"/>
      <c r="F271" s="321" t="str">
        <f t="shared" si="48"/>
        <v/>
      </c>
      <c r="G271" s="334"/>
      <c r="H271" s="331"/>
      <c r="I271" s="107"/>
      <c r="J271" s="108"/>
      <c r="K271" s="109"/>
      <c r="L271" s="108"/>
      <c r="O271" s="86"/>
      <c r="P271" s="57"/>
      <c r="Q271" s="37"/>
      <c r="R271" s="92" t="str">
        <f t="shared" si="47"/>
        <v/>
      </c>
      <c r="S271" s="52"/>
      <c r="T271" s="87"/>
      <c r="U271" s="86"/>
      <c r="V271" s="201"/>
      <c r="W271" s="37"/>
      <c r="X271" s="52"/>
      <c r="Y271" s="87"/>
      <c r="AA271" s="86"/>
      <c r="AB271" s="57"/>
      <c r="AC271" s="37"/>
      <c r="AD271" s="52"/>
      <c r="AE271" s="87"/>
      <c r="AG271" s="86"/>
      <c r="AH271" s="37"/>
      <c r="AI271" s="52"/>
      <c r="AJ271" s="87"/>
      <c r="AL271" s="86"/>
      <c r="AM271" s="37"/>
      <c r="AN271" s="52"/>
      <c r="AO271" s="87"/>
      <c r="AQ271" s="86"/>
      <c r="AR271" s="37"/>
      <c r="AS271" s="52"/>
      <c r="AT271" s="87"/>
    </row>
    <row r="272" spans="2:46" thickBot="1">
      <c r="B272" s="113"/>
      <c r="C272" s="324"/>
      <c r="D272" s="346"/>
      <c r="E272" s="326"/>
      <c r="F272" s="321" t="str">
        <f t="shared" si="48"/>
        <v/>
      </c>
      <c r="G272" s="334"/>
      <c r="H272" s="331"/>
      <c r="I272" s="107"/>
      <c r="J272" s="108"/>
      <c r="K272" s="109"/>
      <c r="L272" s="108"/>
      <c r="O272" s="86"/>
      <c r="P272" s="57"/>
      <c r="Q272" s="37"/>
      <c r="R272" s="92" t="str">
        <f t="shared" si="47"/>
        <v/>
      </c>
      <c r="S272" s="52"/>
      <c r="T272" s="87"/>
      <c r="U272" s="86"/>
      <c r="V272" s="201"/>
      <c r="W272" s="37"/>
      <c r="X272" s="52"/>
      <c r="Y272" s="87"/>
      <c r="AA272" s="86"/>
      <c r="AB272" s="57"/>
      <c r="AC272" s="37"/>
      <c r="AD272" s="52"/>
      <c r="AE272" s="87"/>
      <c r="AG272" s="86"/>
      <c r="AH272" s="37"/>
      <c r="AI272" s="52"/>
      <c r="AJ272" s="87"/>
      <c r="AL272" s="86"/>
      <c r="AM272" s="37"/>
      <c r="AN272" s="52"/>
      <c r="AO272" s="87"/>
      <c r="AQ272" s="86"/>
      <c r="AR272" s="37"/>
      <c r="AS272" s="52"/>
      <c r="AT272" s="87"/>
    </row>
    <row r="273" spans="2:46" thickBot="1">
      <c r="B273" s="113"/>
      <c r="C273" s="324"/>
      <c r="D273" s="346"/>
      <c r="E273" s="326"/>
      <c r="F273" s="321" t="str">
        <f t="shared" si="48"/>
        <v/>
      </c>
      <c r="G273" s="334"/>
      <c r="H273" s="331"/>
      <c r="I273" s="107"/>
      <c r="J273" s="108"/>
      <c r="K273" s="109"/>
      <c r="L273" s="108"/>
      <c r="O273" s="86"/>
      <c r="P273" s="57"/>
      <c r="Q273" s="37"/>
      <c r="R273" s="92" t="str">
        <f t="shared" si="47"/>
        <v/>
      </c>
      <c r="S273" s="52"/>
      <c r="T273" s="87"/>
      <c r="U273" s="86"/>
      <c r="V273" s="201"/>
      <c r="W273" s="37"/>
      <c r="X273" s="52"/>
      <c r="Y273" s="87"/>
      <c r="AA273" s="86"/>
      <c r="AB273" s="57"/>
      <c r="AC273" s="37"/>
      <c r="AD273" s="52"/>
      <c r="AE273" s="87"/>
      <c r="AG273" s="86"/>
      <c r="AH273" s="37"/>
      <c r="AI273" s="52"/>
      <c r="AJ273" s="87"/>
      <c r="AL273" s="86"/>
      <c r="AM273" s="37"/>
      <c r="AN273" s="52"/>
      <c r="AO273" s="87"/>
      <c r="AQ273" s="86"/>
      <c r="AR273" s="37"/>
      <c r="AS273" s="52"/>
      <c r="AT273" s="87"/>
    </row>
    <row r="274" spans="2:46" thickBot="1">
      <c r="B274" s="113"/>
      <c r="C274" s="324"/>
      <c r="D274" s="346"/>
      <c r="E274" s="326"/>
      <c r="F274" s="321" t="str">
        <f t="shared" si="48"/>
        <v/>
      </c>
      <c r="G274" s="334"/>
      <c r="H274" s="331"/>
      <c r="I274" s="107"/>
      <c r="J274" s="108"/>
      <c r="K274" s="109"/>
      <c r="L274" s="108"/>
      <c r="O274" s="86"/>
      <c r="P274" s="57"/>
      <c r="Q274" s="37"/>
      <c r="R274" s="92" t="str">
        <f t="shared" si="47"/>
        <v/>
      </c>
      <c r="S274" s="52"/>
      <c r="T274" s="87"/>
      <c r="U274" s="86"/>
      <c r="V274" s="201"/>
      <c r="W274" s="37"/>
      <c r="X274" s="52"/>
      <c r="Y274" s="87"/>
      <c r="AA274" s="86"/>
      <c r="AB274" s="57"/>
      <c r="AC274" s="37"/>
      <c r="AD274" s="52"/>
      <c r="AE274" s="87"/>
      <c r="AG274" s="86"/>
      <c r="AH274" s="37"/>
      <c r="AI274" s="52"/>
      <c r="AJ274" s="87"/>
      <c r="AL274" s="86"/>
      <c r="AM274" s="37"/>
      <c r="AN274" s="52"/>
      <c r="AO274" s="87"/>
      <c r="AQ274" s="86"/>
      <c r="AR274" s="37"/>
      <c r="AS274" s="52"/>
      <c r="AT274" s="87"/>
    </row>
    <row r="275" spans="2:46" thickBot="1">
      <c r="B275" s="113"/>
      <c r="C275" s="324"/>
      <c r="D275" s="346"/>
      <c r="E275" s="326"/>
      <c r="F275" s="321" t="str">
        <f t="shared" si="48"/>
        <v/>
      </c>
      <c r="G275" s="334"/>
      <c r="H275" s="331"/>
      <c r="I275" s="107"/>
      <c r="J275" s="108"/>
      <c r="K275" s="109"/>
      <c r="L275" s="108"/>
      <c r="O275" s="86"/>
      <c r="P275" s="57"/>
      <c r="Q275" s="37"/>
      <c r="R275" s="92" t="str">
        <f t="shared" si="47"/>
        <v/>
      </c>
      <c r="S275" s="52"/>
      <c r="T275" s="87"/>
      <c r="U275" s="86"/>
      <c r="V275" s="201"/>
      <c r="W275" s="37"/>
      <c r="X275" s="52"/>
      <c r="Y275" s="87"/>
      <c r="AA275" s="86"/>
      <c r="AB275" s="57"/>
      <c r="AC275" s="37"/>
      <c r="AD275" s="52"/>
      <c r="AE275" s="87"/>
      <c r="AG275" s="86"/>
      <c r="AH275" s="37"/>
      <c r="AI275" s="52"/>
      <c r="AJ275" s="87"/>
      <c r="AL275" s="86"/>
      <c r="AM275" s="37"/>
      <c r="AN275" s="52"/>
      <c r="AO275" s="87"/>
      <c r="AQ275" s="86"/>
      <c r="AR275" s="37"/>
      <c r="AS275" s="52"/>
      <c r="AT275" s="87"/>
    </row>
    <row r="276" spans="2:46" thickBot="1">
      <c r="B276" s="113"/>
      <c r="C276" s="324"/>
      <c r="D276" s="346"/>
      <c r="E276" s="326"/>
      <c r="F276" s="321" t="str">
        <f t="shared" si="48"/>
        <v/>
      </c>
      <c r="G276" s="334"/>
      <c r="H276" s="331"/>
      <c r="I276" s="107"/>
      <c r="J276" s="108"/>
      <c r="K276" s="109"/>
      <c r="L276" s="108"/>
      <c r="O276" s="86"/>
      <c r="P276" s="57"/>
      <c r="Q276" s="37"/>
      <c r="R276" s="92" t="str">
        <f t="shared" si="47"/>
        <v/>
      </c>
      <c r="S276" s="52"/>
      <c r="T276" s="87"/>
      <c r="U276" s="86"/>
      <c r="V276" s="201"/>
      <c r="W276" s="37"/>
      <c r="X276" s="52"/>
      <c r="Y276" s="87"/>
      <c r="AA276" s="86"/>
      <c r="AB276" s="57"/>
      <c r="AC276" s="37"/>
      <c r="AD276" s="52"/>
      <c r="AE276" s="87"/>
      <c r="AG276" s="86"/>
      <c r="AH276" s="37"/>
      <c r="AI276" s="52"/>
      <c r="AJ276" s="87"/>
      <c r="AL276" s="86"/>
      <c r="AM276" s="37"/>
      <c r="AN276" s="52"/>
      <c r="AO276" s="87"/>
      <c r="AQ276" s="86"/>
      <c r="AR276" s="37"/>
      <c r="AS276" s="52"/>
      <c r="AT276" s="87"/>
    </row>
    <row r="277" spans="2:46" thickBot="1">
      <c r="B277" s="113"/>
      <c r="C277" s="324"/>
      <c r="D277" s="346"/>
      <c r="E277" s="326"/>
      <c r="F277" s="321" t="str">
        <f t="shared" si="48"/>
        <v/>
      </c>
      <c r="G277" s="334"/>
      <c r="H277" s="331"/>
      <c r="I277" s="107"/>
      <c r="J277" s="108"/>
      <c r="K277" s="109"/>
      <c r="L277" s="108"/>
      <c r="O277" s="86"/>
      <c r="P277" s="57"/>
      <c r="Q277" s="37"/>
      <c r="R277" s="92" t="str">
        <f t="shared" si="47"/>
        <v/>
      </c>
      <c r="S277" s="52"/>
      <c r="T277" s="87"/>
      <c r="U277" s="86"/>
      <c r="V277" s="201"/>
      <c r="W277" s="37"/>
      <c r="X277" s="52"/>
      <c r="Y277" s="87"/>
      <c r="AA277" s="86"/>
      <c r="AB277" s="57"/>
      <c r="AC277" s="37"/>
      <c r="AD277" s="52"/>
      <c r="AE277" s="87"/>
      <c r="AG277" s="86"/>
      <c r="AH277" s="37"/>
      <c r="AI277" s="52"/>
      <c r="AJ277" s="87"/>
      <c r="AL277" s="86"/>
      <c r="AM277" s="37"/>
      <c r="AN277" s="52"/>
      <c r="AO277" s="87"/>
      <c r="AQ277" s="86"/>
      <c r="AR277" s="37"/>
      <c r="AS277" s="52"/>
      <c r="AT277" s="87"/>
    </row>
    <row r="278" spans="2:46" thickBot="1">
      <c r="B278" s="113"/>
      <c r="C278" s="324"/>
      <c r="D278" s="346"/>
      <c r="E278" s="326"/>
      <c r="F278" s="321" t="str">
        <f t="shared" si="48"/>
        <v/>
      </c>
      <c r="G278" s="334"/>
      <c r="H278" s="331"/>
      <c r="I278" s="107"/>
      <c r="J278" s="108"/>
      <c r="K278" s="109"/>
      <c r="L278" s="108"/>
      <c r="O278" s="86"/>
      <c r="P278" s="57"/>
      <c r="Q278" s="37"/>
      <c r="R278" s="92" t="str">
        <f t="shared" si="47"/>
        <v/>
      </c>
      <c r="S278" s="52"/>
      <c r="T278" s="87"/>
      <c r="U278" s="86"/>
      <c r="V278" s="201"/>
      <c r="W278" s="37"/>
      <c r="X278" s="52"/>
      <c r="Y278" s="87"/>
      <c r="AA278" s="86"/>
      <c r="AB278" s="57"/>
      <c r="AC278" s="37"/>
      <c r="AD278" s="52"/>
      <c r="AE278" s="87"/>
      <c r="AG278" s="86"/>
      <c r="AH278" s="37"/>
      <c r="AI278" s="52"/>
      <c r="AJ278" s="87"/>
      <c r="AL278" s="86"/>
      <c r="AM278" s="37"/>
      <c r="AN278" s="52"/>
      <c r="AO278" s="87"/>
      <c r="AQ278" s="86"/>
      <c r="AR278" s="37"/>
      <c r="AS278" s="52"/>
      <c r="AT278" s="87"/>
    </row>
    <row r="279" spans="2:46" thickBot="1">
      <c r="B279" s="113"/>
      <c r="C279" s="324"/>
      <c r="D279" s="346"/>
      <c r="E279" s="326"/>
      <c r="F279" s="321" t="str">
        <f t="shared" si="48"/>
        <v/>
      </c>
      <c r="G279" s="334"/>
      <c r="H279" s="331"/>
      <c r="I279" s="107"/>
      <c r="J279" s="108"/>
      <c r="K279" s="109"/>
      <c r="L279" s="108"/>
      <c r="O279" s="86"/>
      <c r="P279" s="57"/>
      <c r="Q279" s="37"/>
      <c r="R279" s="92" t="str">
        <f t="shared" si="47"/>
        <v/>
      </c>
      <c r="S279" s="52"/>
      <c r="T279" s="87"/>
      <c r="U279" s="86"/>
      <c r="V279" s="201"/>
      <c r="W279" s="37"/>
      <c r="X279" s="52"/>
      <c r="Y279" s="87"/>
      <c r="AA279" s="86"/>
      <c r="AB279" s="57"/>
      <c r="AC279" s="37"/>
      <c r="AD279" s="52"/>
      <c r="AE279" s="87"/>
      <c r="AG279" s="86"/>
      <c r="AH279" s="37"/>
      <c r="AI279" s="52"/>
      <c r="AJ279" s="87"/>
      <c r="AL279" s="86"/>
      <c r="AM279" s="37"/>
      <c r="AN279" s="52"/>
      <c r="AO279" s="87"/>
      <c r="AQ279" s="86"/>
      <c r="AR279" s="37"/>
      <c r="AS279" s="52"/>
      <c r="AT279" s="87"/>
    </row>
    <row r="280" spans="2:46" thickBot="1">
      <c r="B280" s="113"/>
      <c r="C280" s="324"/>
      <c r="D280" s="346"/>
      <c r="E280" s="326"/>
      <c r="F280" s="321" t="str">
        <f t="shared" si="48"/>
        <v/>
      </c>
      <c r="G280" s="334"/>
      <c r="H280" s="331"/>
      <c r="I280" s="107"/>
      <c r="J280" s="108"/>
      <c r="K280" s="109"/>
      <c r="L280" s="108"/>
      <c r="O280" s="86"/>
      <c r="P280" s="57"/>
      <c r="Q280" s="37"/>
      <c r="R280" s="92" t="str">
        <f t="shared" si="47"/>
        <v/>
      </c>
      <c r="S280" s="52"/>
      <c r="T280" s="87"/>
      <c r="U280" s="86"/>
      <c r="V280" s="201"/>
      <c r="W280" s="37"/>
      <c r="X280" s="52"/>
      <c r="Y280" s="87"/>
      <c r="AA280" s="86"/>
      <c r="AB280" s="57"/>
      <c r="AC280" s="37"/>
      <c r="AD280" s="52"/>
      <c r="AE280" s="87"/>
      <c r="AG280" s="86"/>
      <c r="AH280" s="37"/>
      <c r="AI280" s="52"/>
      <c r="AJ280" s="87"/>
      <c r="AL280" s="86"/>
      <c r="AM280" s="37"/>
      <c r="AN280" s="52"/>
      <c r="AO280" s="87"/>
      <c r="AQ280" s="86"/>
      <c r="AR280" s="37"/>
      <c r="AS280" s="52"/>
      <c r="AT280" s="87"/>
    </row>
    <row r="281" spans="2:46" thickBot="1">
      <c r="B281" s="113"/>
      <c r="C281" s="324"/>
      <c r="D281" s="346"/>
      <c r="E281" s="326"/>
      <c r="F281" s="321" t="str">
        <f t="shared" si="48"/>
        <v/>
      </c>
      <c r="G281" s="334"/>
      <c r="H281" s="331"/>
      <c r="I281" s="107"/>
      <c r="J281" s="108"/>
      <c r="K281" s="109"/>
      <c r="L281" s="108"/>
      <c r="O281" s="86"/>
      <c r="P281" s="57"/>
      <c r="Q281" s="37"/>
      <c r="R281" s="92" t="str">
        <f t="shared" si="47"/>
        <v/>
      </c>
      <c r="S281" s="52"/>
      <c r="T281" s="87"/>
      <c r="U281" s="86"/>
      <c r="V281" s="201"/>
      <c r="W281" s="37"/>
      <c r="X281" s="52"/>
      <c r="Y281" s="87"/>
      <c r="AA281" s="86"/>
      <c r="AB281" s="57"/>
      <c r="AC281" s="37"/>
      <c r="AD281" s="52"/>
      <c r="AE281" s="87"/>
      <c r="AG281" s="86"/>
      <c r="AH281" s="37"/>
      <c r="AI281" s="52"/>
      <c r="AJ281" s="87"/>
      <c r="AL281" s="86"/>
      <c r="AM281" s="37"/>
      <c r="AN281" s="52"/>
      <c r="AO281" s="87"/>
      <c r="AQ281" s="86"/>
      <c r="AR281" s="37"/>
      <c r="AS281" s="52"/>
      <c r="AT281" s="87"/>
    </row>
    <row r="282" spans="2:46" thickBot="1">
      <c r="B282" s="113"/>
      <c r="C282" s="324"/>
      <c r="D282" s="346"/>
      <c r="E282" s="326"/>
      <c r="F282" s="321" t="str">
        <f t="shared" si="48"/>
        <v/>
      </c>
      <c r="G282" s="334"/>
      <c r="H282" s="331"/>
      <c r="I282" s="107"/>
      <c r="J282" s="108"/>
      <c r="K282" s="109"/>
      <c r="L282" s="108"/>
      <c r="O282" s="86"/>
      <c r="P282" s="57"/>
      <c r="Q282" s="37"/>
      <c r="R282" s="92" t="str">
        <f t="shared" si="47"/>
        <v/>
      </c>
      <c r="S282" s="52"/>
      <c r="T282" s="87"/>
      <c r="U282" s="86"/>
      <c r="V282" s="201"/>
      <c r="W282" s="37"/>
      <c r="X282" s="52"/>
      <c r="Y282" s="87"/>
      <c r="AA282" s="86"/>
      <c r="AB282" s="57"/>
      <c r="AC282" s="37"/>
      <c r="AD282" s="52"/>
      <c r="AE282" s="87"/>
      <c r="AG282" s="86"/>
      <c r="AH282" s="37"/>
      <c r="AI282" s="52"/>
      <c r="AJ282" s="87"/>
      <c r="AL282" s="86"/>
      <c r="AM282" s="37"/>
      <c r="AN282" s="52"/>
      <c r="AO282" s="87"/>
      <c r="AQ282" s="86"/>
      <c r="AR282" s="37"/>
      <c r="AS282" s="52"/>
      <c r="AT282" s="87"/>
    </row>
    <row r="283" spans="2:46" thickBot="1">
      <c r="B283" s="113"/>
      <c r="C283" s="324"/>
      <c r="D283" s="346"/>
      <c r="E283" s="326"/>
      <c r="F283" s="321" t="str">
        <f t="shared" si="48"/>
        <v/>
      </c>
      <c r="G283" s="334"/>
      <c r="H283" s="331"/>
      <c r="I283" s="107"/>
      <c r="J283" s="108"/>
      <c r="K283" s="109"/>
      <c r="L283" s="108"/>
      <c r="O283" s="86"/>
      <c r="P283" s="57"/>
      <c r="Q283" s="37"/>
      <c r="R283" s="92" t="str">
        <f t="shared" si="47"/>
        <v/>
      </c>
      <c r="S283" s="52"/>
      <c r="T283" s="87"/>
      <c r="U283" s="86"/>
      <c r="V283" s="201"/>
      <c r="W283" s="37"/>
      <c r="X283" s="52"/>
      <c r="Y283" s="87"/>
      <c r="AA283" s="86"/>
      <c r="AB283" s="57"/>
      <c r="AC283" s="37"/>
      <c r="AD283" s="52"/>
      <c r="AE283" s="87"/>
      <c r="AG283" s="86"/>
      <c r="AH283" s="37"/>
      <c r="AI283" s="52"/>
      <c r="AJ283" s="87"/>
      <c r="AL283" s="86"/>
      <c r="AM283" s="37"/>
      <c r="AN283" s="52"/>
      <c r="AO283" s="87"/>
      <c r="AQ283" s="86"/>
      <c r="AR283" s="37"/>
      <c r="AS283" s="52"/>
      <c r="AT283" s="87"/>
    </row>
    <row r="284" spans="2:46" thickBot="1">
      <c r="B284" s="113"/>
      <c r="C284" s="324"/>
      <c r="D284" s="346"/>
      <c r="E284" s="326"/>
      <c r="F284" s="321" t="str">
        <f t="shared" si="48"/>
        <v/>
      </c>
      <c r="G284" s="334"/>
      <c r="H284" s="331"/>
      <c r="I284" s="107"/>
      <c r="J284" s="108"/>
      <c r="K284" s="109"/>
      <c r="L284" s="108"/>
      <c r="O284" s="86"/>
      <c r="P284" s="57"/>
      <c r="Q284" s="37"/>
      <c r="R284" s="92" t="str">
        <f t="shared" si="47"/>
        <v/>
      </c>
      <c r="S284" s="52"/>
      <c r="T284" s="87"/>
      <c r="U284" s="86"/>
      <c r="V284" s="201"/>
      <c r="W284" s="37"/>
      <c r="X284" s="52"/>
      <c r="Y284" s="87"/>
      <c r="AA284" s="86"/>
      <c r="AB284" s="57"/>
      <c r="AC284" s="37"/>
      <c r="AD284" s="52"/>
      <c r="AE284" s="87"/>
      <c r="AG284" s="86"/>
      <c r="AH284" s="37"/>
      <c r="AI284" s="52"/>
      <c r="AJ284" s="87"/>
      <c r="AL284" s="86"/>
      <c r="AM284" s="37"/>
      <c r="AN284" s="52"/>
      <c r="AO284" s="87"/>
      <c r="AQ284" s="86"/>
      <c r="AR284" s="37"/>
      <c r="AS284" s="52"/>
      <c r="AT284" s="87"/>
    </row>
    <row r="285" spans="2:46" thickBot="1">
      <c r="B285" s="113"/>
      <c r="C285" s="324"/>
      <c r="D285" s="346"/>
      <c r="E285" s="326"/>
      <c r="F285" s="321" t="str">
        <f t="shared" si="48"/>
        <v/>
      </c>
      <c r="G285" s="334"/>
      <c r="H285" s="331"/>
      <c r="I285" s="107"/>
      <c r="J285" s="108"/>
      <c r="K285" s="109"/>
      <c r="L285" s="108"/>
      <c r="O285" s="86"/>
      <c r="P285" s="57"/>
      <c r="Q285" s="37"/>
      <c r="R285" s="92" t="str">
        <f t="shared" si="47"/>
        <v/>
      </c>
      <c r="S285" s="52"/>
      <c r="T285" s="87"/>
      <c r="U285" s="86"/>
      <c r="V285" s="201"/>
      <c r="W285" s="37"/>
      <c r="X285" s="52"/>
      <c r="Y285" s="87"/>
      <c r="AA285" s="86"/>
      <c r="AB285" s="57"/>
      <c r="AC285" s="37"/>
      <c r="AD285" s="52"/>
      <c r="AE285" s="87"/>
      <c r="AG285" s="86"/>
      <c r="AH285" s="37"/>
      <c r="AI285" s="52"/>
      <c r="AJ285" s="87"/>
      <c r="AL285" s="86"/>
      <c r="AM285" s="37"/>
      <c r="AN285" s="52"/>
      <c r="AO285" s="87"/>
      <c r="AQ285" s="86"/>
      <c r="AR285" s="37"/>
      <c r="AS285" s="52"/>
      <c r="AT285" s="87"/>
    </row>
    <row r="286" spans="2:46" thickBot="1">
      <c r="B286" s="113"/>
      <c r="C286" s="324"/>
      <c r="D286" s="346"/>
      <c r="E286" s="326"/>
      <c r="F286" s="321" t="str">
        <f t="shared" si="48"/>
        <v/>
      </c>
      <c r="G286" s="334"/>
      <c r="H286" s="331"/>
      <c r="I286" s="107"/>
      <c r="J286" s="108"/>
      <c r="K286" s="109"/>
      <c r="L286" s="108"/>
      <c r="O286" s="86"/>
      <c r="P286" s="57"/>
      <c r="Q286" s="37"/>
      <c r="R286" s="92" t="str">
        <f t="shared" si="47"/>
        <v/>
      </c>
      <c r="S286" s="52"/>
      <c r="T286" s="87"/>
      <c r="U286" s="86"/>
      <c r="V286" s="201"/>
      <c r="W286" s="37"/>
      <c r="X286" s="52"/>
      <c r="Y286" s="87"/>
      <c r="AA286" s="86"/>
      <c r="AB286" s="57"/>
      <c r="AC286" s="37"/>
      <c r="AD286" s="52"/>
      <c r="AE286" s="87"/>
      <c r="AG286" s="86"/>
      <c r="AH286" s="37"/>
      <c r="AI286" s="52"/>
      <c r="AJ286" s="87"/>
      <c r="AL286" s="86"/>
      <c r="AM286" s="37"/>
      <c r="AN286" s="52"/>
      <c r="AO286" s="87"/>
      <c r="AQ286" s="86"/>
      <c r="AR286" s="37"/>
      <c r="AS286" s="52"/>
      <c r="AT286" s="87"/>
    </row>
    <row r="287" spans="2:46" thickBot="1">
      <c r="B287" s="113"/>
      <c r="C287" s="324"/>
      <c r="D287" s="346"/>
      <c r="E287" s="326"/>
      <c r="F287" s="321" t="str">
        <f t="shared" si="48"/>
        <v/>
      </c>
      <c r="G287" s="334"/>
      <c r="H287" s="331"/>
      <c r="I287" s="107"/>
      <c r="J287" s="108"/>
      <c r="K287" s="109"/>
      <c r="L287" s="108"/>
      <c r="O287" s="86"/>
      <c r="P287" s="57"/>
      <c r="Q287" s="37"/>
      <c r="R287" s="92" t="str">
        <f t="shared" si="47"/>
        <v/>
      </c>
      <c r="S287" s="52"/>
      <c r="T287" s="87"/>
      <c r="U287" s="86"/>
      <c r="V287" s="201"/>
      <c r="W287" s="37"/>
      <c r="X287" s="52"/>
      <c r="Y287" s="87"/>
      <c r="AA287" s="86"/>
      <c r="AB287" s="57"/>
      <c r="AC287" s="37"/>
      <c r="AD287" s="52"/>
      <c r="AE287" s="87"/>
      <c r="AG287" s="86"/>
      <c r="AH287" s="37"/>
      <c r="AI287" s="52"/>
      <c r="AJ287" s="87"/>
      <c r="AL287" s="86"/>
      <c r="AM287" s="37"/>
      <c r="AN287" s="52"/>
      <c r="AO287" s="87"/>
      <c r="AQ287" s="86"/>
      <c r="AR287" s="37"/>
      <c r="AS287" s="52"/>
      <c r="AT287" s="87"/>
    </row>
    <row r="288" spans="2:46" thickBot="1">
      <c r="B288" s="113"/>
      <c r="C288" s="324"/>
      <c r="D288" s="346"/>
      <c r="E288" s="326"/>
      <c r="F288" s="321" t="str">
        <f t="shared" si="48"/>
        <v/>
      </c>
      <c r="G288" s="334"/>
      <c r="H288" s="331"/>
      <c r="I288" s="107"/>
      <c r="J288" s="108"/>
      <c r="K288" s="109"/>
      <c r="L288" s="108"/>
      <c r="O288" s="86"/>
      <c r="P288" s="57"/>
      <c r="Q288" s="37"/>
      <c r="R288" s="92" t="str">
        <f t="shared" si="47"/>
        <v/>
      </c>
      <c r="S288" s="52"/>
      <c r="T288" s="87"/>
      <c r="U288" s="86"/>
      <c r="V288" s="201"/>
      <c r="W288" s="37"/>
      <c r="X288" s="52"/>
      <c r="Y288" s="87"/>
      <c r="AA288" s="86"/>
      <c r="AB288" s="57"/>
      <c r="AC288" s="37"/>
      <c r="AD288" s="52"/>
      <c r="AE288" s="87"/>
      <c r="AG288" s="86"/>
      <c r="AH288" s="37"/>
      <c r="AI288" s="52"/>
      <c r="AJ288" s="87"/>
      <c r="AL288" s="86"/>
      <c r="AM288" s="37"/>
      <c r="AN288" s="52"/>
      <c r="AO288" s="87"/>
      <c r="AQ288" s="86"/>
      <c r="AR288" s="37"/>
      <c r="AS288" s="52"/>
      <c r="AT288" s="87"/>
    </row>
    <row r="289" spans="2:46" thickBot="1">
      <c r="B289" s="113"/>
      <c r="C289" s="324"/>
      <c r="D289" s="346"/>
      <c r="E289" s="326"/>
      <c r="F289" s="321" t="str">
        <f t="shared" si="48"/>
        <v/>
      </c>
      <c r="G289" s="334"/>
      <c r="H289" s="331"/>
      <c r="I289" s="107"/>
      <c r="J289" s="108"/>
      <c r="K289" s="109"/>
      <c r="L289" s="108"/>
      <c r="O289" s="86"/>
      <c r="P289" s="57"/>
      <c r="Q289" s="37"/>
      <c r="R289" s="92" t="str">
        <f t="shared" si="47"/>
        <v/>
      </c>
      <c r="S289" s="52"/>
      <c r="T289" s="87"/>
      <c r="U289" s="86"/>
      <c r="V289" s="201"/>
      <c r="W289" s="37"/>
      <c r="X289" s="52"/>
      <c r="Y289" s="87"/>
      <c r="AA289" s="86"/>
      <c r="AB289" s="57"/>
      <c r="AC289" s="37"/>
      <c r="AD289" s="52"/>
      <c r="AE289" s="87"/>
      <c r="AG289" s="86"/>
      <c r="AH289" s="37"/>
      <c r="AI289" s="52"/>
      <c r="AJ289" s="87"/>
      <c r="AL289" s="86"/>
      <c r="AM289" s="37"/>
      <c r="AN289" s="52"/>
      <c r="AO289" s="87"/>
      <c r="AQ289" s="86"/>
      <c r="AR289" s="37"/>
      <c r="AS289" s="52"/>
      <c r="AT289" s="87"/>
    </row>
    <row r="290" spans="2:46" thickBot="1">
      <c r="B290" s="113"/>
      <c r="C290" s="324"/>
      <c r="D290" s="346"/>
      <c r="E290" s="326"/>
      <c r="F290" s="321" t="str">
        <f t="shared" si="48"/>
        <v/>
      </c>
      <c r="G290" s="334"/>
      <c r="H290" s="331"/>
      <c r="I290" s="107"/>
      <c r="J290" s="108"/>
      <c r="K290" s="109"/>
      <c r="L290" s="108"/>
      <c r="O290" s="86"/>
      <c r="P290" s="57"/>
      <c r="Q290" s="37"/>
      <c r="R290" s="92" t="str">
        <f t="shared" si="47"/>
        <v/>
      </c>
      <c r="S290" s="52"/>
      <c r="T290" s="87"/>
      <c r="U290" s="86"/>
      <c r="V290" s="201"/>
      <c r="W290" s="37"/>
      <c r="X290" s="52"/>
      <c r="Y290" s="87"/>
      <c r="AA290" s="86"/>
      <c r="AB290" s="57"/>
      <c r="AC290" s="37"/>
      <c r="AD290" s="52"/>
      <c r="AE290" s="87"/>
      <c r="AG290" s="86"/>
      <c r="AH290" s="37"/>
      <c r="AI290" s="52"/>
      <c r="AJ290" s="87"/>
      <c r="AL290" s="86"/>
      <c r="AM290" s="37"/>
      <c r="AN290" s="52"/>
      <c r="AO290" s="87"/>
      <c r="AQ290" s="86"/>
      <c r="AR290" s="37"/>
      <c r="AS290" s="52"/>
      <c r="AT290" s="87"/>
    </row>
    <row r="291" spans="2:46" thickBot="1">
      <c r="B291" s="113"/>
      <c r="C291" s="324"/>
      <c r="D291" s="346"/>
      <c r="E291" s="326"/>
      <c r="F291" s="321" t="str">
        <f t="shared" si="48"/>
        <v/>
      </c>
      <c r="G291" s="334"/>
      <c r="H291" s="331"/>
      <c r="I291" s="107"/>
      <c r="J291" s="108"/>
      <c r="K291" s="109"/>
      <c r="L291" s="108"/>
      <c r="O291" s="86"/>
      <c r="P291" s="57"/>
      <c r="Q291" s="37"/>
      <c r="R291" s="92" t="str">
        <f t="shared" si="47"/>
        <v/>
      </c>
      <c r="S291" s="52"/>
      <c r="T291" s="87"/>
      <c r="U291" s="86"/>
      <c r="V291" s="201"/>
      <c r="W291" s="37"/>
      <c r="X291" s="52"/>
      <c r="Y291" s="87"/>
      <c r="AA291" s="86"/>
      <c r="AB291" s="57"/>
      <c r="AC291" s="37"/>
      <c r="AD291" s="52"/>
      <c r="AE291" s="87"/>
      <c r="AG291" s="86"/>
      <c r="AH291" s="37"/>
      <c r="AI291" s="52"/>
      <c r="AJ291" s="87"/>
      <c r="AL291" s="86"/>
      <c r="AM291" s="37"/>
      <c r="AN291" s="52"/>
      <c r="AO291" s="87"/>
      <c r="AQ291" s="86"/>
      <c r="AR291" s="37"/>
      <c r="AS291" s="52"/>
      <c r="AT291" s="87"/>
    </row>
    <row r="292" spans="2:46" thickBot="1">
      <c r="B292" s="113"/>
      <c r="C292" s="324"/>
      <c r="D292" s="346"/>
      <c r="E292" s="326"/>
      <c r="F292" s="321" t="str">
        <f t="shared" si="48"/>
        <v/>
      </c>
      <c r="G292" s="334"/>
      <c r="H292" s="331"/>
      <c r="I292" s="107"/>
      <c r="J292" s="108"/>
      <c r="K292" s="109"/>
      <c r="L292" s="108"/>
      <c r="O292" s="86"/>
      <c r="P292" s="57"/>
      <c r="Q292" s="37"/>
      <c r="R292" s="92" t="str">
        <f t="shared" si="47"/>
        <v/>
      </c>
      <c r="S292" s="52"/>
      <c r="T292" s="87"/>
      <c r="U292" s="86"/>
      <c r="V292" s="201"/>
      <c r="W292" s="37"/>
      <c r="X292" s="52"/>
      <c r="Y292" s="87"/>
      <c r="AA292" s="86"/>
      <c r="AB292" s="57"/>
      <c r="AC292" s="37"/>
      <c r="AD292" s="52"/>
      <c r="AE292" s="87"/>
      <c r="AG292" s="86"/>
      <c r="AH292" s="37"/>
      <c r="AI292" s="52"/>
      <c r="AJ292" s="87"/>
      <c r="AL292" s="86"/>
      <c r="AM292" s="37"/>
      <c r="AN292" s="52"/>
      <c r="AO292" s="87"/>
      <c r="AQ292" s="86"/>
      <c r="AR292" s="37"/>
      <c r="AS292" s="52"/>
      <c r="AT292" s="87"/>
    </row>
    <row r="293" spans="2:46" thickBot="1">
      <c r="B293" s="113"/>
      <c r="C293" s="324"/>
      <c r="D293" s="346"/>
      <c r="E293" s="326"/>
      <c r="F293" s="321" t="str">
        <f t="shared" si="48"/>
        <v/>
      </c>
      <c r="G293" s="334"/>
      <c r="H293" s="331"/>
      <c r="I293" s="107"/>
      <c r="J293" s="108"/>
      <c r="K293" s="109"/>
      <c r="L293" s="108"/>
      <c r="O293" s="86"/>
      <c r="P293" s="57"/>
      <c r="Q293" s="37"/>
      <c r="R293" s="92" t="str">
        <f t="shared" si="47"/>
        <v/>
      </c>
      <c r="S293" s="52"/>
      <c r="T293" s="87"/>
      <c r="U293" s="86"/>
      <c r="V293" s="201"/>
      <c r="W293" s="37"/>
      <c r="X293" s="52"/>
      <c r="Y293" s="87"/>
      <c r="AA293" s="86"/>
      <c r="AB293" s="57"/>
      <c r="AC293" s="37"/>
      <c r="AD293" s="52"/>
      <c r="AE293" s="87"/>
      <c r="AG293" s="86"/>
      <c r="AH293" s="37"/>
      <c r="AI293" s="52"/>
      <c r="AJ293" s="87"/>
      <c r="AL293" s="86"/>
      <c r="AM293" s="37"/>
      <c r="AN293" s="52"/>
      <c r="AO293" s="87"/>
      <c r="AQ293" s="86"/>
      <c r="AR293" s="37"/>
      <c r="AS293" s="52"/>
      <c r="AT293" s="87"/>
    </row>
    <row r="294" spans="2:46" thickBot="1">
      <c r="B294" s="113"/>
      <c r="C294" s="324"/>
      <c r="D294" s="346"/>
      <c r="E294" s="326"/>
      <c r="F294" s="321" t="str">
        <f t="shared" si="48"/>
        <v/>
      </c>
      <c r="G294" s="334"/>
      <c r="H294" s="331"/>
      <c r="I294" s="107"/>
      <c r="J294" s="108"/>
      <c r="K294" s="109"/>
      <c r="L294" s="108"/>
      <c r="O294" s="86"/>
      <c r="P294" s="57"/>
      <c r="Q294" s="37"/>
      <c r="R294" s="92" t="str">
        <f t="shared" si="47"/>
        <v/>
      </c>
      <c r="S294" s="52"/>
      <c r="T294" s="87"/>
      <c r="U294" s="86"/>
      <c r="V294" s="201"/>
      <c r="W294" s="37"/>
      <c r="X294" s="52"/>
      <c r="Y294" s="87"/>
      <c r="AA294" s="86"/>
      <c r="AB294" s="57"/>
      <c r="AC294" s="37"/>
      <c r="AD294" s="52"/>
      <c r="AE294" s="87"/>
      <c r="AG294" s="86"/>
      <c r="AH294" s="37"/>
      <c r="AI294" s="52"/>
      <c r="AJ294" s="87"/>
      <c r="AL294" s="86"/>
      <c r="AM294" s="37"/>
      <c r="AN294" s="52"/>
      <c r="AO294" s="87"/>
      <c r="AQ294" s="86"/>
      <c r="AR294" s="37"/>
      <c r="AS294" s="52"/>
      <c r="AT294" s="87"/>
    </row>
    <row r="295" spans="2:46" thickBot="1">
      <c r="B295" s="113"/>
      <c r="C295" s="324"/>
      <c r="D295" s="346"/>
      <c r="E295" s="326"/>
      <c r="F295" s="321" t="str">
        <f t="shared" si="48"/>
        <v/>
      </c>
      <c r="G295" s="334"/>
      <c r="H295" s="331"/>
      <c r="I295" s="107"/>
      <c r="J295" s="108"/>
      <c r="K295" s="109"/>
      <c r="L295" s="108"/>
      <c r="O295" s="86"/>
      <c r="P295" s="57"/>
      <c r="Q295" s="37"/>
      <c r="R295" s="92" t="str">
        <f t="shared" si="47"/>
        <v/>
      </c>
      <c r="S295" s="52"/>
      <c r="T295" s="87"/>
      <c r="U295" s="86"/>
      <c r="V295" s="201"/>
      <c r="W295" s="37"/>
      <c r="X295" s="52"/>
      <c r="Y295" s="87"/>
      <c r="AA295" s="86"/>
      <c r="AB295" s="57"/>
      <c r="AC295" s="37"/>
      <c r="AD295" s="52"/>
      <c r="AE295" s="87"/>
      <c r="AG295" s="86"/>
      <c r="AH295" s="37"/>
      <c r="AI295" s="52"/>
      <c r="AJ295" s="87"/>
      <c r="AL295" s="86"/>
      <c r="AM295" s="37"/>
      <c r="AN295" s="52"/>
      <c r="AO295" s="87"/>
      <c r="AQ295" s="86"/>
      <c r="AR295" s="37"/>
      <c r="AS295" s="52"/>
      <c r="AT295" s="87"/>
    </row>
    <row r="296" spans="2:46" thickBot="1">
      <c r="B296" s="113"/>
      <c r="C296" s="324"/>
      <c r="D296" s="346"/>
      <c r="E296" s="326"/>
      <c r="F296" s="321" t="str">
        <f t="shared" si="48"/>
        <v/>
      </c>
      <c r="G296" s="334"/>
      <c r="H296" s="331"/>
      <c r="I296" s="107"/>
      <c r="J296" s="108"/>
      <c r="K296" s="109"/>
      <c r="L296" s="108"/>
      <c r="O296" s="86"/>
      <c r="P296" s="57"/>
      <c r="Q296" s="37"/>
      <c r="R296" s="92" t="str">
        <f t="shared" si="47"/>
        <v/>
      </c>
      <c r="S296" s="52"/>
      <c r="T296" s="87"/>
      <c r="U296" s="86"/>
      <c r="V296" s="201"/>
      <c r="W296" s="37"/>
      <c r="X296" s="52"/>
      <c r="Y296" s="87"/>
      <c r="AA296" s="86"/>
      <c r="AB296" s="57"/>
      <c r="AC296" s="37"/>
      <c r="AD296" s="52"/>
      <c r="AE296" s="87"/>
      <c r="AG296" s="86"/>
      <c r="AH296" s="37"/>
      <c r="AI296" s="52"/>
      <c r="AJ296" s="87"/>
      <c r="AL296" s="86"/>
      <c r="AM296" s="37"/>
      <c r="AN296" s="52"/>
      <c r="AO296" s="87"/>
      <c r="AQ296" s="86"/>
      <c r="AR296" s="37"/>
      <c r="AS296" s="52"/>
      <c r="AT296" s="87"/>
    </row>
    <row r="297" spans="2:46" thickBot="1">
      <c r="B297" s="113"/>
      <c r="C297" s="324"/>
      <c r="D297" s="346"/>
      <c r="E297" s="326"/>
      <c r="F297" s="321" t="str">
        <f t="shared" si="48"/>
        <v/>
      </c>
      <c r="G297" s="334"/>
      <c r="H297" s="331"/>
      <c r="I297" s="107"/>
      <c r="J297" s="108"/>
      <c r="K297" s="109"/>
      <c r="L297" s="108"/>
      <c r="O297" s="86"/>
      <c r="P297" s="57"/>
      <c r="Q297" s="37"/>
      <c r="R297" s="92" t="str">
        <f t="shared" si="47"/>
        <v/>
      </c>
      <c r="S297" s="52"/>
      <c r="T297" s="87"/>
      <c r="U297" s="86"/>
      <c r="V297" s="201"/>
      <c r="W297" s="37"/>
      <c r="X297" s="52"/>
      <c r="Y297" s="87"/>
      <c r="AA297" s="86"/>
      <c r="AB297" s="57"/>
      <c r="AC297" s="37"/>
      <c r="AD297" s="52"/>
      <c r="AE297" s="87"/>
      <c r="AG297" s="86"/>
      <c r="AH297" s="37"/>
      <c r="AI297" s="52"/>
      <c r="AJ297" s="87"/>
      <c r="AL297" s="86"/>
      <c r="AM297" s="37"/>
      <c r="AN297" s="52"/>
      <c r="AO297" s="87"/>
      <c r="AQ297" s="86"/>
      <c r="AR297" s="37"/>
      <c r="AS297" s="52"/>
      <c r="AT297" s="87"/>
    </row>
    <row r="298" spans="2:46" thickBot="1">
      <c r="B298" s="113"/>
      <c r="C298" s="324"/>
      <c r="D298" s="346"/>
      <c r="E298" s="326"/>
      <c r="F298" s="321" t="str">
        <f t="shared" si="48"/>
        <v/>
      </c>
      <c r="G298" s="334"/>
      <c r="H298" s="331"/>
      <c r="I298" s="107"/>
      <c r="J298" s="108"/>
      <c r="K298" s="109"/>
      <c r="L298" s="108"/>
      <c r="O298" s="86"/>
      <c r="P298" s="57"/>
      <c r="Q298" s="37"/>
      <c r="R298" s="92" t="str">
        <f t="shared" si="47"/>
        <v/>
      </c>
      <c r="S298" s="52"/>
      <c r="T298" s="87"/>
      <c r="U298" s="86"/>
      <c r="V298" s="201"/>
      <c r="W298" s="37"/>
      <c r="X298" s="52"/>
      <c r="Y298" s="87"/>
      <c r="AA298" s="86"/>
      <c r="AB298" s="57"/>
      <c r="AC298" s="37"/>
      <c r="AD298" s="52"/>
      <c r="AE298" s="87"/>
      <c r="AG298" s="86"/>
      <c r="AH298" s="37"/>
      <c r="AI298" s="52"/>
      <c r="AJ298" s="87"/>
      <c r="AL298" s="86"/>
      <c r="AM298" s="37"/>
      <c r="AN298" s="52"/>
      <c r="AO298" s="87"/>
      <c r="AQ298" s="86"/>
      <c r="AR298" s="37"/>
      <c r="AS298" s="52"/>
      <c r="AT298" s="87"/>
    </row>
    <row r="299" spans="2:46" thickBot="1">
      <c r="B299" s="113"/>
      <c r="C299" s="324"/>
      <c r="D299" s="346"/>
      <c r="E299" s="326"/>
      <c r="F299" s="321" t="str">
        <f t="shared" si="48"/>
        <v/>
      </c>
      <c r="G299" s="334"/>
      <c r="H299" s="331"/>
      <c r="I299" s="107"/>
      <c r="J299" s="108"/>
      <c r="K299" s="109"/>
      <c r="L299" s="108"/>
      <c r="O299" s="86"/>
      <c r="P299" s="57"/>
      <c r="Q299" s="37"/>
      <c r="R299" s="92" t="str">
        <f t="shared" ref="R299:R362" si="49">IF(Q299="","",ROUND(S299*(1+$F$2),2))</f>
        <v/>
      </c>
      <c r="S299" s="52"/>
      <c r="T299" s="87"/>
      <c r="U299" s="86"/>
      <c r="V299" s="201"/>
      <c r="W299" s="37"/>
      <c r="X299" s="52"/>
      <c r="Y299" s="87"/>
      <c r="AA299" s="86"/>
      <c r="AB299" s="57"/>
      <c r="AC299" s="37"/>
      <c r="AD299" s="52"/>
      <c r="AE299" s="87"/>
      <c r="AG299" s="86"/>
      <c r="AH299" s="37"/>
      <c r="AI299" s="52"/>
      <c r="AJ299" s="87"/>
      <c r="AL299" s="86"/>
      <c r="AM299" s="37"/>
      <c r="AN299" s="52"/>
      <c r="AO299" s="87"/>
      <c r="AQ299" s="86"/>
      <c r="AR299" s="37"/>
      <c r="AS299" s="52"/>
      <c r="AT299" s="87"/>
    </row>
    <row r="300" spans="2:46" thickBot="1">
      <c r="B300" s="113"/>
      <c r="C300" s="324"/>
      <c r="D300" s="346"/>
      <c r="E300" s="326"/>
      <c r="F300" s="321" t="str">
        <f t="shared" si="48"/>
        <v/>
      </c>
      <c r="G300" s="334"/>
      <c r="H300" s="331"/>
      <c r="I300" s="107"/>
      <c r="J300" s="108"/>
      <c r="K300" s="109"/>
      <c r="L300" s="108"/>
      <c r="O300" s="86"/>
      <c r="P300" s="57"/>
      <c r="Q300" s="37"/>
      <c r="R300" s="92" t="str">
        <f t="shared" si="49"/>
        <v/>
      </c>
      <c r="S300" s="52"/>
      <c r="T300" s="87"/>
      <c r="U300" s="86"/>
      <c r="V300" s="201"/>
      <c r="W300" s="37"/>
      <c r="X300" s="52"/>
      <c r="Y300" s="87"/>
      <c r="AA300" s="86"/>
      <c r="AB300" s="57"/>
      <c r="AC300" s="37"/>
      <c r="AD300" s="52"/>
      <c r="AE300" s="87"/>
      <c r="AG300" s="86"/>
      <c r="AH300" s="37"/>
      <c r="AI300" s="52"/>
      <c r="AJ300" s="87"/>
      <c r="AL300" s="86"/>
      <c r="AM300" s="37"/>
      <c r="AN300" s="52"/>
      <c r="AO300" s="87"/>
      <c r="AQ300" s="86"/>
      <c r="AR300" s="37"/>
      <c r="AS300" s="52"/>
      <c r="AT300" s="87"/>
    </row>
    <row r="301" spans="2:46" thickBot="1">
      <c r="B301" s="113"/>
      <c r="C301" s="324"/>
      <c r="D301" s="346"/>
      <c r="E301" s="326"/>
      <c r="F301" s="321" t="str">
        <f t="shared" si="48"/>
        <v/>
      </c>
      <c r="G301" s="334"/>
      <c r="H301" s="331"/>
      <c r="I301" s="107"/>
      <c r="J301" s="108"/>
      <c r="K301" s="109"/>
      <c r="L301" s="108"/>
      <c r="O301" s="86"/>
      <c r="P301" s="57"/>
      <c r="Q301" s="37"/>
      <c r="R301" s="92" t="str">
        <f t="shared" si="49"/>
        <v/>
      </c>
      <c r="S301" s="52"/>
      <c r="T301" s="87"/>
      <c r="U301" s="86"/>
      <c r="V301" s="201"/>
      <c r="W301" s="37"/>
      <c r="X301" s="52"/>
      <c r="Y301" s="87"/>
      <c r="AA301" s="86"/>
      <c r="AB301" s="57"/>
      <c r="AC301" s="37"/>
      <c r="AD301" s="52"/>
      <c r="AE301" s="87"/>
      <c r="AG301" s="86"/>
      <c r="AH301" s="37"/>
      <c r="AI301" s="52"/>
      <c r="AJ301" s="87"/>
      <c r="AL301" s="86"/>
      <c r="AM301" s="37"/>
      <c r="AN301" s="52"/>
      <c r="AO301" s="87"/>
      <c r="AQ301" s="86"/>
      <c r="AR301" s="37"/>
      <c r="AS301" s="52"/>
      <c r="AT301" s="87"/>
    </row>
    <row r="302" spans="2:46" thickBot="1">
      <c r="B302" s="113"/>
      <c r="C302" s="324"/>
      <c r="D302" s="346"/>
      <c r="E302" s="326"/>
      <c r="F302" s="321" t="str">
        <f t="shared" si="48"/>
        <v/>
      </c>
      <c r="G302" s="334"/>
      <c r="H302" s="331"/>
      <c r="I302" s="107"/>
      <c r="J302" s="108"/>
      <c r="K302" s="109"/>
      <c r="L302" s="108"/>
      <c r="O302" s="86"/>
      <c r="P302" s="57"/>
      <c r="Q302" s="37"/>
      <c r="R302" s="92" t="str">
        <f t="shared" si="49"/>
        <v/>
      </c>
      <c r="S302" s="52"/>
      <c r="T302" s="87"/>
      <c r="U302" s="86"/>
      <c r="V302" s="201"/>
      <c r="W302" s="37"/>
      <c r="X302" s="52"/>
      <c r="Y302" s="87"/>
      <c r="AA302" s="86"/>
      <c r="AB302" s="57"/>
      <c r="AC302" s="37"/>
      <c r="AD302" s="52"/>
      <c r="AE302" s="87"/>
      <c r="AG302" s="86"/>
      <c r="AH302" s="37"/>
      <c r="AI302" s="52"/>
      <c r="AJ302" s="87"/>
      <c r="AL302" s="86"/>
      <c r="AM302" s="37"/>
      <c r="AN302" s="52"/>
      <c r="AO302" s="87"/>
      <c r="AQ302" s="86"/>
      <c r="AR302" s="37"/>
      <c r="AS302" s="52"/>
      <c r="AT302" s="87"/>
    </row>
    <row r="303" spans="2:46" thickBot="1">
      <c r="B303" s="113"/>
      <c r="C303" s="324"/>
      <c r="D303" s="346"/>
      <c r="E303" s="326"/>
      <c r="F303" s="321" t="str">
        <f t="shared" si="48"/>
        <v/>
      </c>
      <c r="G303" s="334"/>
      <c r="H303" s="331"/>
      <c r="I303" s="107"/>
      <c r="J303" s="108"/>
      <c r="K303" s="109"/>
      <c r="L303" s="108"/>
      <c r="O303" s="86"/>
      <c r="P303" s="57"/>
      <c r="Q303" s="37"/>
      <c r="R303" s="92" t="str">
        <f t="shared" si="49"/>
        <v/>
      </c>
      <c r="S303" s="52"/>
      <c r="T303" s="87"/>
      <c r="U303" s="86"/>
      <c r="V303" s="201"/>
      <c r="W303" s="37"/>
      <c r="X303" s="52"/>
      <c r="Y303" s="87"/>
      <c r="AA303" s="86"/>
      <c r="AB303" s="57"/>
      <c r="AC303" s="37"/>
      <c r="AD303" s="52"/>
      <c r="AE303" s="87"/>
      <c r="AG303" s="86"/>
      <c r="AH303" s="37"/>
      <c r="AI303" s="52"/>
      <c r="AJ303" s="87"/>
      <c r="AL303" s="86"/>
      <c r="AM303" s="37"/>
      <c r="AN303" s="52"/>
      <c r="AO303" s="87"/>
      <c r="AQ303" s="86"/>
      <c r="AR303" s="37"/>
      <c r="AS303" s="52"/>
      <c r="AT303" s="87"/>
    </row>
    <row r="304" spans="2:46" thickBot="1">
      <c r="B304" s="113"/>
      <c r="C304" s="324"/>
      <c r="D304" s="346"/>
      <c r="E304" s="326"/>
      <c r="F304" s="321" t="str">
        <f t="shared" si="48"/>
        <v/>
      </c>
      <c r="G304" s="334"/>
      <c r="H304" s="331"/>
      <c r="I304" s="107"/>
      <c r="J304" s="108"/>
      <c r="K304" s="109"/>
      <c r="L304" s="108"/>
      <c r="O304" s="86"/>
      <c r="P304" s="57"/>
      <c r="Q304" s="37"/>
      <c r="R304" s="92" t="str">
        <f t="shared" si="49"/>
        <v/>
      </c>
      <c r="S304" s="52"/>
      <c r="T304" s="87"/>
      <c r="U304" s="86"/>
      <c r="V304" s="201"/>
      <c r="W304" s="37"/>
      <c r="X304" s="52"/>
      <c r="Y304" s="87"/>
      <c r="AA304" s="86"/>
      <c r="AB304" s="57"/>
      <c r="AC304" s="37"/>
      <c r="AD304" s="52"/>
      <c r="AE304" s="87"/>
      <c r="AG304" s="86"/>
      <c r="AH304" s="37"/>
      <c r="AI304" s="52"/>
      <c r="AJ304" s="87"/>
      <c r="AL304" s="86"/>
      <c r="AM304" s="37"/>
      <c r="AN304" s="52"/>
      <c r="AO304" s="87"/>
      <c r="AQ304" s="86"/>
      <c r="AR304" s="37"/>
      <c r="AS304" s="52"/>
      <c r="AT304" s="87"/>
    </row>
    <row r="305" spans="2:46" thickBot="1">
      <c r="B305" s="113"/>
      <c r="C305" s="324"/>
      <c r="D305" s="346"/>
      <c r="E305" s="326"/>
      <c r="F305" s="321" t="str">
        <f t="shared" si="48"/>
        <v/>
      </c>
      <c r="G305" s="334"/>
      <c r="H305" s="331"/>
      <c r="I305" s="107"/>
      <c r="J305" s="108"/>
      <c r="K305" s="109"/>
      <c r="L305" s="108"/>
      <c r="O305" s="86"/>
      <c r="P305" s="57"/>
      <c r="Q305" s="37"/>
      <c r="R305" s="92" t="str">
        <f t="shared" si="49"/>
        <v/>
      </c>
      <c r="S305" s="52"/>
      <c r="T305" s="87"/>
      <c r="U305" s="86"/>
      <c r="V305" s="201"/>
      <c r="W305" s="37"/>
      <c r="X305" s="52"/>
      <c r="Y305" s="87"/>
      <c r="AA305" s="86"/>
      <c r="AB305" s="57"/>
      <c r="AC305" s="37"/>
      <c r="AD305" s="52"/>
      <c r="AE305" s="87"/>
      <c r="AG305" s="86"/>
      <c r="AH305" s="37"/>
      <c r="AI305" s="52"/>
      <c r="AJ305" s="87"/>
      <c r="AL305" s="86"/>
      <c r="AM305" s="37"/>
      <c r="AN305" s="52"/>
      <c r="AO305" s="87"/>
      <c r="AQ305" s="86"/>
      <c r="AR305" s="37"/>
      <c r="AS305" s="52"/>
      <c r="AT305" s="87"/>
    </row>
    <row r="306" spans="2:46" thickBot="1">
      <c r="B306" s="113"/>
      <c r="C306" s="324"/>
      <c r="D306" s="346"/>
      <c r="E306" s="326"/>
      <c r="F306" s="321" t="str">
        <f t="shared" si="48"/>
        <v/>
      </c>
      <c r="G306" s="334"/>
      <c r="H306" s="331"/>
      <c r="I306" s="107"/>
      <c r="J306" s="108"/>
      <c r="K306" s="109"/>
      <c r="L306" s="108"/>
      <c r="O306" s="86"/>
      <c r="P306" s="57"/>
      <c r="Q306" s="37"/>
      <c r="R306" s="92" t="str">
        <f t="shared" si="49"/>
        <v/>
      </c>
      <c r="S306" s="52"/>
      <c r="T306" s="87"/>
      <c r="U306" s="86"/>
      <c r="V306" s="201"/>
      <c r="W306" s="37"/>
      <c r="X306" s="52"/>
      <c r="Y306" s="87"/>
      <c r="AA306" s="86"/>
      <c r="AB306" s="57"/>
      <c r="AC306" s="37"/>
      <c r="AD306" s="52"/>
      <c r="AE306" s="87"/>
      <c r="AG306" s="86"/>
      <c r="AH306" s="37"/>
      <c r="AI306" s="52"/>
      <c r="AJ306" s="87"/>
      <c r="AL306" s="86"/>
      <c r="AM306" s="37"/>
      <c r="AN306" s="52"/>
      <c r="AO306" s="87"/>
      <c r="AQ306" s="86"/>
      <c r="AR306" s="37"/>
      <c r="AS306" s="52"/>
      <c r="AT306" s="87"/>
    </row>
    <row r="307" spans="2:46" thickBot="1">
      <c r="B307" s="113"/>
      <c r="C307" s="324"/>
      <c r="D307" s="346"/>
      <c r="E307" s="326"/>
      <c r="F307" s="321" t="str">
        <f t="shared" si="48"/>
        <v/>
      </c>
      <c r="G307" s="334"/>
      <c r="H307" s="331"/>
      <c r="I307" s="107"/>
      <c r="J307" s="108"/>
      <c r="K307" s="109"/>
      <c r="L307" s="108"/>
      <c r="O307" s="86"/>
      <c r="P307" s="57"/>
      <c r="Q307" s="37"/>
      <c r="R307" s="92" t="str">
        <f t="shared" si="49"/>
        <v/>
      </c>
      <c r="S307" s="52"/>
      <c r="T307" s="87"/>
      <c r="U307" s="86"/>
      <c r="V307" s="201"/>
      <c r="W307" s="37"/>
      <c r="X307" s="52"/>
      <c r="Y307" s="87"/>
      <c r="AA307" s="86"/>
      <c r="AB307" s="57"/>
      <c r="AC307" s="37"/>
      <c r="AD307" s="52"/>
      <c r="AE307" s="87"/>
      <c r="AG307" s="86"/>
      <c r="AH307" s="37"/>
      <c r="AI307" s="52"/>
      <c r="AJ307" s="87"/>
      <c r="AL307" s="86"/>
      <c r="AM307" s="37"/>
      <c r="AN307" s="52"/>
      <c r="AO307" s="87"/>
      <c r="AQ307" s="86"/>
      <c r="AR307" s="37"/>
      <c r="AS307" s="52"/>
      <c r="AT307" s="87"/>
    </row>
    <row r="308" spans="2:46" thickBot="1">
      <c r="B308" s="113"/>
      <c r="C308" s="324"/>
      <c r="D308" s="346"/>
      <c r="E308" s="326"/>
      <c r="F308" s="321" t="str">
        <f t="shared" si="48"/>
        <v/>
      </c>
      <c r="G308" s="334"/>
      <c r="H308" s="331"/>
      <c r="I308" s="107"/>
      <c r="J308" s="108"/>
      <c r="K308" s="109"/>
      <c r="L308" s="108"/>
      <c r="O308" s="86"/>
      <c r="P308" s="57"/>
      <c r="Q308" s="37"/>
      <c r="R308" s="92" t="str">
        <f t="shared" si="49"/>
        <v/>
      </c>
      <c r="S308" s="52"/>
      <c r="T308" s="87"/>
      <c r="U308" s="86"/>
      <c r="V308" s="201"/>
      <c r="W308" s="37"/>
      <c r="X308" s="52"/>
      <c r="Y308" s="87"/>
      <c r="AA308" s="86"/>
      <c r="AB308" s="57"/>
      <c r="AC308" s="37"/>
      <c r="AD308" s="52"/>
      <c r="AE308" s="87"/>
      <c r="AG308" s="86"/>
      <c r="AH308" s="37"/>
      <c r="AI308" s="52"/>
      <c r="AJ308" s="87"/>
      <c r="AL308" s="86"/>
      <c r="AM308" s="37"/>
      <c r="AN308" s="52"/>
      <c r="AO308" s="87"/>
      <c r="AQ308" s="86"/>
      <c r="AR308" s="37"/>
      <c r="AS308" s="52"/>
      <c r="AT308" s="87"/>
    </row>
    <row r="309" spans="2:46" thickBot="1">
      <c r="B309" s="113"/>
      <c r="C309" s="324"/>
      <c r="D309" s="346"/>
      <c r="E309" s="326"/>
      <c r="F309" s="321" t="str">
        <f t="shared" si="48"/>
        <v/>
      </c>
      <c r="G309" s="334"/>
      <c r="H309" s="331"/>
      <c r="I309" s="107"/>
      <c r="J309" s="108"/>
      <c r="K309" s="109"/>
      <c r="L309" s="108"/>
      <c r="O309" s="86"/>
      <c r="P309" s="57"/>
      <c r="Q309" s="37"/>
      <c r="R309" s="92" t="str">
        <f t="shared" si="49"/>
        <v/>
      </c>
      <c r="S309" s="52"/>
      <c r="T309" s="87"/>
      <c r="U309" s="86"/>
      <c r="V309" s="201"/>
      <c r="W309" s="37"/>
      <c r="X309" s="52"/>
      <c r="Y309" s="87"/>
      <c r="AA309" s="86"/>
      <c r="AB309" s="57"/>
      <c r="AC309" s="37"/>
      <c r="AD309" s="52"/>
      <c r="AE309" s="87"/>
      <c r="AG309" s="86"/>
      <c r="AH309" s="37"/>
      <c r="AI309" s="52"/>
      <c r="AJ309" s="87"/>
      <c r="AL309" s="86"/>
      <c r="AM309" s="37"/>
      <c r="AN309" s="52"/>
      <c r="AO309" s="87"/>
      <c r="AQ309" s="86"/>
      <c r="AR309" s="37"/>
      <c r="AS309" s="52"/>
      <c r="AT309" s="87"/>
    </row>
    <row r="310" spans="2:46" thickBot="1">
      <c r="B310" s="113"/>
      <c r="C310" s="324"/>
      <c r="D310" s="346"/>
      <c r="E310" s="326"/>
      <c r="F310" s="321" t="str">
        <f t="shared" si="48"/>
        <v/>
      </c>
      <c r="G310" s="334"/>
      <c r="H310" s="331"/>
      <c r="I310" s="107"/>
      <c r="J310" s="108"/>
      <c r="K310" s="109"/>
      <c r="L310" s="108"/>
      <c r="O310" s="86"/>
      <c r="P310" s="57"/>
      <c r="Q310" s="37"/>
      <c r="R310" s="92" t="str">
        <f t="shared" si="49"/>
        <v/>
      </c>
      <c r="S310" s="52"/>
      <c r="T310" s="87"/>
      <c r="U310" s="86"/>
      <c r="V310" s="201"/>
      <c r="W310" s="37"/>
      <c r="X310" s="52"/>
      <c r="Y310" s="87"/>
      <c r="AA310" s="86"/>
      <c r="AB310" s="57"/>
      <c r="AC310" s="37"/>
      <c r="AD310" s="52"/>
      <c r="AE310" s="87"/>
      <c r="AG310" s="86"/>
      <c r="AH310" s="37"/>
      <c r="AI310" s="52"/>
      <c r="AJ310" s="87"/>
      <c r="AL310" s="86"/>
      <c r="AM310" s="37"/>
      <c r="AN310" s="52"/>
      <c r="AO310" s="87"/>
      <c r="AQ310" s="86"/>
      <c r="AR310" s="37"/>
      <c r="AS310" s="52"/>
      <c r="AT310" s="87"/>
    </row>
    <row r="311" spans="2:46" thickBot="1">
      <c r="B311" s="113"/>
      <c r="C311" s="324"/>
      <c r="D311" s="346"/>
      <c r="E311" s="326"/>
      <c r="F311" s="321" t="str">
        <f t="shared" si="48"/>
        <v/>
      </c>
      <c r="G311" s="334"/>
      <c r="H311" s="331"/>
      <c r="I311" s="107"/>
      <c r="J311" s="108"/>
      <c r="K311" s="109"/>
      <c r="L311" s="108"/>
      <c r="O311" s="86"/>
      <c r="P311" s="57"/>
      <c r="Q311" s="37"/>
      <c r="R311" s="92" t="str">
        <f t="shared" si="49"/>
        <v/>
      </c>
      <c r="S311" s="52"/>
      <c r="T311" s="87"/>
      <c r="U311" s="86"/>
      <c r="V311" s="201"/>
      <c r="W311" s="37"/>
      <c r="X311" s="52"/>
      <c r="Y311" s="87"/>
      <c r="AA311" s="86"/>
      <c r="AB311" s="57"/>
      <c r="AC311" s="37"/>
      <c r="AD311" s="52"/>
      <c r="AE311" s="87"/>
      <c r="AG311" s="86"/>
      <c r="AH311" s="37"/>
      <c r="AI311" s="52"/>
      <c r="AJ311" s="87"/>
      <c r="AL311" s="86"/>
      <c r="AM311" s="37"/>
      <c r="AN311" s="52"/>
      <c r="AO311" s="87"/>
      <c r="AQ311" s="86"/>
      <c r="AR311" s="37"/>
      <c r="AS311" s="52"/>
      <c r="AT311" s="87"/>
    </row>
    <row r="312" spans="2:46" thickBot="1">
      <c r="B312" s="113"/>
      <c r="C312" s="324"/>
      <c r="D312" s="346"/>
      <c r="E312" s="326"/>
      <c r="F312" s="321" t="str">
        <f t="shared" si="48"/>
        <v/>
      </c>
      <c r="G312" s="334"/>
      <c r="H312" s="331"/>
      <c r="I312" s="107"/>
      <c r="J312" s="108"/>
      <c r="K312" s="109"/>
      <c r="L312" s="108"/>
      <c r="O312" s="86"/>
      <c r="P312" s="57"/>
      <c r="Q312" s="37"/>
      <c r="R312" s="92" t="str">
        <f t="shared" si="49"/>
        <v/>
      </c>
      <c r="S312" s="52"/>
      <c r="T312" s="87"/>
      <c r="U312" s="86"/>
      <c r="V312" s="201"/>
      <c r="W312" s="37"/>
      <c r="X312" s="52"/>
      <c r="Y312" s="87"/>
      <c r="AA312" s="86"/>
      <c r="AB312" s="57"/>
      <c r="AC312" s="37"/>
      <c r="AD312" s="52"/>
      <c r="AE312" s="87"/>
      <c r="AG312" s="86"/>
      <c r="AH312" s="37"/>
      <c r="AI312" s="52"/>
      <c r="AJ312" s="87"/>
      <c r="AL312" s="86"/>
      <c r="AM312" s="37"/>
      <c r="AN312" s="52"/>
      <c r="AO312" s="87"/>
      <c r="AQ312" s="86"/>
      <c r="AR312" s="37"/>
      <c r="AS312" s="52"/>
      <c r="AT312" s="87"/>
    </row>
    <row r="313" spans="2:46" thickBot="1">
      <c r="B313" s="113"/>
      <c r="C313" s="324"/>
      <c r="D313" s="346"/>
      <c r="E313" s="326"/>
      <c r="F313" s="321" t="str">
        <f t="shared" si="48"/>
        <v/>
      </c>
      <c r="G313" s="334"/>
      <c r="H313" s="331"/>
      <c r="I313" s="107"/>
      <c r="J313" s="108"/>
      <c r="K313" s="109"/>
      <c r="L313" s="108"/>
      <c r="O313" s="86"/>
      <c r="P313" s="57"/>
      <c r="Q313" s="37"/>
      <c r="R313" s="92" t="str">
        <f t="shared" si="49"/>
        <v/>
      </c>
      <c r="S313" s="52"/>
      <c r="T313" s="87"/>
      <c r="U313" s="86"/>
      <c r="V313" s="201"/>
      <c r="W313" s="37"/>
      <c r="X313" s="52"/>
      <c r="Y313" s="87"/>
      <c r="AA313" s="86"/>
      <c r="AB313" s="57"/>
      <c r="AC313" s="37"/>
      <c r="AD313" s="52"/>
      <c r="AE313" s="87"/>
      <c r="AG313" s="86"/>
      <c r="AH313" s="37"/>
      <c r="AI313" s="52"/>
      <c r="AJ313" s="87"/>
      <c r="AL313" s="86"/>
      <c r="AM313" s="37"/>
      <c r="AN313" s="52"/>
      <c r="AO313" s="87"/>
      <c r="AQ313" s="86"/>
      <c r="AR313" s="37"/>
      <c r="AS313" s="52"/>
      <c r="AT313" s="87"/>
    </row>
    <row r="314" spans="2:46" thickBot="1">
      <c r="B314" s="113"/>
      <c r="C314" s="324"/>
      <c r="D314" s="346"/>
      <c r="E314" s="326"/>
      <c r="F314" s="321" t="str">
        <f t="shared" si="48"/>
        <v/>
      </c>
      <c r="G314" s="334"/>
      <c r="H314" s="331"/>
      <c r="I314" s="107"/>
      <c r="J314" s="108"/>
      <c r="K314" s="109"/>
      <c r="L314" s="108"/>
      <c r="O314" s="86"/>
      <c r="P314" s="57"/>
      <c r="Q314" s="37"/>
      <c r="R314" s="92" t="str">
        <f t="shared" si="49"/>
        <v/>
      </c>
      <c r="S314" s="52"/>
      <c r="T314" s="87"/>
      <c r="U314" s="86"/>
      <c r="V314" s="201"/>
      <c r="W314" s="37"/>
      <c r="X314" s="52"/>
      <c r="Y314" s="87"/>
      <c r="AA314" s="86"/>
      <c r="AB314" s="57"/>
      <c r="AC314" s="37"/>
      <c r="AD314" s="52"/>
      <c r="AE314" s="87"/>
      <c r="AG314" s="86"/>
      <c r="AH314" s="37"/>
      <c r="AI314" s="52"/>
      <c r="AJ314" s="87"/>
      <c r="AL314" s="86"/>
      <c r="AM314" s="37"/>
      <c r="AN314" s="52"/>
      <c r="AO314" s="87"/>
      <c r="AQ314" s="86"/>
      <c r="AR314" s="37"/>
      <c r="AS314" s="52"/>
      <c r="AT314" s="87"/>
    </row>
    <row r="315" spans="2:46" thickBot="1">
      <c r="B315" s="113"/>
      <c r="C315" s="324"/>
      <c r="D315" s="346"/>
      <c r="E315" s="326"/>
      <c r="F315" s="321" t="str">
        <f t="shared" si="48"/>
        <v/>
      </c>
      <c r="G315" s="334"/>
      <c r="H315" s="331"/>
      <c r="I315" s="107"/>
      <c r="J315" s="108"/>
      <c r="K315" s="109"/>
      <c r="L315" s="108"/>
      <c r="O315" s="86"/>
      <c r="P315" s="57"/>
      <c r="Q315" s="37"/>
      <c r="R315" s="92" t="str">
        <f t="shared" si="49"/>
        <v/>
      </c>
      <c r="S315" s="52"/>
      <c r="T315" s="87"/>
      <c r="U315" s="86"/>
      <c r="V315" s="201"/>
      <c r="W315" s="37"/>
      <c r="X315" s="52"/>
      <c r="Y315" s="87"/>
      <c r="AA315" s="86"/>
      <c r="AB315" s="57"/>
      <c r="AC315" s="37"/>
      <c r="AD315" s="52"/>
      <c r="AE315" s="87"/>
      <c r="AG315" s="86"/>
      <c r="AH315" s="37"/>
      <c r="AI315" s="52"/>
      <c r="AJ315" s="87"/>
      <c r="AL315" s="86"/>
      <c r="AM315" s="37"/>
      <c r="AN315" s="52"/>
      <c r="AO315" s="87"/>
      <c r="AQ315" s="86"/>
      <c r="AR315" s="37"/>
      <c r="AS315" s="52"/>
      <c r="AT315" s="87"/>
    </row>
    <row r="316" spans="2:46" thickBot="1">
      <c r="B316" s="113"/>
      <c r="C316" s="324"/>
      <c r="D316" s="346"/>
      <c r="E316" s="326"/>
      <c r="F316" s="321" t="str">
        <f t="shared" si="48"/>
        <v/>
      </c>
      <c r="G316" s="334"/>
      <c r="H316" s="331"/>
      <c r="I316" s="107"/>
      <c r="J316" s="108"/>
      <c r="K316" s="109"/>
      <c r="L316" s="108"/>
      <c r="O316" s="86"/>
      <c r="P316" s="57"/>
      <c r="Q316" s="37"/>
      <c r="R316" s="92" t="str">
        <f t="shared" si="49"/>
        <v/>
      </c>
      <c r="S316" s="52"/>
      <c r="T316" s="87"/>
      <c r="U316" s="86"/>
      <c r="V316" s="201"/>
      <c r="W316" s="37"/>
      <c r="X316" s="52"/>
      <c r="Y316" s="87"/>
      <c r="AA316" s="86"/>
      <c r="AB316" s="57"/>
      <c r="AC316" s="37"/>
      <c r="AD316" s="52"/>
      <c r="AE316" s="87"/>
      <c r="AG316" s="86"/>
      <c r="AH316" s="37"/>
      <c r="AI316" s="52"/>
      <c r="AJ316" s="87"/>
      <c r="AL316" s="86"/>
      <c r="AM316" s="37"/>
      <c r="AN316" s="52"/>
      <c r="AO316" s="87"/>
      <c r="AQ316" s="86"/>
      <c r="AR316" s="37"/>
      <c r="AS316" s="52"/>
      <c r="AT316" s="87"/>
    </row>
    <row r="317" spans="2:46" thickBot="1">
      <c r="B317" s="113"/>
      <c r="C317" s="324"/>
      <c r="D317" s="346"/>
      <c r="E317" s="326"/>
      <c r="F317" s="321" t="str">
        <f t="shared" si="48"/>
        <v/>
      </c>
      <c r="G317" s="334"/>
      <c r="H317" s="331"/>
      <c r="I317" s="107"/>
      <c r="J317" s="108"/>
      <c r="K317" s="109"/>
      <c r="L317" s="108"/>
      <c r="O317" s="86"/>
      <c r="P317" s="57"/>
      <c r="Q317" s="37"/>
      <c r="R317" s="92" t="str">
        <f t="shared" si="49"/>
        <v/>
      </c>
      <c r="S317" s="52"/>
      <c r="T317" s="87"/>
      <c r="U317" s="86"/>
      <c r="V317" s="201"/>
      <c r="W317" s="37"/>
      <c r="X317" s="52"/>
      <c r="Y317" s="87"/>
      <c r="AA317" s="86"/>
      <c r="AB317" s="57"/>
      <c r="AC317" s="37"/>
      <c r="AD317" s="52"/>
      <c r="AE317" s="87"/>
      <c r="AG317" s="86"/>
      <c r="AH317" s="37"/>
      <c r="AI317" s="52"/>
      <c r="AJ317" s="87"/>
      <c r="AL317" s="86"/>
      <c r="AM317" s="37"/>
      <c r="AN317" s="52"/>
      <c r="AO317" s="87"/>
      <c r="AQ317" s="86"/>
      <c r="AR317" s="37"/>
      <c r="AS317" s="52"/>
      <c r="AT317" s="87"/>
    </row>
    <row r="318" spans="2:46" thickBot="1">
      <c r="B318" s="113"/>
      <c r="C318" s="324"/>
      <c r="D318" s="346"/>
      <c r="E318" s="326"/>
      <c r="F318" s="321" t="str">
        <f t="shared" si="48"/>
        <v/>
      </c>
      <c r="G318" s="334"/>
      <c r="H318" s="331"/>
      <c r="I318" s="107"/>
      <c r="J318" s="108"/>
      <c r="K318" s="109"/>
      <c r="L318" s="108"/>
      <c r="O318" s="86"/>
      <c r="P318" s="57"/>
      <c r="Q318" s="37"/>
      <c r="R318" s="92" t="str">
        <f t="shared" si="49"/>
        <v/>
      </c>
      <c r="S318" s="52"/>
      <c r="T318" s="87"/>
      <c r="U318" s="86"/>
      <c r="V318" s="201"/>
      <c r="W318" s="37"/>
      <c r="X318" s="52"/>
      <c r="Y318" s="87"/>
      <c r="AA318" s="86"/>
      <c r="AB318" s="57"/>
      <c r="AC318" s="37"/>
      <c r="AD318" s="52"/>
      <c r="AE318" s="87"/>
      <c r="AG318" s="86"/>
      <c r="AH318" s="37"/>
      <c r="AI318" s="52"/>
      <c r="AJ318" s="87"/>
      <c r="AL318" s="86"/>
      <c r="AM318" s="37"/>
      <c r="AN318" s="52"/>
      <c r="AO318" s="87"/>
      <c r="AQ318" s="86"/>
      <c r="AR318" s="37"/>
      <c r="AS318" s="52"/>
      <c r="AT318" s="87"/>
    </row>
    <row r="319" spans="2:46" thickBot="1">
      <c r="B319" s="113"/>
      <c r="C319" s="324"/>
      <c r="D319" s="346"/>
      <c r="E319" s="326"/>
      <c r="F319" s="321" t="str">
        <f t="shared" si="48"/>
        <v/>
      </c>
      <c r="G319" s="334"/>
      <c r="H319" s="331"/>
      <c r="I319" s="107"/>
      <c r="J319" s="108"/>
      <c r="K319" s="109"/>
      <c r="L319" s="108"/>
      <c r="O319" s="86"/>
      <c r="P319" s="57"/>
      <c r="Q319" s="37"/>
      <c r="R319" s="92" t="str">
        <f t="shared" si="49"/>
        <v/>
      </c>
      <c r="S319" s="52"/>
      <c r="T319" s="87"/>
      <c r="U319" s="86"/>
      <c r="V319" s="201"/>
      <c r="W319" s="37"/>
      <c r="X319" s="52"/>
      <c r="Y319" s="87"/>
      <c r="AA319" s="86"/>
      <c r="AB319" s="57"/>
      <c r="AC319" s="37"/>
      <c r="AD319" s="52"/>
      <c r="AE319" s="87"/>
      <c r="AG319" s="86"/>
      <c r="AH319" s="37"/>
      <c r="AI319" s="52"/>
      <c r="AJ319" s="87"/>
      <c r="AL319" s="86"/>
      <c r="AM319" s="37"/>
      <c r="AN319" s="52"/>
      <c r="AO319" s="87"/>
      <c r="AQ319" s="86"/>
      <c r="AR319" s="37"/>
      <c r="AS319" s="52"/>
      <c r="AT319" s="87"/>
    </row>
    <row r="320" spans="2:46" thickBot="1">
      <c r="B320" s="113"/>
      <c r="C320" s="324"/>
      <c r="D320" s="346"/>
      <c r="E320" s="326"/>
      <c r="F320" s="321" t="str">
        <f t="shared" si="48"/>
        <v/>
      </c>
      <c r="G320" s="334"/>
      <c r="H320" s="331"/>
      <c r="I320" s="107"/>
      <c r="J320" s="108"/>
      <c r="K320" s="109"/>
      <c r="L320" s="108"/>
      <c r="O320" s="86"/>
      <c r="P320" s="57"/>
      <c r="Q320" s="37"/>
      <c r="R320" s="92" t="str">
        <f t="shared" si="49"/>
        <v/>
      </c>
      <c r="S320" s="52"/>
      <c r="T320" s="87"/>
      <c r="U320" s="86"/>
      <c r="V320" s="201"/>
      <c r="W320" s="37"/>
      <c r="X320" s="52"/>
      <c r="Y320" s="87"/>
      <c r="AA320" s="86"/>
      <c r="AB320" s="57"/>
      <c r="AC320" s="37"/>
      <c r="AD320" s="52"/>
      <c r="AE320" s="87"/>
      <c r="AG320" s="86"/>
      <c r="AH320" s="37"/>
      <c r="AI320" s="52"/>
      <c r="AJ320" s="87"/>
      <c r="AL320" s="86"/>
      <c r="AM320" s="37"/>
      <c r="AN320" s="52"/>
      <c r="AO320" s="87"/>
      <c r="AQ320" s="86"/>
      <c r="AR320" s="37"/>
      <c r="AS320" s="52"/>
      <c r="AT320" s="87"/>
    </row>
    <row r="321" spans="2:46" thickBot="1">
      <c r="B321" s="113"/>
      <c r="C321" s="324"/>
      <c r="D321" s="346"/>
      <c r="E321" s="326"/>
      <c r="F321" s="321" t="str">
        <f t="shared" si="48"/>
        <v/>
      </c>
      <c r="G321" s="334"/>
      <c r="H321" s="331"/>
      <c r="I321" s="107"/>
      <c r="J321" s="108"/>
      <c r="K321" s="109"/>
      <c r="L321" s="108"/>
      <c r="O321" s="86"/>
      <c r="P321" s="57"/>
      <c r="Q321" s="37"/>
      <c r="R321" s="92" t="str">
        <f t="shared" si="49"/>
        <v/>
      </c>
      <c r="S321" s="52"/>
      <c r="T321" s="87"/>
      <c r="U321" s="86"/>
      <c r="V321" s="201"/>
      <c r="W321" s="37"/>
      <c r="X321" s="52"/>
      <c r="Y321" s="87"/>
      <c r="AA321" s="86"/>
      <c r="AB321" s="57"/>
      <c r="AC321" s="37"/>
      <c r="AD321" s="52"/>
      <c r="AE321" s="87"/>
      <c r="AG321" s="86"/>
      <c r="AH321" s="37"/>
      <c r="AI321" s="52"/>
      <c r="AJ321" s="87"/>
      <c r="AL321" s="86"/>
      <c r="AM321" s="37"/>
      <c r="AN321" s="52"/>
      <c r="AO321" s="87"/>
      <c r="AQ321" s="86"/>
      <c r="AR321" s="37"/>
      <c r="AS321" s="52"/>
      <c r="AT321" s="87"/>
    </row>
    <row r="322" spans="2:46" thickBot="1">
      <c r="B322" s="113"/>
      <c r="C322" s="324"/>
      <c r="D322" s="346"/>
      <c r="E322" s="326"/>
      <c r="F322" s="321" t="str">
        <f t="shared" si="48"/>
        <v/>
      </c>
      <c r="G322" s="334"/>
      <c r="H322" s="331"/>
      <c r="I322" s="107"/>
      <c r="J322" s="108"/>
      <c r="K322" s="109"/>
      <c r="L322" s="108"/>
      <c r="O322" s="86"/>
      <c r="P322" s="57"/>
      <c r="Q322" s="37"/>
      <c r="R322" s="92" t="str">
        <f t="shared" si="49"/>
        <v/>
      </c>
      <c r="S322" s="52"/>
      <c r="T322" s="87"/>
      <c r="U322" s="86"/>
      <c r="V322" s="201"/>
      <c r="W322" s="37"/>
      <c r="X322" s="52"/>
      <c r="Y322" s="87"/>
      <c r="AA322" s="86"/>
      <c r="AB322" s="57"/>
      <c r="AC322" s="37"/>
      <c r="AD322" s="52"/>
      <c r="AE322" s="87"/>
      <c r="AG322" s="86"/>
      <c r="AH322" s="37"/>
      <c r="AI322" s="52"/>
      <c r="AJ322" s="87"/>
      <c r="AL322" s="86"/>
      <c r="AM322" s="37"/>
      <c r="AN322" s="52"/>
      <c r="AO322" s="87"/>
      <c r="AQ322" s="86"/>
      <c r="AR322" s="37"/>
      <c r="AS322" s="52"/>
      <c r="AT322" s="87"/>
    </row>
    <row r="323" spans="2:46" thickBot="1">
      <c r="B323" s="113"/>
      <c r="C323" s="324"/>
      <c r="D323" s="346"/>
      <c r="E323" s="326"/>
      <c r="F323" s="321" t="str">
        <f t="shared" si="48"/>
        <v/>
      </c>
      <c r="G323" s="334"/>
      <c r="H323" s="331"/>
      <c r="I323" s="107"/>
      <c r="J323" s="108"/>
      <c r="K323" s="109"/>
      <c r="L323" s="108"/>
      <c r="O323" s="86"/>
      <c r="P323" s="57"/>
      <c r="Q323" s="37"/>
      <c r="R323" s="92" t="str">
        <f t="shared" si="49"/>
        <v/>
      </c>
      <c r="S323" s="52"/>
      <c r="T323" s="87"/>
      <c r="U323" s="86"/>
      <c r="V323" s="201"/>
      <c r="W323" s="37"/>
      <c r="X323" s="52"/>
      <c r="Y323" s="87"/>
      <c r="AA323" s="86"/>
      <c r="AB323" s="57"/>
      <c r="AC323" s="37"/>
      <c r="AD323" s="52"/>
      <c r="AE323" s="87"/>
      <c r="AG323" s="86"/>
      <c r="AH323" s="37"/>
      <c r="AI323" s="52"/>
      <c r="AJ323" s="87"/>
      <c r="AL323" s="86"/>
      <c r="AM323" s="37"/>
      <c r="AN323" s="52"/>
      <c r="AO323" s="87"/>
      <c r="AQ323" s="86"/>
      <c r="AR323" s="37"/>
      <c r="AS323" s="52"/>
      <c r="AT323" s="87"/>
    </row>
    <row r="324" spans="2:46" thickBot="1">
      <c r="B324" s="113"/>
      <c r="C324" s="324"/>
      <c r="D324" s="346"/>
      <c r="E324" s="326"/>
      <c r="F324" s="321" t="str">
        <f t="shared" si="48"/>
        <v/>
      </c>
      <c r="G324" s="334"/>
      <c r="H324" s="331"/>
      <c r="I324" s="107"/>
      <c r="J324" s="108"/>
      <c r="K324" s="109"/>
      <c r="L324" s="108"/>
      <c r="O324" s="86"/>
      <c r="P324" s="57"/>
      <c r="Q324" s="37"/>
      <c r="R324" s="92" t="str">
        <f t="shared" si="49"/>
        <v/>
      </c>
      <c r="S324" s="52"/>
      <c r="T324" s="87"/>
      <c r="U324" s="86"/>
      <c r="V324" s="201"/>
      <c r="W324" s="37"/>
      <c r="X324" s="52"/>
      <c r="Y324" s="87"/>
      <c r="AA324" s="86"/>
      <c r="AB324" s="57"/>
      <c r="AC324" s="37"/>
      <c r="AD324" s="52"/>
      <c r="AE324" s="87"/>
      <c r="AG324" s="86"/>
      <c r="AH324" s="37"/>
      <c r="AI324" s="52"/>
      <c r="AJ324" s="87"/>
      <c r="AL324" s="86"/>
      <c r="AM324" s="37"/>
      <c r="AN324" s="52"/>
      <c r="AO324" s="87"/>
      <c r="AQ324" s="86"/>
      <c r="AR324" s="37"/>
      <c r="AS324" s="52"/>
      <c r="AT324" s="87"/>
    </row>
    <row r="325" spans="2:46" thickBot="1">
      <c r="B325" s="113"/>
      <c r="C325" s="324"/>
      <c r="D325" s="346"/>
      <c r="E325" s="326"/>
      <c r="F325" s="321" t="str">
        <f t="shared" si="48"/>
        <v/>
      </c>
      <c r="G325" s="334"/>
      <c r="H325" s="331"/>
      <c r="I325" s="107"/>
      <c r="J325" s="108"/>
      <c r="K325" s="109"/>
      <c r="L325" s="108"/>
      <c r="O325" s="86"/>
      <c r="P325" s="57"/>
      <c r="Q325" s="37"/>
      <c r="R325" s="92" t="str">
        <f t="shared" si="49"/>
        <v/>
      </c>
      <c r="S325" s="52"/>
      <c r="T325" s="87"/>
      <c r="U325" s="86"/>
      <c r="V325" s="201"/>
      <c r="W325" s="37"/>
      <c r="X325" s="52"/>
      <c r="Y325" s="87"/>
      <c r="AA325" s="86"/>
      <c r="AB325" s="57"/>
      <c r="AC325" s="37"/>
      <c r="AD325" s="52"/>
      <c r="AE325" s="87"/>
      <c r="AG325" s="86"/>
      <c r="AH325" s="37"/>
      <c r="AI325" s="52"/>
      <c r="AJ325" s="87"/>
      <c r="AL325" s="86"/>
      <c r="AM325" s="37"/>
      <c r="AN325" s="52"/>
      <c r="AO325" s="87"/>
      <c r="AQ325" s="86"/>
      <c r="AR325" s="37"/>
      <c r="AS325" s="52"/>
      <c r="AT325" s="87"/>
    </row>
    <row r="326" spans="2:46" thickBot="1">
      <c r="B326" s="113"/>
      <c r="C326" s="324"/>
      <c r="D326" s="346"/>
      <c r="E326" s="326"/>
      <c r="F326" s="321" t="str">
        <f t="shared" ref="F326:F389" si="50">IF(E326="","",ROUND(G326*(1+$F$2),2))</f>
        <v/>
      </c>
      <c r="G326" s="334"/>
      <c r="H326" s="331"/>
      <c r="I326" s="107"/>
      <c r="J326" s="108"/>
      <c r="K326" s="109"/>
      <c r="L326" s="108"/>
      <c r="O326" s="86"/>
      <c r="P326" s="57"/>
      <c r="Q326" s="37"/>
      <c r="R326" s="92" t="str">
        <f t="shared" si="49"/>
        <v/>
      </c>
      <c r="S326" s="52"/>
      <c r="T326" s="87"/>
      <c r="U326" s="86"/>
      <c r="V326" s="201"/>
      <c r="W326" s="37"/>
      <c r="X326" s="52"/>
      <c r="Y326" s="87"/>
      <c r="AA326" s="86"/>
      <c r="AB326" s="57"/>
      <c r="AC326" s="37"/>
      <c r="AD326" s="52"/>
      <c r="AE326" s="87"/>
      <c r="AG326" s="86"/>
      <c r="AH326" s="37"/>
      <c r="AI326" s="52"/>
      <c r="AJ326" s="87"/>
      <c r="AL326" s="86"/>
      <c r="AM326" s="37"/>
      <c r="AN326" s="52"/>
      <c r="AO326" s="87"/>
      <c r="AQ326" s="86"/>
      <c r="AR326" s="37"/>
      <c r="AS326" s="52"/>
      <c r="AT326" s="87"/>
    </row>
    <row r="327" spans="2:46" thickBot="1">
      <c r="B327" s="113"/>
      <c r="C327" s="324"/>
      <c r="D327" s="346"/>
      <c r="E327" s="326"/>
      <c r="F327" s="321" t="str">
        <f t="shared" si="50"/>
        <v/>
      </c>
      <c r="G327" s="334"/>
      <c r="H327" s="331"/>
      <c r="I327" s="107"/>
      <c r="J327" s="108"/>
      <c r="K327" s="109"/>
      <c r="L327" s="108"/>
      <c r="O327" s="86"/>
      <c r="P327" s="57"/>
      <c r="Q327" s="37"/>
      <c r="R327" s="92" t="str">
        <f t="shared" si="49"/>
        <v/>
      </c>
      <c r="S327" s="52"/>
      <c r="T327" s="87"/>
      <c r="U327" s="86"/>
      <c r="V327" s="201"/>
      <c r="W327" s="37"/>
      <c r="X327" s="52"/>
      <c r="Y327" s="87"/>
      <c r="AA327" s="86"/>
      <c r="AB327" s="57"/>
      <c r="AC327" s="37"/>
      <c r="AD327" s="52"/>
      <c r="AE327" s="87"/>
      <c r="AG327" s="86"/>
      <c r="AH327" s="37"/>
      <c r="AI327" s="52"/>
      <c r="AJ327" s="87"/>
      <c r="AL327" s="86"/>
      <c r="AM327" s="37"/>
      <c r="AN327" s="52"/>
      <c r="AO327" s="87"/>
      <c r="AQ327" s="86"/>
      <c r="AR327" s="37"/>
      <c r="AS327" s="52"/>
      <c r="AT327" s="87"/>
    </row>
    <row r="328" spans="2:46" thickBot="1">
      <c r="B328" s="113"/>
      <c r="C328" s="324"/>
      <c r="D328" s="346"/>
      <c r="E328" s="326"/>
      <c r="F328" s="321" t="str">
        <f t="shared" si="50"/>
        <v/>
      </c>
      <c r="G328" s="334"/>
      <c r="H328" s="331"/>
      <c r="I328" s="107"/>
      <c r="J328" s="108"/>
      <c r="K328" s="109"/>
      <c r="L328" s="108"/>
      <c r="O328" s="86"/>
      <c r="P328" s="57"/>
      <c r="Q328" s="37"/>
      <c r="R328" s="92" t="str">
        <f t="shared" si="49"/>
        <v/>
      </c>
      <c r="S328" s="52"/>
      <c r="T328" s="87"/>
      <c r="U328" s="86"/>
      <c r="V328" s="201"/>
      <c r="W328" s="37"/>
      <c r="X328" s="52"/>
      <c r="Y328" s="87"/>
      <c r="AA328" s="86"/>
      <c r="AB328" s="57"/>
      <c r="AC328" s="37"/>
      <c r="AD328" s="52"/>
      <c r="AE328" s="87"/>
      <c r="AG328" s="86"/>
      <c r="AH328" s="37"/>
      <c r="AI328" s="52"/>
      <c r="AJ328" s="87"/>
      <c r="AL328" s="86"/>
      <c r="AM328" s="37"/>
      <c r="AN328" s="52"/>
      <c r="AO328" s="87"/>
      <c r="AQ328" s="86"/>
      <c r="AR328" s="37"/>
      <c r="AS328" s="52"/>
      <c r="AT328" s="87"/>
    </row>
    <row r="329" spans="2:46" thickBot="1">
      <c r="B329" s="113"/>
      <c r="C329" s="324"/>
      <c r="D329" s="346"/>
      <c r="E329" s="326"/>
      <c r="F329" s="321" t="str">
        <f t="shared" si="50"/>
        <v/>
      </c>
      <c r="G329" s="334"/>
      <c r="H329" s="331"/>
      <c r="I329" s="107"/>
      <c r="J329" s="108"/>
      <c r="K329" s="109"/>
      <c r="L329" s="108"/>
      <c r="O329" s="86"/>
      <c r="P329" s="57"/>
      <c r="Q329" s="37"/>
      <c r="R329" s="92" t="str">
        <f t="shared" si="49"/>
        <v/>
      </c>
      <c r="S329" s="52"/>
      <c r="T329" s="87"/>
      <c r="U329" s="86"/>
      <c r="V329" s="201"/>
      <c r="W329" s="37"/>
      <c r="X329" s="52"/>
      <c r="Y329" s="87"/>
      <c r="AA329" s="86"/>
      <c r="AB329" s="57"/>
      <c r="AC329" s="37"/>
      <c r="AD329" s="52"/>
      <c r="AE329" s="87"/>
      <c r="AG329" s="86"/>
      <c r="AH329" s="37"/>
      <c r="AI329" s="52"/>
      <c r="AJ329" s="87"/>
      <c r="AL329" s="86"/>
      <c r="AM329" s="37"/>
      <c r="AN329" s="52"/>
      <c r="AO329" s="87"/>
      <c r="AQ329" s="86"/>
      <c r="AR329" s="37"/>
      <c r="AS329" s="52"/>
      <c r="AT329" s="87"/>
    </row>
    <row r="330" spans="2:46" thickBot="1">
      <c r="B330" s="113"/>
      <c r="C330" s="324"/>
      <c r="D330" s="346"/>
      <c r="E330" s="326"/>
      <c r="F330" s="321" t="str">
        <f t="shared" si="50"/>
        <v/>
      </c>
      <c r="G330" s="334"/>
      <c r="H330" s="331"/>
      <c r="I330" s="107"/>
      <c r="J330" s="108"/>
      <c r="K330" s="109"/>
      <c r="L330" s="108"/>
      <c r="O330" s="86"/>
      <c r="P330" s="57"/>
      <c r="Q330" s="37"/>
      <c r="R330" s="92" t="str">
        <f t="shared" si="49"/>
        <v/>
      </c>
      <c r="S330" s="52"/>
      <c r="T330" s="87"/>
      <c r="U330" s="86"/>
      <c r="V330" s="201"/>
      <c r="W330" s="37"/>
      <c r="X330" s="52"/>
      <c r="Y330" s="87"/>
      <c r="AA330" s="86"/>
      <c r="AB330" s="57"/>
      <c r="AC330" s="37"/>
      <c r="AD330" s="52"/>
      <c r="AE330" s="87"/>
      <c r="AG330" s="86"/>
      <c r="AH330" s="37"/>
      <c r="AI330" s="52"/>
      <c r="AJ330" s="87"/>
      <c r="AL330" s="86"/>
      <c r="AM330" s="37"/>
      <c r="AN330" s="52"/>
      <c r="AO330" s="87"/>
      <c r="AQ330" s="86"/>
      <c r="AR330" s="37"/>
      <c r="AS330" s="52"/>
      <c r="AT330" s="87"/>
    </row>
    <row r="331" spans="2:46" thickBot="1">
      <c r="B331" s="113"/>
      <c r="C331" s="324"/>
      <c r="D331" s="346"/>
      <c r="E331" s="326"/>
      <c r="F331" s="321" t="str">
        <f t="shared" si="50"/>
        <v/>
      </c>
      <c r="G331" s="334"/>
      <c r="H331" s="331"/>
      <c r="I331" s="107"/>
      <c r="J331" s="108"/>
      <c r="K331" s="109"/>
      <c r="L331" s="108"/>
      <c r="O331" s="86"/>
      <c r="P331" s="57"/>
      <c r="Q331" s="37"/>
      <c r="R331" s="92" t="str">
        <f t="shared" si="49"/>
        <v/>
      </c>
      <c r="S331" s="52"/>
      <c r="T331" s="87"/>
      <c r="U331" s="86"/>
      <c r="V331" s="201"/>
      <c r="W331" s="37"/>
      <c r="X331" s="52"/>
      <c r="Y331" s="87"/>
      <c r="AA331" s="86"/>
      <c r="AB331" s="57"/>
      <c r="AC331" s="37"/>
      <c r="AD331" s="52"/>
      <c r="AE331" s="87"/>
      <c r="AG331" s="86"/>
      <c r="AH331" s="37"/>
      <c r="AI331" s="52"/>
      <c r="AJ331" s="87"/>
      <c r="AL331" s="86"/>
      <c r="AM331" s="37"/>
      <c r="AN331" s="52"/>
      <c r="AO331" s="87"/>
      <c r="AQ331" s="86"/>
      <c r="AR331" s="37"/>
      <c r="AS331" s="52"/>
      <c r="AT331" s="87"/>
    </row>
    <row r="332" spans="2:46" thickBot="1">
      <c r="B332" s="113"/>
      <c r="C332" s="324"/>
      <c r="D332" s="346"/>
      <c r="E332" s="326"/>
      <c r="F332" s="321" t="str">
        <f t="shared" si="50"/>
        <v/>
      </c>
      <c r="G332" s="334"/>
      <c r="H332" s="331"/>
      <c r="I332" s="107"/>
      <c r="J332" s="108"/>
      <c r="K332" s="109"/>
      <c r="L332" s="108"/>
      <c r="O332" s="86"/>
      <c r="P332" s="57"/>
      <c r="Q332" s="37"/>
      <c r="R332" s="92" t="str">
        <f t="shared" si="49"/>
        <v/>
      </c>
      <c r="S332" s="52"/>
      <c r="T332" s="87"/>
      <c r="U332" s="86"/>
      <c r="V332" s="201"/>
      <c r="W332" s="37"/>
      <c r="X332" s="52"/>
      <c r="Y332" s="87"/>
      <c r="AA332" s="86"/>
      <c r="AB332" s="57"/>
      <c r="AC332" s="37"/>
      <c r="AD332" s="52"/>
      <c r="AE332" s="87"/>
      <c r="AG332" s="86"/>
      <c r="AH332" s="37"/>
      <c r="AI332" s="52"/>
      <c r="AJ332" s="87"/>
      <c r="AL332" s="86"/>
      <c r="AM332" s="37"/>
      <c r="AN332" s="52"/>
      <c r="AO332" s="87"/>
      <c r="AQ332" s="86"/>
      <c r="AR332" s="37"/>
      <c r="AS332" s="52"/>
      <c r="AT332" s="87"/>
    </row>
    <row r="333" spans="2:46" thickBot="1">
      <c r="B333" s="113"/>
      <c r="C333" s="324"/>
      <c r="D333" s="346"/>
      <c r="E333" s="326"/>
      <c r="F333" s="321" t="str">
        <f t="shared" si="50"/>
        <v/>
      </c>
      <c r="G333" s="334"/>
      <c r="H333" s="331"/>
      <c r="I333" s="107"/>
      <c r="J333" s="108"/>
      <c r="K333" s="109"/>
      <c r="L333" s="108"/>
      <c r="O333" s="86"/>
      <c r="P333" s="57"/>
      <c r="Q333" s="37"/>
      <c r="R333" s="92" t="str">
        <f t="shared" si="49"/>
        <v/>
      </c>
      <c r="S333" s="52"/>
      <c r="T333" s="87"/>
      <c r="U333" s="86"/>
      <c r="V333" s="201"/>
      <c r="W333" s="37"/>
      <c r="X333" s="52"/>
      <c r="Y333" s="87"/>
      <c r="AA333" s="86"/>
      <c r="AB333" s="57"/>
      <c r="AC333" s="37"/>
      <c r="AD333" s="52"/>
      <c r="AE333" s="87"/>
      <c r="AG333" s="86"/>
      <c r="AH333" s="37"/>
      <c r="AI333" s="52"/>
      <c r="AJ333" s="87"/>
      <c r="AL333" s="86"/>
      <c r="AM333" s="37"/>
      <c r="AN333" s="52"/>
      <c r="AO333" s="87"/>
      <c r="AQ333" s="86"/>
      <c r="AR333" s="37"/>
      <c r="AS333" s="52"/>
      <c r="AT333" s="87"/>
    </row>
    <row r="334" spans="2:46" thickBot="1">
      <c r="B334" s="113"/>
      <c r="C334" s="324"/>
      <c r="D334" s="346"/>
      <c r="E334" s="326"/>
      <c r="F334" s="321" t="str">
        <f t="shared" si="50"/>
        <v/>
      </c>
      <c r="G334" s="334"/>
      <c r="H334" s="331"/>
      <c r="I334" s="107"/>
      <c r="J334" s="108"/>
      <c r="K334" s="109"/>
      <c r="L334" s="108"/>
      <c r="O334" s="86"/>
      <c r="P334" s="57"/>
      <c r="Q334" s="37"/>
      <c r="R334" s="92" t="str">
        <f t="shared" si="49"/>
        <v/>
      </c>
      <c r="S334" s="52"/>
      <c r="T334" s="87"/>
      <c r="U334" s="86"/>
      <c r="V334" s="201"/>
      <c r="W334" s="37"/>
      <c r="X334" s="52"/>
      <c r="Y334" s="87"/>
      <c r="AA334" s="86"/>
      <c r="AB334" s="57"/>
      <c r="AC334" s="37"/>
      <c r="AD334" s="52"/>
      <c r="AE334" s="87"/>
      <c r="AG334" s="86"/>
      <c r="AH334" s="37"/>
      <c r="AI334" s="52"/>
      <c r="AJ334" s="87"/>
      <c r="AL334" s="86"/>
      <c r="AM334" s="37"/>
      <c r="AN334" s="52"/>
      <c r="AO334" s="87"/>
      <c r="AQ334" s="86"/>
      <c r="AR334" s="37"/>
      <c r="AS334" s="52"/>
      <c r="AT334" s="87"/>
    </row>
    <row r="335" spans="2:46" thickBot="1">
      <c r="B335" s="113"/>
      <c r="C335" s="324"/>
      <c r="D335" s="346"/>
      <c r="E335" s="326"/>
      <c r="F335" s="321" t="str">
        <f t="shared" si="50"/>
        <v/>
      </c>
      <c r="G335" s="334"/>
      <c r="H335" s="331"/>
      <c r="I335" s="107"/>
      <c r="J335" s="108"/>
      <c r="K335" s="109"/>
      <c r="L335" s="108"/>
      <c r="O335" s="86"/>
      <c r="P335" s="57"/>
      <c r="Q335" s="37"/>
      <c r="R335" s="92" t="str">
        <f t="shared" si="49"/>
        <v/>
      </c>
      <c r="S335" s="52"/>
      <c r="T335" s="87"/>
      <c r="U335" s="86"/>
      <c r="V335" s="201"/>
      <c r="W335" s="37"/>
      <c r="X335" s="52"/>
      <c r="Y335" s="87"/>
      <c r="AA335" s="86"/>
      <c r="AB335" s="57"/>
      <c r="AC335" s="37"/>
      <c r="AD335" s="52"/>
      <c r="AE335" s="87"/>
      <c r="AG335" s="86"/>
      <c r="AH335" s="37"/>
      <c r="AI335" s="52"/>
      <c r="AJ335" s="87"/>
      <c r="AL335" s="86"/>
      <c r="AM335" s="37"/>
      <c r="AN335" s="52"/>
      <c r="AO335" s="87"/>
      <c r="AQ335" s="86"/>
      <c r="AR335" s="37"/>
      <c r="AS335" s="52"/>
      <c r="AT335" s="87"/>
    </row>
    <row r="336" spans="2:46" thickBot="1">
      <c r="B336" s="113"/>
      <c r="C336" s="324"/>
      <c r="D336" s="346"/>
      <c r="E336" s="326"/>
      <c r="F336" s="321" t="str">
        <f t="shared" si="50"/>
        <v/>
      </c>
      <c r="G336" s="334"/>
      <c r="H336" s="331"/>
      <c r="I336" s="107"/>
      <c r="J336" s="108"/>
      <c r="K336" s="109"/>
      <c r="L336" s="108"/>
      <c r="O336" s="86"/>
      <c r="P336" s="57"/>
      <c r="Q336" s="37"/>
      <c r="R336" s="92" t="str">
        <f t="shared" si="49"/>
        <v/>
      </c>
      <c r="S336" s="52"/>
      <c r="T336" s="87"/>
      <c r="U336" s="86"/>
      <c r="V336" s="201"/>
      <c r="W336" s="37"/>
      <c r="X336" s="52"/>
      <c r="Y336" s="87"/>
      <c r="AA336" s="86"/>
      <c r="AB336" s="57"/>
      <c r="AC336" s="37"/>
      <c r="AD336" s="52"/>
      <c r="AE336" s="87"/>
      <c r="AG336" s="86"/>
      <c r="AH336" s="37"/>
      <c r="AI336" s="52"/>
      <c r="AJ336" s="87"/>
      <c r="AL336" s="86"/>
      <c r="AM336" s="37"/>
      <c r="AN336" s="52"/>
      <c r="AO336" s="87"/>
      <c r="AQ336" s="86"/>
      <c r="AR336" s="37"/>
      <c r="AS336" s="52"/>
      <c r="AT336" s="87"/>
    </row>
    <row r="337" spans="2:46" thickBot="1">
      <c r="B337" s="113"/>
      <c r="C337" s="324"/>
      <c r="D337" s="346"/>
      <c r="E337" s="326"/>
      <c r="F337" s="321" t="str">
        <f t="shared" si="50"/>
        <v/>
      </c>
      <c r="G337" s="334"/>
      <c r="H337" s="331"/>
      <c r="I337" s="107"/>
      <c r="J337" s="108"/>
      <c r="K337" s="109"/>
      <c r="L337" s="108"/>
      <c r="O337" s="86"/>
      <c r="P337" s="57"/>
      <c r="Q337" s="37"/>
      <c r="R337" s="92" t="str">
        <f t="shared" si="49"/>
        <v/>
      </c>
      <c r="S337" s="52"/>
      <c r="T337" s="87"/>
      <c r="U337" s="86"/>
      <c r="V337" s="201"/>
      <c r="W337" s="37"/>
      <c r="X337" s="52"/>
      <c r="Y337" s="87"/>
      <c r="AA337" s="86"/>
      <c r="AB337" s="57"/>
      <c r="AC337" s="37"/>
      <c r="AD337" s="52"/>
      <c r="AE337" s="87"/>
      <c r="AG337" s="86"/>
      <c r="AH337" s="37"/>
      <c r="AI337" s="52"/>
      <c r="AJ337" s="87"/>
      <c r="AL337" s="86"/>
      <c r="AM337" s="37"/>
      <c r="AN337" s="52"/>
      <c r="AO337" s="87"/>
      <c r="AQ337" s="86"/>
      <c r="AR337" s="37"/>
      <c r="AS337" s="52"/>
      <c r="AT337" s="87"/>
    </row>
    <row r="338" spans="2:46" thickBot="1">
      <c r="B338" s="113"/>
      <c r="C338" s="324"/>
      <c r="D338" s="346"/>
      <c r="E338" s="326"/>
      <c r="F338" s="321" t="str">
        <f t="shared" si="50"/>
        <v/>
      </c>
      <c r="G338" s="334"/>
      <c r="H338" s="331"/>
      <c r="I338" s="107"/>
      <c r="J338" s="108"/>
      <c r="K338" s="109"/>
      <c r="L338" s="108"/>
      <c r="O338" s="86"/>
      <c r="P338" s="57"/>
      <c r="Q338" s="37"/>
      <c r="R338" s="92" t="str">
        <f t="shared" si="49"/>
        <v/>
      </c>
      <c r="S338" s="52"/>
      <c r="T338" s="87"/>
      <c r="U338" s="86"/>
      <c r="V338" s="201"/>
      <c r="W338" s="37"/>
      <c r="X338" s="52"/>
      <c r="Y338" s="87"/>
      <c r="AA338" s="86"/>
      <c r="AB338" s="57"/>
      <c r="AC338" s="37"/>
      <c r="AD338" s="52"/>
      <c r="AE338" s="87"/>
      <c r="AG338" s="86"/>
      <c r="AH338" s="37"/>
      <c r="AI338" s="52"/>
      <c r="AJ338" s="87"/>
      <c r="AL338" s="86"/>
      <c r="AM338" s="37"/>
      <c r="AN338" s="52"/>
      <c r="AO338" s="87"/>
      <c r="AQ338" s="86"/>
      <c r="AR338" s="37"/>
      <c r="AS338" s="52"/>
      <c r="AT338" s="87"/>
    </row>
    <row r="339" spans="2:46" thickBot="1">
      <c r="B339" s="113"/>
      <c r="C339" s="324"/>
      <c r="D339" s="346"/>
      <c r="E339" s="326"/>
      <c r="F339" s="321" t="str">
        <f t="shared" si="50"/>
        <v/>
      </c>
      <c r="G339" s="334"/>
      <c r="H339" s="331"/>
      <c r="I339" s="107"/>
      <c r="J339" s="108"/>
      <c r="K339" s="109"/>
      <c r="L339" s="108"/>
      <c r="O339" s="86"/>
      <c r="P339" s="57"/>
      <c r="Q339" s="37"/>
      <c r="R339" s="92" t="str">
        <f t="shared" si="49"/>
        <v/>
      </c>
      <c r="S339" s="52"/>
      <c r="T339" s="87"/>
      <c r="U339" s="86"/>
      <c r="V339" s="201"/>
      <c r="W339" s="37"/>
      <c r="X339" s="52"/>
      <c r="Y339" s="87"/>
      <c r="AA339" s="86"/>
      <c r="AB339" s="57"/>
      <c r="AC339" s="37"/>
      <c r="AD339" s="52"/>
      <c r="AE339" s="87"/>
      <c r="AG339" s="86"/>
      <c r="AH339" s="37"/>
      <c r="AI339" s="52"/>
      <c r="AJ339" s="87"/>
      <c r="AL339" s="86"/>
      <c r="AM339" s="37"/>
      <c r="AN339" s="52"/>
      <c r="AO339" s="87"/>
      <c r="AQ339" s="86"/>
      <c r="AR339" s="37"/>
      <c r="AS339" s="52"/>
      <c r="AT339" s="87"/>
    </row>
    <row r="340" spans="2:46" thickBot="1">
      <c r="B340" s="113"/>
      <c r="C340" s="324"/>
      <c r="D340" s="346"/>
      <c r="E340" s="326"/>
      <c r="F340" s="321" t="str">
        <f t="shared" si="50"/>
        <v/>
      </c>
      <c r="G340" s="334"/>
      <c r="H340" s="331"/>
      <c r="I340" s="107"/>
      <c r="J340" s="108"/>
      <c r="K340" s="109"/>
      <c r="L340" s="108"/>
      <c r="O340" s="86"/>
      <c r="P340" s="57"/>
      <c r="Q340" s="37"/>
      <c r="R340" s="92" t="str">
        <f t="shared" si="49"/>
        <v/>
      </c>
      <c r="S340" s="52"/>
      <c r="T340" s="87"/>
      <c r="U340" s="86"/>
      <c r="V340" s="201"/>
      <c r="W340" s="37"/>
      <c r="X340" s="52"/>
      <c r="Y340" s="87"/>
      <c r="AA340" s="86"/>
      <c r="AB340" s="57"/>
      <c r="AC340" s="37"/>
      <c r="AD340" s="52"/>
      <c r="AE340" s="87"/>
      <c r="AG340" s="86"/>
      <c r="AH340" s="37"/>
      <c r="AI340" s="52"/>
      <c r="AJ340" s="87"/>
      <c r="AL340" s="86"/>
      <c r="AM340" s="37"/>
      <c r="AN340" s="52"/>
      <c r="AO340" s="87"/>
      <c r="AQ340" s="86"/>
      <c r="AR340" s="37"/>
      <c r="AS340" s="52"/>
      <c r="AT340" s="87"/>
    </row>
    <row r="341" spans="2:46" thickBot="1">
      <c r="B341" s="113"/>
      <c r="C341" s="324"/>
      <c r="D341" s="346"/>
      <c r="E341" s="326"/>
      <c r="F341" s="321" t="str">
        <f t="shared" si="50"/>
        <v/>
      </c>
      <c r="G341" s="334"/>
      <c r="H341" s="331"/>
      <c r="I341" s="107"/>
      <c r="J341" s="108"/>
      <c r="K341" s="109"/>
      <c r="L341" s="108"/>
      <c r="O341" s="86"/>
      <c r="P341" s="57"/>
      <c r="Q341" s="37"/>
      <c r="R341" s="92" t="str">
        <f t="shared" si="49"/>
        <v/>
      </c>
      <c r="S341" s="52"/>
      <c r="T341" s="87"/>
      <c r="U341" s="86"/>
      <c r="V341" s="201"/>
      <c r="W341" s="37"/>
      <c r="X341" s="52"/>
      <c r="Y341" s="87"/>
      <c r="AA341" s="86"/>
      <c r="AB341" s="57"/>
      <c r="AC341" s="37"/>
      <c r="AD341" s="52"/>
      <c r="AE341" s="87"/>
      <c r="AG341" s="86"/>
      <c r="AH341" s="37"/>
      <c r="AI341" s="52"/>
      <c r="AJ341" s="87"/>
      <c r="AL341" s="86"/>
      <c r="AM341" s="37"/>
      <c r="AN341" s="52"/>
      <c r="AO341" s="87"/>
      <c r="AQ341" s="86"/>
      <c r="AR341" s="37"/>
      <c r="AS341" s="52"/>
      <c r="AT341" s="87"/>
    </row>
    <row r="342" spans="2:46" thickBot="1">
      <c r="B342" s="113"/>
      <c r="C342" s="324"/>
      <c r="D342" s="346"/>
      <c r="E342" s="326"/>
      <c r="F342" s="321" t="str">
        <f t="shared" si="50"/>
        <v/>
      </c>
      <c r="G342" s="334"/>
      <c r="H342" s="331"/>
      <c r="I342" s="107"/>
      <c r="J342" s="108"/>
      <c r="K342" s="109"/>
      <c r="L342" s="108"/>
      <c r="O342" s="86"/>
      <c r="P342" s="57"/>
      <c r="Q342" s="37"/>
      <c r="R342" s="92" t="str">
        <f t="shared" si="49"/>
        <v/>
      </c>
      <c r="S342" s="52"/>
      <c r="T342" s="87"/>
      <c r="U342" s="86"/>
      <c r="V342" s="201"/>
      <c r="W342" s="37"/>
      <c r="X342" s="52"/>
      <c r="Y342" s="87"/>
      <c r="AA342" s="86"/>
      <c r="AB342" s="57"/>
      <c r="AC342" s="37"/>
      <c r="AD342" s="52"/>
      <c r="AE342" s="87"/>
      <c r="AG342" s="86"/>
      <c r="AH342" s="37"/>
      <c r="AI342" s="52"/>
      <c r="AJ342" s="87"/>
      <c r="AL342" s="86"/>
      <c r="AM342" s="37"/>
      <c r="AN342" s="52"/>
      <c r="AO342" s="87"/>
      <c r="AQ342" s="86"/>
      <c r="AR342" s="37"/>
      <c r="AS342" s="52"/>
      <c r="AT342" s="87"/>
    </row>
    <row r="343" spans="2:46" thickBot="1">
      <c r="B343" s="113"/>
      <c r="C343" s="324"/>
      <c r="D343" s="346"/>
      <c r="E343" s="326"/>
      <c r="F343" s="321" t="str">
        <f t="shared" si="50"/>
        <v/>
      </c>
      <c r="G343" s="334"/>
      <c r="H343" s="331"/>
      <c r="I343" s="107"/>
      <c r="J343" s="108"/>
      <c r="K343" s="109"/>
      <c r="L343" s="108"/>
      <c r="O343" s="86"/>
      <c r="P343" s="57"/>
      <c r="Q343" s="37"/>
      <c r="R343" s="92" t="str">
        <f t="shared" si="49"/>
        <v/>
      </c>
      <c r="S343" s="52"/>
      <c r="T343" s="87"/>
      <c r="U343" s="86"/>
      <c r="V343" s="201"/>
      <c r="W343" s="37"/>
      <c r="X343" s="52"/>
      <c r="Y343" s="87"/>
      <c r="AA343" s="86"/>
      <c r="AB343" s="57"/>
      <c r="AC343" s="37"/>
      <c r="AD343" s="52"/>
      <c r="AE343" s="87"/>
      <c r="AG343" s="86"/>
      <c r="AH343" s="37"/>
      <c r="AI343" s="52"/>
      <c r="AJ343" s="87"/>
      <c r="AL343" s="86"/>
      <c r="AM343" s="37"/>
      <c r="AN343" s="52"/>
      <c r="AO343" s="87"/>
      <c r="AQ343" s="86"/>
      <c r="AR343" s="37"/>
      <c r="AS343" s="52"/>
      <c r="AT343" s="87"/>
    </row>
    <row r="344" spans="2:46" thickBot="1">
      <c r="B344" s="113"/>
      <c r="C344" s="324"/>
      <c r="D344" s="346"/>
      <c r="E344" s="326"/>
      <c r="F344" s="321" t="str">
        <f t="shared" si="50"/>
        <v/>
      </c>
      <c r="G344" s="334"/>
      <c r="H344" s="331"/>
      <c r="I344" s="107"/>
      <c r="J344" s="108"/>
      <c r="K344" s="109"/>
      <c r="L344" s="108"/>
      <c r="O344" s="86"/>
      <c r="P344" s="57"/>
      <c r="Q344" s="37"/>
      <c r="R344" s="92" t="str">
        <f t="shared" si="49"/>
        <v/>
      </c>
      <c r="S344" s="52"/>
      <c r="T344" s="87"/>
      <c r="U344" s="86"/>
      <c r="V344" s="201"/>
      <c r="W344" s="37"/>
      <c r="X344" s="52"/>
      <c r="Y344" s="87"/>
      <c r="AA344" s="86"/>
      <c r="AB344" s="57"/>
      <c r="AC344" s="37"/>
      <c r="AD344" s="52"/>
      <c r="AE344" s="87"/>
      <c r="AG344" s="86"/>
      <c r="AH344" s="37"/>
      <c r="AI344" s="52"/>
      <c r="AJ344" s="87"/>
      <c r="AL344" s="86"/>
      <c r="AM344" s="37"/>
      <c r="AN344" s="52"/>
      <c r="AO344" s="87"/>
      <c r="AQ344" s="86"/>
      <c r="AR344" s="37"/>
      <c r="AS344" s="52"/>
      <c r="AT344" s="87"/>
    </row>
    <row r="345" spans="2:46" thickBot="1">
      <c r="B345" s="113"/>
      <c r="C345" s="324"/>
      <c r="D345" s="346"/>
      <c r="E345" s="326"/>
      <c r="F345" s="321" t="str">
        <f t="shared" si="50"/>
        <v/>
      </c>
      <c r="G345" s="334"/>
      <c r="H345" s="331"/>
      <c r="I345" s="107"/>
      <c r="J345" s="108"/>
      <c r="K345" s="109"/>
      <c r="L345" s="108"/>
      <c r="O345" s="86"/>
      <c r="P345" s="57"/>
      <c r="Q345" s="37"/>
      <c r="R345" s="92" t="str">
        <f t="shared" si="49"/>
        <v/>
      </c>
      <c r="S345" s="52"/>
      <c r="T345" s="87"/>
      <c r="U345" s="86"/>
      <c r="V345" s="201"/>
      <c r="W345" s="37"/>
      <c r="X345" s="52"/>
      <c r="Y345" s="87"/>
      <c r="AA345" s="86"/>
      <c r="AB345" s="57"/>
      <c r="AC345" s="37"/>
      <c r="AD345" s="52"/>
      <c r="AE345" s="87"/>
      <c r="AG345" s="86"/>
      <c r="AH345" s="37"/>
      <c r="AI345" s="52"/>
      <c r="AJ345" s="87"/>
      <c r="AL345" s="86"/>
      <c r="AM345" s="37"/>
      <c r="AN345" s="52"/>
      <c r="AO345" s="87"/>
      <c r="AQ345" s="86"/>
      <c r="AR345" s="37"/>
      <c r="AS345" s="52"/>
      <c r="AT345" s="87"/>
    </row>
    <row r="346" spans="2:46" thickBot="1">
      <c r="B346" s="113"/>
      <c r="C346" s="324"/>
      <c r="D346" s="346"/>
      <c r="E346" s="326"/>
      <c r="F346" s="321" t="str">
        <f t="shared" si="50"/>
        <v/>
      </c>
      <c r="G346" s="334"/>
      <c r="H346" s="331"/>
      <c r="I346" s="107"/>
      <c r="J346" s="108"/>
      <c r="K346" s="109"/>
      <c r="L346" s="108"/>
      <c r="O346" s="86"/>
      <c r="P346" s="57"/>
      <c r="Q346" s="37"/>
      <c r="R346" s="92" t="str">
        <f t="shared" si="49"/>
        <v/>
      </c>
      <c r="S346" s="52"/>
      <c r="T346" s="87"/>
      <c r="U346" s="86"/>
      <c r="V346" s="201"/>
      <c r="W346" s="37"/>
      <c r="X346" s="52"/>
      <c r="Y346" s="87"/>
      <c r="AA346" s="86"/>
      <c r="AB346" s="57"/>
      <c r="AC346" s="37"/>
      <c r="AD346" s="52"/>
      <c r="AE346" s="87"/>
      <c r="AG346" s="86"/>
      <c r="AH346" s="37"/>
      <c r="AI346" s="52"/>
      <c r="AJ346" s="87"/>
      <c r="AL346" s="86"/>
      <c r="AM346" s="37"/>
      <c r="AN346" s="52"/>
      <c r="AO346" s="87"/>
      <c r="AQ346" s="86"/>
      <c r="AR346" s="37"/>
      <c r="AS346" s="52"/>
      <c r="AT346" s="87"/>
    </row>
    <row r="347" spans="2:46" thickBot="1">
      <c r="B347" s="113"/>
      <c r="C347" s="324"/>
      <c r="D347" s="346"/>
      <c r="E347" s="326"/>
      <c r="F347" s="321" t="str">
        <f t="shared" si="50"/>
        <v/>
      </c>
      <c r="G347" s="334"/>
      <c r="H347" s="331"/>
      <c r="I347" s="107"/>
      <c r="J347" s="108"/>
      <c r="K347" s="109"/>
      <c r="L347" s="108"/>
      <c r="O347" s="86"/>
      <c r="P347" s="57"/>
      <c r="Q347" s="37"/>
      <c r="R347" s="92" t="str">
        <f t="shared" si="49"/>
        <v/>
      </c>
      <c r="S347" s="52"/>
      <c r="T347" s="87"/>
      <c r="U347" s="86"/>
      <c r="V347" s="201"/>
      <c r="W347" s="37"/>
      <c r="X347" s="52"/>
      <c r="Y347" s="87"/>
      <c r="AA347" s="86"/>
      <c r="AB347" s="57"/>
      <c r="AC347" s="37"/>
      <c r="AD347" s="52"/>
      <c r="AE347" s="87"/>
      <c r="AG347" s="86"/>
      <c r="AH347" s="37"/>
      <c r="AI347" s="52"/>
      <c r="AJ347" s="87"/>
      <c r="AL347" s="86"/>
      <c r="AM347" s="37"/>
      <c r="AN347" s="52"/>
      <c r="AO347" s="87"/>
      <c r="AQ347" s="86"/>
      <c r="AR347" s="37"/>
      <c r="AS347" s="52"/>
      <c r="AT347" s="87"/>
    </row>
    <row r="348" spans="2:46" thickBot="1">
      <c r="B348" s="113"/>
      <c r="C348" s="324"/>
      <c r="D348" s="346"/>
      <c r="E348" s="326"/>
      <c r="F348" s="321" t="str">
        <f t="shared" si="50"/>
        <v/>
      </c>
      <c r="G348" s="334"/>
      <c r="H348" s="331"/>
      <c r="I348" s="107"/>
      <c r="J348" s="108"/>
      <c r="K348" s="109"/>
      <c r="L348" s="108"/>
      <c r="O348" s="86"/>
      <c r="P348" s="57"/>
      <c r="Q348" s="37"/>
      <c r="R348" s="92" t="str">
        <f t="shared" si="49"/>
        <v/>
      </c>
      <c r="S348" s="52"/>
      <c r="T348" s="87"/>
      <c r="U348" s="86"/>
      <c r="V348" s="201"/>
      <c r="W348" s="37"/>
      <c r="X348" s="52"/>
      <c r="Y348" s="87"/>
      <c r="AA348" s="86"/>
      <c r="AB348" s="57"/>
      <c r="AC348" s="37"/>
      <c r="AD348" s="52"/>
      <c r="AE348" s="87"/>
      <c r="AG348" s="86"/>
      <c r="AH348" s="37"/>
      <c r="AI348" s="52"/>
      <c r="AJ348" s="87"/>
      <c r="AL348" s="86"/>
      <c r="AM348" s="37"/>
      <c r="AN348" s="52"/>
      <c r="AO348" s="87"/>
      <c r="AQ348" s="86"/>
      <c r="AR348" s="37"/>
      <c r="AS348" s="52"/>
      <c r="AT348" s="87"/>
    </row>
    <row r="349" spans="2:46" thickBot="1">
      <c r="B349" s="113"/>
      <c r="C349" s="324"/>
      <c r="D349" s="346"/>
      <c r="E349" s="326"/>
      <c r="F349" s="321" t="str">
        <f t="shared" si="50"/>
        <v/>
      </c>
      <c r="G349" s="334"/>
      <c r="H349" s="331"/>
      <c r="I349" s="107"/>
      <c r="J349" s="108"/>
      <c r="K349" s="109"/>
      <c r="L349" s="108"/>
      <c r="O349" s="86"/>
      <c r="P349" s="57"/>
      <c r="Q349" s="37"/>
      <c r="R349" s="92" t="str">
        <f t="shared" si="49"/>
        <v/>
      </c>
      <c r="S349" s="52"/>
      <c r="T349" s="87"/>
      <c r="U349" s="86"/>
      <c r="V349" s="201"/>
      <c r="W349" s="37"/>
      <c r="X349" s="52"/>
      <c r="Y349" s="87"/>
      <c r="AA349" s="86"/>
      <c r="AB349" s="57"/>
      <c r="AC349" s="37"/>
      <c r="AD349" s="52"/>
      <c r="AE349" s="87"/>
      <c r="AG349" s="86"/>
      <c r="AH349" s="37"/>
      <c r="AI349" s="52"/>
      <c r="AJ349" s="87"/>
      <c r="AL349" s="86"/>
      <c r="AM349" s="37"/>
      <c r="AN349" s="52"/>
      <c r="AO349" s="87"/>
      <c r="AQ349" s="86"/>
      <c r="AR349" s="37"/>
      <c r="AS349" s="52"/>
      <c r="AT349" s="87"/>
    </row>
    <row r="350" spans="2:46" thickBot="1">
      <c r="B350" s="113"/>
      <c r="C350" s="324"/>
      <c r="D350" s="346"/>
      <c r="E350" s="326"/>
      <c r="F350" s="321" t="str">
        <f t="shared" si="50"/>
        <v/>
      </c>
      <c r="G350" s="334"/>
      <c r="H350" s="331"/>
      <c r="I350" s="107"/>
      <c r="J350" s="108"/>
      <c r="K350" s="109"/>
      <c r="L350" s="108"/>
      <c r="O350" s="86"/>
      <c r="P350" s="57"/>
      <c r="Q350" s="37"/>
      <c r="R350" s="92" t="str">
        <f t="shared" si="49"/>
        <v/>
      </c>
      <c r="S350" s="52"/>
      <c r="T350" s="87"/>
      <c r="U350" s="86"/>
      <c r="V350" s="201"/>
      <c r="W350" s="37"/>
      <c r="X350" s="52"/>
      <c r="Y350" s="87"/>
      <c r="AA350" s="86"/>
      <c r="AB350" s="57"/>
      <c r="AC350" s="37"/>
      <c r="AD350" s="52"/>
      <c r="AE350" s="87"/>
      <c r="AG350" s="86"/>
      <c r="AH350" s="37"/>
      <c r="AI350" s="52"/>
      <c r="AJ350" s="87"/>
      <c r="AL350" s="86"/>
      <c r="AM350" s="37"/>
      <c r="AN350" s="52"/>
      <c r="AO350" s="87"/>
      <c r="AQ350" s="86"/>
      <c r="AR350" s="37"/>
      <c r="AS350" s="52"/>
      <c r="AT350" s="87"/>
    </row>
    <row r="351" spans="2:46" thickBot="1">
      <c r="B351" s="113"/>
      <c r="C351" s="324"/>
      <c r="D351" s="346"/>
      <c r="E351" s="326"/>
      <c r="F351" s="321" t="str">
        <f t="shared" si="50"/>
        <v/>
      </c>
      <c r="G351" s="334"/>
      <c r="H351" s="331"/>
      <c r="I351" s="107"/>
      <c r="J351" s="108"/>
      <c r="K351" s="109"/>
      <c r="L351" s="108"/>
      <c r="O351" s="86"/>
      <c r="P351" s="57"/>
      <c r="Q351" s="37"/>
      <c r="R351" s="92" t="str">
        <f t="shared" si="49"/>
        <v/>
      </c>
      <c r="S351" s="52"/>
      <c r="T351" s="87"/>
      <c r="U351" s="86"/>
      <c r="V351" s="201"/>
      <c r="W351" s="37"/>
      <c r="X351" s="52"/>
      <c r="Y351" s="87"/>
      <c r="AA351" s="86"/>
      <c r="AB351" s="57"/>
      <c r="AC351" s="37"/>
      <c r="AD351" s="52"/>
      <c r="AE351" s="87"/>
      <c r="AG351" s="86"/>
      <c r="AH351" s="37"/>
      <c r="AI351" s="52"/>
      <c r="AJ351" s="87"/>
      <c r="AL351" s="86"/>
      <c r="AM351" s="37"/>
      <c r="AN351" s="52"/>
      <c r="AO351" s="87"/>
      <c r="AQ351" s="86"/>
      <c r="AR351" s="37"/>
      <c r="AS351" s="52"/>
      <c r="AT351" s="87"/>
    </row>
    <row r="352" spans="2:46" thickBot="1">
      <c r="B352" s="113"/>
      <c r="C352" s="324"/>
      <c r="D352" s="346"/>
      <c r="E352" s="326"/>
      <c r="F352" s="321" t="str">
        <f t="shared" si="50"/>
        <v/>
      </c>
      <c r="G352" s="334"/>
      <c r="H352" s="331"/>
      <c r="I352" s="107"/>
      <c r="J352" s="108"/>
      <c r="K352" s="109"/>
      <c r="L352" s="108"/>
      <c r="O352" s="86"/>
      <c r="P352" s="57"/>
      <c r="Q352" s="37"/>
      <c r="R352" s="92" t="str">
        <f t="shared" si="49"/>
        <v/>
      </c>
      <c r="S352" s="52"/>
      <c r="T352" s="87"/>
      <c r="U352" s="86"/>
      <c r="V352" s="201"/>
      <c r="W352" s="37"/>
      <c r="X352" s="52"/>
      <c r="Y352" s="87"/>
      <c r="AA352" s="86"/>
      <c r="AB352" s="57"/>
      <c r="AC352" s="37"/>
      <c r="AD352" s="52"/>
      <c r="AE352" s="87"/>
      <c r="AG352" s="86"/>
      <c r="AH352" s="37"/>
      <c r="AI352" s="52"/>
      <c r="AJ352" s="87"/>
      <c r="AL352" s="86"/>
      <c r="AM352" s="37"/>
      <c r="AN352" s="52"/>
      <c r="AO352" s="87"/>
      <c r="AQ352" s="86"/>
      <c r="AR352" s="37"/>
      <c r="AS352" s="52"/>
      <c r="AT352" s="87"/>
    </row>
    <row r="353" spans="2:46" thickBot="1">
      <c r="B353" s="113"/>
      <c r="C353" s="324"/>
      <c r="D353" s="346"/>
      <c r="E353" s="326"/>
      <c r="F353" s="321" t="str">
        <f t="shared" si="50"/>
        <v/>
      </c>
      <c r="G353" s="334"/>
      <c r="H353" s="331"/>
      <c r="I353" s="107"/>
      <c r="J353" s="108"/>
      <c r="K353" s="109"/>
      <c r="L353" s="108"/>
      <c r="O353" s="86"/>
      <c r="P353" s="57"/>
      <c r="Q353" s="37"/>
      <c r="R353" s="92" t="str">
        <f t="shared" si="49"/>
        <v/>
      </c>
      <c r="S353" s="52"/>
      <c r="T353" s="87"/>
      <c r="U353" s="86"/>
      <c r="V353" s="201"/>
      <c r="W353" s="37"/>
      <c r="X353" s="52"/>
      <c r="Y353" s="87"/>
      <c r="AA353" s="86"/>
      <c r="AB353" s="57"/>
      <c r="AC353" s="37"/>
      <c r="AD353" s="52"/>
      <c r="AE353" s="87"/>
      <c r="AG353" s="86"/>
      <c r="AH353" s="37"/>
      <c r="AI353" s="52"/>
      <c r="AJ353" s="87"/>
      <c r="AL353" s="86"/>
      <c r="AM353" s="37"/>
      <c r="AN353" s="52"/>
      <c r="AO353" s="87"/>
      <c r="AQ353" s="86"/>
      <c r="AR353" s="37"/>
      <c r="AS353" s="52"/>
      <c r="AT353" s="87"/>
    </row>
    <row r="354" spans="2:46" thickBot="1">
      <c r="B354" s="113"/>
      <c r="C354" s="324"/>
      <c r="D354" s="346"/>
      <c r="E354" s="326"/>
      <c r="F354" s="321" t="str">
        <f t="shared" si="50"/>
        <v/>
      </c>
      <c r="G354" s="334"/>
      <c r="H354" s="331"/>
      <c r="I354" s="107"/>
      <c r="J354" s="108"/>
      <c r="K354" s="109"/>
      <c r="L354" s="108"/>
      <c r="O354" s="86"/>
      <c r="P354" s="57"/>
      <c r="Q354" s="37"/>
      <c r="R354" s="92" t="str">
        <f t="shared" si="49"/>
        <v/>
      </c>
      <c r="S354" s="52"/>
      <c r="T354" s="87"/>
      <c r="U354" s="86"/>
      <c r="V354" s="201"/>
      <c r="W354" s="37"/>
      <c r="X354" s="52"/>
      <c r="Y354" s="87"/>
      <c r="AA354" s="86"/>
      <c r="AB354" s="57"/>
      <c r="AC354" s="37"/>
      <c r="AD354" s="52"/>
      <c r="AE354" s="87"/>
      <c r="AG354" s="86"/>
      <c r="AH354" s="37"/>
      <c r="AI354" s="52"/>
      <c r="AJ354" s="87"/>
      <c r="AL354" s="86"/>
      <c r="AM354" s="37"/>
      <c r="AN354" s="52"/>
      <c r="AO354" s="87"/>
      <c r="AQ354" s="86"/>
      <c r="AR354" s="37"/>
      <c r="AS354" s="52"/>
      <c r="AT354" s="87"/>
    </row>
    <row r="355" spans="2:46" thickBot="1">
      <c r="B355" s="113"/>
      <c r="C355" s="324"/>
      <c r="D355" s="346"/>
      <c r="E355" s="326"/>
      <c r="F355" s="321" t="str">
        <f t="shared" si="50"/>
        <v/>
      </c>
      <c r="G355" s="334"/>
      <c r="H355" s="331"/>
      <c r="I355" s="107"/>
      <c r="J355" s="108"/>
      <c r="K355" s="109"/>
      <c r="L355" s="108"/>
      <c r="O355" s="86"/>
      <c r="P355" s="57"/>
      <c r="Q355" s="37"/>
      <c r="R355" s="92" t="str">
        <f t="shared" si="49"/>
        <v/>
      </c>
      <c r="S355" s="52"/>
      <c r="T355" s="87"/>
      <c r="U355" s="86"/>
      <c r="V355" s="201"/>
      <c r="W355" s="37"/>
      <c r="X355" s="52"/>
      <c r="Y355" s="87"/>
      <c r="AA355" s="86"/>
      <c r="AB355" s="57"/>
      <c r="AC355" s="37"/>
      <c r="AD355" s="52"/>
      <c r="AE355" s="87"/>
      <c r="AG355" s="86"/>
      <c r="AH355" s="37"/>
      <c r="AI355" s="52"/>
      <c r="AJ355" s="87"/>
      <c r="AL355" s="86"/>
      <c r="AM355" s="37"/>
      <c r="AN355" s="52"/>
      <c r="AO355" s="87"/>
      <c r="AQ355" s="86"/>
      <c r="AR355" s="37"/>
      <c r="AS355" s="52"/>
      <c r="AT355" s="87"/>
    </row>
    <row r="356" spans="2:46" thickBot="1">
      <c r="B356" s="113"/>
      <c r="C356" s="324"/>
      <c r="D356" s="346"/>
      <c r="E356" s="326"/>
      <c r="F356" s="321" t="str">
        <f t="shared" si="50"/>
        <v/>
      </c>
      <c r="G356" s="334"/>
      <c r="H356" s="331"/>
      <c r="I356" s="107"/>
      <c r="J356" s="108"/>
      <c r="K356" s="109"/>
      <c r="L356" s="108"/>
      <c r="O356" s="86"/>
      <c r="P356" s="57"/>
      <c r="Q356" s="37"/>
      <c r="R356" s="92" t="str">
        <f t="shared" si="49"/>
        <v/>
      </c>
      <c r="S356" s="52"/>
      <c r="T356" s="87"/>
      <c r="U356" s="86"/>
      <c r="V356" s="201"/>
      <c r="W356" s="37"/>
      <c r="X356" s="52"/>
      <c r="Y356" s="87"/>
      <c r="AA356" s="86"/>
      <c r="AB356" s="57"/>
      <c r="AC356" s="37"/>
      <c r="AD356" s="52"/>
      <c r="AE356" s="87"/>
      <c r="AG356" s="86"/>
      <c r="AH356" s="37"/>
      <c r="AI356" s="52"/>
      <c r="AJ356" s="87"/>
      <c r="AL356" s="86"/>
      <c r="AM356" s="37"/>
      <c r="AN356" s="52"/>
      <c r="AO356" s="87"/>
      <c r="AQ356" s="86"/>
      <c r="AR356" s="37"/>
      <c r="AS356" s="52"/>
      <c r="AT356" s="87"/>
    </row>
    <row r="357" spans="2:46" thickBot="1">
      <c r="B357" s="113"/>
      <c r="C357" s="324"/>
      <c r="D357" s="346"/>
      <c r="E357" s="326"/>
      <c r="F357" s="321" t="str">
        <f t="shared" si="50"/>
        <v/>
      </c>
      <c r="G357" s="334"/>
      <c r="H357" s="331"/>
      <c r="I357" s="107"/>
      <c r="J357" s="108"/>
      <c r="K357" s="109"/>
      <c r="L357" s="108"/>
      <c r="O357" s="86"/>
      <c r="P357" s="57"/>
      <c r="Q357" s="37"/>
      <c r="R357" s="92" t="str">
        <f t="shared" si="49"/>
        <v/>
      </c>
      <c r="S357" s="52"/>
      <c r="T357" s="87"/>
      <c r="U357" s="86"/>
      <c r="V357" s="201"/>
      <c r="W357" s="37"/>
      <c r="X357" s="52"/>
      <c r="Y357" s="87"/>
      <c r="AA357" s="86"/>
      <c r="AB357" s="57"/>
      <c r="AC357" s="37"/>
      <c r="AD357" s="52"/>
      <c r="AE357" s="87"/>
      <c r="AG357" s="86"/>
      <c r="AH357" s="37"/>
      <c r="AI357" s="52"/>
      <c r="AJ357" s="87"/>
      <c r="AL357" s="86"/>
      <c r="AM357" s="37"/>
      <c r="AN357" s="52"/>
      <c r="AO357" s="87"/>
      <c r="AQ357" s="86"/>
      <c r="AR357" s="37"/>
      <c r="AS357" s="52"/>
      <c r="AT357" s="87"/>
    </row>
    <row r="358" spans="2:46" thickBot="1">
      <c r="B358" s="113"/>
      <c r="C358" s="324"/>
      <c r="D358" s="346"/>
      <c r="E358" s="326"/>
      <c r="F358" s="321" t="str">
        <f t="shared" si="50"/>
        <v/>
      </c>
      <c r="G358" s="334"/>
      <c r="H358" s="331"/>
      <c r="I358" s="107"/>
      <c r="J358" s="108"/>
      <c r="K358" s="109"/>
      <c r="L358" s="108"/>
      <c r="O358" s="86"/>
      <c r="P358" s="57"/>
      <c r="Q358" s="37"/>
      <c r="R358" s="92" t="str">
        <f t="shared" si="49"/>
        <v/>
      </c>
      <c r="S358" s="52"/>
      <c r="T358" s="87"/>
      <c r="U358" s="86"/>
      <c r="V358" s="201"/>
      <c r="W358" s="37"/>
      <c r="X358" s="52"/>
      <c r="Y358" s="87"/>
      <c r="AA358" s="86"/>
      <c r="AB358" s="57"/>
      <c r="AC358" s="37"/>
      <c r="AD358" s="52"/>
      <c r="AE358" s="87"/>
      <c r="AG358" s="86"/>
      <c r="AH358" s="37"/>
      <c r="AI358" s="52"/>
      <c r="AJ358" s="87"/>
      <c r="AL358" s="86"/>
      <c r="AM358" s="37"/>
      <c r="AN358" s="52"/>
      <c r="AO358" s="87"/>
      <c r="AQ358" s="86"/>
      <c r="AR358" s="37"/>
      <c r="AS358" s="52"/>
      <c r="AT358" s="87"/>
    </row>
    <row r="359" spans="2:46" thickBot="1">
      <c r="B359" s="113"/>
      <c r="C359" s="324"/>
      <c r="D359" s="346"/>
      <c r="E359" s="326"/>
      <c r="F359" s="321" t="str">
        <f t="shared" si="50"/>
        <v/>
      </c>
      <c r="G359" s="334"/>
      <c r="H359" s="331"/>
      <c r="I359" s="107"/>
      <c r="J359" s="108"/>
      <c r="K359" s="109"/>
      <c r="L359" s="108"/>
      <c r="O359" s="86"/>
      <c r="P359" s="57"/>
      <c r="Q359" s="37"/>
      <c r="R359" s="92" t="str">
        <f t="shared" si="49"/>
        <v/>
      </c>
      <c r="S359" s="52"/>
      <c r="T359" s="87"/>
      <c r="U359" s="86"/>
      <c r="V359" s="201"/>
      <c r="W359" s="37"/>
      <c r="X359" s="52"/>
      <c r="Y359" s="87"/>
      <c r="AA359" s="86"/>
      <c r="AB359" s="57"/>
      <c r="AC359" s="37"/>
      <c r="AD359" s="52"/>
      <c r="AE359" s="87"/>
      <c r="AG359" s="86"/>
      <c r="AH359" s="37"/>
      <c r="AI359" s="52"/>
      <c r="AJ359" s="87"/>
      <c r="AL359" s="86"/>
      <c r="AM359" s="37"/>
      <c r="AN359" s="52"/>
      <c r="AO359" s="87"/>
      <c r="AQ359" s="86"/>
      <c r="AR359" s="37"/>
      <c r="AS359" s="52"/>
      <c r="AT359" s="87"/>
    </row>
    <row r="360" spans="2:46" thickBot="1">
      <c r="B360" s="113"/>
      <c r="C360" s="324"/>
      <c r="D360" s="346"/>
      <c r="E360" s="326"/>
      <c r="F360" s="321" t="str">
        <f t="shared" si="50"/>
        <v/>
      </c>
      <c r="G360" s="334"/>
      <c r="H360" s="331"/>
      <c r="I360" s="107"/>
      <c r="J360" s="108"/>
      <c r="K360" s="109"/>
      <c r="L360" s="108"/>
      <c r="O360" s="86"/>
      <c r="P360" s="57"/>
      <c r="Q360" s="37"/>
      <c r="R360" s="92" t="str">
        <f t="shared" si="49"/>
        <v/>
      </c>
      <c r="S360" s="52"/>
      <c r="T360" s="87"/>
      <c r="U360" s="86"/>
      <c r="V360" s="201"/>
      <c r="W360" s="37"/>
      <c r="X360" s="52"/>
      <c r="Y360" s="87"/>
      <c r="AA360" s="86"/>
      <c r="AB360" s="57"/>
      <c r="AC360" s="37"/>
      <c r="AD360" s="52"/>
      <c r="AE360" s="87"/>
      <c r="AG360" s="86"/>
      <c r="AH360" s="37"/>
      <c r="AI360" s="52"/>
      <c r="AJ360" s="87"/>
      <c r="AL360" s="86"/>
      <c r="AM360" s="37"/>
      <c r="AN360" s="52"/>
      <c r="AO360" s="87"/>
      <c r="AQ360" s="86"/>
      <c r="AR360" s="37"/>
      <c r="AS360" s="52"/>
      <c r="AT360" s="87"/>
    </row>
    <row r="361" spans="2:46" thickBot="1">
      <c r="B361" s="113"/>
      <c r="C361" s="324"/>
      <c r="D361" s="346"/>
      <c r="E361" s="326"/>
      <c r="F361" s="321" t="str">
        <f t="shared" si="50"/>
        <v/>
      </c>
      <c r="G361" s="334"/>
      <c r="H361" s="331"/>
      <c r="I361" s="107"/>
      <c r="J361" s="108"/>
      <c r="K361" s="109"/>
      <c r="L361" s="108"/>
      <c r="O361" s="86"/>
      <c r="P361" s="57"/>
      <c r="Q361" s="37"/>
      <c r="R361" s="92" t="str">
        <f t="shared" si="49"/>
        <v/>
      </c>
      <c r="S361" s="52"/>
      <c r="T361" s="87"/>
      <c r="U361" s="86"/>
      <c r="V361" s="201"/>
      <c r="W361" s="37"/>
      <c r="X361" s="52"/>
      <c r="Y361" s="87"/>
      <c r="AA361" s="86"/>
      <c r="AB361" s="57"/>
      <c r="AC361" s="37"/>
      <c r="AD361" s="52"/>
      <c r="AE361" s="87"/>
      <c r="AG361" s="86"/>
      <c r="AH361" s="37"/>
      <c r="AI361" s="52"/>
      <c r="AJ361" s="87"/>
      <c r="AL361" s="86"/>
      <c r="AM361" s="37"/>
      <c r="AN361" s="52"/>
      <c r="AO361" s="87"/>
      <c r="AQ361" s="86"/>
      <c r="AR361" s="37"/>
      <c r="AS361" s="52"/>
      <c r="AT361" s="87"/>
    </row>
    <row r="362" spans="2:46" thickBot="1">
      <c r="B362" s="113"/>
      <c r="C362" s="324"/>
      <c r="D362" s="346"/>
      <c r="E362" s="326"/>
      <c r="F362" s="321" t="str">
        <f t="shared" si="50"/>
        <v/>
      </c>
      <c r="G362" s="334"/>
      <c r="H362" s="331"/>
      <c r="I362" s="107"/>
      <c r="J362" s="108"/>
      <c r="K362" s="109"/>
      <c r="L362" s="108"/>
      <c r="O362" s="86"/>
      <c r="P362" s="57"/>
      <c r="Q362" s="37"/>
      <c r="R362" s="92" t="str">
        <f t="shared" si="49"/>
        <v/>
      </c>
      <c r="S362" s="52"/>
      <c r="T362" s="87"/>
      <c r="U362" s="86"/>
      <c r="V362" s="201"/>
      <c r="W362" s="37"/>
      <c r="X362" s="52"/>
      <c r="Y362" s="87"/>
      <c r="AA362" s="86"/>
      <c r="AB362" s="57"/>
      <c r="AC362" s="37"/>
      <c r="AD362" s="52"/>
      <c r="AE362" s="87"/>
      <c r="AG362" s="86"/>
      <c r="AH362" s="37"/>
      <c r="AI362" s="52"/>
      <c r="AJ362" s="87"/>
      <c r="AL362" s="86"/>
      <c r="AM362" s="37"/>
      <c r="AN362" s="52"/>
      <c r="AO362" s="87"/>
      <c r="AQ362" s="86"/>
      <c r="AR362" s="37"/>
      <c r="AS362" s="52"/>
      <c r="AT362" s="87"/>
    </row>
    <row r="363" spans="2:46" thickBot="1">
      <c r="B363" s="113"/>
      <c r="C363" s="324"/>
      <c r="D363" s="346"/>
      <c r="E363" s="326"/>
      <c r="F363" s="321" t="str">
        <f t="shared" si="50"/>
        <v/>
      </c>
      <c r="G363" s="334"/>
      <c r="H363" s="331"/>
      <c r="I363" s="107"/>
      <c r="J363" s="108"/>
      <c r="K363" s="109"/>
      <c r="L363" s="108"/>
      <c r="O363" s="86"/>
      <c r="P363" s="57"/>
      <c r="Q363" s="37"/>
      <c r="R363" s="92" t="str">
        <f t="shared" ref="R363:R426" si="51">IF(Q363="","",ROUND(S363*(1+$F$2),2))</f>
        <v/>
      </c>
      <c r="S363" s="52"/>
      <c r="T363" s="87"/>
      <c r="U363" s="86"/>
      <c r="V363" s="201"/>
      <c r="W363" s="37"/>
      <c r="X363" s="52"/>
      <c r="Y363" s="87"/>
      <c r="AA363" s="86"/>
      <c r="AB363" s="57"/>
      <c r="AC363" s="37"/>
      <c r="AD363" s="52"/>
      <c r="AE363" s="87"/>
      <c r="AG363" s="86"/>
      <c r="AH363" s="37"/>
      <c r="AI363" s="52"/>
      <c r="AJ363" s="87"/>
      <c r="AL363" s="86"/>
      <c r="AM363" s="37"/>
      <c r="AN363" s="52"/>
      <c r="AO363" s="87"/>
      <c r="AQ363" s="86"/>
      <c r="AR363" s="37"/>
      <c r="AS363" s="52"/>
      <c r="AT363" s="87"/>
    </row>
    <row r="364" spans="2:46" thickBot="1">
      <c r="B364" s="113"/>
      <c r="C364" s="324"/>
      <c r="D364" s="346"/>
      <c r="E364" s="326"/>
      <c r="F364" s="321" t="str">
        <f t="shared" si="50"/>
        <v/>
      </c>
      <c r="G364" s="334"/>
      <c r="H364" s="331"/>
      <c r="I364" s="107"/>
      <c r="J364" s="108"/>
      <c r="K364" s="109"/>
      <c r="L364" s="108"/>
      <c r="O364" s="86"/>
      <c r="P364" s="57"/>
      <c r="Q364" s="37"/>
      <c r="R364" s="92" t="str">
        <f t="shared" si="51"/>
        <v/>
      </c>
      <c r="S364" s="52"/>
      <c r="T364" s="87"/>
      <c r="U364" s="86"/>
      <c r="V364" s="201"/>
      <c r="W364" s="37"/>
      <c r="X364" s="52"/>
      <c r="Y364" s="87"/>
      <c r="AA364" s="86"/>
      <c r="AB364" s="57"/>
      <c r="AC364" s="37"/>
      <c r="AD364" s="52"/>
      <c r="AE364" s="87"/>
      <c r="AG364" s="86"/>
      <c r="AH364" s="37"/>
      <c r="AI364" s="52"/>
      <c r="AJ364" s="87"/>
      <c r="AL364" s="86"/>
      <c r="AM364" s="37"/>
      <c r="AN364" s="52"/>
      <c r="AO364" s="87"/>
      <c r="AQ364" s="86"/>
      <c r="AR364" s="37"/>
      <c r="AS364" s="52"/>
      <c r="AT364" s="87"/>
    </row>
    <row r="365" spans="2:46" thickBot="1">
      <c r="B365" s="113"/>
      <c r="C365" s="324"/>
      <c r="D365" s="346"/>
      <c r="E365" s="326"/>
      <c r="F365" s="321" t="str">
        <f t="shared" si="50"/>
        <v/>
      </c>
      <c r="G365" s="334"/>
      <c r="H365" s="331"/>
      <c r="I365" s="107"/>
      <c r="J365" s="108"/>
      <c r="K365" s="109"/>
      <c r="L365" s="108"/>
      <c r="O365" s="86"/>
      <c r="P365" s="57"/>
      <c r="Q365" s="37"/>
      <c r="R365" s="92" t="str">
        <f t="shared" si="51"/>
        <v/>
      </c>
      <c r="S365" s="52"/>
      <c r="T365" s="87"/>
      <c r="U365" s="86"/>
      <c r="V365" s="201"/>
      <c r="W365" s="37"/>
      <c r="X365" s="52"/>
      <c r="Y365" s="87"/>
      <c r="AA365" s="86"/>
      <c r="AB365" s="57"/>
      <c r="AC365" s="37"/>
      <c r="AD365" s="52"/>
      <c r="AE365" s="87"/>
      <c r="AG365" s="86"/>
      <c r="AH365" s="37"/>
      <c r="AI365" s="52"/>
      <c r="AJ365" s="87"/>
      <c r="AL365" s="86"/>
      <c r="AM365" s="37"/>
      <c r="AN365" s="52"/>
      <c r="AO365" s="87"/>
      <c r="AQ365" s="86"/>
      <c r="AR365" s="37"/>
      <c r="AS365" s="52"/>
      <c r="AT365" s="87"/>
    </row>
    <row r="366" spans="2:46" thickBot="1">
      <c r="B366" s="113"/>
      <c r="C366" s="324"/>
      <c r="D366" s="346"/>
      <c r="E366" s="326"/>
      <c r="F366" s="321" t="str">
        <f t="shared" si="50"/>
        <v/>
      </c>
      <c r="G366" s="334"/>
      <c r="H366" s="331"/>
      <c r="I366" s="107"/>
      <c r="J366" s="108"/>
      <c r="K366" s="109"/>
      <c r="L366" s="108"/>
      <c r="O366" s="86"/>
      <c r="P366" s="57"/>
      <c r="Q366" s="37"/>
      <c r="R366" s="92" t="str">
        <f t="shared" si="51"/>
        <v/>
      </c>
      <c r="S366" s="52"/>
      <c r="T366" s="87"/>
      <c r="U366" s="86"/>
      <c r="V366" s="201"/>
      <c r="W366" s="37"/>
      <c r="X366" s="52"/>
      <c r="Y366" s="87"/>
      <c r="AA366" s="86"/>
      <c r="AB366" s="57"/>
      <c r="AC366" s="37"/>
      <c r="AD366" s="52"/>
      <c r="AE366" s="87"/>
      <c r="AG366" s="86"/>
      <c r="AH366" s="37"/>
      <c r="AI366" s="52"/>
      <c r="AJ366" s="87"/>
      <c r="AL366" s="86"/>
      <c r="AM366" s="37"/>
      <c r="AN366" s="52"/>
      <c r="AO366" s="87"/>
      <c r="AQ366" s="86"/>
      <c r="AR366" s="37"/>
      <c r="AS366" s="52"/>
      <c r="AT366" s="87"/>
    </row>
    <row r="367" spans="2:46" thickBot="1">
      <c r="B367" s="113"/>
      <c r="C367" s="324"/>
      <c r="D367" s="346"/>
      <c r="E367" s="326"/>
      <c r="F367" s="321" t="str">
        <f t="shared" si="50"/>
        <v/>
      </c>
      <c r="G367" s="334"/>
      <c r="H367" s="331"/>
      <c r="I367" s="107"/>
      <c r="J367" s="108"/>
      <c r="K367" s="109"/>
      <c r="L367" s="108"/>
      <c r="O367" s="86"/>
      <c r="P367" s="57"/>
      <c r="Q367" s="37"/>
      <c r="R367" s="92" t="str">
        <f t="shared" si="51"/>
        <v/>
      </c>
      <c r="S367" s="52"/>
      <c r="T367" s="87"/>
      <c r="U367" s="86"/>
      <c r="V367" s="201"/>
      <c r="W367" s="37"/>
      <c r="X367" s="52"/>
      <c r="Y367" s="87"/>
      <c r="AA367" s="86"/>
      <c r="AB367" s="57"/>
      <c r="AC367" s="37"/>
      <c r="AD367" s="52"/>
      <c r="AE367" s="87"/>
      <c r="AG367" s="86"/>
      <c r="AH367" s="37"/>
      <c r="AI367" s="52"/>
      <c r="AJ367" s="87"/>
      <c r="AL367" s="86"/>
      <c r="AM367" s="37"/>
      <c r="AN367" s="52"/>
      <c r="AO367" s="87"/>
      <c r="AQ367" s="86"/>
      <c r="AR367" s="37"/>
      <c r="AS367" s="52"/>
      <c r="AT367" s="87"/>
    </row>
    <row r="368" spans="2:46" thickBot="1">
      <c r="B368" s="113"/>
      <c r="C368" s="324"/>
      <c r="D368" s="346"/>
      <c r="E368" s="326"/>
      <c r="F368" s="321" t="str">
        <f t="shared" si="50"/>
        <v/>
      </c>
      <c r="G368" s="334"/>
      <c r="H368" s="331"/>
      <c r="I368" s="107"/>
      <c r="J368" s="108"/>
      <c r="K368" s="109"/>
      <c r="L368" s="108"/>
      <c r="O368" s="86"/>
      <c r="P368" s="57"/>
      <c r="Q368" s="37"/>
      <c r="R368" s="92" t="str">
        <f t="shared" si="51"/>
        <v/>
      </c>
      <c r="S368" s="52"/>
      <c r="T368" s="87"/>
      <c r="U368" s="86"/>
      <c r="V368" s="201"/>
      <c r="W368" s="37"/>
      <c r="X368" s="52"/>
      <c r="Y368" s="87"/>
      <c r="AA368" s="86"/>
      <c r="AB368" s="57"/>
      <c r="AC368" s="37"/>
      <c r="AD368" s="52"/>
      <c r="AE368" s="87"/>
      <c r="AG368" s="86"/>
      <c r="AH368" s="37"/>
      <c r="AI368" s="52"/>
      <c r="AJ368" s="87"/>
      <c r="AL368" s="86"/>
      <c r="AM368" s="37"/>
      <c r="AN368" s="52"/>
      <c r="AO368" s="87"/>
      <c r="AQ368" s="86"/>
      <c r="AR368" s="37"/>
      <c r="AS368" s="52"/>
      <c r="AT368" s="87"/>
    </row>
    <row r="369" spans="2:46" thickBot="1">
      <c r="B369" s="113"/>
      <c r="C369" s="324"/>
      <c r="D369" s="346"/>
      <c r="E369" s="326"/>
      <c r="F369" s="321" t="str">
        <f t="shared" si="50"/>
        <v/>
      </c>
      <c r="G369" s="334"/>
      <c r="H369" s="331"/>
      <c r="I369" s="107"/>
      <c r="J369" s="108"/>
      <c r="K369" s="109"/>
      <c r="L369" s="108"/>
      <c r="O369" s="86"/>
      <c r="P369" s="57"/>
      <c r="Q369" s="37"/>
      <c r="R369" s="92" t="str">
        <f t="shared" si="51"/>
        <v/>
      </c>
      <c r="S369" s="52"/>
      <c r="T369" s="87"/>
      <c r="U369" s="86"/>
      <c r="V369" s="201"/>
      <c r="W369" s="37"/>
      <c r="X369" s="52"/>
      <c r="Y369" s="87"/>
      <c r="AA369" s="86"/>
      <c r="AB369" s="57"/>
      <c r="AC369" s="37"/>
      <c r="AD369" s="52"/>
      <c r="AE369" s="87"/>
      <c r="AG369" s="86"/>
      <c r="AH369" s="37"/>
      <c r="AI369" s="52"/>
      <c r="AJ369" s="87"/>
      <c r="AL369" s="86"/>
      <c r="AM369" s="37"/>
      <c r="AN369" s="52"/>
      <c r="AO369" s="87"/>
      <c r="AQ369" s="86"/>
      <c r="AR369" s="37"/>
      <c r="AS369" s="52"/>
      <c r="AT369" s="87"/>
    </row>
    <row r="370" spans="2:46" thickBot="1">
      <c r="B370" s="113"/>
      <c r="C370" s="324"/>
      <c r="D370" s="346"/>
      <c r="E370" s="326"/>
      <c r="F370" s="321" t="str">
        <f t="shared" si="50"/>
        <v/>
      </c>
      <c r="G370" s="334"/>
      <c r="H370" s="331"/>
      <c r="I370" s="107"/>
      <c r="J370" s="108"/>
      <c r="K370" s="109"/>
      <c r="L370" s="108"/>
      <c r="O370" s="86"/>
      <c r="P370" s="57"/>
      <c r="Q370" s="37"/>
      <c r="R370" s="92" t="str">
        <f t="shared" si="51"/>
        <v/>
      </c>
      <c r="S370" s="52"/>
      <c r="T370" s="87"/>
      <c r="U370" s="86"/>
      <c r="V370" s="201"/>
      <c r="W370" s="37"/>
      <c r="X370" s="52"/>
      <c r="Y370" s="87"/>
      <c r="AA370" s="86"/>
      <c r="AB370" s="57"/>
      <c r="AC370" s="37"/>
      <c r="AD370" s="52"/>
      <c r="AE370" s="87"/>
      <c r="AG370" s="86"/>
      <c r="AH370" s="37"/>
      <c r="AI370" s="52"/>
      <c r="AJ370" s="87"/>
      <c r="AL370" s="86"/>
      <c r="AM370" s="37"/>
      <c r="AN370" s="52"/>
      <c r="AO370" s="87"/>
      <c r="AQ370" s="86"/>
      <c r="AR370" s="37"/>
      <c r="AS370" s="52"/>
      <c r="AT370" s="87"/>
    </row>
    <row r="371" spans="2:46" thickBot="1">
      <c r="B371" s="113"/>
      <c r="C371" s="324"/>
      <c r="D371" s="346"/>
      <c r="E371" s="326"/>
      <c r="F371" s="321" t="str">
        <f t="shared" si="50"/>
        <v/>
      </c>
      <c r="G371" s="334"/>
      <c r="H371" s="331"/>
      <c r="I371" s="107"/>
      <c r="J371" s="108"/>
      <c r="K371" s="109"/>
      <c r="L371" s="108"/>
      <c r="O371" s="86"/>
      <c r="P371" s="57"/>
      <c r="Q371" s="37"/>
      <c r="R371" s="92" t="str">
        <f t="shared" si="51"/>
        <v/>
      </c>
      <c r="S371" s="52"/>
      <c r="T371" s="87"/>
      <c r="U371" s="86"/>
      <c r="V371" s="201"/>
      <c r="W371" s="37"/>
      <c r="X371" s="52"/>
      <c r="Y371" s="87"/>
      <c r="AA371" s="86"/>
      <c r="AB371" s="57"/>
      <c r="AC371" s="37"/>
      <c r="AD371" s="52"/>
      <c r="AE371" s="87"/>
      <c r="AG371" s="86"/>
      <c r="AH371" s="37"/>
      <c r="AI371" s="52"/>
      <c r="AJ371" s="87"/>
      <c r="AL371" s="86"/>
      <c r="AM371" s="37"/>
      <c r="AN371" s="52"/>
      <c r="AO371" s="87"/>
      <c r="AQ371" s="86"/>
      <c r="AR371" s="37"/>
      <c r="AS371" s="52"/>
      <c r="AT371" s="87"/>
    </row>
    <row r="372" spans="2:46" thickBot="1">
      <c r="B372" s="113"/>
      <c r="C372" s="324"/>
      <c r="D372" s="346"/>
      <c r="E372" s="326"/>
      <c r="F372" s="321" t="str">
        <f t="shared" si="50"/>
        <v/>
      </c>
      <c r="G372" s="334"/>
      <c r="H372" s="331"/>
      <c r="I372" s="107"/>
      <c r="J372" s="108"/>
      <c r="K372" s="109"/>
      <c r="L372" s="108"/>
      <c r="O372" s="86"/>
      <c r="P372" s="57"/>
      <c r="Q372" s="37"/>
      <c r="R372" s="92" t="str">
        <f t="shared" si="51"/>
        <v/>
      </c>
      <c r="S372" s="52"/>
      <c r="T372" s="87"/>
      <c r="U372" s="86"/>
      <c r="V372" s="201"/>
      <c r="W372" s="37"/>
      <c r="X372" s="52"/>
      <c r="Y372" s="87"/>
      <c r="AA372" s="86"/>
      <c r="AB372" s="57"/>
      <c r="AC372" s="37"/>
      <c r="AD372" s="52"/>
      <c r="AE372" s="87"/>
      <c r="AG372" s="86"/>
      <c r="AH372" s="37"/>
      <c r="AI372" s="52"/>
      <c r="AJ372" s="87"/>
      <c r="AL372" s="86"/>
      <c r="AM372" s="37"/>
      <c r="AN372" s="52"/>
      <c r="AO372" s="87"/>
      <c r="AQ372" s="86"/>
      <c r="AR372" s="37"/>
      <c r="AS372" s="52"/>
      <c r="AT372" s="87"/>
    </row>
    <row r="373" spans="2:46" thickBot="1">
      <c r="B373" s="113"/>
      <c r="C373" s="324"/>
      <c r="D373" s="346"/>
      <c r="E373" s="326"/>
      <c r="F373" s="321" t="str">
        <f t="shared" si="50"/>
        <v/>
      </c>
      <c r="G373" s="334"/>
      <c r="H373" s="331"/>
      <c r="I373" s="107"/>
      <c r="J373" s="108"/>
      <c r="K373" s="109"/>
      <c r="L373" s="108"/>
      <c r="O373" s="86"/>
      <c r="P373" s="57"/>
      <c r="Q373" s="37"/>
      <c r="R373" s="92" t="str">
        <f t="shared" si="51"/>
        <v/>
      </c>
      <c r="S373" s="52"/>
      <c r="T373" s="87"/>
      <c r="U373" s="86"/>
      <c r="V373" s="201"/>
      <c r="W373" s="37"/>
      <c r="X373" s="52"/>
      <c r="Y373" s="87"/>
      <c r="AA373" s="86"/>
      <c r="AB373" s="57"/>
      <c r="AC373" s="37"/>
      <c r="AD373" s="52"/>
      <c r="AE373" s="87"/>
      <c r="AG373" s="86"/>
      <c r="AH373" s="37"/>
      <c r="AI373" s="52"/>
      <c r="AJ373" s="87"/>
      <c r="AL373" s="86"/>
      <c r="AM373" s="37"/>
      <c r="AN373" s="52"/>
      <c r="AO373" s="87"/>
      <c r="AQ373" s="86"/>
      <c r="AR373" s="37"/>
      <c r="AS373" s="52"/>
      <c r="AT373" s="87"/>
    </row>
    <row r="374" spans="2:46" thickBot="1">
      <c r="B374" s="113"/>
      <c r="C374" s="324"/>
      <c r="D374" s="346"/>
      <c r="E374" s="326"/>
      <c r="F374" s="321" t="str">
        <f t="shared" si="50"/>
        <v/>
      </c>
      <c r="G374" s="334"/>
      <c r="H374" s="331"/>
      <c r="I374" s="107"/>
      <c r="J374" s="108"/>
      <c r="K374" s="109"/>
      <c r="L374" s="108"/>
      <c r="O374" s="86"/>
      <c r="P374" s="57"/>
      <c r="Q374" s="37"/>
      <c r="R374" s="92" t="str">
        <f t="shared" si="51"/>
        <v/>
      </c>
      <c r="S374" s="52"/>
      <c r="T374" s="87"/>
      <c r="U374" s="86"/>
      <c r="V374" s="201"/>
      <c r="W374" s="37"/>
      <c r="X374" s="52"/>
      <c r="Y374" s="87"/>
      <c r="AA374" s="86"/>
      <c r="AB374" s="57"/>
      <c r="AC374" s="37"/>
      <c r="AD374" s="52"/>
      <c r="AE374" s="87"/>
      <c r="AG374" s="86"/>
      <c r="AH374" s="37"/>
      <c r="AI374" s="52"/>
      <c r="AJ374" s="87"/>
      <c r="AL374" s="86"/>
      <c r="AM374" s="37"/>
      <c r="AN374" s="52"/>
      <c r="AO374" s="87"/>
      <c r="AQ374" s="86"/>
      <c r="AR374" s="37"/>
      <c r="AS374" s="52"/>
      <c r="AT374" s="87"/>
    </row>
    <row r="375" spans="2:46" thickBot="1">
      <c r="B375" s="113"/>
      <c r="C375" s="324"/>
      <c r="D375" s="346"/>
      <c r="E375" s="326"/>
      <c r="F375" s="321" t="str">
        <f t="shared" si="50"/>
        <v/>
      </c>
      <c r="G375" s="334"/>
      <c r="H375" s="331"/>
      <c r="I375" s="107"/>
      <c r="J375" s="108"/>
      <c r="K375" s="109"/>
      <c r="L375" s="108"/>
      <c r="O375" s="86"/>
      <c r="P375" s="57"/>
      <c r="Q375" s="37"/>
      <c r="R375" s="92" t="str">
        <f t="shared" si="51"/>
        <v/>
      </c>
      <c r="S375" s="52"/>
      <c r="T375" s="87"/>
      <c r="U375" s="86"/>
      <c r="V375" s="201"/>
      <c r="W375" s="37"/>
      <c r="X375" s="52"/>
      <c r="Y375" s="87"/>
      <c r="AA375" s="86"/>
      <c r="AB375" s="57"/>
      <c r="AC375" s="37"/>
      <c r="AD375" s="52"/>
      <c r="AE375" s="87"/>
      <c r="AG375" s="86"/>
      <c r="AH375" s="37"/>
      <c r="AI375" s="52"/>
      <c r="AJ375" s="87"/>
      <c r="AL375" s="86"/>
      <c r="AM375" s="37"/>
      <c r="AN375" s="52"/>
      <c r="AO375" s="87"/>
      <c r="AQ375" s="86"/>
      <c r="AR375" s="37"/>
      <c r="AS375" s="52"/>
      <c r="AT375" s="87"/>
    </row>
    <row r="376" spans="2:46" thickBot="1">
      <c r="B376" s="113"/>
      <c r="C376" s="324"/>
      <c r="D376" s="346"/>
      <c r="E376" s="326"/>
      <c r="F376" s="321" t="str">
        <f t="shared" si="50"/>
        <v/>
      </c>
      <c r="G376" s="334"/>
      <c r="H376" s="331"/>
      <c r="I376" s="107"/>
      <c r="J376" s="108"/>
      <c r="K376" s="109"/>
      <c r="L376" s="108"/>
      <c r="O376" s="86"/>
      <c r="P376" s="57"/>
      <c r="Q376" s="37"/>
      <c r="R376" s="92" t="str">
        <f t="shared" si="51"/>
        <v/>
      </c>
      <c r="S376" s="52"/>
      <c r="T376" s="87"/>
      <c r="U376" s="86"/>
      <c r="V376" s="201"/>
      <c r="W376" s="37"/>
      <c r="X376" s="52"/>
      <c r="Y376" s="87"/>
      <c r="AA376" s="86"/>
      <c r="AB376" s="57"/>
      <c r="AC376" s="37"/>
      <c r="AD376" s="52"/>
      <c r="AE376" s="87"/>
      <c r="AG376" s="86"/>
      <c r="AH376" s="37"/>
      <c r="AI376" s="52"/>
      <c r="AJ376" s="87"/>
      <c r="AL376" s="86"/>
      <c r="AM376" s="37"/>
      <c r="AN376" s="52"/>
      <c r="AO376" s="87"/>
      <c r="AQ376" s="86"/>
      <c r="AR376" s="37"/>
      <c r="AS376" s="52"/>
      <c r="AT376" s="87"/>
    </row>
    <row r="377" spans="2:46" thickBot="1">
      <c r="B377" s="113"/>
      <c r="C377" s="324"/>
      <c r="D377" s="346"/>
      <c r="E377" s="326"/>
      <c r="F377" s="321" t="str">
        <f t="shared" si="50"/>
        <v/>
      </c>
      <c r="G377" s="334"/>
      <c r="H377" s="331"/>
      <c r="I377" s="107"/>
      <c r="J377" s="108"/>
      <c r="K377" s="109"/>
      <c r="L377" s="108"/>
      <c r="O377" s="86"/>
      <c r="P377" s="57"/>
      <c r="Q377" s="37"/>
      <c r="R377" s="92" t="str">
        <f t="shared" si="51"/>
        <v/>
      </c>
      <c r="S377" s="52"/>
      <c r="T377" s="87"/>
      <c r="U377" s="86"/>
      <c r="V377" s="201"/>
      <c r="W377" s="37"/>
      <c r="X377" s="52"/>
      <c r="Y377" s="87"/>
      <c r="AA377" s="86"/>
      <c r="AB377" s="57"/>
      <c r="AC377" s="37"/>
      <c r="AD377" s="52"/>
      <c r="AE377" s="87"/>
      <c r="AG377" s="86"/>
      <c r="AH377" s="37"/>
      <c r="AI377" s="52"/>
      <c r="AJ377" s="87"/>
      <c r="AL377" s="86"/>
      <c r="AM377" s="37"/>
      <c r="AN377" s="52"/>
      <c r="AO377" s="87"/>
      <c r="AQ377" s="86"/>
      <c r="AR377" s="37"/>
      <c r="AS377" s="52"/>
      <c r="AT377" s="87"/>
    </row>
    <row r="378" spans="2:46" thickBot="1">
      <c r="B378" s="113"/>
      <c r="C378" s="324"/>
      <c r="D378" s="346"/>
      <c r="E378" s="326"/>
      <c r="F378" s="321" t="str">
        <f t="shared" si="50"/>
        <v/>
      </c>
      <c r="G378" s="334"/>
      <c r="H378" s="331"/>
      <c r="I378" s="107"/>
      <c r="J378" s="108"/>
      <c r="K378" s="109"/>
      <c r="L378" s="108"/>
      <c r="O378" s="86"/>
      <c r="P378" s="57"/>
      <c r="Q378" s="37"/>
      <c r="R378" s="92" t="str">
        <f t="shared" si="51"/>
        <v/>
      </c>
      <c r="S378" s="52"/>
      <c r="T378" s="87"/>
      <c r="U378" s="86"/>
      <c r="V378" s="201"/>
      <c r="W378" s="37"/>
      <c r="X378" s="52"/>
      <c r="Y378" s="87"/>
      <c r="AA378" s="86"/>
      <c r="AB378" s="57"/>
      <c r="AC378" s="37"/>
      <c r="AD378" s="52"/>
      <c r="AE378" s="87"/>
      <c r="AG378" s="86"/>
      <c r="AH378" s="37"/>
      <c r="AI378" s="52"/>
      <c r="AJ378" s="87"/>
      <c r="AL378" s="86"/>
      <c r="AM378" s="37"/>
      <c r="AN378" s="52"/>
      <c r="AO378" s="87"/>
      <c r="AQ378" s="86"/>
      <c r="AR378" s="37"/>
      <c r="AS378" s="52"/>
      <c r="AT378" s="87"/>
    </row>
    <row r="379" spans="2:46" thickBot="1">
      <c r="B379" s="113"/>
      <c r="C379" s="324"/>
      <c r="D379" s="346"/>
      <c r="E379" s="326"/>
      <c r="F379" s="321" t="str">
        <f t="shared" si="50"/>
        <v/>
      </c>
      <c r="G379" s="334"/>
      <c r="H379" s="331"/>
      <c r="I379" s="107"/>
      <c r="J379" s="108"/>
      <c r="K379" s="109"/>
      <c r="L379" s="108"/>
      <c r="O379" s="86"/>
      <c r="P379" s="57"/>
      <c r="Q379" s="37"/>
      <c r="R379" s="92" t="str">
        <f t="shared" si="51"/>
        <v/>
      </c>
      <c r="S379" s="52"/>
      <c r="T379" s="87"/>
      <c r="U379" s="86"/>
      <c r="V379" s="201"/>
      <c r="W379" s="37"/>
      <c r="X379" s="52"/>
      <c r="Y379" s="87"/>
      <c r="AA379" s="86"/>
      <c r="AB379" s="57"/>
      <c r="AC379" s="37"/>
      <c r="AD379" s="52"/>
      <c r="AE379" s="87"/>
      <c r="AG379" s="86"/>
      <c r="AH379" s="37"/>
      <c r="AI379" s="52"/>
      <c r="AJ379" s="87"/>
      <c r="AL379" s="86"/>
      <c r="AM379" s="37"/>
      <c r="AN379" s="52"/>
      <c r="AO379" s="87"/>
      <c r="AQ379" s="86"/>
      <c r="AR379" s="37"/>
      <c r="AS379" s="52"/>
      <c r="AT379" s="87"/>
    </row>
    <row r="380" spans="2:46" thickBot="1">
      <c r="B380" s="113"/>
      <c r="C380" s="324"/>
      <c r="D380" s="346"/>
      <c r="E380" s="326"/>
      <c r="F380" s="321" t="str">
        <f t="shared" si="50"/>
        <v/>
      </c>
      <c r="G380" s="334"/>
      <c r="H380" s="331"/>
      <c r="I380" s="107"/>
      <c r="J380" s="108"/>
      <c r="K380" s="109"/>
      <c r="L380" s="108"/>
      <c r="O380" s="86"/>
      <c r="P380" s="57"/>
      <c r="Q380" s="37"/>
      <c r="R380" s="92" t="str">
        <f t="shared" si="51"/>
        <v/>
      </c>
      <c r="S380" s="52"/>
      <c r="T380" s="87"/>
      <c r="U380" s="86"/>
      <c r="V380" s="201"/>
      <c r="W380" s="37"/>
      <c r="X380" s="52"/>
      <c r="Y380" s="87"/>
      <c r="AA380" s="86"/>
      <c r="AB380" s="57"/>
      <c r="AC380" s="37"/>
      <c r="AD380" s="52"/>
      <c r="AE380" s="87"/>
      <c r="AG380" s="86"/>
      <c r="AH380" s="37"/>
      <c r="AI380" s="52"/>
      <c r="AJ380" s="87"/>
      <c r="AL380" s="86"/>
      <c r="AM380" s="37"/>
      <c r="AN380" s="52"/>
      <c r="AO380" s="87"/>
      <c r="AQ380" s="86"/>
      <c r="AR380" s="37"/>
      <c r="AS380" s="52"/>
      <c r="AT380" s="87"/>
    </row>
    <row r="381" spans="2:46" thickBot="1">
      <c r="B381" s="113"/>
      <c r="C381" s="324"/>
      <c r="D381" s="346"/>
      <c r="E381" s="326"/>
      <c r="F381" s="321" t="str">
        <f t="shared" si="50"/>
        <v/>
      </c>
      <c r="G381" s="334"/>
      <c r="H381" s="331"/>
      <c r="I381" s="107"/>
      <c r="J381" s="108"/>
      <c r="K381" s="109"/>
      <c r="L381" s="108"/>
      <c r="O381" s="86"/>
      <c r="P381" s="57"/>
      <c r="Q381" s="37"/>
      <c r="R381" s="92" t="str">
        <f t="shared" si="51"/>
        <v/>
      </c>
      <c r="S381" s="52"/>
      <c r="T381" s="87"/>
      <c r="U381" s="86"/>
      <c r="V381" s="201"/>
      <c r="W381" s="37"/>
      <c r="X381" s="52"/>
      <c r="Y381" s="87"/>
      <c r="AA381" s="86"/>
      <c r="AB381" s="57"/>
      <c r="AC381" s="37"/>
      <c r="AD381" s="52"/>
      <c r="AE381" s="87"/>
      <c r="AG381" s="86"/>
      <c r="AH381" s="37"/>
      <c r="AI381" s="52"/>
      <c r="AJ381" s="87"/>
      <c r="AL381" s="86"/>
      <c r="AM381" s="37"/>
      <c r="AN381" s="52"/>
      <c r="AO381" s="87"/>
      <c r="AQ381" s="86"/>
      <c r="AR381" s="37"/>
      <c r="AS381" s="52"/>
      <c r="AT381" s="87"/>
    </row>
    <row r="382" spans="2:46" thickBot="1">
      <c r="B382" s="113"/>
      <c r="C382" s="324"/>
      <c r="D382" s="346"/>
      <c r="E382" s="326"/>
      <c r="F382" s="321" t="str">
        <f t="shared" si="50"/>
        <v/>
      </c>
      <c r="G382" s="334"/>
      <c r="H382" s="331"/>
      <c r="I382" s="107"/>
      <c r="J382" s="108"/>
      <c r="K382" s="109"/>
      <c r="L382" s="108"/>
      <c r="O382" s="86"/>
      <c r="P382" s="57"/>
      <c r="Q382" s="37"/>
      <c r="R382" s="92" t="str">
        <f t="shared" si="51"/>
        <v/>
      </c>
      <c r="S382" s="52"/>
      <c r="T382" s="87"/>
      <c r="U382" s="86"/>
      <c r="V382" s="201"/>
      <c r="W382" s="37"/>
      <c r="X382" s="52"/>
      <c r="Y382" s="87"/>
      <c r="AA382" s="86"/>
      <c r="AB382" s="57"/>
      <c r="AC382" s="37"/>
      <c r="AD382" s="52"/>
      <c r="AE382" s="87"/>
      <c r="AG382" s="86"/>
      <c r="AH382" s="37"/>
      <c r="AI382" s="52"/>
      <c r="AJ382" s="87"/>
      <c r="AL382" s="86"/>
      <c r="AM382" s="37"/>
      <c r="AN382" s="52"/>
      <c r="AO382" s="87"/>
      <c r="AQ382" s="86"/>
      <c r="AR382" s="37"/>
      <c r="AS382" s="52"/>
      <c r="AT382" s="87"/>
    </row>
    <row r="383" spans="2:46" thickBot="1">
      <c r="B383" s="113"/>
      <c r="C383" s="324"/>
      <c r="D383" s="346"/>
      <c r="E383" s="326"/>
      <c r="F383" s="321" t="str">
        <f t="shared" si="50"/>
        <v/>
      </c>
      <c r="G383" s="334"/>
      <c r="H383" s="331"/>
      <c r="I383" s="107"/>
      <c r="J383" s="108"/>
      <c r="K383" s="109"/>
      <c r="L383" s="108"/>
      <c r="O383" s="86"/>
      <c r="P383" s="57"/>
      <c r="Q383" s="37"/>
      <c r="R383" s="92" t="str">
        <f t="shared" si="51"/>
        <v/>
      </c>
      <c r="S383" s="52"/>
      <c r="T383" s="87"/>
      <c r="U383" s="86"/>
      <c r="V383" s="201"/>
      <c r="W383" s="37"/>
      <c r="X383" s="52"/>
      <c r="Y383" s="87"/>
      <c r="AA383" s="86"/>
      <c r="AB383" s="57"/>
      <c r="AC383" s="37"/>
      <c r="AD383" s="52"/>
      <c r="AE383" s="87"/>
      <c r="AG383" s="86"/>
      <c r="AH383" s="37"/>
      <c r="AI383" s="52"/>
      <c r="AJ383" s="87"/>
      <c r="AL383" s="86"/>
      <c r="AM383" s="37"/>
      <c r="AN383" s="52"/>
      <c r="AO383" s="87"/>
      <c r="AQ383" s="86"/>
      <c r="AR383" s="37"/>
      <c r="AS383" s="52"/>
      <c r="AT383" s="87"/>
    </row>
    <row r="384" spans="2:46" thickBot="1">
      <c r="B384" s="113"/>
      <c r="C384" s="324"/>
      <c r="D384" s="346"/>
      <c r="E384" s="326"/>
      <c r="F384" s="321" t="str">
        <f t="shared" si="50"/>
        <v/>
      </c>
      <c r="G384" s="334"/>
      <c r="H384" s="331"/>
      <c r="I384" s="107"/>
      <c r="J384" s="108"/>
      <c r="K384" s="109"/>
      <c r="L384" s="108"/>
      <c r="O384" s="86"/>
      <c r="P384" s="57"/>
      <c r="Q384" s="37"/>
      <c r="R384" s="92" t="str">
        <f t="shared" si="51"/>
        <v/>
      </c>
      <c r="S384" s="52"/>
      <c r="T384" s="87"/>
      <c r="U384" s="86"/>
      <c r="V384" s="201"/>
      <c r="W384" s="37"/>
      <c r="X384" s="52"/>
      <c r="Y384" s="87"/>
      <c r="AA384" s="86"/>
      <c r="AB384" s="57"/>
      <c r="AC384" s="37"/>
      <c r="AD384" s="52"/>
      <c r="AE384" s="87"/>
      <c r="AG384" s="86"/>
      <c r="AH384" s="37"/>
      <c r="AI384" s="52"/>
      <c r="AJ384" s="87"/>
      <c r="AL384" s="86"/>
      <c r="AM384" s="37"/>
      <c r="AN384" s="52"/>
      <c r="AO384" s="87"/>
      <c r="AQ384" s="86"/>
      <c r="AR384" s="37"/>
      <c r="AS384" s="52"/>
      <c r="AT384" s="87"/>
    </row>
    <row r="385" spans="2:46" thickBot="1">
      <c r="B385" s="113"/>
      <c r="C385" s="324"/>
      <c r="D385" s="346"/>
      <c r="E385" s="326"/>
      <c r="F385" s="321" t="str">
        <f t="shared" si="50"/>
        <v/>
      </c>
      <c r="G385" s="334"/>
      <c r="H385" s="331"/>
      <c r="I385" s="107"/>
      <c r="J385" s="108"/>
      <c r="K385" s="109"/>
      <c r="L385" s="108"/>
      <c r="O385" s="86"/>
      <c r="P385" s="57"/>
      <c r="Q385" s="37"/>
      <c r="R385" s="92" t="str">
        <f t="shared" si="51"/>
        <v/>
      </c>
      <c r="S385" s="52"/>
      <c r="T385" s="87"/>
      <c r="U385" s="86"/>
      <c r="V385" s="201"/>
      <c r="W385" s="37"/>
      <c r="X385" s="52"/>
      <c r="Y385" s="87"/>
      <c r="AA385" s="86"/>
      <c r="AB385" s="57"/>
      <c r="AC385" s="37"/>
      <c r="AD385" s="52"/>
      <c r="AE385" s="87"/>
      <c r="AG385" s="86"/>
      <c r="AH385" s="37"/>
      <c r="AI385" s="52"/>
      <c r="AJ385" s="87"/>
      <c r="AL385" s="86"/>
      <c r="AM385" s="37"/>
      <c r="AN385" s="52"/>
      <c r="AO385" s="87"/>
      <c r="AQ385" s="86"/>
      <c r="AR385" s="37"/>
      <c r="AS385" s="52"/>
      <c r="AT385" s="87"/>
    </row>
    <row r="386" spans="2:46" thickBot="1">
      <c r="B386" s="113"/>
      <c r="C386" s="324"/>
      <c r="D386" s="346"/>
      <c r="E386" s="326"/>
      <c r="F386" s="321" t="str">
        <f t="shared" si="50"/>
        <v/>
      </c>
      <c r="G386" s="334"/>
      <c r="H386" s="331"/>
      <c r="I386" s="107"/>
      <c r="J386" s="108"/>
      <c r="K386" s="109"/>
      <c r="L386" s="108"/>
      <c r="O386" s="86"/>
      <c r="P386" s="57"/>
      <c r="Q386" s="37"/>
      <c r="R386" s="92" t="str">
        <f t="shared" si="51"/>
        <v/>
      </c>
      <c r="S386" s="52"/>
      <c r="T386" s="87"/>
      <c r="U386" s="86"/>
      <c r="V386" s="201"/>
      <c r="W386" s="37"/>
      <c r="X386" s="52"/>
      <c r="Y386" s="87"/>
      <c r="AA386" s="86"/>
      <c r="AB386" s="57"/>
      <c r="AC386" s="37"/>
      <c r="AD386" s="52"/>
      <c r="AE386" s="87"/>
      <c r="AG386" s="86"/>
      <c r="AH386" s="37"/>
      <c r="AI386" s="52"/>
      <c r="AJ386" s="87"/>
      <c r="AL386" s="86"/>
      <c r="AM386" s="37"/>
      <c r="AN386" s="52"/>
      <c r="AO386" s="87"/>
      <c r="AQ386" s="86"/>
      <c r="AR386" s="37"/>
      <c r="AS386" s="52"/>
      <c r="AT386" s="87"/>
    </row>
    <row r="387" spans="2:46" thickBot="1">
      <c r="B387" s="113"/>
      <c r="C387" s="324"/>
      <c r="D387" s="346"/>
      <c r="E387" s="326"/>
      <c r="F387" s="321" t="str">
        <f t="shared" si="50"/>
        <v/>
      </c>
      <c r="G387" s="334"/>
      <c r="H387" s="331"/>
      <c r="I387" s="107"/>
      <c r="J387" s="108"/>
      <c r="K387" s="109"/>
      <c r="L387" s="108"/>
      <c r="O387" s="86"/>
      <c r="P387" s="57"/>
      <c r="Q387" s="37"/>
      <c r="R387" s="92" t="str">
        <f t="shared" si="51"/>
        <v/>
      </c>
      <c r="S387" s="52"/>
      <c r="T387" s="87"/>
      <c r="U387" s="86"/>
      <c r="V387" s="201"/>
      <c r="W387" s="37"/>
      <c r="X387" s="52"/>
      <c r="Y387" s="87"/>
      <c r="AA387" s="86"/>
      <c r="AB387" s="57"/>
      <c r="AC387" s="37"/>
      <c r="AD387" s="52"/>
      <c r="AE387" s="87"/>
      <c r="AG387" s="86"/>
      <c r="AH387" s="37"/>
      <c r="AI387" s="52"/>
      <c r="AJ387" s="87"/>
      <c r="AL387" s="86"/>
      <c r="AM387" s="37"/>
      <c r="AN387" s="52"/>
      <c r="AO387" s="87"/>
      <c r="AQ387" s="86"/>
      <c r="AR387" s="37"/>
      <c r="AS387" s="52"/>
      <c r="AT387" s="87"/>
    </row>
    <row r="388" spans="2:46" thickBot="1">
      <c r="B388" s="113"/>
      <c r="C388" s="324"/>
      <c r="D388" s="346"/>
      <c r="E388" s="326"/>
      <c r="F388" s="321" t="str">
        <f t="shared" si="50"/>
        <v/>
      </c>
      <c r="G388" s="334"/>
      <c r="H388" s="331"/>
      <c r="I388" s="107"/>
      <c r="J388" s="108"/>
      <c r="K388" s="109"/>
      <c r="L388" s="108"/>
      <c r="O388" s="86"/>
      <c r="P388" s="57"/>
      <c r="Q388" s="37"/>
      <c r="R388" s="92" t="str">
        <f t="shared" si="51"/>
        <v/>
      </c>
      <c r="S388" s="52"/>
      <c r="T388" s="87"/>
      <c r="U388" s="86"/>
      <c r="V388" s="201"/>
      <c r="W388" s="37"/>
      <c r="X388" s="52"/>
      <c r="Y388" s="87"/>
      <c r="AA388" s="86"/>
      <c r="AB388" s="57"/>
      <c r="AC388" s="37"/>
      <c r="AD388" s="52"/>
      <c r="AE388" s="87"/>
      <c r="AG388" s="86"/>
      <c r="AH388" s="37"/>
      <c r="AI388" s="52"/>
      <c r="AJ388" s="87"/>
      <c r="AL388" s="86"/>
      <c r="AM388" s="37"/>
      <c r="AN388" s="52"/>
      <c r="AO388" s="87"/>
      <c r="AQ388" s="86"/>
      <c r="AR388" s="37"/>
      <c r="AS388" s="52"/>
      <c r="AT388" s="87"/>
    </row>
    <row r="389" spans="2:46" thickBot="1">
      <c r="B389" s="113"/>
      <c r="C389" s="324"/>
      <c r="D389" s="346"/>
      <c r="E389" s="326"/>
      <c r="F389" s="321" t="str">
        <f t="shared" si="50"/>
        <v/>
      </c>
      <c r="G389" s="334"/>
      <c r="H389" s="331"/>
      <c r="I389" s="107"/>
      <c r="J389" s="108"/>
      <c r="K389" s="109"/>
      <c r="L389" s="108"/>
      <c r="O389" s="86"/>
      <c r="P389" s="57"/>
      <c r="Q389" s="37"/>
      <c r="R389" s="92" t="str">
        <f t="shared" si="51"/>
        <v/>
      </c>
      <c r="S389" s="52"/>
      <c r="T389" s="87"/>
      <c r="U389" s="86"/>
      <c r="V389" s="201"/>
      <c r="W389" s="37"/>
      <c r="X389" s="52"/>
      <c r="Y389" s="87"/>
      <c r="AA389" s="86"/>
      <c r="AB389" s="57"/>
      <c r="AC389" s="37"/>
      <c r="AD389" s="52"/>
      <c r="AE389" s="87"/>
      <c r="AG389" s="86"/>
      <c r="AH389" s="37"/>
      <c r="AI389" s="52"/>
      <c r="AJ389" s="87"/>
      <c r="AL389" s="86"/>
      <c r="AM389" s="37"/>
      <c r="AN389" s="52"/>
      <c r="AO389" s="87"/>
      <c r="AQ389" s="86"/>
      <c r="AR389" s="37"/>
      <c r="AS389" s="52"/>
      <c r="AT389" s="87"/>
    </row>
    <row r="390" spans="2:46" thickBot="1">
      <c r="B390" s="113"/>
      <c r="C390" s="324"/>
      <c r="D390" s="346"/>
      <c r="E390" s="326"/>
      <c r="F390" s="321" t="str">
        <f t="shared" ref="F390:F453" si="52">IF(E390="","",ROUND(G390*(1+$F$2),2))</f>
        <v/>
      </c>
      <c r="G390" s="334"/>
      <c r="H390" s="331"/>
      <c r="I390" s="107"/>
      <c r="J390" s="108"/>
      <c r="K390" s="109"/>
      <c r="L390" s="108"/>
      <c r="O390" s="86"/>
      <c r="P390" s="57"/>
      <c r="Q390" s="37"/>
      <c r="R390" s="92" t="str">
        <f t="shared" si="51"/>
        <v/>
      </c>
      <c r="S390" s="52"/>
      <c r="T390" s="87"/>
      <c r="U390" s="86"/>
      <c r="V390" s="201"/>
      <c r="W390" s="37"/>
      <c r="X390" s="52"/>
      <c r="Y390" s="87"/>
      <c r="AA390" s="86"/>
      <c r="AB390" s="57"/>
      <c r="AC390" s="37"/>
      <c r="AD390" s="52"/>
      <c r="AE390" s="87"/>
      <c r="AG390" s="86"/>
      <c r="AH390" s="37"/>
      <c r="AI390" s="52"/>
      <c r="AJ390" s="87"/>
      <c r="AL390" s="86"/>
      <c r="AM390" s="37"/>
      <c r="AN390" s="52"/>
      <c r="AO390" s="87"/>
      <c r="AQ390" s="86"/>
      <c r="AR390" s="37"/>
      <c r="AS390" s="52"/>
      <c r="AT390" s="87"/>
    </row>
    <row r="391" spans="2:46" thickBot="1">
      <c r="B391" s="113"/>
      <c r="C391" s="324"/>
      <c r="D391" s="346"/>
      <c r="E391" s="326"/>
      <c r="F391" s="321" t="str">
        <f t="shared" si="52"/>
        <v/>
      </c>
      <c r="G391" s="334"/>
      <c r="H391" s="331"/>
      <c r="I391" s="107"/>
      <c r="J391" s="108"/>
      <c r="K391" s="109"/>
      <c r="L391" s="108"/>
      <c r="O391" s="86"/>
      <c r="P391" s="57"/>
      <c r="Q391" s="37"/>
      <c r="R391" s="92" t="str">
        <f t="shared" si="51"/>
        <v/>
      </c>
      <c r="S391" s="52"/>
      <c r="T391" s="87"/>
      <c r="U391" s="86"/>
      <c r="V391" s="201"/>
      <c r="W391" s="37"/>
      <c r="X391" s="52"/>
      <c r="Y391" s="87"/>
      <c r="AA391" s="86"/>
      <c r="AB391" s="57"/>
      <c r="AC391" s="37"/>
      <c r="AD391" s="52"/>
      <c r="AE391" s="87"/>
      <c r="AG391" s="86"/>
      <c r="AH391" s="37"/>
      <c r="AI391" s="52"/>
      <c r="AJ391" s="87"/>
      <c r="AL391" s="86"/>
      <c r="AM391" s="37"/>
      <c r="AN391" s="52"/>
      <c r="AO391" s="87"/>
      <c r="AQ391" s="86"/>
      <c r="AR391" s="37"/>
      <c r="AS391" s="52"/>
      <c r="AT391" s="87"/>
    </row>
    <row r="392" spans="2:46" thickBot="1">
      <c r="B392" s="113"/>
      <c r="C392" s="324"/>
      <c r="D392" s="346"/>
      <c r="E392" s="326"/>
      <c r="F392" s="321" t="str">
        <f t="shared" si="52"/>
        <v/>
      </c>
      <c r="G392" s="334"/>
      <c r="H392" s="331"/>
      <c r="I392" s="107"/>
      <c r="J392" s="108"/>
      <c r="K392" s="109"/>
      <c r="L392" s="108"/>
      <c r="O392" s="86"/>
      <c r="P392" s="57"/>
      <c r="Q392" s="37"/>
      <c r="R392" s="92" t="str">
        <f t="shared" si="51"/>
        <v/>
      </c>
      <c r="S392" s="52"/>
      <c r="T392" s="87"/>
      <c r="U392" s="86"/>
      <c r="V392" s="201"/>
      <c r="W392" s="37"/>
      <c r="X392" s="52"/>
      <c r="Y392" s="87"/>
      <c r="AA392" s="86"/>
      <c r="AB392" s="57"/>
      <c r="AC392" s="37"/>
      <c r="AD392" s="52"/>
      <c r="AE392" s="87"/>
      <c r="AG392" s="86"/>
      <c r="AH392" s="37"/>
      <c r="AI392" s="52"/>
      <c r="AJ392" s="87"/>
      <c r="AL392" s="86"/>
      <c r="AM392" s="37"/>
      <c r="AN392" s="52"/>
      <c r="AO392" s="87"/>
      <c r="AQ392" s="86"/>
      <c r="AR392" s="37"/>
      <c r="AS392" s="52"/>
      <c r="AT392" s="87"/>
    </row>
    <row r="393" spans="2:46" thickBot="1">
      <c r="B393" s="113"/>
      <c r="C393" s="324"/>
      <c r="D393" s="346"/>
      <c r="E393" s="326"/>
      <c r="F393" s="321" t="str">
        <f t="shared" si="52"/>
        <v/>
      </c>
      <c r="G393" s="334"/>
      <c r="H393" s="331"/>
      <c r="I393" s="107"/>
      <c r="J393" s="108"/>
      <c r="K393" s="109"/>
      <c r="L393" s="108"/>
      <c r="O393" s="86"/>
      <c r="P393" s="57"/>
      <c r="Q393" s="37"/>
      <c r="R393" s="92" t="str">
        <f t="shared" si="51"/>
        <v/>
      </c>
      <c r="S393" s="52"/>
      <c r="T393" s="87"/>
      <c r="U393" s="86"/>
      <c r="V393" s="201"/>
      <c r="W393" s="37"/>
      <c r="X393" s="52"/>
      <c r="Y393" s="87"/>
      <c r="AA393" s="86"/>
      <c r="AB393" s="57"/>
      <c r="AC393" s="37"/>
      <c r="AD393" s="52"/>
      <c r="AE393" s="87"/>
      <c r="AG393" s="86"/>
      <c r="AH393" s="37"/>
      <c r="AI393" s="52"/>
      <c r="AJ393" s="87"/>
      <c r="AL393" s="86"/>
      <c r="AM393" s="37"/>
      <c r="AN393" s="52"/>
      <c r="AO393" s="87"/>
      <c r="AQ393" s="86"/>
      <c r="AR393" s="37"/>
      <c r="AS393" s="52"/>
      <c r="AT393" s="87"/>
    </row>
    <row r="394" spans="2:46" thickBot="1">
      <c r="B394" s="113"/>
      <c r="C394" s="324"/>
      <c r="D394" s="346"/>
      <c r="E394" s="326"/>
      <c r="F394" s="321" t="str">
        <f t="shared" si="52"/>
        <v/>
      </c>
      <c r="G394" s="334"/>
      <c r="H394" s="331"/>
      <c r="I394" s="107"/>
      <c r="J394" s="108"/>
      <c r="K394" s="109"/>
      <c r="L394" s="108"/>
      <c r="O394" s="86"/>
      <c r="P394" s="57"/>
      <c r="Q394" s="37"/>
      <c r="R394" s="92" t="str">
        <f t="shared" si="51"/>
        <v/>
      </c>
      <c r="S394" s="52"/>
      <c r="T394" s="87"/>
      <c r="U394" s="86"/>
      <c r="V394" s="201"/>
      <c r="W394" s="37"/>
      <c r="X394" s="52"/>
      <c r="Y394" s="87"/>
      <c r="AA394" s="86"/>
      <c r="AB394" s="57"/>
      <c r="AC394" s="37"/>
      <c r="AD394" s="52"/>
      <c r="AE394" s="87"/>
      <c r="AG394" s="86"/>
      <c r="AH394" s="37"/>
      <c r="AI394" s="52"/>
      <c r="AJ394" s="87"/>
      <c r="AL394" s="86"/>
      <c r="AM394" s="37"/>
      <c r="AN394" s="52"/>
      <c r="AO394" s="87"/>
      <c r="AQ394" s="86"/>
      <c r="AR394" s="37"/>
      <c r="AS394" s="52"/>
      <c r="AT394" s="87"/>
    </row>
    <row r="395" spans="2:46" thickBot="1">
      <c r="B395" s="113"/>
      <c r="C395" s="324"/>
      <c r="D395" s="346"/>
      <c r="E395" s="326"/>
      <c r="F395" s="321" t="str">
        <f t="shared" si="52"/>
        <v/>
      </c>
      <c r="G395" s="334"/>
      <c r="H395" s="331"/>
      <c r="I395" s="107"/>
      <c r="J395" s="108"/>
      <c r="K395" s="109"/>
      <c r="L395" s="108"/>
      <c r="O395" s="86"/>
      <c r="P395" s="57"/>
      <c r="Q395" s="37"/>
      <c r="R395" s="92" t="str">
        <f t="shared" si="51"/>
        <v/>
      </c>
      <c r="S395" s="52"/>
      <c r="T395" s="87"/>
      <c r="U395" s="86"/>
      <c r="V395" s="201"/>
      <c r="W395" s="37"/>
      <c r="X395" s="52"/>
      <c r="Y395" s="87"/>
      <c r="AA395" s="86"/>
      <c r="AB395" s="57"/>
      <c r="AC395" s="37"/>
      <c r="AD395" s="52"/>
      <c r="AE395" s="87"/>
      <c r="AG395" s="86"/>
      <c r="AH395" s="37"/>
      <c r="AI395" s="52"/>
      <c r="AJ395" s="87"/>
      <c r="AL395" s="86"/>
      <c r="AM395" s="37"/>
      <c r="AN395" s="52"/>
      <c r="AO395" s="87"/>
      <c r="AQ395" s="86"/>
      <c r="AR395" s="37"/>
      <c r="AS395" s="52"/>
      <c r="AT395" s="87"/>
    </row>
    <row r="396" spans="2:46" thickBot="1">
      <c r="B396" s="113"/>
      <c r="C396" s="324"/>
      <c r="D396" s="346"/>
      <c r="E396" s="326"/>
      <c r="F396" s="321" t="str">
        <f t="shared" si="52"/>
        <v/>
      </c>
      <c r="G396" s="334"/>
      <c r="H396" s="331"/>
      <c r="I396" s="107"/>
      <c r="J396" s="108"/>
      <c r="K396" s="109"/>
      <c r="L396" s="108"/>
      <c r="O396" s="86"/>
      <c r="P396" s="57"/>
      <c r="Q396" s="37"/>
      <c r="R396" s="92" t="str">
        <f t="shared" si="51"/>
        <v/>
      </c>
      <c r="S396" s="52"/>
      <c r="T396" s="87"/>
      <c r="U396" s="86"/>
      <c r="V396" s="201"/>
      <c r="W396" s="37"/>
      <c r="X396" s="52"/>
      <c r="Y396" s="87"/>
      <c r="AA396" s="86"/>
      <c r="AB396" s="57"/>
      <c r="AC396" s="37"/>
      <c r="AD396" s="52"/>
      <c r="AE396" s="87"/>
      <c r="AG396" s="86"/>
      <c r="AH396" s="37"/>
      <c r="AI396" s="52"/>
      <c r="AJ396" s="87"/>
      <c r="AL396" s="86"/>
      <c r="AM396" s="37"/>
      <c r="AN396" s="52"/>
      <c r="AO396" s="87"/>
      <c r="AQ396" s="86"/>
      <c r="AR396" s="37"/>
      <c r="AS396" s="52"/>
      <c r="AT396" s="87"/>
    </row>
    <row r="397" spans="2:46" thickBot="1">
      <c r="B397" s="113"/>
      <c r="C397" s="324"/>
      <c r="D397" s="346"/>
      <c r="E397" s="326"/>
      <c r="F397" s="321" t="str">
        <f t="shared" si="52"/>
        <v/>
      </c>
      <c r="G397" s="334"/>
      <c r="H397" s="331"/>
      <c r="I397" s="107"/>
      <c r="J397" s="108"/>
      <c r="K397" s="109"/>
      <c r="L397" s="108"/>
      <c r="O397" s="86"/>
      <c r="P397" s="57"/>
      <c r="Q397" s="37"/>
      <c r="R397" s="92" t="str">
        <f t="shared" si="51"/>
        <v/>
      </c>
      <c r="S397" s="52"/>
      <c r="T397" s="87"/>
      <c r="U397" s="86"/>
      <c r="V397" s="201"/>
      <c r="W397" s="37"/>
      <c r="X397" s="52"/>
      <c r="Y397" s="87"/>
      <c r="AA397" s="86"/>
      <c r="AB397" s="57"/>
      <c r="AC397" s="37"/>
      <c r="AD397" s="52"/>
      <c r="AE397" s="87"/>
      <c r="AG397" s="86"/>
      <c r="AH397" s="37"/>
      <c r="AI397" s="52"/>
      <c r="AJ397" s="87"/>
      <c r="AL397" s="86"/>
      <c r="AM397" s="37"/>
      <c r="AN397" s="52"/>
      <c r="AO397" s="87"/>
      <c r="AQ397" s="86"/>
      <c r="AR397" s="37"/>
      <c r="AS397" s="52"/>
      <c r="AT397" s="87"/>
    </row>
    <row r="398" spans="2:46" thickBot="1">
      <c r="B398" s="113"/>
      <c r="C398" s="324"/>
      <c r="D398" s="346"/>
      <c r="E398" s="326"/>
      <c r="F398" s="321" t="str">
        <f t="shared" si="52"/>
        <v/>
      </c>
      <c r="G398" s="334"/>
      <c r="H398" s="331"/>
      <c r="I398" s="107"/>
      <c r="J398" s="108"/>
      <c r="K398" s="109"/>
      <c r="L398" s="108"/>
      <c r="O398" s="86"/>
      <c r="P398" s="57"/>
      <c r="Q398" s="37"/>
      <c r="R398" s="92" t="str">
        <f t="shared" si="51"/>
        <v/>
      </c>
      <c r="S398" s="52"/>
      <c r="T398" s="87"/>
      <c r="U398" s="86"/>
      <c r="V398" s="201"/>
      <c r="W398" s="37"/>
      <c r="X398" s="52"/>
      <c r="Y398" s="87"/>
      <c r="AA398" s="86"/>
      <c r="AB398" s="57"/>
      <c r="AC398" s="37"/>
      <c r="AD398" s="52"/>
      <c r="AE398" s="87"/>
      <c r="AG398" s="86"/>
      <c r="AH398" s="37"/>
      <c r="AI398" s="52"/>
      <c r="AJ398" s="87"/>
      <c r="AL398" s="86"/>
      <c r="AM398" s="37"/>
      <c r="AN398" s="52"/>
      <c r="AO398" s="87"/>
      <c r="AQ398" s="86"/>
      <c r="AR398" s="37"/>
      <c r="AS398" s="52"/>
      <c r="AT398" s="87"/>
    </row>
    <row r="399" spans="2:46" thickBot="1">
      <c r="B399" s="113"/>
      <c r="C399" s="324"/>
      <c r="D399" s="346"/>
      <c r="E399" s="326"/>
      <c r="F399" s="321" t="str">
        <f t="shared" si="52"/>
        <v/>
      </c>
      <c r="G399" s="334"/>
      <c r="H399" s="331"/>
      <c r="I399" s="107"/>
      <c r="J399" s="108"/>
      <c r="K399" s="109"/>
      <c r="L399" s="108"/>
      <c r="O399" s="86"/>
      <c r="P399" s="57"/>
      <c r="Q399" s="37"/>
      <c r="R399" s="92" t="str">
        <f t="shared" si="51"/>
        <v/>
      </c>
      <c r="S399" s="52"/>
      <c r="T399" s="87"/>
      <c r="U399" s="86"/>
      <c r="V399" s="201"/>
      <c r="W399" s="37"/>
      <c r="X399" s="52"/>
      <c r="Y399" s="87"/>
      <c r="AA399" s="86"/>
      <c r="AB399" s="57"/>
      <c r="AC399" s="37"/>
      <c r="AD399" s="52"/>
      <c r="AE399" s="87"/>
      <c r="AG399" s="86"/>
      <c r="AH399" s="37"/>
      <c r="AI399" s="52"/>
      <c r="AJ399" s="87"/>
      <c r="AL399" s="86"/>
      <c r="AM399" s="37"/>
      <c r="AN399" s="52"/>
      <c r="AO399" s="87"/>
      <c r="AQ399" s="86"/>
      <c r="AR399" s="37"/>
      <c r="AS399" s="52"/>
      <c r="AT399" s="87"/>
    </row>
    <row r="400" spans="2:46" thickBot="1">
      <c r="B400" s="113"/>
      <c r="C400" s="324"/>
      <c r="D400" s="346"/>
      <c r="E400" s="326"/>
      <c r="F400" s="321" t="str">
        <f t="shared" si="52"/>
        <v/>
      </c>
      <c r="G400" s="334"/>
      <c r="H400" s="331"/>
      <c r="I400" s="107"/>
      <c r="J400" s="108"/>
      <c r="K400" s="109"/>
      <c r="L400" s="108"/>
      <c r="O400" s="86"/>
      <c r="P400" s="57"/>
      <c r="Q400" s="37"/>
      <c r="R400" s="92" t="str">
        <f t="shared" si="51"/>
        <v/>
      </c>
      <c r="S400" s="52"/>
      <c r="T400" s="87"/>
      <c r="U400" s="86"/>
      <c r="V400" s="201"/>
      <c r="W400" s="37"/>
      <c r="X400" s="52"/>
      <c r="Y400" s="87"/>
      <c r="AA400" s="86"/>
      <c r="AB400" s="57"/>
      <c r="AC400" s="37"/>
      <c r="AD400" s="52"/>
      <c r="AE400" s="87"/>
      <c r="AG400" s="86"/>
      <c r="AH400" s="37"/>
      <c r="AI400" s="52"/>
      <c r="AJ400" s="87"/>
      <c r="AL400" s="86"/>
      <c r="AM400" s="37"/>
      <c r="AN400" s="52"/>
      <c r="AO400" s="87"/>
      <c r="AQ400" s="86"/>
      <c r="AR400" s="37"/>
      <c r="AS400" s="52"/>
      <c r="AT400" s="87"/>
    </row>
    <row r="401" spans="2:46" thickBot="1">
      <c r="B401" s="113"/>
      <c r="C401" s="324"/>
      <c r="D401" s="346"/>
      <c r="E401" s="326"/>
      <c r="F401" s="321" t="str">
        <f t="shared" si="52"/>
        <v/>
      </c>
      <c r="G401" s="334"/>
      <c r="H401" s="331"/>
      <c r="I401" s="107"/>
      <c r="J401" s="108"/>
      <c r="K401" s="109"/>
      <c r="L401" s="108"/>
      <c r="O401" s="86"/>
      <c r="P401" s="57"/>
      <c r="Q401" s="37"/>
      <c r="R401" s="92" t="str">
        <f t="shared" si="51"/>
        <v/>
      </c>
      <c r="S401" s="52"/>
      <c r="T401" s="87"/>
      <c r="U401" s="86"/>
      <c r="V401" s="201"/>
      <c r="W401" s="37"/>
      <c r="X401" s="52"/>
      <c r="Y401" s="87"/>
      <c r="AA401" s="86"/>
      <c r="AB401" s="57"/>
      <c r="AC401" s="37"/>
      <c r="AD401" s="52"/>
      <c r="AE401" s="87"/>
      <c r="AG401" s="86"/>
      <c r="AH401" s="37"/>
      <c r="AI401" s="52"/>
      <c r="AJ401" s="87"/>
      <c r="AL401" s="86"/>
      <c r="AM401" s="37"/>
      <c r="AN401" s="52"/>
      <c r="AO401" s="87"/>
      <c r="AQ401" s="86"/>
      <c r="AR401" s="37"/>
      <c r="AS401" s="52"/>
      <c r="AT401" s="87"/>
    </row>
    <row r="402" spans="2:46" thickBot="1">
      <c r="B402" s="113"/>
      <c r="C402" s="324"/>
      <c r="D402" s="346"/>
      <c r="E402" s="326"/>
      <c r="F402" s="321" t="str">
        <f t="shared" si="52"/>
        <v/>
      </c>
      <c r="G402" s="334"/>
      <c r="H402" s="331"/>
      <c r="I402" s="107"/>
      <c r="J402" s="108"/>
      <c r="K402" s="109"/>
      <c r="L402" s="108"/>
      <c r="O402" s="86"/>
      <c r="P402" s="57"/>
      <c r="Q402" s="37"/>
      <c r="R402" s="92" t="str">
        <f t="shared" si="51"/>
        <v/>
      </c>
      <c r="S402" s="52"/>
      <c r="T402" s="87"/>
      <c r="U402" s="86"/>
      <c r="V402" s="201"/>
      <c r="W402" s="37"/>
      <c r="X402" s="52"/>
      <c r="Y402" s="87"/>
      <c r="AA402" s="86"/>
      <c r="AB402" s="57"/>
      <c r="AC402" s="37"/>
      <c r="AD402" s="52"/>
      <c r="AE402" s="87"/>
      <c r="AG402" s="86"/>
      <c r="AH402" s="37"/>
      <c r="AI402" s="52"/>
      <c r="AJ402" s="87"/>
      <c r="AL402" s="86"/>
      <c r="AM402" s="37"/>
      <c r="AN402" s="52"/>
      <c r="AO402" s="87"/>
      <c r="AQ402" s="86"/>
      <c r="AR402" s="37"/>
      <c r="AS402" s="52"/>
      <c r="AT402" s="87"/>
    </row>
    <row r="403" spans="2:46" thickBot="1">
      <c r="B403" s="113"/>
      <c r="C403" s="324"/>
      <c r="D403" s="346"/>
      <c r="E403" s="326"/>
      <c r="F403" s="321" t="str">
        <f t="shared" si="52"/>
        <v/>
      </c>
      <c r="G403" s="334"/>
      <c r="H403" s="331"/>
      <c r="I403" s="107"/>
      <c r="J403" s="108"/>
      <c r="K403" s="109"/>
      <c r="L403" s="108"/>
      <c r="O403" s="86"/>
      <c r="P403" s="57"/>
      <c r="Q403" s="37"/>
      <c r="R403" s="92" t="str">
        <f t="shared" si="51"/>
        <v/>
      </c>
      <c r="S403" s="52"/>
      <c r="T403" s="87"/>
      <c r="U403" s="86"/>
      <c r="V403" s="201"/>
      <c r="W403" s="37"/>
      <c r="X403" s="52"/>
      <c r="Y403" s="87"/>
      <c r="AA403" s="86"/>
      <c r="AB403" s="57"/>
      <c r="AC403" s="37"/>
      <c r="AD403" s="52"/>
      <c r="AE403" s="87"/>
      <c r="AG403" s="86"/>
      <c r="AH403" s="37"/>
      <c r="AI403" s="52"/>
      <c r="AJ403" s="87"/>
      <c r="AL403" s="86"/>
      <c r="AM403" s="37"/>
      <c r="AN403" s="52"/>
      <c r="AO403" s="87"/>
      <c r="AQ403" s="86"/>
      <c r="AR403" s="37"/>
      <c r="AS403" s="52"/>
      <c r="AT403" s="87"/>
    </row>
    <row r="404" spans="2:46" thickBot="1">
      <c r="B404" s="113"/>
      <c r="C404" s="324"/>
      <c r="D404" s="346"/>
      <c r="E404" s="326"/>
      <c r="F404" s="321" t="str">
        <f t="shared" si="52"/>
        <v/>
      </c>
      <c r="G404" s="334"/>
      <c r="H404" s="331"/>
      <c r="I404" s="107"/>
      <c r="J404" s="108"/>
      <c r="K404" s="109"/>
      <c r="L404" s="108"/>
      <c r="O404" s="86"/>
      <c r="P404" s="57"/>
      <c r="Q404" s="37"/>
      <c r="R404" s="92" t="str">
        <f t="shared" si="51"/>
        <v/>
      </c>
      <c r="S404" s="52"/>
      <c r="T404" s="87"/>
      <c r="U404" s="86"/>
      <c r="V404" s="201"/>
      <c r="W404" s="37"/>
      <c r="X404" s="52"/>
      <c r="Y404" s="87"/>
      <c r="AA404" s="86"/>
      <c r="AB404" s="57"/>
      <c r="AC404" s="37"/>
      <c r="AD404" s="52"/>
      <c r="AE404" s="87"/>
      <c r="AG404" s="86"/>
      <c r="AH404" s="37"/>
      <c r="AI404" s="52"/>
      <c r="AJ404" s="87"/>
      <c r="AL404" s="86"/>
      <c r="AM404" s="37"/>
      <c r="AN404" s="52"/>
      <c r="AO404" s="87"/>
      <c r="AQ404" s="86"/>
      <c r="AR404" s="37"/>
      <c r="AS404" s="52"/>
      <c r="AT404" s="87"/>
    </row>
    <row r="405" spans="2:46" thickBot="1">
      <c r="B405" s="113"/>
      <c r="C405" s="324"/>
      <c r="D405" s="346"/>
      <c r="E405" s="326"/>
      <c r="F405" s="321" t="str">
        <f t="shared" si="52"/>
        <v/>
      </c>
      <c r="G405" s="334"/>
      <c r="H405" s="331"/>
      <c r="I405" s="107"/>
      <c r="J405" s="108"/>
      <c r="K405" s="109"/>
      <c r="L405" s="108"/>
      <c r="O405" s="86"/>
      <c r="P405" s="57"/>
      <c r="Q405" s="37"/>
      <c r="R405" s="92" t="str">
        <f t="shared" si="51"/>
        <v/>
      </c>
      <c r="S405" s="52"/>
      <c r="T405" s="87"/>
      <c r="U405" s="86"/>
      <c r="V405" s="201"/>
      <c r="W405" s="37"/>
      <c r="X405" s="52"/>
      <c r="Y405" s="87"/>
      <c r="AA405" s="86"/>
      <c r="AB405" s="57"/>
      <c r="AC405" s="37"/>
      <c r="AD405" s="52"/>
      <c r="AE405" s="87"/>
      <c r="AG405" s="86"/>
      <c r="AH405" s="37"/>
      <c r="AI405" s="52"/>
      <c r="AJ405" s="87"/>
      <c r="AL405" s="86"/>
      <c r="AM405" s="37"/>
      <c r="AN405" s="52"/>
      <c r="AO405" s="87"/>
      <c r="AQ405" s="86"/>
      <c r="AR405" s="37"/>
      <c r="AS405" s="52"/>
      <c r="AT405" s="87"/>
    </row>
    <row r="406" spans="2:46" thickBot="1">
      <c r="B406" s="113"/>
      <c r="C406" s="324"/>
      <c r="D406" s="346"/>
      <c r="E406" s="326"/>
      <c r="F406" s="321" t="str">
        <f t="shared" si="52"/>
        <v/>
      </c>
      <c r="G406" s="334"/>
      <c r="H406" s="331"/>
      <c r="I406" s="107"/>
      <c r="J406" s="108"/>
      <c r="K406" s="109"/>
      <c r="L406" s="108"/>
      <c r="O406" s="86"/>
      <c r="P406" s="57"/>
      <c r="Q406" s="37"/>
      <c r="R406" s="92" t="str">
        <f t="shared" si="51"/>
        <v/>
      </c>
      <c r="S406" s="52"/>
      <c r="T406" s="87"/>
      <c r="U406" s="86"/>
      <c r="V406" s="201"/>
      <c r="W406" s="37"/>
      <c r="X406" s="52"/>
      <c r="Y406" s="87"/>
      <c r="AA406" s="86"/>
      <c r="AB406" s="57"/>
      <c r="AC406" s="37"/>
      <c r="AD406" s="52"/>
      <c r="AE406" s="87"/>
      <c r="AG406" s="86"/>
      <c r="AH406" s="37"/>
      <c r="AI406" s="52"/>
      <c r="AJ406" s="87"/>
      <c r="AL406" s="86"/>
      <c r="AM406" s="37"/>
      <c r="AN406" s="52"/>
      <c r="AO406" s="87"/>
      <c r="AQ406" s="86"/>
      <c r="AR406" s="37"/>
      <c r="AS406" s="52"/>
      <c r="AT406" s="87"/>
    </row>
    <row r="407" spans="2:46" thickBot="1">
      <c r="B407" s="113"/>
      <c r="C407" s="324"/>
      <c r="D407" s="346"/>
      <c r="E407" s="326"/>
      <c r="F407" s="321" t="str">
        <f t="shared" si="52"/>
        <v/>
      </c>
      <c r="G407" s="334"/>
      <c r="H407" s="331"/>
      <c r="I407" s="107"/>
      <c r="J407" s="108"/>
      <c r="K407" s="109"/>
      <c r="L407" s="108"/>
      <c r="O407" s="86"/>
      <c r="P407" s="57"/>
      <c r="Q407" s="37"/>
      <c r="R407" s="92" t="str">
        <f t="shared" si="51"/>
        <v/>
      </c>
      <c r="S407" s="52"/>
      <c r="T407" s="87"/>
      <c r="U407" s="86"/>
      <c r="V407" s="201"/>
      <c r="W407" s="37"/>
      <c r="X407" s="52"/>
      <c r="Y407" s="87"/>
      <c r="AA407" s="86"/>
      <c r="AB407" s="57"/>
      <c r="AC407" s="37"/>
      <c r="AD407" s="52"/>
      <c r="AE407" s="87"/>
      <c r="AG407" s="86"/>
      <c r="AH407" s="37"/>
      <c r="AI407" s="52"/>
      <c r="AJ407" s="87"/>
      <c r="AL407" s="86"/>
      <c r="AM407" s="37"/>
      <c r="AN407" s="52"/>
      <c r="AO407" s="87"/>
      <c r="AQ407" s="86"/>
      <c r="AR407" s="37"/>
      <c r="AS407" s="52"/>
      <c r="AT407" s="87"/>
    </row>
    <row r="408" spans="2:46" thickBot="1">
      <c r="B408" s="113"/>
      <c r="C408" s="324"/>
      <c r="D408" s="346"/>
      <c r="E408" s="326"/>
      <c r="F408" s="321" t="str">
        <f t="shared" si="52"/>
        <v/>
      </c>
      <c r="G408" s="334"/>
      <c r="H408" s="331"/>
      <c r="I408" s="107"/>
      <c r="J408" s="108"/>
      <c r="K408" s="109"/>
      <c r="L408" s="108"/>
      <c r="O408" s="86"/>
      <c r="P408" s="57"/>
      <c r="Q408" s="37"/>
      <c r="R408" s="92" t="str">
        <f t="shared" si="51"/>
        <v/>
      </c>
      <c r="S408" s="52"/>
      <c r="T408" s="87"/>
      <c r="U408" s="86"/>
      <c r="V408" s="201"/>
      <c r="W408" s="37"/>
      <c r="X408" s="52"/>
      <c r="Y408" s="87"/>
      <c r="AA408" s="86"/>
      <c r="AB408" s="57"/>
      <c r="AC408" s="37"/>
      <c r="AD408" s="52"/>
      <c r="AE408" s="87"/>
      <c r="AG408" s="86"/>
      <c r="AH408" s="37"/>
      <c r="AI408" s="52"/>
      <c r="AJ408" s="87"/>
      <c r="AL408" s="86"/>
      <c r="AM408" s="37"/>
      <c r="AN408" s="52"/>
      <c r="AO408" s="87"/>
      <c r="AQ408" s="86"/>
      <c r="AR408" s="37"/>
      <c r="AS408" s="52"/>
      <c r="AT408" s="87"/>
    </row>
    <row r="409" spans="2:46" thickBot="1">
      <c r="B409" s="113"/>
      <c r="C409" s="324"/>
      <c r="D409" s="346"/>
      <c r="E409" s="326"/>
      <c r="F409" s="321" t="str">
        <f t="shared" si="52"/>
        <v/>
      </c>
      <c r="G409" s="334"/>
      <c r="H409" s="331"/>
      <c r="I409" s="107"/>
      <c r="J409" s="108"/>
      <c r="K409" s="109"/>
      <c r="L409" s="108"/>
      <c r="O409" s="86"/>
      <c r="P409" s="57"/>
      <c r="Q409" s="37"/>
      <c r="R409" s="92" t="str">
        <f t="shared" si="51"/>
        <v/>
      </c>
      <c r="S409" s="52"/>
      <c r="T409" s="87"/>
      <c r="U409" s="86"/>
      <c r="V409" s="201"/>
      <c r="W409" s="37"/>
      <c r="X409" s="52"/>
      <c r="Y409" s="87"/>
      <c r="AA409" s="86"/>
      <c r="AB409" s="57"/>
      <c r="AC409" s="37"/>
      <c r="AD409" s="52"/>
      <c r="AE409" s="87"/>
      <c r="AG409" s="86"/>
      <c r="AH409" s="37"/>
      <c r="AI409" s="52"/>
      <c r="AJ409" s="87"/>
      <c r="AL409" s="86"/>
      <c r="AM409" s="37"/>
      <c r="AN409" s="52"/>
      <c r="AO409" s="87"/>
      <c r="AQ409" s="86"/>
      <c r="AR409" s="37"/>
      <c r="AS409" s="52"/>
      <c r="AT409" s="87"/>
    </row>
    <row r="410" spans="2:46" thickBot="1">
      <c r="B410" s="113"/>
      <c r="C410" s="324"/>
      <c r="D410" s="346"/>
      <c r="E410" s="326"/>
      <c r="F410" s="321" t="str">
        <f t="shared" si="52"/>
        <v/>
      </c>
      <c r="G410" s="334"/>
      <c r="H410" s="331"/>
      <c r="I410" s="107"/>
      <c r="J410" s="108"/>
      <c r="K410" s="109"/>
      <c r="L410" s="108"/>
      <c r="O410" s="86"/>
      <c r="P410" s="57"/>
      <c r="Q410" s="37"/>
      <c r="R410" s="92" t="str">
        <f t="shared" si="51"/>
        <v/>
      </c>
      <c r="S410" s="52"/>
      <c r="T410" s="87"/>
      <c r="U410" s="86"/>
      <c r="V410" s="201"/>
      <c r="W410" s="37"/>
      <c r="X410" s="52"/>
      <c r="Y410" s="87"/>
      <c r="AA410" s="86"/>
      <c r="AB410" s="57"/>
      <c r="AC410" s="37"/>
      <c r="AD410" s="52"/>
      <c r="AE410" s="87"/>
      <c r="AG410" s="86"/>
      <c r="AH410" s="37"/>
      <c r="AI410" s="52"/>
      <c r="AJ410" s="87"/>
      <c r="AL410" s="86"/>
      <c r="AM410" s="37"/>
      <c r="AN410" s="52"/>
      <c r="AO410" s="87"/>
      <c r="AQ410" s="86"/>
      <c r="AR410" s="37"/>
      <c r="AS410" s="52"/>
      <c r="AT410" s="87"/>
    </row>
    <row r="411" spans="2:46" thickBot="1">
      <c r="B411" s="113"/>
      <c r="C411" s="324"/>
      <c r="D411" s="346"/>
      <c r="E411" s="326"/>
      <c r="F411" s="321" t="str">
        <f t="shared" si="52"/>
        <v/>
      </c>
      <c r="G411" s="334"/>
      <c r="H411" s="331"/>
      <c r="I411" s="107"/>
      <c r="J411" s="108"/>
      <c r="K411" s="109"/>
      <c r="L411" s="108"/>
      <c r="O411" s="86"/>
      <c r="P411" s="57"/>
      <c r="Q411" s="37"/>
      <c r="R411" s="92" t="str">
        <f t="shared" si="51"/>
        <v/>
      </c>
      <c r="S411" s="52"/>
      <c r="T411" s="87"/>
      <c r="U411" s="86"/>
      <c r="V411" s="201"/>
      <c r="W411" s="37"/>
      <c r="X411" s="52"/>
      <c r="Y411" s="87"/>
      <c r="AA411" s="86"/>
      <c r="AB411" s="57"/>
      <c r="AC411" s="37"/>
      <c r="AD411" s="52"/>
      <c r="AE411" s="87"/>
      <c r="AG411" s="86"/>
      <c r="AH411" s="37"/>
      <c r="AI411" s="52"/>
      <c r="AJ411" s="87"/>
      <c r="AL411" s="86"/>
      <c r="AM411" s="37"/>
      <c r="AN411" s="52"/>
      <c r="AO411" s="87"/>
      <c r="AQ411" s="86"/>
      <c r="AR411" s="37"/>
      <c r="AS411" s="52"/>
      <c r="AT411" s="87"/>
    </row>
    <row r="412" spans="2:46" thickBot="1">
      <c r="B412" s="113"/>
      <c r="C412" s="324"/>
      <c r="D412" s="346"/>
      <c r="E412" s="326"/>
      <c r="F412" s="321" t="str">
        <f t="shared" si="52"/>
        <v/>
      </c>
      <c r="G412" s="334"/>
      <c r="H412" s="331"/>
      <c r="I412" s="107"/>
      <c r="J412" s="108"/>
      <c r="K412" s="109"/>
      <c r="L412" s="108"/>
      <c r="O412" s="86"/>
      <c r="P412" s="57"/>
      <c r="Q412" s="37"/>
      <c r="R412" s="92" t="str">
        <f t="shared" si="51"/>
        <v/>
      </c>
      <c r="S412" s="52"/>
      <c r="T412" s="87"/>
      <c r="U412" s="86"/>
      <c r="V412" s="201"/>
      <c r="W412" s="37"/>
      <c r="X412" s="52"/>
      <c r="Y412" s="87"/>
      <c r="AA412" s="86"/>
      <c r="AB412" s="57"/>
      <c r="AC412" s="37"/>
      <c r="AD412" s="52"/>
      <c r="AE412" s="87"/>
      <c r="AG412" s="86"/>
      <c r="AH412" s="37"/>
      <c r="AI412" s="52"/>
      <c r="AJ412" s="87"/>
      <c r="AL412" s="86"/>
      <c r="AM412" s="37"/>
      <c r="AN412" s="52"/>
      <c r="AO412" s="87"/>
      <c r="AQ412" s="86"/>
      <c r="AR412" s="37"/>
      <c r="AS412" s="52"/>
      <c r="AT412" s="87"/>
    </row>
    <row r="413" spans="2:46" thickBot="1">
      <c r="B413" s="113"/>
      <c r="C413" s="324"/>
      <c r="D413" s="346"/>
      <c r="E413" s="326"/>
      <c r="F413" s="321" t="str">
        <f t="shared" si="52"/>
        <v/>
      </c>
      <c r="G413" s="334"/>
      <c r="H413" s="331"/>
      <c r="I413" s="107"/>
      <c r="J413" s="108"/>
      <c r="K413" s="109"/>
      <c r="L413" s="108"/>
      <c r="O413" s="86"/>
      <c r="P413" s="57"/>
      <c r="Q413" s="37"/>
      <c r="R413" s="92" t="str">
        <f t="shared" si="51"/>
        <v/>
      </c>
      <c r="S413" s="52"/>
      <c r="T413" s="87"/>
      <c r="U413" s="86"/>
      <c r="V413" s="201"/>
      <c r="W413" s="37"/>
      <c r="X413" s="52"/>
      <c r="Y413" s="87"/>
      <c r="AA413" s="86"/>
      <c r="AB413" s="57"/>
      <c r="AC413" s="37"/>
      <c r="AD413" s="52"/>
      <c r="AE413" s="87"/>
      <c r="AG413" s="86"/>
      <c r="AH413" s="37"/>
      <c r="AI413" s="52"/>
      <c r="AJ413" s="87"/>
      <c r="AL413" s="86"/>
      <c r="AM413" s="37"/>
      <c r="AN413" s="52"/>
      <c r="AO413" s="87"/>
      <c r="AQ413" s="86"/>
      <c r="AR413" s="37"/>
      <c r="AS413" s="52"/>
      <c r="AT413" s="87"/>
    </row>
    <row r="414" spans="2:46" thickBot="1">
      <c r="B414" s="113"/>
      <c r="C414" s="324"/>
      <c r="D414" s="346"/>
      <c r="E414" s="326"/>
      <c r="F414" s="321" t="str">
        <f t="shared" si="52"/>
        <v/>
      </c>
      <c r="G414" s="334"/>
      <c r="H414" s="331"/>
      <c r="I414" s="107"/>
      <c r="J414" s="108"/>
      <c r="K414" s="109"/>
      <c r="L414" s="108"/>
      <c r="O414" s="86"/>
      <c r="P414" s="57"/>
      <c r="Q414" s="37"/>
      <c r="R414" s="92" t="str">
        <f t="shared" si="51"/>
        <v/>
      </c>
      <c r="S414" s="52"/>
      <c r="T414" s="87"/>
      <c r="U414" s="86"/>
      <c r="V414" s="201"/>
      <c r="W414" s="37"/>
      <c r="X414" s="52"/>
      <c r="Y414" s="87"/>
      <c r="AA414" s="86"/>
      <c r="AB414" s="57"/>
      <c r="AC414" s="37"/>
      <c r="AD414" s="52"/>
      <c r="AE414" s="87"/>
      <c r="AG414" s="86"/>
      <c r="AH414" s="37"/>
      <c r="AI414" s="52"/>
      <c r="AJ414" s="87"/>
      <c r="AL414" s="86"/>
      <c r="AM414" s="37"/>
      <c r="AN414" s="52"/>
      <c r="AO414" s="87"/>
      <c r="AQ414" s="86"/>
      <c r="AR414" s="37"/>
      <c r="AS414" s="52"/>
      <c r="AT414" s="87"/>
    </row>
    <row r="415" spans="2:46" thickBot="1">
      <c r="B415" s="113"/>
      <c r="C415" s="324"/>
      <c r="D415" s="346"/>
      <c r="E415" s="326"/>
      <c r="F415" s="321" t="str">
        <f t="shared" si="52"/>
        <v/>
      </c>
      <c r="G415" s="334"/>
      <c r="H415" s="331"/>
      <c r="I415" s="107"/>
      <c r="J415" s="108"/>
      <c r="K415" s="109"/>
      <c r="L415" s="108"/>
      <c r="O415" s="86"/>
      <c r="P415" s="57"/>
      <c r="Q415" s="37"/>
      <c r="R415" s="92" t="str">
        <f t="shared" si="51"/>
        <v/>
      </c>
      <c r="S415" s="52"/>
      <c r="T415" s="87"/>
      <c r="U415" s="86"/>
      <c r="V415" s="201"/>
      <c r="W415" s="37"/>
      <c r="X415" s="52"/>
      <c r="Y415" s="87"/>
      <c r="AA415" s="86"/>
      <c r="AB415" s="57"/>
      <c r="AC415" s="37"/>
      <c r="AD415" s="52"/>
      <c r="AE415" s="87"/>
      <c r="AG415" s="86"/>
      <c r="AH415" s="37"/>
      <c r="AI415" s="52"/>
      <c r="AJ415" s="87"/>
      <c r="AL415" s="86"/>
      <c r="AM415" s="37"/>
      <c r="AN415" s="52"/>
      <c r="AO415" s="87"/>
      <c r="AQ415" s="86"/>
      <c r="AR415" s="37"/>
      <c r="AS415" s="52"/>
      <c r="AT415" s="87"/>
    </row>
    <row r="416" spans="2:46" thickBot="1">
      <c r="B416" s="113"/>
      <c r="C416" s="324"/>
      <c r="D416" s="346"/>
      <c r="E416" s="326"/>
      <c r="F416" s="321" t="str">
        <f t="shared" si="52"/>
        <v/>
      </c>
      <c r="G416" s="334"/>
      <c r="H416" s="331"/>
      <c r="I416" s="107"/>
      <c r="J416" s="108"/>
      <c r="K416" s="109"/>
      <c r="L416" s="108"/>
      <c r="O416" s="86"/>
      <c r="P416" s="57"/>
      <c r="Q416" s="37"/>
      <c r="R416" s="92" t="str">
        <f t="shared" si="51"/>
        <v/>
      </c>
      <c r="S416" s="52"/>
      <c r="T416" s="87"/>
      <c r="U416" s="86"/>
      <c r="V416" s="201"/>
      <c r="W416" s="37"/>
      <c r="X416" s="52"/>
      <c r="Y416" s="87"/>
      <c r="AA416" s="86"/>
      <c r="AB416" s="57"/>
      <c r="AC416" s="37"/>
      <c r="AD416" s="52"/>
      <c r="AE416" s="87"/>
      <c r="AG416" s="86"/>
      <c r="AH416" s="37"/>
      <c r="AI416" s="52"/>
      <c r="AJ416" s="87"/>
      <c r="AL416" s="86"/>
      <c r="AM416" s="37"/>
      <c r="AN416" s="52"/>
      <c r="AO416" s="87"/>
      <c r="AQ416" s="86"/>
      <c r="AR416" s="37"/>
      <c r="AS416" s="52"/>
      <c r="AT416" s="87"/>
    </row>
    <row r="417" spans="2:46" thickBot="1">
      <c r="B417" s="113"/>
      <c r="C417" s="324"/>
      <c r="D417" s="346"/>
      <c r="E417" s="326"/>
      <c r="F417" s="321" t="str">
        <f t="shared" si="52"/>
        <v/>
      </c>
      <c r="G417" s="334"/>
      <c r="H417" s="331"/>
      <c r="I417" s="107"/>
      <c r="J417" s="108"/>
      <c r="K417" s="109"/>
      <c r="L417" s="108"/>
      <c r="O417" s="86"/>
      <c r="P417" s="57"/>
      <c r="Q417" s="37"/>
      <c r="R417" s="92" t="str">
        <f t="shared" si="51"/>
        <v/>
      </c>
      <c r="S417" s="52"/>
      <c r="T417" s="87"/>
      <c r="U417" s="86"/>
      <c r="V417" s="201"/>
      <c r="W417" s="37"/>
      <c r="X417" s="52"/>
      <c r="Y417" s="87"/>
      <c r="AA417" s="86"/>
      <c r="AB417" s="57"/>
      <c r="AC417" s="37"/>
      <c r="AD417" s="52"/>
      <c r="AE417" s="87"/>
      <c r="AG417" s="86"/>
      <c r="AH417" s="37"/>
      <c r="AI417" s="52"/>
      <c r="AJ417" s="87"/>
      <c r="AL417" s="86"/>
      <c r="AM417" s="37"/>
      <c r="AN417" s="52"/>
      <c r="AO417" s="87"/>
      <c r="AQ417" s="86"/>
      <c r="AR417" s="37"/>
      <c r="AS417" s="52"/>
      <c r="AT417" s="87"/>
    </row>
    <row r="418" spans="2:46" thickBot="1">
      <c r="B418" s="113"/>
      <c r="C418" s="324"/>
      <c r="D418" s="346"/>
      <c r="E418" s="326"/>
      <c r="F418" s="321" t="str">
        <f t="shared" si="52"/>
        <v/>
      </c>
      <c r="G418" s="334"/>
      <c r="H418" s="331"/>
      <c r="I418" s="107"/>
      <c r="J418" s="108"/>
      <c r="K418" s="109"/>
      <c r="L418" s="108"/>
      <c r="O418" s="86"/>
      <c r="P418" s="57"/>
      <c r="Q418" s="37"/>
      <c r="R418" s="92" t="str">
        <f t="shared" si="51"/>
        <v/>
      </c>
      <c r="S418" s="52"/>
      <c r="T418" s="87"/>
      <c r="U418" s="86"/>
      <c r="V418" s="201"/>
      <c r="W418" s="37"/>
      <c r="X418" s="52"/>
      <c r="Y418" s="87"/>
      <c r="AA418" s="86"/>
      <c r="AB418" s="57"/>
      <c r="AC418" s="37"/>
      <c r="AD418" s="52"/>
      <c r="AE418" s="87"/>
      <c r="AG418" s="86"/>
      <c r="AH418" s="37"/>
      <c r="AI418" s="52"/>
      <c r="AJ418" s="87"/>
      <c r="AL418" s="86"/>
      <c r="AM418" s="37"/>
      <c r="AN418" s="52"/>
      <c r="AO418" s="87"/>
      <c r="AQ418" s="86"/>
      <c r="AR418" s="37"/>
      <c r="AS418" s="52"/>
      <c r="AT418" s="87"/>
    </row>
    <row r="419" spans="2:46" thickBot="1">
      <c r="B419" s="113"/>
      <c r="C419" s="324"/>
      <c r="D419" s="346"/>
      <c r="E419" s="326"/>
      <c r="F419" s="321" t="str">
        <f t="shared" si="52"/>
        <v/>
      </c>
      <c r="G419" s="334"/>
      <c r="H419" s="331"/>
      <c r="I419" s="107"/>
      <c r="J419" s="108"/>
      <c r="K419" s="109"/>
      <c r="L419" s="108"/>
      <c r="O419" s="86"/>
      <c r="P419" s="57"/>
      <c r="Q419" s="37"/>
      <c r="R419" s="92" t="str">
        <f t="shared" si="51"/>
        <v/>
      </c>
      <c r="S419" s="52"/>
      <c r="T419" s="87"/>
      <c r="U419" s="86"/>
      <c r="V419" s="201"/>
      <c r="W419" s="37"/>
      <c r="X419" s="52"/>
      <c r="Y419" s="87"/>
      <c r="AA419" s="86"/>
      <c r="AB419" s="57"/>
      <c r="AC419" s="37"/>
      <c r="AD419" s="52"/>
      <c r="AE419" s="87"/>
      <c r="AG419" s="86"/>
      <c r="AH419" s="37"/>
      <c r="AI419" s="52"/>
      <c r="AJ419" s="87"/>
      <c r="AL419" s="86"/>
      <c r="AM419" s="37"/>
      <c r="AN419" s="52"/>
      <c r="AO419" s="87"/>
      <c r="AQ419" s="86"/>
      <c r="AR419" s="37"/>
      <c r="AS419" s="52"/>
      <c r="AT419" s="87"/>
    </row>
    <row r="420" spans="2:46" thickBot="1">
      <c r="B420" s="113"/>
      <c r="C420" s="324"/>
      <c r="D420" s="346"/>
      <c r="E420" s="326"/>
      <c r="F420" s="321" t="str">
        <f t="shared" si="52"/>
        <v/>
      </c>
      <c r="G420" s="334"/>
      <c r="H420" s="331"/>
      <c r="I420" s="107"/>
      <c r="J420" s="108"/>
      <c r="K420" s="109"/>
      <c r="L420" s="108"/>
      <c r="O420" s="86"/>
      <c r="P420" s="57"/>
      <c r="Q420" s="37"/>
      <c r="R420" s="92" t="str">
        <f t="shared" si="51"/>
        <v/>
      </c>
      <c r="S420" s="52"/>
      <c r="T420" s="87"/>
      <c r="U420" s="86"/>
      <c r="V420" s="201"/>
      <c r="W420" s="37"/>
      <c r="X420" s="52"/>
      <c r="Y420" s="87"/>
      <c r="AA420" s="86"/>
      <c r="AB420" s="57"/>
      <c r="AC420" s="37"/>
      <c r="AD420" s="52"/>
      <c r="AE420" s="87"/>
      <c r="AG420" s="86"/>
      <c r="AH420" s="37"/>
      <c r="AI420" s="52"/>
      <c r="AJ420" s="87"/>
      <c r="AL420" s="86"/>
      <c r="AM420" s="37"/>
      <c r="AN420" s="52"/>
      <c r="AO420" s="87"/>
      <c r="AQ420" s="86"/>
      <c r="AR420" s="37"/>
      <c r="AS420" s="52"/>
      <c r="AT420" s="87"/>
    </row>
    <row r="421" spans="2:46" thickBot="1">
      <c r="B421" s="113"/>
      <c r="C421" s="324"/>
      <c r="D421" s="346"/>
      <c r="E421" s="326"/>
      <c r="F421" s="321" t="str">
        <f t="shared" si="52"/>
        <v/>
      </c>
      <c r="G421" s="334"/>
      <c r="H421" s="331"/>
      <c r="I421" s="107"/>
      <c r="J421" s="108"/>
      <c r="K421" s="109"/>
      <c r="L421" s="108"/>
      <c r="O421" s="86"/>
      <c r="P421" s="57"/>
      <c r="Q421" s="37"/>
      <c r="R421" s="92" t="str">
        <f t="shared" si="51"/>
        <v/>
      </c>
      <c r="S421" s="52"/>
      <c r="T421" s="87"/>
      <c r="U421" s="86"/>
      <c r="V421" s="201"/>
      <c r="W421" s="37"/>
      <c r="X421" s="52"/>
      <c r="Y421" s="87"/>
      <c r="AA421" s="86"/>
      <c r="AB421" s="57"/>
      <c r="AC421" s="37"/>
      <c r="AD421" s="52"/>
      <c r="AE421" s="87"/>
      <c r="AG421" s="86"/>
      <c r="AH421" s="37"/>
      <c r="AI421" s="52"/>
      <c r="AJ421" s="87"/>
      <c r="AL421" s="86"/>
      <c r="AM421" s="37"/>
      <c r="AN421" s="52"/>
      <c r="AO421" s="87"/>
      <c r="AQ421" s="86"/>
      <c r="AR421" s="37"/>
      <c r="AS421" s="52"/>
      <c r="AT421" s="87"/>
    </row>
    <row r="422" spans="2:46" thickBot="1">
      <c r="B422" s="113"/>
      <c r="C422" s="324"/>
      <c r="D422" s="346"/>
      <c r="E422" s="326"/>
      <c r="F422" s="321" t="str">
        <f t="shared" si="52"/>
        <v/>
      </c>
      <c r="G422" s="334"/>
      <c r="H422" s="331"/>
      <c r="I422" s="107"/>
      <c r="J422" s="108"/>
      <c r="K422" s="109"/>
      <c r="L422" s="108"/>
      <c r="O422" s="86"/>
      <c r="P422" s="57"/>
      <c r="Q422" s="37"/>
      <c r="R422" s="92" t="str">
        <f t="shared" si="51"/>
        <v/>
      </c>
      <c r="S422" s="52"/>
      <c r="T422" s="87"/>
      <c r="U422" s="86"/>
      <c r="V422" s="201"/>
      <c r="W422" s="37"/>
      <c r="X422" s="52"/>
      <c r="Y422" s="87"/>
      <c r="AA422" s="86"/>
      <c r="AB422" s="57"/>
      <c r="AC422" s="37"/>
      <c r="AD422" s="52"/>
      <c r="AE422" s="87"/>
      <c r="AG422" s="86"/>
      <c r="AH422" s="37"/>
      <c r="AI422" s="52"/>
      <c r="AJ422" s="87"/>
      <c r="AL422" s="86"/>
      <c r="AM422" s="37"/>
      <c r="AN422" s="52"/>
      <c r="AO422" s="87"/>
      <c r="AQ422" s="86"/>
      <c r="AR422" s="37"/>
      <c r="AS422" s="52"/>
      <c r="AT422" s="87"/>
    </row>
    <row r="423" spans="2:46" thickBot="1">
      <c r="B423" s="113"/>
      <c r="C423" s="324"/>
      <c r="D423" s="346"/>
      <c r="E423" s="326"/>
      <c r="F423" s="321" t="str">
        <f t="shared" si="52"/>
        <v/>
      </c>
      <c r="G423" s="334"/>
      <c r="H423" s="331"/>
      <c r="I423" s="107"/>
      <c r="J423" s="108"/>
      <c r="K423" s="109"/>
      <c r="L423" s="108"/>
      <c r="O423" s="86"/>
      <c r="P423" s="57"/>
      <c r="Q423" s="37"/>
      <c r="R423" s="92" t="str">
        <f t="shared" si="51"/>
        <v/>
      </c>
      <c r="S423" s="52"/>
      <c r="T423" s="87"/>
      <c r="U423" s="86"/>
      <c r="V423" s="201"/>
      <c r="W423" s="37"/>
      <c r="X423" s="52"/>
      <c r="Y423" s="87"/>
      <c r="AA423" s="86"/>
      <c r="AB423" s="57"/>
      <c r="AC423" s="37"/>
      <c r="AD423" s="52"/>
      <c r="AE423" s="87"/>
      <c r="AG423" s="86"/>
      <c r="AH423" s="37"/>
      <c r="AI423" s="52"/>
      <c r="AJ423" s="87"/>
      <c r="AL423" s="86"/>
      <c r="AM423" s="37"/>
      <c r="AN423" s="52"/>
      <c r="AO423" s="87"/>
      <c r="AQ423" s="86"/>
      <c r="AR423" s="37"/>
      <c r="AS423" s="52"/>
      <c r="AT423" s="87"/>
    </row>
    <row r="424" spans="2:46" thickBot="1">
      <c r="B424" s="113"/>
      <c r="C424" s="324"/>
      <c r="D424" s="346"/>
      <c r="E424" s="326"/>
      <c r="F424" s="321" t="str">
        <f t="shared" si="52"/>
        <v/>
      </c>
      <c r="G424" s="334"/>
      <c r="H424" s="331"/>
      <c r="I424" s="107"/>
      <c r="J424" s="108"/>
      <c r="K424" s="109"/>
      <c r="L424" s="108"/>
      <c r="O424" s="86"/>
      <c r="P424" s="57"/>
      <c r="Q424" s="37"/>
      <c r="R424" s="92" t="str">
        <f t="shared" si="51"/>
        <v/>
      </c>
      <c r="S424" s="52"/>
      <c r="T424" s="87"/>
      <c r="U424" s="86"/>
      <c r="V424" s="201"/>
      <c r="W424" s="37"/>
      <c r="X424" s="52"/>
      <c r="Y424" s="87"/>
      <c r="AA424" s="86"/>
      <c r="AB424" s="57"/>
      <c r="AC424" s="37"/>
      <c r="AD424" s="52"/>
      <c r="AE424" s="87"/>
      <c r="AG424" s="86"/>
      <c r="AH424" s="37"/>
      <c r="AI424" s="52"/>
      <c r="AJ424" s="87"/>
      <c r="AL424" s="86"/>
      <c r="AM424" s="37"/>
      <c r="AN424" s="52"/>
      <c r="AO424" s="87"/>
      <c r="AQ424" s="86"/>
      <c r="AR424" s="37"/>
      <c r="AS424" s="52"/>
      <c r="AT424" s="87"/>
    </row>
    <row r="425" spans="2:46" thickBot="1">
      <c r="B425" s="113"/>
      <c r="C425" s="324"/>
      <c r="D425" s="346"/>
      <c r="E425" s="326"/>
      <c r="F425" s="321" t="str">
        <f t="shared" si="52"/>
        <v/>
      </c>
      <c r="G425" s="334"/>
      <c r="H425" s="331"/>
      <c r="I425" s="107"/>
      <c r="J425" s="108"/>
      <c r="K425" s="109"/>
      <c r="L425" s="108"/>
      <c r="O425" s="86"/>
      <c r="P425" s="57"/>
      <c r="Q425" s="37"/>
      <c r="R425" s="92" t="str">
        <f t="shared" si="51"/>
        <v/>
      </c>
      <c r="S425" s="52"/>
      <c r="T425" s="87"/>
      <c r="U425" s="86"/>
      <c r="V425" s="201"/>
      <c r="W425" s="37"/>
      <c r="X425" s="52"/>
      <c r="Y425" s="87"/>
      <c r="AA425" s="86"/>
      <c r="AB425" s="57"/>
      <c r="AC425" s="37"/>
      <c r="AD425" s="52"/>
      <c r="AE425" s="87"/>
      <c r="AG425" s="86"/>
      <c r="AH425" s="37"/>
      <c r="AI425" s="52"/>
      <c r="AJ425" s="87"/>
      <c r="AL425" s="86"/>
      <c r="AM425" s="37"/>
      <c r="AN425" s="52"/>
      <c r="AO425" s="87"/>
      <c r="AQ425" s="86"/>
      <c r="AR425" s="37"/>
      <c r="AS425" s="52"/>
      <c r="AT425" s="87"/>
    </row>
    <row r="426" spans="2:46" thickBot="1">
      <c r="B426" s="113"/>
      <c r="C426" s="324"/>
      <c r="D426" s="346"/>
      <c r="E426" s="326"/>
      <c r="F426" s="321" t="str">
        <f t="shared" si="52"/>
        <v/>
      </c>
      <c r="G426" s="334"/>
      <c r="H426" s="331"/>
      <c r="I426" s="107"/>
      <c r="J426" s="108"/>
      <c r="K426" s="109"/>
      <c r="L426" s="108"/>
      <c r="O426" s="86"/>
      <c r="P426" s="57"/>
      <c r="Q426" s="37"/>
      <c r="R426" s="92" t="str">
        <f t="shared" si="51"/>
        <v/>
      </c>
      <c r="S426" s="52"/>
      <c r="T426" s="87"/>
      <c r="U426" s="86"/>
      <c r="V426" s="201"/>
      <c r="W426" s="37"/>
      <c r="X426" s="52"/>
      <c r="Y426" s="87"/>
      <c r="AA426" s="86"/>
      <c r="AB426" s="57"/>
      <c r="AC426" s="37"/>
      <c r="AD426" s="52"/>
      <c r="AE426" s="87"/>
      <c r="AG426" s="86"/>
      <c r="AH426" s="37"/>
      <c r="AI426" s="52"/>
      <c r="AJ426" s="87"/>
      <c r="AL426" s="86"/>
      <c r="AM426" s="37"/>
      <c r="AN426" s="52"/>
      <c r="AO426" s="87"/>
      <c r="AQ426" s="86"/>
      <c r="AR426" s="37"/>
      <c r="AS426" s="52"/>
      <c r="AT426" s="87"/>
    </row>
    <row r="427" spans="2:46" thickBot="1">
      <c r="B427" s="113"/>
      <c r="C427" s="324"/>
      <c r="D427" s="346"/>
      <c r="E427" s="326"/>
      <c r="F427" s="321" t="str">
        <f t="shared" si="52"/>
        <v/>
      </c>
      <c r="G427" s="334"/>
      <c r="H427" s="331"/>
      <c r="I427" s="107"/>
      <c r="J427" s="108"/>
      <c r="K427" s="109"/>
      <c r="L427" s="108"/>
      <c r="O427" s="86"/>
      <c r="P427" s="57"/>
      <c r="Q427" s="37"/>
      <c r="R427" s="92" t="str">
        <f t="shared" ref="R427:R490" si="53">IF(Q427="","",ROUND(S427*(1+$F$2),2))</f>
        <v/>
      </c>
      <c r="S427" s="52"/>
      <c r="T427" s="87"/>
      <c r="U427" s="86"/>
      <c r="V427" s="201"/>
      <c r="W427" s="37"/>
      <c r="X427" s="52"/>
      <c r="Y427" s="87"/>
      <c r="AA427" s="86"/>
      <c r="AB427" s="57"/>
      <c r="AC427" s="37"/>
      <c r="AD427" s="52"/>
      <c r="AE427" s="87"/>
      <c r="AG427" s="86"/>
      <c r="AH427" s="37"/>
      <c r="AI427" s="52"/>
      <c r="AJ427" s="87"/>
      <c r="AL427" s="86"/>
      <c r="AM427" s="37"/>
      <c r="AN427" s="52"/>
      <c r="AO427" s="87"/>
      <c r="AQ427" s="86"/>
      <c r="AR427" s="37"/>
      <c r="AS427" s="52"/>
      <c r="AT427" s="87"/>
    </row>
    <row r="428" spans="2:46" thickBot="1">
      <c r="B428" s="113"/>
      <c r="C428" s="324"/>
      <c r="D428" s="346"/>
      <c r="E428" s="326"/>
      <c r="F428" s="321" t="str">
        <f t="shared" si="52"/>
        <v/>
      </c>
      <c r="G428" s="334"/>
      <c r="H428" s="331"/>
      <c r="I428" s="107"/>
      <c r="J428" s="108"/>
      <c r="K428" s="109"/>
      <c r="L428" s="108"/>
      <c r="O428" s="86"/>
      <c r="P428" s="57"/>
      <c r="Q428" s="37"/>
      <c r="R428" s="92" t="str">
        <f t="shared" si="53"/>
        <v/>
      </c>
      <c r="S428" s="52"/>
      <c r="T428" s="87"/>
      <c r="U428" s="86"/>
      <c r="V428" s="201"/>
      <c r="W428" s="37"/>
      <c r="X428" s="52"/>
      <c r="Y428" s="87"/>
      <c r="AA428" s="86"/>
      <c r="AB428" s="57"/>
      <c r="AC428" s="37"/>
      <c r="AD428" s="52"/>
      <c r="AE428" s="87"/>
      <c r="AG428" s="86"/>
      <c r="AH428" s="37"/>
      <c r="AI428" s="52"/>
      <c r="AJ428" s="87"/>
      <c r="AL428" s="86"/>
      <c r="AM428" s="37"/>
      <c r="AN428" s="52"/>
      <c r="AO428" s="87"/>
      <c r="AQ428" s="86"/>
      <c r="AR428" s="37"/>
      <c r="AS428" s="52"/>
      <c r="AT428" s="87"/>
    </row>
    <row r="429" spans="2:46" thickBot="1">
      <c r="B429" s="113"/>
      <c r="C429" s="324"/>
      <c r="D429" s="346"/>
      <c r="E429" s="326"/>
      <c r="F429" s="321" t="str">
        <f t="shared" si="52"/>
        <v/>
      </c>
      <c r="G429" s="334"/>
      <c r="H429" s="331"/>
      <c r="I429" s="107"/>
      <c r="J429" s="108"/>
      <c r="K429" s="109"/>
      <c r="L429" s="108"/>
      <c r="O429" s="86"/>
      <c r="P429" s="57"/>
      <c r="Q429" s="37"/>
      <c r="R429" s="92" t="str">
        <f t="shared" si="53"/>
        <v/>
      </c>
      <c r="S429" s="52"/>
      <c r="T429" s="87"/>
      <c r="U429" s="86"/>
      <c r="V429" s="201"/>
      <c r="W429" s="37"/>
      <c r="X429" s="52"/>
      <c r="Y429" s="87"/>
      <c r="AA429" s="86"/>
      <c r="AB429" s="57"/>
      <c r="AC429" s="37"/>
      <c r="AD429" s="52"/>
      <c r="AE429" s="87"/>
      <c r="AG429" s="86"/>
      <c r="AH429" s="37"/>
      <c r="AI429" s="52"/>
      <c r="AJ429" s="87"/>
      <c r="AL429" s="86"/>
      <c r="AM429" s="37"/>
      <c r="AN429" s="52"/>
      <c r="AO429" s="87"/>
      <c r="AQ429" s="86"/>
      <c r="AR429" s="37"/>
      <c r="AS429" s="52"/>
      <c r="AT429" s="87"/>
    </row>
    <row r="430" spans="2:46" thickBot="1">
      <c r="B430" s="113"/>
      <c r="C430" s="324"/>
      <c r="D430" s="346"/>
      <c r="E430" s="326"/>
      <c r="F430" s="321" t="str">
        <f t="shared" si="52"/>
        <v/>
      </c>
      <c r="G430" s="334"/>
      <c r="H430" s="331"/>
      <c r="I430" s="107"/>
      <c r="J430" s="108"/>
      <c r="K430" s="109"/>
      <c r="L430" s="108"/>
      <c r="O430" s="86"/>
      <c r="P430" s="57"/>
      <c r="Q430" s="37"/>
      <c r="R430" s="92" t="str">
        <f t="shared" si="53"/>
        <v/>
      </c>
      <c r="S430" s="52"/>
      <c r="T430" s="87"/>
      <c r="U430" s="86"/>
      <c r="V430" s="201"/>
      <c r="W430" s="37"/>
      <c r="X430" s="52"/>
      <c r="Y430" s="87"/>
      <c r="AA430" s="86"/>
      <c r="AB430" s="57"/>
      <c r="AC430" s="37"/>
      <c r="AD430" s="52"/>
      <c r="AE430" s="87"/>
      <c r="AG430" s="86"/>
      <c r="AH430" s="37"/>
      <c r="AI430" s="52"/>
      <c r="AJ430" s="87"/>
      <c r="AL430" s="86"/>
      <c r="AM430" s="37"/>
      <c r="AN430" s="52"/>
      <c r="AO430" s="87"/>
      <c r="AQ430" s="86"/>
      <c r="AR430" s="37"/>
      <c r="AS430" s="52"/>
      <c r="AT430" s="87"/>
    </row>
    <row r="431" spans="2:46" thickBot="1">
      <c r="B431" s="113"/>
      <c r="C431" s="324"/>
      <c r="D431" s="346"/>
      <c r="E431" s="326"/>
      <c r="F431" s="321" t="str">
        <f t="shared" si="52"/>
        <v/>
      </c>
      <c r="G431" s="334"/>
      <c r="H431" s="331"/>
      <c r="I431" s="107"/>
      <c r="J431" s="108"/>
      <c r="K431" s="109"/>
      <c r="L431" s="108"/>
      <c r="O431" s="86"/>
      <c r="P431" s="57"/>
      <c r="Q431" s="37"/>
      <c r="R431" s="92" t="str">
        <f t="shared" si="53"/>
        <v/>
      </c>
      <c r="S431" s="52"/>
      <c r="T431" s="87"/>
      <c r="U431" s="86"/>
      <c r="V431" s="201"/>
      <c r="W431" s="37"/>
      <c r="X431" s="52"/>
      <c r="Y431" s="87"/>
      <c r="AA431" s="86"/>
      <c r="AB431" s="57"/>
      <c r="AC431" s="37"/>
      <c r="AD431" s="52"/>
      <c r="AE431" s="87"/>
      <c r="AG431" s="86"/>
      <c r="AH431" s="37"/>
      <c r="AI431" s="52"/>
      <c r="AJ431" s="87"/>
      <c r="AL431" s="86"/>
      <c r="AM431" s="37"/>
      <c r="AN431" s="52"/>
      <c r="AO431" s="87"/>
      <c r="AQ431" s="86"/>
      <c r="AR431" s="37"/>
      <c r="AS431" s="52"/>
      <c r="AT431" s="87"/>
    </row>
    <row r="432" spans="2:46" thickBot="1">
      <c r="B432" s="113"/>
      <c r="C432" s="324"/>
      <c r="D432" s="346"/>
      <c r="E432" s="326"/>
      <c r="F432" s="321" t="str">
        <f t="shared" si="52"/>
        <v/>
      </c>
      <c r="G432" s="334"/>
      <c r="H432" s="331"/>
      <c r="I432" s="107"/>
      <c r="J432" s="108"/>
      <c r="K432" s="109"/>
      <c r="L432" s="108"/>
      <c r="O432" s="86"/>
      <c r="P432" s="57"/>
      <c r="Q432" s="37"/>
      <c r="R432" s="92" t="str">
        <f t="shared" si="53"/>
        <v/>
      </c>
      <c r="S432" s="52"/>
      <c r="T432" s="87"/>
      <c r="U432" s="86"/>
      <c r="V432" s="201"/>
      <c r="W432" s="37"/>
      <c r="X432" s="52"/>
      <c r="Y432" s="87"/>
      <c r="AA432" s="86"/>
      <c r="AB432" s="57"/>
      <c r="AC432" s="37"/>
      <c r="AD432" s="52"/>
      <c r="AE432" s="87"/>
      <c r="AG432" s="86"/>
      <c r="AH432" s="37"/>
      <c r="AI432" s="52"/>
      <c r="AJ432" s="87"/>
      <c r="AL432" s="86"/>
      <c r="AM432" s="37"/>
      <c r="AN432" s="52"/>
      <c r="AO432" s="87"/>
      <c r="AQ432" s="86"/>
      <c r="AR432" s="37"/>
      <c r="AS432" s="52"/>
      <c r="AT432" s="87"/>
    </row>
    <row r="433" spans="2:46" thickBot="1">
      <c r="B433" s="113"/>
      <c r="C433" s="324"/>
      <c r="D433" s="346"/>
      <c r="E433" s="326"/>
      <c r="F433" s="321" t="str">
        <f t="shared" si="52"/>
        <v/>
      </c>
      <c r="G433" s="334"/>
      <c r="H433" s="331"/>
      <c r="I433" s="107"/>
      <c r="J433" s="108"/>
      <c r="K433" s="109"/>
      <c r="L433" s="108"/>
      <c r="O433" s="86"/>
      <c r="P433" s="57"/>
      <c r="Q433" s="37"/>
      <c r="R433" s="92" t="str">
        <f t="shared" si="53"/>
        <v/>
      </c>
      <c r="S433" s="52"/>
      <c r="T433" s="87"/>
      <c r="U433" s="86"/>
      <c r="V433" s="201"/>
      <c r="W433" s="37"/>
      <c r="X433" s="52"/>
      <c r="Y433" s="87"/>
      <c r="AA433" s="86"/>
      <c r="AB433" s="57"/>
      <c r="AC433" s="37"/>
      <c r="AD433" s="52"/>
      <c r="AE433" s="87"/>
      <c r="AG433" s="86"/>
      <c r="AH433" s="37"/>
      <c r="AI433" s="52"/>
      <c r="AJ433" s="87"/>
      <c r="AL433" s="86"/>
      <c r="AM433" s="37"/>
      <c r="AN433" s="52"/>
      <c r="AO433" s="87"/>
      <c r="AQ433" s="86"/>
      <c r="AR433" s="37"/>
      <c r="AS433" s="52"/>
      <c r="AT433" s="87"/>
    </row>
    <row r="434" spans="2:46" thickBot="1">
      <c r="B434" s="113"/>
      <c r="C434" s="324"/>
      <c r="D434" s="346"/>
      <c r="E434" s="326"/>
      <c r="F434" s="321" t="str">
        <f t="shared" si="52"/>
        <v/>
      </c>
      <c r="G434" s="334"/>
      <c r="H434" s="331"/>
      <c r="I434" s="107"/>
      <c r="J434" s="108"/>
      <c r="K434" s="109"/>
      <c r="L434" s="108"/>
      <c r="O434" s="86"/>
      <c r="P434" s="57"/>
      <c r="Q434" s="37"/>
      <c r="R434" s="92" t="str">
        <f t="shared" si="53"/>
        <v/>
      </c>
      <c r="S434" s="52"/>
      <c r="T434" s="87"/>
      <c r="U434" s="86"/>
      <c r="V434" s="201"/>
      <c r="W434" s="37"/>
      <c r="X434" s="52"/>
      <c r="Y434" s="87"/>
      <c r="AA434" s="86"/>
      <c r="AB434" s="57"/>
      <c r="AC434" s="37"/>
      <c r="AD434" s="52"/>
      <c r="AE434" s="87"/>
      <c r="AG434" s="86"/>
      <c r="AH434" s="37"/>
      <c r="AI434" s="52"/>
      <c r="AJ434" s="87"/>
      <c r="AL434" s="86"/>
      <c r="AM434" s="37"/>
      <c r="AN434" s="52"/>
      <c r="AO434" s="87"/>
      <c r="AQ434" s="86"/>
      <c r="AR434" s="37"/>
      <c r="AS434" s="52"/>
      <c r="AT434" s="87"/>
    </row>
    <row r="435" spans="2:46" thickBot="1">
      <c r="B435" s="113"/>
      <c r="C435" s="324"/>
      <c r="D435" s="346"/>
      <c r="E435" s="326"/>
      <c r="F435" s="321" t="str">
        <f t="shared" si="52"/>
        <v/>
      </c>
      <c r="G435" s="334"/>
      <c r="H435" s="331"/>
      <c r="I435" s="107"/>
      <c r="J435" s="108"/>
      <c r="K435" s="109"/>
      <c r="L435" s="108"/>
      <c r="O435" s="86"/>
      <c r="P435" s="57"/>
      <c r="Q435" s="37"/>
      <c r="R435" s="92" t="str">
        <f t="shared" si="53"/>
        <v/>
      </c>
      <c r="S435" s="52"/>
      <c r="T435" s="87"/>
      <c r="U435" s="86"/>
      <c r="V435" s="201"/>
      <c r="W435" s="37"/>
      <c r="X435" s="52"/>
      <c r="Y435" s="87"/>
      <c r="AA435" s="86"/>
      <c r="AB435" s="57"/>
      <c r="AC435" s="37"/>
      <c r="AD435" s="52"/>
      <c r="AE435" s="87"/>
      <c r="AG435" s="86"/>
      <c r="AH435" s="37"/>
      <c r="AI435" s="52"/>
      <c r="AJ435" s="87"/>
      <c r="AL435" s="86"/>
      <c r="AM435" s="37"/>
      <c r="AN435" s="52"/>
      <c r="AO435" s="87"/>
      <c r="AQ435" s="86"/>
      <c r="AR435" s="37"/>
      <c r="AS435" s="52"/>
      <c r="AT435" s="87"/>
    </row>
    <row r="436" spans="2:46" thickBot="1">
      <c r="B436" s="113"/>
      <c r="C436" s="324"/>
      <c r="D436" s="346"/>
      <c r="E436" s="326"/>
      <c r="F436" s="321" t="str">
        <f t="shared" si="52"/>
        <v/>
      </c>
      <c r="G436" s="334"/>
      <c r="H436" s="331"/>
      <c r="I436" s="107"/>
      <c r="J436" s="108"/>
      <c r="K436" s="109"/>
      <c r="L436" s="108"/>
      <c r="O436" s="86"/>
      <c r="P436" s="57"/>
      <c r="Q436" s="37"/>
      <c r="R436" s="92" t="str">
        <f t="shared" si="53"/>
        <v/>
      </c>
      <c r="S436" s="52"/>
      <c r="T436" s="87"/>
      <c r="U436" s="86"/>
      <c r="V436" s="201"/>
      <c r="W436" s="37"/>
      <c r="X436" s="52"/>
      <c r="Y436" s="87"/>
      <c r="AA436" s="86"/>
      <c r="AB436" s="57"/>
      <c r="AC436" s="37"/>
      <c r="AD436" s="52"/>
      <c r="AE436" s="87"/>
      <c r="AG436" s="86"/>
      <c r="AH436" s="37"/>
      <c r="AI436" s="52"/>
      <c r="AJ436" s="87"/>
      <c r="AL436" s="86"/>
      <c r="AM436" s="37"/>
      <c r="AN436" s="52"/>
      <c r="AO436" s="87"/>
      <c r="AQ436" s="86"/>
      <c r="AR436" s="37"/>
      <c r="AS436" s="52"/>
      <c r="AT436" s="87"/>
    </row>
    <row r="437" spans="2:46" thickBot="1">
      <c r="B437" s="113"/>
      <c r="C437" s="324"/>
      <c r="D437" s="346"/>
      <c r="E437" s="326"/>
      <c r="F437" s="321" t="str">
        <f t="shared" si="52"/>
        <v/>
      </c>
      <c r="G437" s="334"/>
      <c r="H437" s="331"/>
      <c r="I437" s="107"/>
      <c r="J437" s="108"/>
      <c r="K437" s="109"/>
      <c r="L437" s="108"/>
      <c r="O437" s="86"/>
      <c r="P437" s="57"/>
      <c r="Q437" s="37"/>
      <c r="R437" s="92" t="str">
        <f t="shared" si="53"/>
        <v/>
      </c>
      <c r="S437" s="52"/>
      <c r="T437" s="87"/>
      <c r="U437" s="86"/>
      <c r="V437" s="201"/>
      <c r="W437" s="37"/>
      <c r="X437" s="52"/>
      <c r="Y437" s="87"/>
      <c r="AA437" s="86"/>
      <c r="AB437" s="57"/>
      <c r="AC437" s="37"/>
      <c r="AD437" s="52"/>
      <c r="AE437" s="87"/>
      <c r="AG437" s="86"/>
      <c r="AH437" s="37"/>
      <c r="AI437" s="52"/>
      <c r="AJ437" s="87"/>
      <c r="AL437" s="86"/>
      <c r="AM437" s="37"/>
      <c r="AN437" s="52"/>
      <c r="AO437" s="87"/>
      <c r="AQ437" s="86"/>
      <c r="AR437" s="37"/>
      <c r="AS437" s="52"/>
      <c r="AT437" s="87"/>
    </row>
    <row r="438" spans="2:46" thickBot="1">
      <c r="B438" s="113"/>
      <c r="C438" s="324"/>
      <c r="D438" s="346"/>
      <c r="E438" s="326"/>
      <c r="F438" s="321" t="str">
        <f t="shared" si="52"/>
        <v/>
      </c>
      <c r="G438" s="334"/>
      <c r="H438" s="331"/>
      <c r="I438" s="107"/>
      <c r="J438" s="108"/>
      <c r="K438" s="109"/>
      <c r="L438" s="108"/>
      <c r="O438" s="86"/>
      <c r="P438" s="57"/>
      <c r="Q438" s="37"/>
      <c r="R438" s="92" t="str">
        <f t="shared" si="53"/>
        <v/>
      </c>
      <c r="S438" s="52"/>
      <c r="T438" s="87"/>
      <c r="U438" s="86"/>
      <c r="V438" s="201"/>
      <c r="W438" s="37"/>
      <c r="X438" s="52"/>
      <c r="Y438" s="87"/>
      <c r="AA438" s="86"/>
      <c r="AB438" s="57"/>
      <c r="AC438" s="37"/>
      <c r="AD438" s="52"/>
      <c r="AE438" s="87"/>
      <c r="AG438" s="86"/>
      <c r="AH438" s="37"/>
      <c r="AI438" s="52"/>
      <c r="AJ438" s="87"/>
      <c r="AL438" s="86"/>
      <c r="AM438" s="37"/>
      <c r="AN438" s="52"/>
      <c r="AO438" s="87"/>
      <c r="AQ438" s="86"/>
      <c r="AR438" s="37"/>
      <c r="AS438" s="52"/>
      <c r="AT438" s="87"/>
    </row>
    <row r="439" spans="2:46" thickBot="1">
      <c r="B439" s="113"/>
      <c r="C439" s="324"/>
      <c r="D439" s="346"/>
      <c r="E439" s="326"/>
      <c r="F439" s="321" t="str">
        <f t="shared" si="52"/>
        <v/>
      </c>
      <c r="G439" s="334"/>
      <c r="H439" s="331"/>
      <c r="I439" s="107"/>
      <c r="J439" s="108"/>
      <c r="K439" s="109"/>
      <c r="L439" s="108"/>
      <c r="O439" s="86"/>
      <c r="P439" s="57"/>
      <c r="Q439" s="37"/>
      <c r="R439" s="92" t="str">
        <f t="shared" si="53"/>
        <v/>
      </c>
      <c r="S439" s="52"/>
      <c r="T439" s="87"/>
      <c r="U439" s="86"/>
      <c r="V439" s="201"/>
      <c r="W439" s="37"/>
      <c r="X439" s="52"/>
      <c r="Y439" s="87"/>
      <c r="AA439" s="86"/>
      <c r="AB439" s="57"/>
      <c r="AC439" s="37"/>
      <c r="AD439" s="52"/>
      <c r="AE439" s="87"/>
      <c r="AG439" s="86"/>
      <c r="AH439" s="37"/>
      <c r="AI439" s="52"/>
      <c r="AJ439" s="87"/>
      <c r="AL439" s="86"/>
      <c r="AM439" s="37"/>
      <c r="AN439" s="52"/>
      <c r="AO439" s="87"/>
      <c r="AQ439" s="86"/>
      <c r="AR439" s="37"/>
      <c r="AS439" s="52"/>
      <c r="AT439" s="87"/>
    </row>
    <row r="440" spans="2:46" thickBot="1">
      <c r="B440" s="113"/>
      <c r="C440" s="324"/>
      <c r="D440" s="346"/>
      <c r="E440" s="326"/>
      <c r="F440" s="321" t="str">
        <f t="shared" si="52"/>
        <v/>
      </c>
      <c r="G440" s="334"/>
      <c r="H440" s="331"/>
      <c r="I440" s="107"/>
      <c r="J440" s="108"/>
      <c r="K440" s="109"/>
      <c r="L440" s="108"/>
      <c r="O440" s="86"/>
      <c r="P440" s="57"/>
      <c r="Q440" s="37"/>
      <c r="R440" s="92" t="str">
        <f t="shared" si="53"/>
        <v/>
      </c>
      <c r="S440" s="52"/>
      <c r="T440" s="87"/>
      <c r="U440" s="86"/>
      <c r="V440" s="201"/>
      <c r="W440" s="37"/>
      <c r="X440" s="52"/>
      <c r="Y440" s="87"/>
      <c r="AA440" s="86"/>
      <c r="AB440" s="57"/>
      <c r="AC440" s="37"/>
      <c r="AD440" s="52"/>
      <c r="AE440" s="87"/>
      <c r="AG440" s="86"/>
      <c r="AH440" s="37"/>
      <c r="AI440" s="52"/>
      <c r="AJ440" s="87"/>
      <c r="AL440" s="86"/>
      <c r="AM440" s="37"/>
      <c r="AN440" s="52"/>
      <c r="AO440" s="87"/>
      <c r="AQ440" s="86"/>
      <c r="AR440" s="37"/>
      <c r="AS440" s="52"/>
      <c r="AT440" s="87"/>
    </row>
    <row r="441" spans="2:46" thickBot="1">
      <c r="B441" s="113"/>
      <c r="C441" s="324"/>
      <c r="D441" s="346"/>
      <c r="E441" s="326"/>
      <c r="F441" s="321" t="str">
        <f t="shared" si="52"/>
        <v/>
      </c>
      <c r="G441" s="334"/>
      <c r="H441" s="331"/>
      <c r="I441" s="107"/>
      <c r="J441" s="108"/>
      <c r="K441" s="109"/>
      <c r="L441" s="108"/>
      <c r="O441" s="86"/>
      <c r="P441" s="57"/>
      <c r="Q441" s="37"/>
      <c r="R441" s="92" t="str">
        <f t="shared" si="53"/>
        <v/>
      </c>
      <c r="S441" s="52"/>
      <c r="T441" s="87"/>
      <c r="U441" s="86"/>
      <c r="V441" s="201"/>
      <c r="W441" s="37"/>
      <c r="X441" s="52"/>
      <c r="Y441" s="87"/>
      <c r="AA441" s="86"/>
      <c r="AB441" s="57"/>
      <c r="AC441" s="37"/>
      <c r="AD441" s="52"/>
      <c r="AE441" s="87"/>
      <c r="AG441" s="86"/>
      <c r="AH441" s="37"/>
      <c r="AI441" s="52"/>
      <c r="AJ441" s="87"/>
      <c r="AL441" s="86"/>
      <c r="AM441" s="37"/>
      <c r="AN441" s="52"/>
      <c r="AO441" s="87"/>
      <c r="AQ441" s="86"/>
      <c r="AR441" s="37"/>
      <c r="AS441" s="52"/>
      <c r="AT441" s="87"/>
    </row>
    <row r="442" spans="2:46" thickBot="1">
      <c r="B442" s="113"/>
      <c r="C442" s="324"/>
      <c r="D442" s="346"/>
      <c r="E442" s="326"/>
      <c r="F442" s="321" t="str">
        <f t="shared" si="52"/>
        <v/>
      </c>
      <c r="G442" s="334"/>
      <c r="H442" s="331"/>
      <c r="I442" s="107"/>
      <c r="J442" s="108"/>
      <c r="K442" s="109"/>
      <c r="L442" s="108"/>
      <c r="O442" s="86"/>
      <c r="P442" s="57"/>
      <c r="Q442" s="37"/>
      <c r="R442" s="92" t="str">
        <f t="shared" si="53"/>
        <v/>
      </c>
      <c r="S442" s="52"/>
      <c r="T442" s="87"/>
      <c r="U442" s="86"/>
      <c r="V442" s="201"/>
      <c r="W442" s="37"/>
      <c r="X442" s="52"/>
      <c r="Y442" s="87"/>
      <c r="AA442" s="86"/>
      <c r="AB442" s="57"/>
      <c r="AC442" s="37"/>
      <c r="AD442" s="52"/>
      <c r="AE442" s="87"/>
      <c r="AG442" s="86"/>
      <c r="AH442" s="37"/>
      <c r="AI442" s="52"/>
      <c r="AJ442" s="87"/>
      <c r="AL442" s="86"/>
      <c r="AM442" s="37"/>
      <c r="AN442" s="52"/>
      <c r="AO442" s="87"/>
      <c r="AQ442" s="86"/>
      <c r="AR442" s="37"/>
      <c r="AS442" s="52"/>
      <c r="AT442" s="87"/>
    </row>
    <row r="443" spans="2:46" thickBot="1">
      <c r="B443" s="113"/>
      <c r="C443" s="324"/>
      <c r="D443" s="346"/>
      <c r="E443" s="326"/>
      <c r="F443" s="321" t="str">
        <f t="shared" si="52"/>
        <v/>
      </c>
      <c r="G443" s="334"/>
      <c r="H443" s="331"/>
      <c r="I443" s="107"/>
      <c r="J443" s="108"/>
      <c r="K443" s="109"/>
      <c r="L443" s="108"/>
      <c r="O443" s="86"/>
      <c r="P443" s="57"/>
      <c r="Q443" s="37"/>
      <c r="R443" s="92" t="str">
        <f t="shared" si="53"/>
        <v/>
      </c>
      <c r="S443" s="52"/>
      <c r="T443" s="87"/>
      <c r="U443" s="86"/>
      <c r="V443" s="201"/>
      <c r="W443" s="37"/>
      <c r="X443" s="52"/>
      <c r="Y443" s="87"/>
      <c r="AA443" s="86"/>
      <c r="AB443" s="57"/>
      <c r="AC443" s="37"/>
      <c r="AD443" s="52"/>
      <c r="AE443" s="87"/>
      <c r="AG443" s="86"/>
      <c r="AH443" s="37"/>
      <c r="AI443" s="52"/>
      <c r="AJ443" s="87"/>
      <c r="AL443" s="86"/>
      <c r="AM443" s="37"/>
      <c r="AN443" s="52"/>
      <c r="AO443" s="87"/>
      <c r="AQ443" s="86"/>
      <c r="AR443" s="37"/>
      <c r="AS443" s="52"/>
      <c r="AT443" s="87"/>
    </row>
    <row r="444" spans="2:46" thickBot="1">
      <c r="B444" s="113"/>
      <c r="C444" s="324"/>
      <c r="D444" s="346"/>
      <c r="E444" s="326"/>
      <c r="F444" s="321" t="str">
        <f t="shared" si="52"/>
        <v/>
      </c>
      <c r="G444" s="334"/>
      <c r="H444" s="331"/>
      <c r="I444" s="107"/>
      <c r="J444" s="108"/>
      <c r="K444" s="109"/>
      <c r="L444" s="108"/>
      <c r="O444" s="86"/>
      <c r="P444" s="57"/>
      <c r="Q444" s="37"/>
      <c r="R444" s="92" t="str">
        <f t="shared" si="53"/>
        <v/>
      </c>
      <c r="S444" s="52"/>
      <c r="T444" s="87"/>
      <c r="U444" s="86"/>
      <c r="V444" s="201"/>
      <c r="W444" s="37"/>
      <c r="X444" s="52"/>
      <c r="Y444" s="87"/>
      <c r="AA444" s="86"/>
      <c r="AB444" s="57"/>
      <c r="AC444" s="37"/>
      <c r="AD444" s="52"/>
      <c r="AE444" s="87"/>
      <c r="AG444" s="86"/>
      <c r="AH444" s="37"/>
      <c r="AI444" s="52"/>
      <c r="AJ444" s="87"/>
      <c r="AL444" s="86"/>
      <c r="AM444" s="37"/>
      <c r="AN444" s="52"/>
      <c r="AO444" s="87"/>
      <c r="AQ444" s="86"/>
      <c r="AR444" s="37"/>
      <c r="AS444" s="52"/>
      <c r="AT444" s="87"/>
    </row>
    <row r="445" spans="2:46" thickBot="1">
      <c r="B445" s="113"/>
      <c r="C445" s="324"/>
      <c r="D445" s="346"/>
      <c r="E445" s="326"/>
      <c r="F445" s="321" t="str">
        <f t="shared" si="52"/>
        <v/>
      </c>
      <c r="G445" s="334"/>
      <c r="H445" s="331"/>
      <c r="I445" s="107"/>
      <c r="J445" s="108"/>
      <c r="K445" s="109"/>
      <c r="L445" s="108"/>
      <c r="O445" s="86"/>
      <c r="P445" s="57"/>
      <c r="Q445" s="37"/>
      <c r="R445" s="92" t="str">
        <f t="shared" si="53"/>
        <v/>
      </c>
      <c r="S445" s="52"/>
      <c r="T445" s="87"/>
      <c r="U445" s="86"/>
      <c r="V445" s="201"/>
      <c r="W445" s="37"/>
      <c r="X445" s="52"/>
      <c r="Y445" s="87"/>
      <c r="AA445" s="86"/>
      <c r="AB445" s="57"/>
      <c r="AC445" s="37"/>
      <c r="AD445" s="52"/>
      <c r="AE445" s="87"/>
      <c r="AG445" s="86"/>
      <c r="AH445" s="37"/>
      <c r="AI445" s="52"/>
      <c r="AJ445" s="87"/>
      <c r="AL445" s="86"/>
      <c r="AM445" s="37"/>
      <c r="AN445" s="52"/>
      <c r="AO445" s="87"/>
      <c r="AQ445" s="86"/>
      <c r="AR445" s="37"/>
      <c r="AS445" s="52"/>
      <c r="AT445" s="87"/>
    </row>
    <row r="446" spans="2:46" thickBot="1">
      <c r="B446" s="113"/>
      <c r="C446" s="324"/>
      <c r="D446" s="346"/>
      <c r="E446" s="326"/>
      <c r="F446" s="321" t="str">
        <f t="shared" si="52"/>
        <v/>
      </c>
      <c r="G446" s="334"/>
      <c r="H446" s="331"/>
      <c r="I446" s="107"/>
      <c r="J446" s="108"/>
      <c r="K446" s="109"/>
      <c r="L446" s="108"/>
      <c r="O446" s="86"/>
      <c r="P446" s="57"/>
      <c r="Q446" s="37"/>
      <c r="R446" s="92" t="str">
        <f t="shared" si="53"/>
        <v/>
      </c>
      <c r="S446" s="52"/>
      <c r="T446" s="87"/>
      <c r="U446" s="86"/>
      <c r="V446" s="201"/>
      <c r="W446" s="37"/>
      <c r="X446" s="52"/>
      <c r="Y446" s="87"/>
      <c r="AA446" s="86"/>
      <c r="AB446" s="57"/>
      <c r="AC446" s="37"/>
      <c r="AD446" s="52"/>
      <c r="AE446" s="87"/>
      <c r="AG446" s="86"/>
      <c r="AH446" s="37"/>
      <c r="AI446" s="52"/>
      <c r="AJ446" s="87"/>
      <c r="AL446" s="86"/>
      <c r="AM446" s="37"/>
      <c r="AN446" s="52"/>
      <c r="AO446" s="87"/>
      <c r="AQ446" s="86"/>
      <c r="AR446" s="37"/>
      <c r="AS446" s="52"/>
      <c r="AT446" s="87"/>
    </row>
    <row r="447" spans="2:46" thickBot="1">
      <c r="B447" s="113"/>
      <c r="C447" s="324"/>
      <c r="D447" s="346"/>
      <c r="E447" s="326"/>
      <c r="F447" s="321" t="str">
        <f t="shared" si="52"/>
        <v/>
      </c>
      <c r="G447" s="334"/>
      <c r="H447" s="331"/>
      <c r="I447" s="107"/>
      <c r="J447" s="108"/>
      <c r="K447" s="109"/>
      <c r="L447" s="108"/>
      <c r="O447" s="86"/>
      <c r="P447" s="57"/>
      <c r="Q447" s="37"/>
      <c r="R447" s="92" t="str">
        <f t="shared" si="53"/>
        <v/>
      </c>
      <c r="S447" s="52"/>
      <c r="T447" s="87"/>
      <c r="U447" s="86"/>
      <c r="V447" s="201"/>
      <c r="W447" s="37"/>
      <c r="X447" s="52"/>
      <c r="Y447" s="87"/>
      <c r="AA447" s="86"/>
      <c r="AB447" s="57"/>
      <c r="AC447" s="37"/>
      <c r="AD447" s="52"/>
      <c r="AE447" s="87"/>
      <c r="AG447" s="86"/>
      <c r="AH447" s="37"/>
      <c r="AI447" s="52"/>
      <c r="AJ447" s="87"/>
      <c r="AL447" s="86"/>
      <c r="AM447" s="37"/>
      <c r="AN447" s="52"/>
      <c r="AO447" s="87"/>
      <c r="AQ447" s="86"/>
      <c r="AR447" s="37"/>
      <c r="AS447" s="52"/>
      <c r="AT447" s="87"/>
    </row>
    <row r="448" spans="2:46" thickBot="1">
      <c r="B448" s="113"/>
      <c r="C448" s="324"/>
      <c r="D448" s="346"/>
      <c r="E448" s="326"/>
      <c r="F448" s="321" t="str">
        <f t="shared" si="52"/>
        <v/>
      </c>
      <c r="G448" s="334"/>
      <c r="H448" s="331"/>
      <c r="I448" s="107"/>
      <c r="J448" s="108"/>
      <c r="K448" s="109"/>
      <c r="L448" s="108"/>
      <c r="O448" s="86"/>
      <c r="P448" s="57"/>
      <c r="Q448" s="37"/>
      <c r="R448" s="92" t="str">
        <f t="shared" si="53"/>
        <v/>
      </c>
      <c r="S448" s="52"/>
      <c r="T448" s="87"/>
      <c r="U448" s="86"/>
      <c r="V448" s="201"/>
      <c r="W448" s="37"/>
      <c r="X448" s="52"/>
      <c r="Y448" s="87"/>
      <c r="AA448" s="86"/>
      <c r="AB448" s="57"/>
      <c r="AC448" s="37"/>
      <c r="AD448" s="52"/>
      <c r="AE448" s="87"/>
      <c r="AG448" s="86"/>
      <c r="AH448" s="37"/>
      <c r="AI448" s="52"/>
      <c r="AJ448" s="87"/>
      <c r="AL448" s="86"/>
      <c r="AM448" s="37"/>
      <c r="AN448" s="52"/>
      <c r="AO448" s="87"/>
      <c r="AQ448" s="86"/>
      <c r="AR448" s="37"/>
      <c r="AS448" s="52"/>
      <c r="AT448" s="87"/>
    </row>
    <row r="449" spans="2:46" thickBot="1">
      <c r="B449" s="113"/>
      <c r="C449" s="324"/>
      <c r="D449" s="346"/>
      <c r="E449" s="326"/>
      <c r="F449" s="321" t="str">
        <f t="shared" si="52"/>
        <v/>
      </c>
      <c r="G449" s="334"/>
      <c r="H449" s="331"/>
      <c r="I449" s="107"/>
      <c r="J449" s="108"/>
      <c r="K449" s="109"/>
      <c r="L449" s="108"/>
      <c r="O449" s="86"/>
      <c r="P449" s="57"/>
      <c r="Q449" s="37"/>
      <c r="R449" s="92" t="str">
        <f t="shared" si="53"/>
        <v/>
      </c>
      <c r="S449" s="52"/>
      <c r="T449" s="87"/>
      <c r="U449" s="86"/>
      <c r="V449" s="201"/>
      <c r="W449" s="37"/>
      <c r="X449" s="52"/>
      <c r="Y449" s="87"/>
      <c r="AA449" s="86"/>
      <c r="AB449" s="57"/>
      <c r="AC449" s="37"/>
      <c r="AD449" s="52"/>
      <c r="AE449" s="87"/>
      <c r="AG449" s="86"/>
      <c r="AH449" s="37"/>
      <c r="AI449" s="52"/>
      <c r="AJ449" s="87"/>
      <c r="AL449" s="86"/>
      <c r="AM449" s="37"/>
      <c r="AN449" s="52"/>
      <c r="AO449" s="87"/>
      <c r="AQ449" s="86"/>
      <c r="AR449" s="37"/>
      <c r="AS449" s="52"/>
      <c r="AT449" s="87"/>
    </row>
    <row r="450" spans="2:46" thickBot="1">
      <c r="B450" s="113"/>
      <c r="C450" s="324"/>
      <c r="D450" s="346"/>
      <c r="E450" s="326"/>
      <c r="F450" s="321" t="str">
        <f t="shared" si="52"/>
        <v/>
      </c>
      <c r="G450" s="334"/>
      <c r="H450" s="331"/>
      <c r="I450" s="107"/>
      <c r="J450" s="108"/>
      <c r="K450" s="109"/>
      <c r="L450" s="108"/>
      <c r="O450" s="86"/>
      <c r="P450" s="57"/>
      <c r="Q450" s="37"/>
      <c r="R450" s="92" t="str">
        <f t="shared" si="53"/>
        <v/>
      </c>
      <c r="S450" s="52"/>
      <c r="T450" s="87"/>
      <c r="U450" s="86"/>
      <c r="V450" s="201"/>
      <c r="W450" s="37"/>
      <c r="X450" s="52"/>
      <c r="Y450" s="87"/>
      <c r="AA450" s="86"/>
      <c r="AB450" s="57"/>
      <c r="AC450" s="37"/>
      <c r="AD450" s="52"/>
      <c r="AE450" s="87"/>
      <c r="AG450" s="86"/>
      <c r="AH450" s="37"/>
      <c r="AI450" s="52"/>
      <c r="AJ450" s="87"/>
      <c r="AL450" s="86"/>
      <c r="AM450" s="37"/>
      <c r="AN450" s="52"/>
      <c r="AO450" s="87"/>
      <c r="AQ450" s="86"/>
      <c r="AR450" s="37"/>
      <c r="AS450" s="52"/>
      <c r="AT450" s="87"/>
    </row>
    <row r="451" spans="2:46" thickBot="1">
      <c r="B451" s="113"/>
      <c r="C451" s="324"/>
      <c r="D451" s="346"/>
      <c r="E451" s="326"/>
      <c r="F451" s="321" t="str">
        <f t="shared" si="52"/>
        <v/>
      </c>
      <c r="G451" s="334"/>
      <c r="H451" s="331"/>
      <c r="I451" s="107"/>
      <c r="J451" s="108"/>
      <c r="K451" s="109"/>
      <c r="L451" s="108"/>
      <c r="O451" s="86"/>
      <c r="P451" s="57"/>
      <c r="Q451" s="37"/>
      <c r="R451" s="92" t="str">
        <f t="shared" si="53"/>
        <v/>
      </c>
      <c r="S451" s="52"/>
      <c r="T451" s="87"/>
      <c r="U451" s="86"/>
      <c r="V451" s="201"/>
      <c r="W451" s="37"/>
      <c r="X451" s="52"/>
      <c r="Y451" s="87"/>
      <c r="AA451" s="86"/>
      <c r="AB451" s="57"/>
      <c r="AC451" s="37"/>
      <c r="AD451" s="52"/>
      <c r="AE451" s="87"/>
      <c r="AG451" s="86"/>
      <c r="AH451" s="37"/>
      <c r="AI451" s="52"/>
      <c r="AJ451" s="87"/>
      <c r="AL451" s="86"/>
      <c r="AM451" s="37"/>
      <c r="AN451" s="52"/>
      <c r="AO451" s="87"/>
      <c r="AQ451" s="86"/>
      <c r="AR451" s="37"/>
      <c r="AS451" s="52"/>
      <c r="AT451" s="87"/>
    </row>
    <row r="452" spans="2:46" thickBot="1">
      <c r="B452" s="113"/>
      <c r="C452" s="324"/>
      <c r="D452" s="346"/>
      <c r="E452" s="326"/>
      <c r="F452" s="321" t="str">
        <f t="shared" si="52"/>
        <v/>
      </c>
      <c r="G452" s="334"/>
      <c r="H452" s="331"/>
      <c r="I452" s="107"/>
      <c r="J452" s="108"/>
      <c r="K452" s="109"/>
      <c r="L452" s="108"/>
      <c r="O452" s="86"/>
      <c r="P452" s="57"/>
      <c r="Q452" s="37"/>
      <c r="R452" s="92" t="str">
        <f t="shared" si="53"/>
        <v/>
      </c>
      <c r="S452" s="52"/>
      <c r="T452" s="87"/>
      <c r="U452" s="86"/>
      <c r="V452" s="201"/>
      <c r="W452" s="37"/>
      <c r="X452" s="52"/>
      <c r="Y452" s="87"/>
      <c r="AA452" s="86"/>
      <c r="AB452" s="57"/>
      <c r="AC452" s="37"/>
      <c r="AD452" s="52"/>
      <c r="AE452" s="87"/>
      <c r="AG452" s="86"/>
      <c r="AH452" s="37"/>
      <c r="AI452" s="52"/>
      <c r="AJ452" s="87"/>
      <c r="AL452" s="86"/>
      <c r="AM452" s="37"/>
      <c r="AN452" s="52"/>
      <c r="AO452" s="87"/>
      <c r="AQ452" s="86"/>
      <c r="AR452" s="37"/>
      <c r="AS452" s="52"/>
      <c r="AT452" s="87"/>
    </row>
    <row r="453" spans="2:46" thickBot="1">
      <c r="B453" s="113"/>
      <c r="C453" s="324"/>
      <c r="D453" s="346"/>
      <c r="E453" s="326"/>
      <c r="F453" s="321" t="str">
        <f t="shared" si="52"/>
        <v/>
      </c>
      <c r="G453" s="334"/>
      <c r="H453" s="331"/>
      <c r="I453" s="107"/>
      <c r="J453" s="108"/>
      <c r="K453" s="109"/>
      <c r="L453" s="108"/>
      <c r="O453" s="86"/>
      <c r="P453" s="57"/>
      <c r="Q453" s="37"/>
      <c r="R453" s="92" t="str">
        <f t="shared" si="53"/>
        <v/>
      </c>
      <c r="S453" s="52"/>
      <c r="T453" s="87"/>
      <c r="U453" s="86"/>
      <c r="V453" s="201"/>
      <c r="W453" s="37"/>
      <c r="X453" s="52"/>
      <c r="Y453" s="87"/>
      <c r="AA453" s="86"/>
      <c r="AB453" s="57"/>
      <c r="AC453" s="37"/>
      <c r="AD453" s="52"/>
      <c r="AE453" s="87"/>
      <c r="AG453" s="86"/>
      <c r="AH453" s="37"/>
      <c r="AI453" s="52"/>
      <c r="AJ453" s="87"/>
      <c r="AL453" s="86"/>
      <c r="AM453" s="37"/>
      <c r="AN453" s="52"/>
      <c r="AO453" s="87"/>
      <c r="AQ453" s="86"/>
      <c r="AR453" s="37"/>
      <c r="AS453" s="52"/>
      <c r="AT453" s="87"/>
    </row>
    <row r="454" spans="2:46" thickBot="1">
      <c r="B454" s="113"/>
      <c r="C454" s="324"/>
      <c r="D454" s="346"/>
      <c r="E454" s="326"/>
      <c r="F454" s="321" t="str">
        <f t="shared" ref="F454:F517" si="54">IF(E454="","",ROUND(G454*(1+$F$2),2))</f>
        <v/>
      </c>
      <c r="G454" s="334"/>
      <c r="H454" s="331"/>
      <c r="I454" s="107"/>
      <c r="J454" s="108"/>
      <c r="K454" s="109"/>
      <c r="L454" s="108"/>
      <c r="O454" s="86"/>
      <c r="P454" s="57"/>
      <c r="Q454" s="37"/>
      <c r="R454" s="92" t="str">
        <f t="shared" si="53"/>
        <v/>
      </c>
      <c r="S454" s="52"/>
      <c r="T454" s="87"/>
      <c r="U454" s="86"/>
      <c r="V454" s="201"/>
      <c r="W454" s="37"/>
      <c r="X454" s="52"/>
      <c r="Y454" s="87"/>
      <c r="AA454" s="86"/>
      <c r="AB454" s="57"/>
      <c r="AC454" s="37"/>
      <c r="AD454" s="52"/>
      <c r="AE454" s="87"/>
      <c r="AG454" s="86"/>
      <c r="AH454" s="37"/>
      <c r="AI454" s="52"/>
      <c r="AJ454" s="87"/>
      <c r="AL454" s="86"/>
      <c r="AM454" s="37"/>
      <c r="AN454" s="52"/>
      <c r="AO454" s="87"/>
      <c r="AQ454" s="86"/>
      <c r="AR454" s="37"/>
      <c r="AS454" s="52"/>
      <c r="AT454" s="87"/>
    </row>
    <row r="455" spans="2:46" thickBot="1">
      <c r="B455" s="113"/>
      <c r="C455" s="324"/>
      <c r="D455" s="346"/>
      <c r="E455" s="326"/>
      <c r="F455" s="321" t="str">
        <f t="shared" si="54"/>
        <v/>
      </c>
      <c r="G455" s="334"/>
      <c r="H455" s="331"/>
      <c r="I455" s="107"/>
      <c r="J455" s="108"/>
      <c r="K455" s="109"/>
      <c r="L455" s="108"/>
      <c r="O455" s="86"/>
      <c r="P455" s="57"/>
      <c r="Q455" s="37"/>
      <c r="R455" s="92" t="str">
        <f t="shared" si="53"/>
        <v/>
      </c>
      <c r="S455" s="52"/>
      <c r="T455" s="87"/>
      <c r="U455" s="86"/>
      <c r="V455" s="201"/>
      <c r="W455" s="37"/>
      <c r="X455" s="52"/>
      <c r="Y455" s="87"/>
      <c r="AA455" s="86"/>
      <c r="AB455" s="57"/>
      <c r="AC455" s="37"/>
      <c r="AD455" s="52"/>
      <c r="AE455" s="87"/>
      <c r="AG455" s="86"/>
      <c r="AH455" s="37"/>
      <c r="AI455" s="52"/>
      <c r="AJ455" s="87"/>
      <c r="AL455" s="86"/>
      <c r="AM455" s="37"/>
      <c r="AN455" s="52"/>
      <c r="AO455" s="87"/>
      <c r="AQ455" s="86"/>
      <c r="AR455" s="37"/>
      <c r="AS455" s="52"/>
      <c r="AT455" s="87"/>
    </row>
    <row r="456" spans="2:46" thickBot="1">
      <c r="B456" s="113"/>
      <c r="C456" s="324"/>
      <c r="D456" s="346"/>
      <c r="E456" s="326"/>
      <c r="F456" s="321" t="str">
        <f t="shared" si="54"/>
        <v/>
      </c>
      <c r="G456" s="334"/>
      <c r="H456" s="331"/>
      <c r="I456" s="107"/>
      <c r="J456" s="108"/>
      <c r="K456" s="109"/>
      <c r="L456" s="108"/>
      <c r="O456" s="86"/>
      <c r="P456" s="57"/>
      <c r="Q456" s="37"/>
      <c r="R456" s="92" t="str">
        <f t="shared" si="53"/>
        <v/>
      </c>
      <c r="S456" s="52"/>
      <c r="T456" s="87"/>
      <c r="U456" s="86"/>
      <c r="V456" s="201"/>
      <c r="W456" s="37"/>
      <c r="X456" s="52"/>
      <c r="Y456" s="87"/>
      <c r="AA456" s="86"/>
      <c r="AB456" s="57"/>
      <c r="AC456" s="37"/>
      <c r="AD456" s="52"/>
      <c r="AE456" s="87"/>
      <c r="AG456" s="86"/>
      <c r="AH456" s="37"/>
      <c r="AI456" s="52"/>
      <c r="AJ456" s="87"/>
      <c r="AL456" s="86"/>
      <c r="AM456" s="37"/>
      <c r="AN456" s="52"/>
      <c r="AO456" s="87"/>
      <c r="AQ456" s="86"/>
      <c r="AR456" s="37"/>
      <c r="AS456" s="52"/>
      <c r="AT456" s="87"/>
    </row>
    <row r="457" spans="2:46" thickBot="1">
      <c r="B457" s="113"/>
      <c r="C457" s="324"/>
      <c r="D457" s="346"/>
      <c r="E457" s="326"/>
      <c r="F457" s="321" t="str">
        <f t="shared" si="54"/>
        <v/>
      </c>
      <c r="G457" s="334"/>
      <c r="H457" s="331"/>
      <c r="I457" s="107"/>
      <c r="J457" s="108"/>
      <c r="K457" s="109"/>
      <c r="L457" s="108"/>
      <c r="O457" s="86"/>
      <c r="P457" s="57"/>
      <c r="Q457" s="37"/>
      <c r="R457" s="92" t="str">
        <f t="shared" si="53"/>
        <v/>
      </c>
      <c r="S457" s="52"/>
      <c r="T457" s="87"/>
      <c r="U457" s="86"/>
      <c r="V457" s="201"/>
      <c r="W457" s="37"/>
      <c r="X457" s="52"/>
      <c r="Y457" s="87"/>
      <c r="AA457" s="86"/>
      <c r="AB457" s="57"/>
      <c r="AC457" s="37"/>
      <c r="AD457" s="52"/>
      <c r="AE457" s="87"/>
      <c r="AG457" s="86"/>
      <c r="AH457" s="37"/>
      <c r="AI457" s="52"/>
      <c r="AJ457" s="87"/>
      <c r="AL457" s="86"/>
      <c r="AM457" s="37"/>
      <c r="AN457" s="52"/>
      <c r="AO457" s="87"/>
      <c r="AQ457" s="86"/>
      <c r="AR457" s="37"/>
      <c r="AS457" s="52"/>
      <c r="AT457" s="87"/>
    </row>
    <row r="458" spans="2:46" thickBot="1">
      <c r="B458" s="113"/>
      <c r="C458" s="324"/>
      <c r="D458" s="346"/>
      <c r="E458" s="326"/>
      <c r="F458" s="321" t="str">
        <f t="shared" si="54"/>
        <v/>
      </c>
      <c r="G458" s="334"/>
      <c r="H458" s="331"/>
      <c r="I458" s="107"/>
      <c r="J458" s="108"/>
      <c r="K458" s="109"/>
      <c r="L458" s="108"/>
      <c r="O458" s="86"/>
      <c r="P458" s="57"/>
      <c r="Q458" s="37"/>
      <c r="R458" s="92" t="str">
        <f t="shared" si="53"/>
        <v/>
      </c>
      <c r="S458" s="52"/>
      <c r="T458" s="87"/>
      <c r="U458" s="86"/>
      <c r="V458" s="201"/>
      <c r="W458" s="37"/>
      <c r="X458" s="52"/>
      <c r="Y458" s="87"/>
      <c r="AA458" s="86"/>
      <c r="AB458" s="57"/>
      <c r="AC458" s="37"/>
      <c r="AD458" s="52"/>
      <c r="AE458" s="87"/>
      <c r="AG458" s="86"/>
      <c r="AH458" s="37"/>
      <c r="AI458" s="52"/>
      <c r="AJ458" s="87"/>
      <c r="AL458" s="86"/>
      <c r="AM458" s="37"/>
      <c r="AN458" s="52"/>
      <c r="AO458" s="87"/>
      <c r="AQ458" s="86"/>
      <c r="AR458" s="37"/>
      <c r="AS458" s="52"/>
      <c r="AT458" s="87"/>
    </row>
    <row r="459" spans="2:46" thickBot="1">
      <c r="B459" s="113"/>
      <c r="C459" s="324"/>
      <c r="D459" s="346"/>
      <c r="E459" s="326"/>
      <c r="F459" s="321" t="str">
        <f t="shared" si="54"/>
        <v/>
      </c>
      <c r="G459" s="334"/>
      <c r="H459" s="331"/>
      <c r="I459" s="107"/>
      <c r="J459" s="108"/>
      <c r="K459" s="109"/>
      <c r="L459" s="108"/>
      <c r="O459" s="86"/>
      <c r="P459" s="57"/>
      <c r="Q459" s="37"/>
      <c r="R459" s="92" t="str">
        <f t="shared" si="53"/>
        <v/>
      </c>
      <c r="S459" s="52"/>
      <c r="T459" s="87"/>
      <c r="U459" s="86"/>
      <c r="V459" s="201"/>
      <c r="W459" s="37"/>
      <c r="X459" s="52"/>
      <c r="Y459" s="87"/>
      <c r="AA459" s="86"/>
      <c r="AB459" s="57"/>
      <c r="AC459" s="37"/>
      <c r="AD459" s="52"/>
      <c r="AE459" s="87"/>
      <c r="AG459" s="86"/>
      <c r="AH459" s="37"/>
      <c r="AI459" s="52"/>
      <c r="AJ459" s="87"/>
      <c r="AL459" s="86"/>
      <c r="AM459" s="37"/>
      <c r="AN459" s="52"/>
      <c r="AO459" s="87"/>
      <c r="AQ459" s="86"/>
      <c r="AR459" s="37"/>
      <c r="AS459" s="52"/>
      <c r="AT459" s="87"/>
    </row>
    <row r="460" spans="2:46" thickBot="1">
      <c r="B460" s="113"/>
      <c r="C460" s="324"/>
      <c r="D460" s="346"/>
      <c r="E460" s="326"/>
      <c r="F460" s="321" t="str">
        <f t="shared" si="54"/>
        <v/>
      </c>
      <c r="G460" s="334"/>
      <c r="H460" s="331"/>
      <c r="I460" s="107"/>
      <c r="J460" s="108"/>
      <c r="K460" s="109"/>
      <c r="L460" s="108"/>
      <c r="O460" s="86"/>
      <c r="P460" s="57"/>
      <c r="Q460" s="37"/>
      <c r="R460" s="92" t="str">
        <f t="shared" si="53"/>
        <v/>
      </c>
      <c r="S460" s="52"/>
      <c r="T460" s="87"/>
      <c r="U460" s="86"/>
      <c r="V460" s="201"/>
      <c r="W460" s="37"/>
      <c r="X460" s="52"/>
      <c r="Y460" s="87"/>
      <c r="AA460" s="86"/>
      <c r="AB460" s="57"/>
      <c r="AC460" s="37"/>
      <c r="AD460" s="52"/>
      <c r="AE460" s="87"/>
      <c r="AG460" s="86"/>
      <c r="AH460" s="37"/>
      <c r="AI460" s="52"/>
      <c r="AJ460" s="87"/>
      <c r="AL460" s="86"/>
      <c r="AM460" s="37"/>
      <c r="AN460" s="52"/>
      <c r="AO460" s="87"/>
      <c r="AQ460" s="86"/>
      <c r="AR460" s="37"/>
      <c r="AS460" s="52"/>
      <c r="AT460" s="87"/>
    </row>
    <row r="461" spans="2:46" thickBot="1">
      <c r="B461" s="113"/>
      <c r="C461" s="324"/>
      <c r="D461" s="346"/>
      <c r="E461" s="326"/>
      <c r="F461" s="321" t="str">
        <f t="shared" si="54"/>
        <v/>
      </c>
      <c r="G461" s="334"/>
      <c r="H461" s="331"/>
      <c r="I461" s="107"/>
      <c r="J461" s="108"/>
      <c r="K461" s="109"/>
      <c r="L461" s="108"/>
      <c r="O461" s="86"/>
      <c r="P461" s="57"/>
      <c r="Q461" s="37"/>
      <c r="R461" s="92" t="str">
        <f t="shared" si="53"/>
        <v/>
      </c>
      <c r="S461" s="52"/>
      <c r="T461" s="87"/>
      <c r="U461" s="86"/>
      <c r="V461" s="201"/>
      <c r="W461" s="37"/>
      <c r="X461" s="52"/>
      <c r="Y461" s="87"/>
      <c r="AA461" s="86"/>
      <c r="AB461" s="57"/>
      <c r="AC461" s="37"/>
      <c r="AD461" s="52"/>
      <c r="AE461" s="87"/>
      <c r="AG461" s="86"/>
      <c r="AH461" s="37"/>
      <c r="AI461" s="52"/>
      <c r="AJ461" s="87"/>
      <c r="AL461" s="86"/>
      <c r="AM461" s="37"/>
      <c r="AN461" s="52"/>
      <c r="AO461" s="87"/>
      <c r="AQ461" s="86"/>
      <c r="AR461" s="37"/>
      <c r="AS461" s="52"/>
      <c r="AT461" s="87"/>
    </row>
    <row r="462" spans="2:46" thickBot="1">
      <c r="B462" s="113"/>
      <c r="C462" s="324"/>
      <c r="D462" s="346"/>
      <c r="E462" s="326"/>
      <c r="F462" s="321" t="str">
        <f t="shared" si="54"/>
        <v/>
      </c>
      <c r="G462" s="334"/>
      <c r="H462" s="331"/>
      <c r="I462" s="107"/>
      <c r="J462" s="108"/>
      <c r="K462" s="109"/>
      <c r="L462" s="108"/>
      <c r="O462" s="86"/>
      <c r="P462" s="57"/>
      <c r="Q462" s="37"/>
      <c r="R462" s="92" t="str">
        <f t="shared" si="53"/>
        <v/>
      </c>
      <c r="S462" s="52"/>
      <c r="T462" s="87"/>
      <c r="U462" s="86"/>
      <c r="V462" s="201"/>
      <c r="W462" s="37"/>
      <c r="X462" s="52"/>
      <c r="Y462" s="87"/>
      <c r="AA462" s="86"/>
      <c r="AB462" s="57"/>
      <c r="AC462" s="37"/>
      <c r="AD462" s="52"/>
      <c r="AE462" s="87"/>
      <c r="AG462" s="86"/>
      <c r="AH462" s="37"/>
      <c r="AI462" s="52"/>
      <c r="AJ462" s="87"/>
      <c r="AL462" s="86"/>
      <c r="AM462" s="37"/>
      <c r="AN462" s="52"/>
      <c r="AO462" s="87"/>
      <c r="AQ462" s="86"/>
      <c r="AR462" s="37"/>
      <c r="AS462" s="52"/>
      <c r="AT462" s="87"/>
    </row>
    <row r="463" spans="2:46" thickBot="1">
      <c r="B463" s="113"/>
      <c r="C463" s="324"/>
      <c r="D463" s="346"/>
      <c r="E463" s="326"/>
      <c r="F463" s="321" t="str">
        <f t="shared" si="54"/>
        <v/>
      </c>
      <c r="G463" s="334"/>
      <c r="H463" s="331"/>
      <c r="I463" s="107"/>
      <c r="J463" s="108"/>
      <c r="K463" s="109"/>
      <c r="L463" s="108"/>
      <c r="O463" s="86"/>
      <c r="P463" s="57"/>
      <c r="Q463" s="37"/>
      <c r="R463" s="92" t="str">
        <f t="shared" si="53"/>
        <v/>
      </c>
      <c r="S463" s="52"/>
      <c r="T463" s="87"/>
      <c r="U463" s="86"/>
      <c r="V463" s="201"/>
      <c r="W463" s="37"/>
      <c r="X463" s="52"/>
      <c r="Y463" s="87"/>
      <c r="AA463" s="86"/>
      <c r="AB463" s="57"/>
      <c r="AC463" s="37"/>
      <c r="AD463" s="52"/>
      <c r="AE463" s="87"/>
      <c r="AG463" s="86"/>
      <c r="AH463" s="37"/>
      <c r="AI463" s="52"/>
      <c r="AJ463" s="87"/>
      <c r="AL463" s="86"/>
      <c r="AM463" s="37"/>
      <c r="AN463" s="52"/>
      <c r="AO463" s="87"/>
      <c r="AQ463" s="86"/>
      <c r="AR463" s="37"/>
      <c r="AS463" s="52"/>
      <c r="AT463" s="87"/>
    </row>
    <row r="464" spans="2:46" thickBot="1">
      <c r="B464" s="113"/>
      <c r="C464" s="324"/>
      <c r="D464" s="346"/>
      <c r="E464" s="326"/>
      <c r="F464" s="321" t="str">
        <f t="shared" si="54"/>
        <v/>
      </c>
      <c r="G464" s="334"/>
      <c r="H464" s="331"/>
      <c r="I464" s="107"/>
      <c r="J464" s="108"/>
      <c r="K464" s="109"/>
      <c r="L464" s="108"/>
      <c r="O464" s="86"/>
      <c r="P464" s="57"/>
      <c r="Q464" s="37"/>
      <c r="R464" s="92" t="str">
        <f t="shared" si="53"/>
        <v/>
      </c>
      <c r="S464" s="52"/>
      <c r="T464" s="87"/>
      <c r="U464" s="86"/>
      <c r="V464" s="201"/>
      <c r="W464" s="37"/>
      <c r="X464" s="52"/>
      <c r="Y464" s="87"/>
      <c r="AA464" s="86"/>
      <c r="AB464" s="57"/>
      <c r="AC464" s="37"/>
      <c r="AD464" s="52"/>
      <c r="AE464" s="87"/>
      <c r="AG464" s="86"/>
      <c r="AH464" s="37"/>
      <c r="AI464" s="52"/>
      <c r="AJ464" s="87"/>
      <c r="AL464" s="86"/>
      <c r="AM464" s="37"/>
      <c r="AN464" s="52"/>
      <c r="AO464" s="87"/>
      <c r="AQ464" s="86"/>
      <c r="AR464" s="37"/>
      <c r="AS464" s="52"/>
      <c r="AT464" s="87"/>
    </row>
    <row r="465" spans="2:46" thickBot="1">
      <c r="B465" s="113"/>
      <c r="C465" s="324"/>
      <c r="D465" s="346"/>
      <c r="E465" s="326"/>
      <c r="F465" s="321" t="str">
        <f t="shared" si="54"/>
        <v/>
      </c>
      <c r="G465" s="334"/>
      <c r="H465" s="331"/>
      <c r="I465" s="107"/>
      <c r="J465" s="108"/>
      <c r="K465" s="109"/>
      <c r="L465" s="108"/>
      <c r="O465" s="86"/>
      <c r="P465" s="57"/>
      <c r="Q465" s="37"/>
      <c r="R465" s="92" t="str">
        <f t="shared" si="53"/>
        <v/>
      </c>
      <c r="S465" s="52"/>
      <c r="T465" s="87"/>
      <c r="U465" s="86"/>
      <c r="V465" s="201"/>
      <c r="W465" s="37"/>
      <c r="X465" s="52"/>
      <c r="Y465" s="87"/>
      <c r="AA465" s="86"/>
      <c r="AB465" s="57"/>
      <c r="AC465" s="37"/>
      <c r="AD465" s="52"/>
      <c r="AE465" s="87"/>
      <c r="AG465" s="86"/>
      <c r="AH465" s="37"/>
      <c r="AI465" s="52"/>
      <c r="AJ465" s="87"/>
      <c r="AL465" s="86"/>
      <c r="AM465" s="37"/>
      <c r="AN465" s="52"/>
      <c r="AO465" s="87"/>
      <c r="AQ465" s="86"/>
      <c r="AR465" s="37"/>
      <c r="AS465" s="52"/>
      <c r="AT465" s="87"/>
    </row>
    <row r="466" spans="2:46" thickBot="1">
      <c r="B466" s="113"/>
      <c r="C466" s="324"/>
      <c r="D466" s="346"/>
      <c r="E466" s="326"/>
      <c r="F466" s="321" t="str">
        <f t="shared" si="54"/>
        <v/>
      </c>
      <c r="G466" s="334"/>
      <c r="H466" s="331"/>
      <c r="I466" s="107"/>
      <c r="J466" s="108"/>
      <c r="K466" s="109"/>
      <c r="L466" s="108"/>
      <c r="O466" s="86"/>
      <c r="P466" s="57"/>
      <c r="Q466" s="37"/>
      <c r="R466" s="92" t="str">
        <f t="shared" si="53"/>
        <v/>
      </c>
      <c r="S466" s="52"/>
      <c r="T466" s="87"/>
      <c r="U466" s="86"/>
      <c r="V466" s="201"/>
      <c r="W466" s="37"/>
      <c r="X466" s="52"/>
      <c r="Y466" s="87"/>
      <c r="AA466" s="86"/>
      <c r="AB466" s="57"/>
      <c r="AC466" s="37"/>
      <c r="AD466" s="52"/>
      <c r="AE466" s="87"/>
      <c r="AG466" s="86"/>
      <c r="AH466" s="37"/>
      <c r="AI466" s="52"/>
      <c r="AJ466" s="87"/>
      <c r="AL466" s="86"/>
      <c r="AM466" s="37"/>
      <c r="AN466" s="52"/>
      <c r="AO466" s="87"/>
      <c r="AQ466" s="86"/>
      <c r="AR466" s="37"/>
      <c r="AS466" s="52"/>
      <c r="AT466" s="87"/>
    </row>
    <row r="467" spans="2:46" thickBot="1">
      <c r="B467" s="113"/>
      <c r="C467" s="324"/>
      <c r="D467" s="346"/>
      <c r="E467" s="326"/>
      <c r="F467" s="321" t="str">
        <f t="shared" si="54"/>
        <v/>
      </c>
      <c r="G467" s="334"/>
      <c r="H467" s="331"/>
      <c r="I467" s="107"/>
      <c r="J467" s="108"/>
      <c r="K467" s="109"/>
      <c r="L467" s="108"/>
      <c r="O467" s="86"/>
      <c r="P467" s="57"/>
      <c r="Q467" s="37"/>
      <c r="R467" s="92" t="str">
        <f t="shared" si="53"/>
        <v/>
      </c>
      <c r="S467" s="52"/>
      <c r="T467" s="87"/>
      <c r="U467" s="86"/>
      <c r="V467" s="201"/>
      <c r="W467" s="37"/>
      <c r="X467" s="52"/>
      <c r="Y467" s="87"/>
      <c r="AA467" s="86"/>
      <c r="AB467" s="57"/>
      <c r="AC467" s="37"/>
      <c r="AD467" s="52"/>
      <c r="AE467" s="87"/>
      <c r="AG467" s="86"/>
      <c r="AH467" s="37"/>
      <c r="AI467" s="52"/>
      <c r="AJ467" s="87"/>
      <c r="AL467" s="86"/>
      <c r="AM467" s="37"/>
      <c r="AN467" s="52"/>
      <c r="AO467" s="87"/>
      <c r="AQ467" s="86"/>
      <c r="AR467" s="37"/>
      <c r="AS467" s="52"/>
      <c r="AT467" s="87"/>
    </row>
    <row r="468" spans="2:46" thickBot="1">
      <c r="B468" s="113"/>
      <c r="C468" s="324"/>
      <c r="D468" s="346"/>
      <c r="E468" s="326"/>
      <c r="F468" s="321" t="str">
        <f t="shared" si="54"/>
        <v/>
      </c>
      <c r="G468" s="334"/>
      <c r="H468" s="331"/>
      <c r="I468" s="107"/>
      <c r="J468" s="108"/>
      <c r="K468" s="109"/>
      <c r="L468" s="108"/>
      <c r="O468" s="86"/>
      <c r="P468" s="57"/>
      <c r="Q468" s="37"/>
      <c r="R468" s="92" t="str">
        <f t="shared" si="53"/>
        <v/>
      </c>
      <c r="S468" s="52"/>
      <c r="T468" s="87"/>
      <c r="U468" s="86"/>
      <c r="V468" s="201"/>
      <c r="W468" s="37"/>
      <c r="X468" s="52"/>
      <c r="Y468" s="87"/>
      <c r="AA468" s="86"/>
      <c r="AB468" s="57"/>
      <c r="AC468" s="37"/>
      <c r="AD468" s="52"/>
      <c r="AE468" s="87"/>
      <c r="AG468" s="86"/>
      <c r="AH468" s="37"/>
      <c r="AI468" s="52"/>
      <c r="AJ468" s="87"/>
      <c r="AL468" s="86"/>
      <c r="AM468" s="37"/>
      <c r="AN468" s="52"/>
      <c r="AO468" s="87"/>
      <c r="AQ468" s="86"/>
      <c r="AR468" s="37"/>
      <c r="AS468" s="52"/>
      <c r="AT468" s="87"/>
    </row>
    <row r="469" spans="2:46" thickBot="1">
      <c r="B469" s="113"/>
      <c r="C469" s="324"/>
      <c r="D469" s="346"/>
      <c r="E469" s="326"/>
      <c r="F469" s="321" t="str">
        <f t="shared" si="54"/>
        <v/>
      </c>
      <c r="G469" s="334"/>
      <c r="H469" s="331"/>
      <c r="I469" s="107"/>
      <c r="J469" s="108"/>
      <c r="K469" s="109"/>
      <c r="L469" s="108"/>
      <c r="O469" s="86"/>
      <c r="P469" s="57"/>
      <c r="Q469" s="37"/>
      <c r="R469" s="92" t="str">
        <f t="shared" si="53"/>
        <v/>
      </c>
      <c r="S469" s="52"/>
      <c r="T469" s="87"/>
      <c r="U469" s="86"/>
      <c r="V469" s="201"/>
      <c r="W469" s="37"/>
      <c r="X469" s="52"/>
      <c r="Y469" s="87"/>
      <c r="AA469" s="86"/>
      <c r="AB469" s="57"/>
      <c r="AC469" s="37"/>
      <c r="AD469" s="52"/>
      <c r="AE469" s="87"/>
      <c r="AG469" s="86"/>
      <c r="AH469" s="37"/>
      <c r="AI469" s="52"/>
      <c r="AJ469" s="87"/>
      <c r="AL469" s="86"/>
      <c r="AM469" s="37"/>
      <c r="AN469" s="52"/>
      <c r="AO469" s="87"/>
      <c r="AQ469" s="86"/>
      <c r="AR469" s="37"/>
      <c r="AS469" s="52"/>
      <c r="AT469" s="87"/>
    </row>
    <row r="470" spans="2:46" thickBot="1">
      <c r="B470" s="113"/>
      <c r="C470" s="324"/>
      <c r="D470" s="346"/>
      <c r="E470" s="326"/>
      <c r="F470" s="321" t="str">
        <f t="shared" si="54"/>
        <v/>
      </c>
      <c r="G470" s="334"/>
      <c r="H470" s="331"/>
      <c r="I470" s="107"/>
      <c r="J470" s="108"/>
      <c r="K470" s="109"/>
      <c r="L470" s="108"/>
      <c r="O470" s="86"/>
      <c r="P470" s="57"/>
      <c r="Q470" s="37"/>
      <c r="R470" s="92" t="str">
        <f t="shared" si="53"/>
        <v/>
      </c>
      <c r="S470" s="52"/>
      <c r="T470" s="87"/>
      <c r="U470" s="86"/>
      <c r="V470" s="201"/>
      <c r="W470" s="37"/>
      <c r="X470" s="52"/>
      <c r="Y470" s="87"/>
      <c r="AA470" s="86"/>
      <c r="AB470" s="57"/>
      <c r="AC470" s="37"/>
      <c r="AD470" s="52"/>
      <c r="AE470" s="87"/>
      <c r="AG470" s="86"/>
      <c r="AH470" s="37"/>
      <c r="AI470" s="52"/>
      <c r="AJ470" s="87"/>
      <c r="AL470" s="86"/>
      <c r="AM470" s="37"/>
      <c r="AN470" s="52"/>
      <c r="AO470" s="87"/>
      <c r="AQ470" s="86"/>
      <c r="AR470" s="37"/>
      <c r="AS470" s="52"/>
      <c r="AT470" s="87"/>
    </row>
    <row r="471" spans="2:46" thickBot="1">
      <c r="B471" s="113"/>
      <c r="C471" s="324"/>
      <c r="D471" s="346"/>
      <c r="E471" s="326"/>
      <c r="F471" s="321" t="str">
        <f t="shared" si="54"/>
        <v/>
      </c>
      <c r="G471" s="334"/>
      <c r="H471" s="331"/>
      <c r="I471" s="107"/>
      <c r="J471" s="108"/>
      <c r="K471" s="109"/>
      <c r="L471" s="108"/>
      <c r="O471" s="86"/>
      <c r="P471" s="57"/>
      <c r="Q471" s="37"/>
      <c r="R471" s="92" t="str">
        <f t="shared" si="53"/>
        <v/>
      </c>
      <c r="S471" s="52"/>
      <c r="T471" s="87"/>
      <c r="U471" s="86"/>
      <c r="V471" s="201"/>
      <c r="W471" s="37"/>
      <c r="X471" s="52"/>
      <c r="Y471" s="87"/>
      <c r="AA471" s="86"/>
      <c r="AB471" s="57"/>
      <c r="AC471" s="37"/>
      <c r="AD471" s="52"/>
      <c r="AE471" s="87"/>
      <c r="AG471" s="86"/>
      <c r="AH471" s="37"/>
      <c r="AI471" s="52"/>
      <c r="AJ471" s="87"/>
      <c r="AL471" s="86"/>
      <c r="AM471" s="37"/>
      <c r="AN471" s="52"/>
      <c r="AO471" s="87"/>
      <c r="AQ471" s="86"/>
      <c r="AR471" s="37"/>
      <c r="AS471" s="52"/>
      <c r="AT471" s="87"/>
    </row>
    <row r="472" spans="2:46" thickBot="1">
      <c r="B472" s="113"/>
      <c r="C472" s="324"/>
      <c r="D472" s="346"/>
      <c r="E472" s="326"/>
      <c r="F472" s="321" t="str">
        <f t="shared" si="54"/>
        <v/>
      </c>
      <c r="G472" s="334"/>
      <c r="H472" s="331"/>
      <c r="I472" s="107"/>
      <c r="J472" s="108"/>
      <c r="K472" s="109"/>
      <c r="L472" s="108"/>
      <c r="O472" s="86"/>
      <c r="P472" s="57"/>
      <c r="Q472" s="37"/>
      <c r="R472" s="92" t="str">
        <f t="shared" si="53"/>
        <v/>
      </c>
      <c r="S472" s="52"/>
      <c r="T472" s="87"/>
      <c r="U472" s="86"/>
      <c r="V472" s="201"/>
      <c r="W472" s="37"/>
      <c r="X472" s="52"/>
      <c r="Y472" s="87"/>
      <c r="AA472" s="86"/>
      <c r="AB472" s="57"/>
      <c r="AC472" s="37"/>
      <c r="AD472" s="52"/>
      <c r="AE472" s="87"/>
      <c r="AG472" s="86"/>
      <c r="AH472" s="37"/>
      <c r="AI472" s="52"/>
      <c r="AJ472" s="87"/>
      <c r="AL472" s="86"/>
      <c r="AM472" s="37"/>
      <c r="AN472" s="52"/>
      <c r="AO472" s="87"/>
      <c r="AQ472" s="86"/>
      <c r="AR472" s="37"/>
      <c r="AS472" s="52"/>
      <c r="AT472" s="87"/>
    </row>
    <row r="473" spans="2:46" thickBot="1">
      <c r="B473" s="113"/>
      <c r="C473" s="324"/>
      <c r="D473" s="346"/>
      <c r="E473" s="326"/>
      <c r="F473" s="321" t="str">
        <f t="shared" si="54"/>
        <v/>
      </c>
      <c r="G473" s="334"/>
      <c r="H473" s="331"/>
      <c r="I473" s="107"/>
      <c r="J473" s="108"/>
      <c r="K473" s="109"/>
      <c r="L473" s="108"/>
      <c r="O473" s="86"/>
      <c r="P473" s="57"/>
      <c r="Q473" s="37"/>
      <c r="R473" s="92" t="str">
        <f t="shared" si="53"/>
        <v/>
      </c>
      <c r="S473" s="52"/>
      <c r="T473" s="87"/>
      <c r="U473" s="86"/>
      <c r="V473" s="201"/>
      <c r="W473" s="37"/>
      <c r="X473" s="52"/>
      <c r="Y473" s="87"/>
      <c r="AA473" s="86"/>
      <c r="AB473" s="57"/>
      <c r="AC473" s="37"/>
      <c r="AD473" s="52"/>
      <c r="AE473" s="87"/>
      <c r="AG473" s="86"/>
      <c r="AH473" s="37"/>
      <c r="AI473" s="52"/>
      <c r="AJ473" s="87"/>
      <c r="AL473" s="86"/>
      <c r="AM473" s="37"/>
      <c r="AN473" s="52"/>
      <c r="AO473" s="87"/>
      <c r="AQ473" s="86"/>
      <c r="AR473" s="37"/>
      <c r="AS473" s="52"/>
      <c r="AT473" s="87"/>
    </row>
    <row r="474" spans="2:46" thickBot="1">
      <c r="B474" s="113"/>
      <c r="C474" s="324"/>
      <c r="D474" s="346"/>
      <c r="E474" s="326"/>
      <c r="F474" s="321" t="str">
        <f t="shared" si="54"/>
        <v/>
      </c>
      <c r="G474" s="334"/>
      <c r="H474" s="331"/>
      <c r="I474" s="107"/>
      <c r="J474" s="108"/>
      <c r="K474" s="109"/>
      <c r="L474" s="108"/>
      <c r="O474" s="86"/>
      <c r="P474" s="57"/>
      <c r="Q474" s="37"/>
      <c r="R474" s="92" t="str">
        <f t="shared" si="53"/>
        <v/>
      </c>
      <c r="S474" s="52"/>
      <c r="T474" s="87"/>
      <c r="U474" s="86"/>
      <c r="V474" s="201"/>
      <c r="W474" s="37"/>
      <c r="X474" s="52"/>
      <c r="Y474" s="87"/>
      <c r="AA474" s="86"/>
      <c r="AB474" s="57"/>
      <c r="AC474" s="37"/>
      <c r="AD474" s="52"/>
      <c r="AE474" s="87"/>
      <c r="AG474" s="86"/>
      <c r="AH474" s="37"/>
      <c r="AI474" s="52"/>
      <c r="AJ474" s="87"/>
      <c r="AL474" s="86"/>
      <c r="AM474" s="37"/>
      <c r="AN474" s="52"/>
      <c r="AO474" s="87"/>
      <c r="AQ474" s="86"/>
      <c r="AR474" s="37"/>
      <c r="AS474" s="52"/>
      <c r="AT474" s="87"/>
    </row>
    <row r="475" spans="2:46" thickBot="1">
      <c r="B475" s="113"/>
      <c r="C475" s="324"/>
      <c r="D475" s="346"/>
      <c r="E475" s="326"/>
      <c r="F475" s="321" t="str">
        <f t="shared" si="54"/>
        <v/>
      </c>
      <c r="G475" s="334"/>
      <c r="H475" s="331"/>
      <c r="I475" s="107"/>
      <c r="J475" s="108"/>
      <c r="K475" s="109"/>
      <c r="L475" s="108"/>
      <c r="O475" s="86"/>
      <c r="P475" s="57"/>
      <c r="Q475" s="37"/>
      <c r="R475" s="92" t="str">
        <f t="shared" si="53"/>
        <v/>
      </c>
      <c r="S475" s="52"/>
      <c r="T475" s="87"/>
      <c r="U475" s="86"/>
      <c r="V475" s="201"/>
      <c r="W475" s="37"/>
      <c r="X475" s="52"/>
      <c r="Y475" s="87"/>
      <c r="AA475" s="86"/>
      <c r="AB475" s="57"/>
      <c r="AC475" s="37"/>
      <c r="AD475" s="52"/>
      <c r="AE475" s="87"/>
      <c r="AG475" s="86"/>
      <c r="AH475" s="37"/>
      <c r="AI475" s="52"/>
      <c r="AJ475" s="87"/>
      <c r="AL475" s="86"/>
      <c r="AM475" s="37"/>
      <c r="AN475" s="52"/>
      <c r="AO475" s="87"/>
      <c r="AQ475" s="86"/>
      <c r="AR475" s="37"/>
      <c r="AS475" s="52"/>
      <c r="AT475" s="87"/>
    </row>
    <row r="476" spans="2:46" thickBot="1">
      <c r="B476" s="113"/>
      <c r="C476" s="324"/>
      <c r="D476" s="346"/>
      <c r="E476" s="326"/>
      <c r="F476" s="321" t="str">
        <f t="shared" si="54"/>
        <v/>
      </c>
      <c r="G476" s="334"/>
      <c r="H476" s="331"/>
      <c r="I476" s="107"/>
      <c r="J476" s="108"/>
      <c r="K476" s="109"/>
      <c r="L476" s="108"/>
      <c r="O476" s="86"/>
      <c r="P476" s="57"/>
      <c r="Q476" s="37"/>
      <c r="R476" s="92" t="str">
        <f t="shared" si="53"/>
        <v/>
      </c>
      <c r="S476" s="52"/>
      <c r="T476" s="87"/>
      <c r="U476" s="86"/>
      <c r="V476" s="201"/>
      <c r="W476" s="37"/>
      <c r="X476" s="52"/>
      <c r="Y476" s="87"/>
      <c r="AA476" s="86"/>
      <c r="AB476" s="57"/>
      <c r="AC476" s="37"/>
      <c r="AD476" s="52"/>
      <c r="AE476" s="87"/>
      <c r="AG476" s="86"/>
      <c r="AH476" s="37"/>
      <c r="AI476" s="52"/>
      <c r="AJ476" s="87"/>
      <c r="AL476" s="86"/>
      <c r="AM476" s="37"/>
      <c r="AN476" s="52"/>
      <c r="AO476" s="87"/>
      <c r="AQ476" s="86"/>
      <c r="AR476" s="37"/>
      <c r="AS476" s="52"/>
      <c r="AT476" s="87"/>
    </row>
    <row r="477" spans="2:46" thickBot="1">
      <c r="B477" s="113"/>
      <c r="C477" s="324"/>
      <c r="D477" s="346"/>
      <c r="E477" s="326"/>
      <c r="F477" s="321" t="str">
        <f t="shared" si="54"/>
        <v/>
      </c>
      <c r="G477" s="334"/>
      <c r="H477" s="331"/>
      <c r="I477" s="107"/>
      <c r="J477" s="108"/>
      <c r="K477" s="109"/>
      <c r="L477" s="108"/>
      <c r="O477" s="86"/>
      <c r="P477" s="57"/>
      <c r="Q477" s="37"/>
      <c r="R477" s="92" t="str">
        <f t="shared" si="53"/>
        <v/>
      </c>
      <c r="S477" s="52"/>
      <c r="T477" s="87"/>
      <c r="U477" s="86"/>
      <c r="V477" s="201"/>
      <c r="W477" s="37"/>
      <c r="X477" s="52"/>
      <c r="Y477" s="87"/>
      <c r="AA477" s="86"/>
      <c r="AB477" s="57"/>
      <c r="AC477" s="37"/>
      <c r="AD477" s="52"/>
      <c r="AE477" s="87"/>
      <c r="AG477" s="86"/>
      <c r="AH477" s="37"/>
      <c r="AI477" s="52"/>
      <c r="AJ477" s="87"/>
      <c r="AL477" s="86"/>
      <c r="AM477" s="37"/>
      <c r="AN477" s="52"/>
      <c r="AO477" s="87"/>
      <c r="AQ477" s="86"/>
      <c r="AR477" s="37"/>
      <c r="AS477" s="52"/>
      <c r="AT477" s="87"/>
    </row>
    <row r="478" spans="2:46" thickBot="1">
      <c r="B478" s="113"/>
      <c r="C478" s="324"/>
      <c r="D478" s="346"/>
      <c r="E478" s="326"/>
      <c r="F478" s="321" t="str">
        <f t="shared" si="54"/>
        <v/>
      </c>
      <c r="G478" s="334"/>
      <c r="H478" s="331"/>
      <c r="I478" s="107"/>
      <c r="J478" s="108"/>
      <c r="K478" s="109"/>
      <c r="L478" s="108"/>
      <c r="O478" s="86"/>
      <c r="P478" s="57"/>
      <c r="Q478" s="37"/>
      <c r="R478" s="92" t="str">
        <f t="shared" si="53"/>
        <v/>
      </c>
      <c r="S478" s="52"/>
      <c r="T478" s="87"/>
      <c r="U478" s="86"/>
      <c r="V478" s="201"/>
      <c r="W478" s="37"/>
      <c r="X478" s="52"/>
      <c r="Y478" s="87"/>
      <c r="AA478" s="86"/>
      <c r="AB478" s="57"/>
      <c r="AC478" s="37"/>
      <c r="AD478" s="52"/>
      <c r="AE478" s="87"/>
      <c r="AG478" s="86"/>
      <c r="AH478" s="37"/>
      <c r="AI478" s="52"/>
      <c r="AJ478" s="87"/>
      <c r="AL478" s="86"/>
      <c r="AM478" s="37"/>
      <c r="AN478" s="52"/>
      <c r="AO478" s="87"/>
      <c r="AQ478" s="86"/>
      <c r="AR478" s="37"/>
      <c r="AS478" s="52"/>
      <c r="AT478" s="87"/>
    </row>
    <row r="479" spans="2:46" thickBot="1">
      <c r="B479" s="113"/>
      <c r="C479" s="324"/>
      <c r="D479" s="346"/>
      <c r="E479" s="326"/>
      <c r="F479" s="321" t="str">
        <f t="shared" si="54"/>
        <v/>
      </c>
      <c r="G479" s="334"/>
      <c r="H479" s="331"/>
      <c r="I479" s="107"/>
      <c r="J479" s="108"/>
      <c r="K479" s="109"/>
      <c r="L479" s="108"/>
      <c r="O479" s="86"/>
      <c r="P479" s="57"/>
      <c r="Q479" s="37"/>
      <c r="R479" s="92" t="str">
        <f t="shared" si="53"/>
        <v/>
      </c>
      <c r="S479" s="52"/>
      <c r="T479" s="87"/>
      <c r="U479" s="86"/>
      <c r="V479" s="201"/>
      <c r="W479" s="37"/>
      <c r="X479" s="52"/>
      <c r="Y479" s="87"/>
      <c r="AA479" s="86"/>
      <c r="AB479" s="57"/>
      <c r="AC479" s="37"/>
      <c r="AD479" s="52"/>
      <c r="AE479" s="87"/>
      <c r="AG479" s="86"/>
      <c r="AH479" s="37"/>
      <c r="AI479" s="52"/>
      <c r="AJ479" s="87"/>
      <c r="AL479" s="86"/>
      <c r="AM479" s="37"/>
      <c r="AN479" s="52"/>
      <c r="AO479" s="87"/>
      <c r="AQ479" s="86"/>
      <c r="AR479" s="37"/>
      <c r="AS479" s="52"/>
      <c r="AT479" s="87"/>
    </row>
    <row r="480" spans="2:46" thickBot="1">
      <c r="B480" s="113"/>
      <c r="C480" s="324"/>
      <c r="D480" s="346"/>
      <c r="E480" s="326"/>
      <c r="F480" s="321" t="str">
        <f t="shared" si="54"/>
        <v/>
      </c>
      <c r="G480" s="334"/>
      <c r="H480" s="331"/>
      <c r="I480" s="107"/>
      <c r="J480" s="108"/>
      <c r="K480" s="109"/>
      <c r="L480" s="108"/>
      <c r="O480" s="86"/>
      <c r="P480" s="57"/>
      <c r="Q480" s="37"/>
      <c r="R480" s="92" t="str">
        <f t="shared" si="53"/>
        <v/>
      </c>
      <c r="S480" s="52"/>
      <c r="T480" s="87"/>
      <c r="U480" s="86"/>
      <c r="V480" s="201"/>
      <c r="W480" s="37"/>
      <c r="X480" s="52"/>
      <c r="Y480" s="87"/>
      <c r="AA480" s="86"/>
      <c r="AB480" s="57"/>
      <c r="AC480" s="37"/>
      <c r="AD480" s="52"/>
      <c r="AE480" s="87"/>
      <c r="AG480" s="86"/>
      <c r="AH480" s="37"/>
      <c r="AI480" s="52"/>
      <c r="AJ480" s="87"/>
      <c r="AL480" s="86"/>
      <c r="AM480" s="37"/>
      <c r="AN480" s="52"/>
      <c r="AO480" s="87"/>
      <c r="AQ480" s="86"/>
      <c r="AR480" s="37"/>
      <c r="AS480" s="52"/>
      <c r="AT480" s="87"/>
    </row>
    <row r="481" spans="2:46" thickBot="1">
      <c r="B481" s="113"/>
      <c r="C481" s="324"/>
      <c r="D481" s="346"/>
      <c r="E481" s="326"/>
      <c r="F481" s="321" t="str">
        <f t="shared" si="54"/>
        <v/>
      </c>
      <c r="G481" s="334"/>
      <c r="H481" s="331"/>
      <c r="I481" s="107"/>
      <c r="J481" s="108"/>
      <c r="K481" s="109"/>
      <c r="L481" s="108"/>
      <c r="O481" s="86"/>
      <c r="P481" s="57"/>
      <c r="Q481" s="37"/>
      <c r="R481" s="92" t="str">
        <f t="shared" si="53"/>
        <v/>
      </c>
      <c r="S481" s="52"/>
      <c r="T481" s="87"/>
      <c r="U481" s="86"/>
      <c r="V481" s="201"/>
      <c r="W481" s="37"/>
      <c r="X481" s="52"/>
      <c r="Y481" s="87"/>
      <c r="AA481" s="86"/>
      <c r="AB481" s="57"/>
      <c r="AC481" s="37"/>
      <c r="AD481" s="52"/>
      <c r="AE481" s="87"/>
      <c r="AG481" s="86"/>
      <c r="AH481" s="37"/>
      <c r="AI481" s="52"/>
      <c r="AJ481" s="87"/>
      <c r="AL481" s="86"/>
      <c r="AM481" s="37"/>
      <c r="AN481" s="52"/>
      <c r="AO481" s="87"/>
      <c r="AQ481" s="86"/>
      <c r="AR481" s="37"/>
      <c r="AS481" s="52"/>
      <c r="AT481" s="87"/>
    </row>
    <row r="482" spans="2:46" thickBot="1">
      <c r="B482" s="113"/>
      <c r="C482" s="324"/>
      <c r="D482" s="346"/>
      <c r="E482" s="326"/>
      <c r="F482" s="321" t="str">
        <f t="shared" si="54"/>
        <v/>
      </c>
      <c r="G482" s="334"/>
      <c r="H482" s="331"/>
      <c r="I482" s="107"/>
      <c r="J482" s="108"/>
      <c r="K482" s="109"/>
      <c r="L482" s="108"/>
      <c r="O482" s="86"/>
      <c r="P482" s="57"/>
      <c r="Q482" s="37"/>
      <c r="R482" s="92" t="str">
        <f t="shared" si="53"/>
        <v/>
      </c>
      <c r="S482" s="52"/>
      <c r="T482" s="87"/>
      <c r="U482" s="86"/>
      <c r="V482" s="201"/>
      <c r="W482" s="37"/>
      <c r="X482" s="52"/>
      <c r="Y482" s="87"/>
      <c r="AA482" s="86"/>
      <c r="AB482" s="57"/>
      <c r="AC482" s="37"/>
      <c r="AD482" s="52"/>
      <c r="AE482" s="87"/>
      <c r="AG482" s="86"/>
      <c r="AH482" s="37"/>
      <c r="AI482" s="52"/>
      <c r="AJ482" s="87"/>
      <c r="AL482" s="86"/>
      <c r="AM482" s="37"/>
      <c r="AN482" s="52"/>
      <c r="AO482" s="87"/>
      <c r="AQ482" s="86"/>
      <c r="AR482" s="37"/>
      <c r="AS482" s="52"/>
      <c r="AT482" s="87"/>
    </row>
    <row r="483" spans="2:46" thickBot="1">
      <c r="B483" s="113"/>
      <c r="C483" s="324"/>
      <c r="D483" s="346"/>
      <c r="E483" s="326"/>
      <c r="F483" s="321" t="str">
        <f t="shared" si="54"/>
        <v/>
      </c>
      <c r="G483" s="334"/>
      <c r="H483" s="331"/>
      <c r="I483" s="107"/>
      <c r="J483" s="108"/>
      <c r="K483" s="109"/>
      <c r="L483" s="108"/>
      <c r="O483" s="86"/>
      <c r="P483" s="57"/>
      <c r="Q483" s="37"/>
      <c r="R483" s="92" t="str">
        <f t="shared" si="53"/>
        <v/>
      </c>
      <c r="S483" s="52"/>
      <c r="T483" s="87"/>
      <c r="U483" s="86"/>
      <c r="V483" s="201"/>
      <c r="W483" s="37"/>
      <c r="X483" s="52"/>
      <c r="Y483" s="87"/>
      <c r="AA483" s="86"/>
      <c r="AB483" s="57"/>
      <c r="AC483" s="37"/>
      <c r="AD483" s="52"/>
      <c r="AE483" s="87"/>
      <c r="AG483" s="86"/>
      <c r="AH483" s="37"/>
      <c r="AI483" s="52"/>
      <c r="AJ483" s="87"/>
      <c r="AL483" s="86"/>
      <c r="AM483" s="37"/>
      <c r="AN483" s="52"/>
      <c r="AO483" s="87"/>
      <c r="AQ483" s="86"/>
      <c r="AR483" s="37"/>
      <c r="AS483" s="52"/>
      <c r="AT483" s="87"/>
    </row>
    <row r="484" spans="2:46" thickBot="1">
      <c r="B484" s="113"/>
      <c r="C484" s="324"/>
      <c r="D484" s="346"/>
      <c r="E484" s="326"/>
      <c r="F484" s="321" t="str">
        <f t="shared" si="54"/>
        <v/>
      </c>
      <c r="G484" s="334"/>
      <c r="H484" s="331"/>
      <c r="I484" s="107"/>
      <c r="J484" s="108"/>
      <c r="K484" s="109"/>
      <c r="L484" s="108"/>
      <c r="O484" s="86"/>
      <c r="P484" s="57"/>
      <c r="Q484" s="37"/>
      <c r="R484" s="92" t="str">
        <f t="shared" si="53"/>
        <v/>
      </c>
      <c r="S484" s="52"/>
      <c r="T484" s="87"/>
      <c r="U484" s="86"/>
      <c r="V484" s="201"/>
      <c r="W484" s="37"/>
      <c r="X484" s="52"/>
      <c r="Y484" s="87"/>
      <c r="AA484" s="86"/>
      <c r="AB484" s="57"/>
      <c r="AC484" s="37"/>
      <c r="AD484" s="52"/>
      <c r="AE484" s="87"/>
      <c r="AG484" s="86"/>
      <c r="AH484" s="37"/>
      <c r="AI484" s="52"/>
      <c r="AJ484" s="87"/>
      <c r="AL484" s="86"/>
      <c r="AM484" s="37"/>
      <c r="AN484" s="52"/>
      <c r="AO484" s="87"/>
      <c r="AQ484" s="86"/>
      <c r="AR484" s="37"/>
      <c r="AS484" s="52"/>
      <c r="AT484" s="87"/>
    </row>
    <row r="485" spans="2:46" thickBot="1">
      <c r="B485" s="113"/>
      <c r="C485" s="324"/>
      <c r="D485" s="346"/>
      <c r="E485" s="326"/>
      <c r="F485" s="321" t="str">
        <f t="shared" si="54"/>
        <v/>
      </c>
      <c r="G485" s="334"/>
      <c r="H485" s="331"/>
      <c r="I485" s="107"/>
      <c r="J485" s="108"/>
      <c r="K485" s="109"/>
      <c r="L485" s="108"/>
      <c r="O485" s="86"/>
      <c r="P485" s="57"/>
      <c r="Q485" s="37"/>
      <c r="R485" s="92" t="str">
        <f t="shared" si="53"/>
        <v/>
      </c>
      <c r="S485" s="52"/>
      <c r="T485" s="87"/>
      <c r="U485" s="86"/>
      <c r="V485" s="201"/>
      <c r="W485" s="37"/>
      <c r="X485" s="52"/>
      <c r="Y485" s="87"/>
      <c r="AA485" s="86"/>
      <c r="AB485" s="57"/>
      <c r="AC485" s="37"/>
      <c r="AD485" s="52"/>
      <c r="AE485" s="87"/>
      <c r="AG485" s="86"/>
      <c r="AH485" s="37"/>
      <c r="AI485" s="52"/>
      <c r="AJ485" s="87"/>
      <c r="AL485" s="86"/>
      <c r="AM485" s="37"/>
      <c r="AN485" s="52"/>
      <c r="AO485" s="87"/>
      <c r="AQ485" s="86"/>
      <c r="AR485" s="37"/>
      <c r="AS485" s="52"/>
      <c r="AT485" s="87"/>
    </row>
    <row r="486" spans="2:46" thickBot="1">
      <c r="B486" s="113"/>
      <c r="C486" s="324"/>
      <c r="D486" s="346"/>
      <c r="E486" s="326"/>
      <c r="F486" s="321" t="str">
        <f t="shared" si="54"/>
        <v/>
      </c>
      <c r="G486" s="334"/>
      <c r="H486" s="331"/>
      <c r="I486" s="107"/>
      <c r="J486" s="108"/>
      <c r="K486" s="109"/>
      <c r="L486" s="108"/>
      <c r="O486" s="86"/>
      <c r="P486" s="57"/>
      <c r="Q486" s="37"/>
      <c r="R486" s="92" t="str">
        <f t="shared" si="53"/>
        <v/>
      </c>
      <c r="S486" s="52"/>
      <c r="T486" s="87"/>
      <c r="U486" s="86"/>
      <c r="V486" s="201"/>
      <c r="W486" s="37"/>
      <c r="X486" s="52"/>
      <c r="Y486" s="87"/>
      <c r="AA486" s="86"/>
      <c r="AB486" s="57"/>
      <c r="AC486" s="37"/>
      <c r="AD486" s="52"/>
      <c r="AE486" s="87"/>
      <c r="AG486" s="86"/>
      <c r="AH486" s="37"/>
      <c r="AI486" s="52"/>
      <c r="AJ486" s="87"/>
      <c r="AL486" s="86"/>
      <c r="AM486" s="37"/>
      <c r="AN486" s="52"/>
      <c r="AO486" s="87"/>
      <c r="AQ486" s="86"/>
      <c r="AR486" s="37"/>
      <c r="AS486" s="52"/>
      <c r="AT486" s="87"/>
    </row>
    <row r="487" spans="2:46" thickBot="1">
      <c r="B487" s="113"/>
      <c r="C487" s="324"/>
      <c r="D487" s="346"/>
      <c r="E487" s="326"/>
      <c r="F487" s="321" t="str">
        <f t="shared" si="54"/>
        <v/>
      </c>
      <c r="G487" s="334"/>
      <c r="H487" s="331"/>
      <c r="I487" s="107"/>
      <c r="J487" s="108"/>
      <c r="K487" s="109"/>
      <c r="L487" s="108"/>
      <c r="O487" s="86"/>
      <c r="P487" s="57"/>
      <c r="Q487" s="37"/>
      <c r="R487" s="92" t="str">
        <f t="shared" si="53"/>
        <v/>
      </c>
      <c r="S487" s="52"/>
      <c r="T487" s="87"/>
      <c r="U487" s="86"/>
      <c r="V487" s="201"/>
      <c r="W487" s="37"/>
      <c r="X487" s="52"/>
      <c r="Y487" s="87"/>
      <c r="AA487" s="86"/>
      <c r="AB487" s="57"/>
      <c r="AC487" s="37"/>
      <c r="AD487" s="52"/>
      <c r="AE487" s="87"/>
      <c r="AG487" s="86"/>
      <c r="AH487" s="37"/>
      <c r="AI487" s="52"/>
      <c r="AJ487" s="87"/>
      <c r="AL487" s="86"/>
      <c r="AM487" s="37"/>
      <c r="AN487" s="52"/>
      <c r="AO487" s="87"/>
      <c r="AQ487" s="86"/>
      <c r="AR487" s="37"/>
      <c r="AS487" s="52"/>
      <c r="AT487" s="87"/>
    </row>
    <row r="488" spans="2:46" thickBot="1">
      <c r="B488" s="113"/>
      <c r="C488" s="324"/>
      <c r="D488" s="346"/>
      <c r="E488" s="326"/>
      <c r="F488" s="321" t="str">
        <f t="shared" si="54"/>
        <v/>
      </c>
      <c r="G488" s="334"/>
      <c r="H488" s="331"/>
      <c r="I488" s="107"/>
      <c r="J488" s="108"/>
      <c r="K488" s="109"/>
      <c r="L488" s="108"/>
      <c r="O488" s="86"/>
      <c r="P488" s="57"/>
      <c r="Q488" s="37"/>
      <c r="R488" s="92" t="str">
        <f t="shared" si="53"/>
        <v/>
      </c>
      <c r="S488" s="52"/>
      <c r="T488" s="87"/>
      <c r="U488" s="86"/>
      <c r="V488" s="201"/>
      <c r="W488" s="37"/>
      <c r="X488" s="52"/>
      <c r="Y488" s="87"/>
      <c r="AA488" s="86"/>
      <c r="AB488" s="57"/>
      <c r="AC488" s="37"/>
      <c r="AD488" s="52"/>
      <c r="AE488" s="87"/>
      <c r="AG488" s="86"/>
      <c r="AH488" s="37"/>
      <c r="AI488" s="52"/>
      <c r="AJ488" s="87"/>
      <c r="AL488" s="86"/>
      <c r="AM488" s="37"/>
      <c r="AN488" s="52"/>
      <c r="AO488" s="87"/>
      <c r="AQ488" s="86"/>
      <c r="AR488" s="37"/>
      <c r="AS488" s="52"/>
      <c r="AT488" s="87"/>
    </row>
    <row r="489" spans="2:46" thickBot="1">
      <c r="B489" s="113"/>
      <c r="C489" s="324"/>
      <c r="D489" s="346"/>
      <c r="E489" s="326"/>
      <c r="F489" s="321" t="str">
        <f t="shared" si="54"/>
        <v/>
      </c>
      <c r="G489" s="334"/>
      <c r="H489" s="331"/>
      <c r="I489" s="107"/>
      <c r="J489" s="108"/>
      <c r="K489" s="109"/>
      <c r="L489" s="108"/>
      <c r="O489" s="86"/>
      <c r="P489" s="57"/>
      <c r="Q489" s="37"/>
      <c r="R489" s="92" t="str">
        <f t="shared" si="53"/>
        <v/>
      </c>
      <c r="S489" s="52"/>
      <c r="T489" s="87"/>
      <c r="U489" s="86"/>
      <c r="V489" s="201"/>
      <c r="W489" s="37"/>
      <c r="X489" s="52"/>
      <c r="Y489" s="87"/>
      <c r="AA489" s="86"/>
      <c r="AB489" s="57"/>
      <c r="AC489" s="37"/>
      <c r="AD489" s="52"/>
      <c r="AE489" s="87"/>
      <c r="AG489" s="86"/>
      <c r="AH489" s="37"/>
      <c r="AI489" s="52"/>
      <c r="AJ489" s="87"/>
      <c r="AL489" s="86"/>
      <c r="AM489" s="37"/>
      <c r="AN489" s="52"/>
      <c r="AO489" s="87"/>
      <c r="AQ489" s="86"/>
      <c r="AR489" s="37"/>
      <c r="AS489" s="52"/>
      <c r="AT489" s="87"/>
    </row>
    <row r="490" spans="2:46" thickBot="1">
      <c r="B490" s="113"/>
      <c r="C490" s="324"/>
      <c r="D490" s="346"/>
      <c r="E490" s="326"/>
      <c r="F490" s="321" t="str">
        <f t="shared" si="54"/>
        <v/>
      </c>
      <c r="G490" s="334"/>
      <c r="H490" s="331"/>
      <c r="I490" s="107"/>
      <c r="J490" s="108"/>
      <c r="K490" s="109"/>
      <c r="L490" s="108"/>
      <c r="O490" s="86"/>
      <c r="P490" s="57"/>
      <c r="Q490" s="37"/>
      <c r="R490" s="92" t="str">
        <f t="shared" si="53"/>
        <v/>
      </c>
      <c r="S490" s="52"/>
      <c r="T490" s="87"/>
      <c r="U490" s="86"/>
      <c r="V490" s="201"/>
      <c r="W490" s="37"/>
      <c r="X490" s="52"/>
      <c r="Y490" s="87"/>
      <c r="AA490" s="86"/>
      <c r="AB490" s="57"/>
      <c r="AC490" s="37"/>
      <c r="AD490" s="52"/>
      <c r="AE490" s="87"/>
      <c r="AG490" s="86"/>
      <c r="AH490" s="37"/>
      <c r="AI490" s="52"/>
      <c r="AJ490" s="87"/>
      <c r="AL490" s="86"/>
      <c r="AM490" s="37"/>
      <c r="AN490" s="52"/>
      <c r="AO490" s="87"/>
      <c r="AQ490" s="86"/>
      <c r="AR490" s="37"/>
      <c r="AS490" s="52"/>
      <c r="AT490" s="87"/>
    </row>
    <row r="491" spans="2:46" thickBot="1">
      <c r="B491" s="113"/>
      <c r="C491" s="324"/>
      <c r="D491" s="346"/>
      <c r="E491" s="326"/>
      <c r="F491" s="321" t="str">
        <f t="shared" si="54"/>
        <v/>
      </c>
      <c r="G491" s="334"/>
      <c r="H491" s="331"/>
      <c r="I491" s="107"/>
      <c r="J491" s="108"/>
      <c r="K491" s="109"/>
      <c r="L491" s="108"/>
      <c r="O491" s="86"/>
      <c r="P491" s="57"/>
      <c r="Q491" s="37"/>
      <c r="R491" s="92" t="str">
        <f t="shared" ref="R491:R554" si="55">IF(Q491="","",ROUND(S491*(1+$F$2),2))</f>
        <v/>
      </c>
      <c r="S491" s="52"/>
      <c r="T491" s="87"/>
      <c r="U491" s="86"/>
      <c r="V491" s="201"/>
      <c r="W491" s="37"/>
      <c r="X491" s="52"/>
      <c r="Y491" s="87"/>
      <c r="AA491" s="86"/>
      <c r="AB491" s="57"/>
      <c r="AC491" s="37"/>
      <c r="AD491" s="52"/>
      <c r="AE491" s="87"/>
      <c r="AG491" s="86"/>
      <c r="AH491" s="37"/>
      <c r="AI491" s="52"/>
      <c r="AJ491" s="87"/>
      <c r="AL491" s="86"/>
      <c r="AM491" s="37"/>
      <c r="AN491" s="52"/>
      <c r="AO491" s="87"/>
      <c r="AQ491" s="86"/>
      <c r="AR491" s="37"/>
      <c r="AS491" s="52"/>
      <c r="AT491" s="87"/>
    </row>
    <row r="492" spans="2:46" thickBot="1">
      <c r="B492" s="113"/>
      <c r="C492" s="324"/>
      <c r="D492" s="346"/>
      <c r="E492" s="326"/>
      <c r="F492" s="321" t="str">
        <f t="shared" si="54"/>
        <v/>
      </c>
      <c r="G492" s="334"/>
      <c r="H492" s="331"/>
      <c r="I492" s="107"/>
      <c r="J492" s="108"/>
      <c r="K492" s="109"/>
      <c r="L492" s="108"/>
      <c r="O492" s="86"/>
      <c r="P492" s="57"/>
      <c r="Q492" s="37"/>
      <c r="R492" s="92" t="str">
        <f t="shared" si="55"/>
        <v/>
      </c>
      <c r="S492" s="52"/>
      <c r="T492" s="87"/>
      <c r="U492" s="86"/>
      <c r="V492" s="201"/>
      <c r="W492" s="37"/>
      <c r="X492" s="52"/>
      <c r="Y492" s="87"/>
      <c r="AA492" s="86"/>
      <c r="AB492" s="57"/>
      <c r="AC492" s="37"/>
      <c r="AD492" s="52"/>
      <c r="AE492" s="87"/>
      <c r="AG492" s="86"/>
      <c r="AH492" s="37"/>
      <c r="AI492" s="52"/>
      <c r="AJ492" s="87"/>
      <c r="AL492" s="86"/>
      <c r="AM492" s="37"/>
      <c r="AN492" s="52"/>
      <c r="AO492" s="87"/>
      <c r="AQ492" s="86"/>
      <c r="AR492" s="37"/>
      <c r="AS492" s="52"/>
      <c r="AT492" s="87"/>
    </row>
    <row r="493" spans="2:46" thickBot="1">
      <c r="B493" s="113"/>
      <c r="C493" s="324"/>
      <c r="D493" s="346"/>
      <c r="E493" s="326"/>
      <c r="F493" s="321" t="str">
        <f t="shared" si="54"/>
        <v/>
      </c>
      <c r="G493" s="334"/>
      <c r="H493" s="331"/>
      <c r="I493" s="107"/>
      <c r="J493" s="108"/>
      <c r="K493" s="109"/>
      <c r="L493" s="108"/>
      <c r="O493" s="86"/>
      <c r="P493" s="57"/>
      <c r="Q493" s="37"/>
      <c r="R493" s="92" t="str">
        <f t="shared" si="55"/>
        <v/>
      </c>
      <c r="S493" s="52"/>
      <c r="T493" s="87"/>
      <c r="U493" s="86"/>
      <c r="V493" s="201"/>
      <c r="W493" s="37"/>
      <c r="X493" s="52"/>
      <c r="Y493" s="87"/>
      <c r="AA493" s="86"/>
      <c r="AB493" s="57"/>
      <c r="AC493" s="37"/>
      <c r="AD493" s="52"/>
      <c r="AE493" s="87"/>
      <c r="AG493" s="86"/>
      <c r="AH493" s="37"/>
      <c r="AI493" s="52"/>
      <c r="AJ493" s="87"/>
      <c r="AL493" s="86"/>
      <c r="AM493" s="37"/>
      <c r="AN493" s="52"/>
      <c r="AO493" s="87"/>
      <c r="AQ493" s="86"/>
      <c r="AR493" s="37"/>
      <c r="AS493" s="52"/>
      <c r="AT493" s="87"/>
    </row>
    <row r="494" spans="2:46" thickBot="1">
      <c r="B494" s="113"/>
      <c r="C494" s="324"/>
      <c r="D494" s="346"/>
      <c r="E494" s="326"/>
      <c r="F494" s="321" t="str">
        <f t="shared" si="54"/>
        <v/>
      </c>
      <c r="G494" s="334"/>
      <c r="H494" s="331"/>
      <c r="I494" s="107"/>
      <c r="J494" s="108"/>
      <c r="K494" s="109"/>
      <c r="L494" s="108"/>
      <c r="O494" s="86"/>
      <c r="P494" s="57"/>
      <c r="Q494" s="37"/>
      <c r="R494" s="92" t="str">
        <f t="shared" si="55"/>
        <v/>
      </c>
      <c r="S494" s="52"/>
      <c r="T494" s="87"/>
      <c r="U494" s="86"/>
      <c r="V494" s="201"/>
      <c r="W494" s="37"/>
      <c r="X494" s="52"/>
      <c r="Y494" s="87"/>
      <c r="AA494" s="86"/>
      <c r="AB494" s="57"/>
      <c r="AC494" s="37"/>
      <c r="AD494" s="52"/>
      <c r="AE494" s="87"/>
      <c r="AG494" s="86"/>
      <c r="AH494" s="37"/>
      <c r="AI494" s="52"/>
      <c r="AJ494" s="87"/>
      <c r="AL494" s="86"/>
      <c r="AM494" s="37"/>
      <c r="AN494" s="52"/>
      <c r="AO494" s="87"/>
      <c r="AQ494" s="86"/>
      <c r="AR494" s="37"/>
      <c r="AS494" s="52"/>
      <c r="AT494" s="87"/>
    </row>
    <row r="495" spans="2:46" thickBot="1">
      <c r="B495" s="113"/>
      <c r="C495" s="324"/>
      <c r="D495" s="346"/>
      <c r="E495" s="326"/>
      <c r="F495" s="321" t="str">
        <f t="shared" si="54"/>
        <v/>
      </c>
      <c r="G495" s="334"/>
      <c r="H495" s="331"/>
      <c r="I495" s="107"/>
      <c r="J495" s="108"/>
      <c r="K495" s="109"/>
      <c r="L495" s="108"/>
      <c r="O495" s="86"/>
      <c r="P495" s="57"/>
      <c r="Q495" s="37"/>
      <c r="R495" s="92" t="str">
        <f t="shared" si="55"/>
        <v/>
      </c>
      <c r="S495" s="52"/>
      <c r="T495" s="87"/>
      <c r="U495" s="86"/>
      <c r="V495" s="201"/>
      <c r="W495" s="37"/>
      <c r="X495" s="52"/>
      <c r="Y495" s="87"/>
      <c r="AA495" s="86"/>
      <c r="AB495" s="57"/>
      <c r="AC495" s="37"/>
      <c r="AD495" s="52"/>
      <c r="AE495" s="87"/>
      <c r="AG495" s="86"/>
      <c r="AH495" s="37"/>
      <c r="AI495" s="52"/>
      <c r="AJ495" s="87"/>
      <c r="AL495" s="86"/>
      <c r="AM495" s="37"/>
      <c r="AN495" s="52"/>
      <c r="AO495" s="87"/>
      <c r="AQ495" s="86"/>
      <c r="AR495" s="37"/>
      <c r="AS495" s="52"/>
      <c r="AT495" s="87"/>
    </row>
    <row r="496" spans="2:46" thickBot="1">
      <c r="B496" s="113"/>
      <c r="C496" s="324"/>
      <c r="D496" s="346"/>
      <c r="E496" s="326"/>
      <c r="F496" s="321" t="str">
        <f t="shared" si="54"/>
        <v/>
      </c>
      <c r="G496" s="334"/>
      <c r="H496" s="331"/>
      <c r="I496" s="107"/>
      <c r="J496" s="108"/>
      <c r="K496" s="109"/>
      <c r="L496" s="108"/>
      <c r="O496" s="86"/>
      <c r="P496" s="57"/>
      <c r="Q496" s="37"/>
      <c r="R496" s="92" t="str">
        <f t="shared" si="55"/>
        <v/>
      </c>
      <c r="S496" s="52"/>
      <c r="T496" s="87"/>
      <c r="U496" s="86"/>
      <c r="V496" s="201"/>
      <c r="W496" s="37"/>
      <c r="X496" s="52"/>
      <c r="Y496" s="87"/>
      <c r="AA496" s="86"/>
      <c r="AB496" s="57"/>
      <c r="AC496" s="37"/>
      <c r="AD496" s="52"/>
      <c r="AE496" s="87"/>
      <c r="AG496" s="86"/>
      <c r="AH496" s="37"/>
      <c r="AI496" s="52"/>
      <c r="AJ496" s="87"/>
      <c r="AL496" s="86"/>
      <c r="AM496" s="37"/>
      <c r="AN496" s="52"/>
      <c r="AO496" s="87"/>
      <c r="AQ496" s="86"/>
      <c r="AR496" s="37"/>
      <c r="AS496" s="52"/>
      <c r="AT496" s="87"/>
    </row>
    <row r="497" spans="2:46" thickBot="1">
      <c r="B497" s="113"/>
      <c r="C497" s="324"/>
      <c r="D497" s="346"/>
      <c r="E497" s="326"/>
      <c r="F497" s="321" t="str">
        <f t="shared" si="54"/>
        <v/>
      </c>
      <c r="G497" s="334"/>
      <c r="H497" s="331"/>
      <c r="I497" s="107"/>
      <c r="J497" s="108"/>
      <c r="K497" s="109"/>
      <c r="L497" s="108"/>
      <c r="O497" s="86"/>
      <c r="P497" s="57"/>
      <c r="Q497" s="37"/>
      <c r="R497" s="92" t="str">
        <f t="shared" si="55"/>
        <v/>
      </c>
      <c r="S497" s="52"/>
      <c r="T497" s="87"/>
      <c r="U497" s="86"/>
      <c r="V497" s="201"/>
      <c r="W497" s="37"/>
      <c r="X497" s="52"/>
      <c r="Y497" s="87"/>
      <c r="AA497" s="86"/>
      <c r="AB497" s="57"/>
      <c r="AC497" s="37"/>
      <c r="AD497" s="52"/>
      <c r="AE497" s="87"/>
      <c r="AG497" s="86"/>
      <c r="AH497" s="37"/>
      <c r="AI497" s="52"/>
      <c r="AJ497" s="87"/>
      <c r="AL497" s="86"/>
      <c r="AM497" s="37"/>
      <c r="AN497" s="52"/>
      <c r="AO497" s="87"/>
      <c r="AQ497" s="86"/>
      <c r="AR497" s="37"/>
      <c r="AS497" s="52"/>
      <c r="AT497" s="87"/>
    </row>
    <row r="498" spans="2:46" thickBot="1">
      <c r="B498" s="113"/>
      <c r="C498" s="324"/>
      <c r="D498" s="346"/>
      <c r="E498" s="326"/>
      <c r="F498" s="321" t="str">
        <f t="shared" si="54"/>
        <v/>
      </c>
      <c r="G498" s="334"/>
      <c r="H498" s="331"/>
      <c r="I498" s="107"/>
      <c r="J498" s="108"/>
      <c r="K498" s="109"/>
      <c r="L498" s="108"/>
      <c r="O498" s="86"/>
      <c r="P498" s="57"/>
      <c r="Q498" s="37"/>
      <c r="R498" s="92" t="str">
        <f t="shared" si="55"/>
        <v/>
      </c>
      <c r="S498" s="52"/>
      <c r="T498" s="87"/>
      <c r="U498" s="86"/>
      <c r="V498" s="201"/>
      <c r="W498" s="37"/>
      <c r="X498" s="52"/>
      <c r="Y498" s="87"/>
      <c r="AA498" s="86"/>
      <c r="AB498" s="57"/>
      <c r="AC498" s="37"/>
      <c r="AD498" s="52"/>
      <c r="AE498" s="87"/>
      <c r="AG498" s="86"/>
      <c r="AH498" s="37"/>
      <c r="AI498" s="52"/>
      <c r="AJ498" s="87"/>
      <c r="AL498" s="86"/>
      <c r="AM498" s="37"/>
      <c r="AN498" s="52"/>
      <c r="AO498" s="87"/>
      <c r="AQ498" s="86"/>
      <c r="AR498" s="37"/>
      <c r="AS498" s="52"/>
      <c r="AT498" s="87"/>
    </row>
    <row r="499" spans="2:46" thickBot="1">
      <c r="B499" s="113"/>
      <c r="C499" s="324"/>
      <c r="D499" s="346"/>
      <c r="E499" s="326"/>
      <c r="F499" s="321" t="str">
        <f t="shared" si="54"/>
        <v/>
      </c>
      <c r="G499" s="334"/>
      <c r="H499" s="331"/>
      <c r="I499" s="107"/>
      <c r="J499" s="108"/>
      <c r="K499" s="109"/>
      <c r="L499" s="108"/>
      <c r="O499" s="86"/>
      <c r="P499" s="57"/>
      <c r="Q499" s="37"/>
      <c r="R499" s="92" t="str">
        <f t="shared" si="55"/>
        <v/>
      </c>
      <c r="S499" s="52"/>
      <c r="T499" s="87"/>
      <c r="U499" s="86"/>
      <c r="V499" s="201"/>
      <c r="W499" s="37"/>
      <c r="X499" s="52"/>
      <c r="Y499" s="87"/>
      <c r="AA499" s="86"/>
      <c r="AB499" s="57"/>
      <c r="AC499" s="37"/>
      <c r="AD499" s="52"/>
      <c r="AE499" s="87"/>
      <c r="AG499" s="86"/>
      <c r="AH499" s="37"/>
      <c r="AI499" s="52"/>
      <c r="AJ499" s="87"/>
      <c r="AL499" s="86"/>
      <c r="AM499" s="37"/>
      <c r="AN499" s="52"/>
      <c r="AO499" s="87"/>
      <c r="AQ499" s="86"/>
      <c r="AR499" s="37"/>
      <c r="AS499" s="52"/>
      <c r="AT499" s="87"/>
    </row>
    <row r="500" spans="2:46" thickBot="1">
      <c r="B500" s="113"/>
      <c r="C500" s="324"/>
      <c r="D500" s="346"/>
      <c r="E500" s="326"/>
      <c r="F500" s="321" t="str">
        <f t="shared" si="54"/>
        <v/>
      </c>
      <c r="G500" s="334"/>
      <c r="H500" s="331"/>
      <c r="I500" s="107"/>
      <c r="J500" s="108"/>
      <c r="K500" s="109"/>
      <c r="L500" s="108"/>
      <c r="O500" s="86"/>
      <c r="P500" s="57"/>
      <c r="Q500" s="37"/>
      <c r="R500" s="92" t="str">
        <f t="shared" si="55"/>
        <v/>
      </c>
      <c r="S500" s="52"/>
      <c r="T500" s="87"/>
      <c r="U500" s="86"/>
      <c r="V500" s="201"/>
      <c r="W500" s="37"/>
      <c r="X500" s="52"/>
      <c r="Y500" s="87"/>
      <c r="AA500" s="86"/>
      <c r="AB500" s="57"/>
      <c r="AC500" s="37"/>
      <c r="AD500" s="52"/>
      <c r="AE500" s="87"/>
      <c r="AG500" s="86"/>
      <c r="AH500" s="37"/>
      <c r="AI500" s="52"/>
      <c r="AJ500" s="87"/>
      <c r="AL500" s="86"/>
      <c r="AM500" s="37"/>
      <c r="AN500" s="52"/>
      <c r="AO500" s="87"/>
      <c r="AQ500" s="86"/>
      <c r="AR500" s="37"/>
      <c r="AS500" s="52"/>
      <c r="AT500" s="87"/>
    </row>
    <row r="501" spans="2:46" thickBot="1">
      <c r="B501" s="113"/>
      <c r="C501" s="324"/>
      <c r="D501" s="346"/>
      <c r="E501" s="326"/>
      <c r="F501" s="321" t="str">
        <f t="shared" si="54"/>
        <v/>
      </c>
      <c r="G501" s="334"/>
      <c r="H501" s="331"/>
      <c r="I501" s="107"/>
      <c r="J501" s="108"/>
      <c r="K501" s="109"/>
      <c r="L501" s="108"/>
      <c r="O501" s="86"/>
      <c r="P501" s="57"/>
      <c r="Q501" s="37"/>
      <c r="R501" s="92" t="str">
        <f t="shared" si="55"/>
        <v/>
      </c>
      <c r="S501" s="52"/>
      <c r="T501" s="87"/>
      <c r="U501" s="86"/>
      <c r="V501" s="201"/>
      <c r="W501" s="37"/>
      <c r="X501" s="52"/>
      <c r="Y501" s="87"/>
      <c r="AA501" s="86"/>
      <c r="AB501" s="57"/>
      <c r="AC501" s="37"/>
      <c r="AD501" s="52"/>
      <c r="AE501" s="87"/>
      <c r="AG501" s="86"/>
      <c r="AH501" s="37"/>
      <c r="AI501" s="52"/>
      <c r="AJ501" s="87"/>
      <c r="AL501" s="86"/>
      <c r="AM501" s="37"/>
      <c r="AN501" s="52"/>
      <c r="AO501" s="87"/>
      <c r="AQ501" s="86"/>
      <c r="AR501" s="37"/>
      <c r="AS501" s="52"/>
      <c r="AT501" s="87"/>
    </row>
    <row r="502" spans="2:46" thickBot="1">
      <c r="B502" s="113"/>
      <c r="C502" s="324"/>
      <c r="D502" s="346"/>
      <c r="E502" s="326"/>
      <c r="F502" s="321" t="str">
        <f t="shared" si="54"/>
        <v/>
      </c>
      <c r="G502" s="334"/>
      <c r="H502" s="331"/>
      <c r="I502" s="107"/>
      <c r="J502" s="108"/>
      <c r="K502" s="109"/>
      <c r="L502" s="108"/>
      <c r="O502" s="86"/>
      <c r="P502" s="57"/>
      <c r="Q502" s="37"/>
      <c r="R502" s="92" t="str">
        <f t="shared" si="55"/>
        <v/>
      </c>
      <c r="S502" s="52"/>
      <c r="T502" s="87"/>
      <c r="U502" s="86"/>
      <c r="V502" s="201"/>
      <c r="W502" s="37"/>
      <c r="X502" s="52"/>
      <c r="Y502" s="87"/>
      <c r="AA502" s="86"/>
      <c r="AB502" s="57"/>
      <c r="AC502" s="37"/>
      <c r="AD502" s="52"/>
      <c r="AE502" s="87"/>
      <c r="AG502" s="86"/>
      <c r="AH502" s="37"/>
      <c r="AI502" s="52"/>
      <c r="AJ502" s="87"/>
      <c r="AL502" s="86"/>
      <c r="AM502" s="37"/>
      <c r="AN502" s="52"/>
      <c r="AO502" s="87"/>
      <c r="AQ502" s="86"/>
      <c r="AR502" s="37"/>
      <c r="AS502" s="52"/>
      <c r="AT502" s="87"/>
    </row>
    <row r="503" spans="2:46" thickBot="1">
      <c r="B503" s="113"/>
      <c r="C503" s="324"/>
      <c r="D503" s="346"/>
      <c r="E503" s="326"/>
      <c r="F503" s="321" t="str">
        <f t="shared" si="54"/>
        <v/>
      </c>
      <c r="G503" s="334"/>
      <c r="H503" s="331"/>
      <c r="I503" s="107"/>
      <c r="J503" s="108"/>
      <c r="K503" s="109"/>
      <c r="L503" s="108"/>
      <c r="O503" s="86"/>
      <c r="P503" s="57"/>
      <c r="Q503" s="37"/>
      <c r="R503" s="92" t="str">
        <f t="shared" si="55"/>
        <v/>
      </c>
      <c r="S503" s="52"/>
      <c r="T503" s="87"/>
      <c r="U503" s="86"/>
      <c r="V503" s="201"/>
      <c r="W503" s="37"/>
      <c r="X503" s="52"/>
      <c r="Y503" s="87"/>
      <c r="AA503" s="86"/>
      <c r="AB503" s="57"/>
      <c r="AC503" s="37"/>
      <c r="AD503" s="52"/>
      <c r="AE503" s="87"/>
      <c r="AG503" s="86"/>
      <c r="AH503" s="37"/>
      <c r="AI503" s="52"/>
      <c r="AJ503" s="87"/>
      <c r="AL503" s="86"/>
      <c r="AM503" s="37"/>
      <c r="AN503" s="52"/>
      <c r="AO503" s="87"/>
      <c r="AQ503" s="86"/>
      <c r="AR503" s="37"/>
      <c r="AS503" s="52"/>
      <c r="AT503" s="87"/>
    </row>
    <row r="504" spans="2:46" thickBot="1">
      <c r="B504" s="113"/>
      <c r="C504" s="324"/>
      <c r="D504" s="346"/>
      <c r="E504" s="326"/>
      <c r="F504" s="321" t="str">
        <f t="shared" si="54"/>
        <v/>
      </c>
      <c r="G504" s="334"/>
      <c r="H504" s="331"/>
      <c r="I504" s="107"/>
      <c r="J504" s="108"/>
      <c r="K504" s="109"/>
      <c r="L504" s="108"/>
      <c r="O504" s="86"/>
      <c r="P504" s="57"/>
      <c r="Q504" s="37"/>
      <c r="R504" s="92" t="str">
        <f t="shared" si="55"/>
        <v/>
      </c>
      <c r="S504" s="52"/>
      <c r="T504" s="87"/>
      <c r="U504" s="86"/>
      <c r="V504" s="201"/>
      <c r="W504" s="37"/>
      <c r="X504" s="52"/>
      <c r="Y504" s="87"/>
      <c r="AA504" s="86"/>
      <c r="AB504" s="57"/>
      <c r="AC504" s="37"/>
      <c r="AD504" s="52"/>
      <c r="AE504" s="87"/>
      <c r="AG504" s="86"/>
      <c r="AH504" s="37"/>
      <c r="AI504" s="52"/>
      <c r="AJ504" s="87"/>
      <c r="AL504" s="86"/>
      <c r="AM504" s="37"/>
      <c r="AN504" s="52"/>
      <c r="AO504" s="87"/>
      <c r="AQ504" s="86"/>
      <c r="AR504" s="37"/>
      <c r="AS504" s="52"/>
      <c r="AT504" s="87"/>
    </row>
    <row r="505" spans="2:46" thickBot="1">
      <c r="B505" s="113"/>
      <c r="C505" s="324"/>
      <c r="D505" s="346"/>
      <c r="E505" s="326"/>
      <c r="F505" s="321" t="str">
        <f t="shared" si="54"/>
        <v/>
      </c>
      <c r="G505" s="334"/>
      <c r="H505" s="331"/>
      <c r="I505" s="107"/>
      <c r="J505" s="108"/>
      <c r="K505" s="109"/>
      <c r="L505" s="108"/>
      <c r="O505" s="86"/>
      <c r="P505" s="57"/>
      <c r="Q505" s="37"/>
      <c r="R505" s="92" t="str">
        <f t="shared" si="55"/>
        <v/>
      </c>
      <c r="S505" s="52"/>
      <c r="T505" s="87"/>
      <c r="U505" s="86"/>
      <c r="V505" s="201"/>
      <c r="W505" s="37"/>
      <c r="X505" s="52"/>
      <c r="Y505" s="87"/>
      <c r="AA505" s="86"/>
      <c r="AB505" s="57"/>
      <c r="AC505" s="37"/>
      <c r="AD505" s="52"/>
      <c r="AE505" s="87"/>
      <c r="AG505" s="86"/>
      <c r="AH505" s="37"/>
      <c r="AI505" s="52"/>
      <c r="AJ505" s="87"/>
      <c r="AL505" s="86"/>
      <c r="AM505" s="37"/>
      <c r="AN505" s="52"/>
      <c r="AO505" s="87"/>
      <c r="AQ505" s="86"/>
      <c r="AR505" s="37"/>
      <c r="AS505" s="52"/>
      <c r="AT505" s="87"/>
    </row>
    <row r="506" spans="2:46" thickBot="1">
      <c r="B506" s="113"/>
      <c r="C506" s="324"/>
      <c r="D506" s="346"/>
      <c r="E506" s="326"/>
      <c r="F506" s="321" t="str">
        <f t="shared" si="54"/>
        <v/>
      </c>
      <c r="G506" s="334"/>
      <c r="H506" s="331"/>
      <c r="I506" s="107"/>
      <c r="J506" s="108"/>
      <c r="K506" s="109"/>
      <c r="L506" s="108"/>
      <c r="O506" s="86"/>
      <c r="P506" s="57"/>
      <c r="Q506" s="37"/>
      <c r="R506" s="92" t="str">
        <f t="shared" si="55"/>
        <v/>
      </c>
      <c r="S506" s="52"/>
      <c r="T506" s="87"/>
      <c r="U506" s="86"/>
      <c r="V506" s="201"/>
      <c r="W506" s="37"/>
      <c r="X506" s="52"/>
      <c r="Y506" s="87"/>
      <c r="AA506" s="86"/>
      <c r="AB506" s="57"/>
      <c r="AC506" s="37"/>
      <c r="AD506" s="52"/>
      <c r="AE506" s="87"/>
      <c r="AG506" s="86"/>
      <c r="AH506" s="37"/>
      <c r="AI506" s="52"/>
      <c r="AJ506" s="87"/>
      <c r="AL506" s="86"/>
      <c r="AM506" s="37"/>
      <c r="AN506" s="52"/>
      <c r="AO506" s="87"/>
      <c r="AQ506" s="86"/>
      <c r="AR506" s="37"/>
      <c r="AS506" s="52"/>
      <c r="AT506" s="87"/>
    </row>
    <row r="507" spans="2:46" thickBot="1">
      <c r="B507" s="113"/>
      <c r="C507" s="324"/>
      <c r="D507" s="346"/>
      <c r="E507" s="326"/>
      <c r="F507" s="321" t="str">
        <f t="shared" si="54"/>
        <v/>
      </c>
      <c r="G507" s="334"/>
      <c r="H507" s="331"/>
      <c r="I507" s="107"/>
      <c r="J507" s="108"/>
      <c r="K507" s="109"/>
      <c r="L507" s="108"/>
      <c r="O507" s="86"/>
      <c r="P507" s="57"/>
      <c r="Q507" s="37"/>
      <c r="R507" s="92" t="str">
        <f t="shared" si="55"/>
        <v/>
      </c>
      <c r="S507" s="52"/>
      <c r="T507" s="87"/>
      <c r="U507" s="86"/>
      <c r="V507" s="201"/>
      <c r="W507" s="37"/>
      <c r="X507" s="52"/>
      <c r="Y507" s="87"/>
      <c r="AA507" s="86"/>
      <c r="AB507" s="57"/>
      <c r="AC507" s="37"/>
      <c r="AD507" s="52"/>
      <c r="AE507" s="87"/>
      <c r="AG507" s="86"/>
      <c r="AH507" s="37"/>
      <c r="AI507" s="52"/>
      <c r="AJ507" s="87"/>
      <c r="AL507" s="86"/>
      <c r="AM507" s="37"/>
      <c r="AN507" s="52"/>
      <c r="AO507" s="87"/>
      <c r="AQ507" s="86"/>
      <c r="AR507" s="37"/>
      <c r="AS507" s="52"/>
      <c r="AT507" s="87"/>
    </row>
    <row r="508" spans="2:46" thickBot="1">
      <c r="B508" s="113"/>
      <c r="C508" s="324"/>
      <c r="D508" s="346"/>
      <c r="E508" s="326"/>
      <c r="F508" s="321" t="str">
        <f t="shared" si="54"/>
        <v/>
      </c>
      <c r="G508" s="334"/>
      <c r="H508" s="331"/>
      <c r="I508" s="107"/>
      <c r="J508" s="108"/>
      <c r="K508" s="109"/>
      <c r="L508" s="108"/>
      <c r="O508" s="86"/>
      <c r="P508" s="57"/>
      <c r="Q508" s="37"/>
      <c r="R508" s="92" t="str">
        <f t="shared" si="55"/>
        <v/>
      </c>
      <c r="S508" s="52"/>
      <c r="T508" s="87"/>
      <c r="U508" s="86"/>
      <c r="V508" s="201"/>
      <c r="W508" s="37"/>
      <c r="X508" s="52"/>
      <c r="Y508" s="87"/>
      <c r="AA508" s="86"/>
      <c r="AB508" s="57"/>
      <c r="AC508" s="37"/>
      <c r="AD508" s="52"/>
      <c r="AE508" s="87"/>
      <c r="AG508" s="86"/>
      <c r="AH508" s="37"/>
      <c r="AI508" s="52"/>
      <c r="AJ508" s="87"/>
      <c r="AL508" s="86"/>
      <c r="AM508" s="37"/>
      <c r="AN508" s="52"/>
      <c r="AO508" s="87"/>
      <c r="AQ508" s="86"/>
      <c r="AR508" s="37"/>
      <c r="AS508" s="52"/>
      <c r="AT508" s="87"/>
    </row>
    <row r="509" spans="2:46" thickBot="1">
      <c r="B509" s="113"/>
      <c r="C509" s="324"/>
      <c r="D509" s="346"/>
      <c r="E509" s="326"/>
      <c r="F509" s="321" t="str">
        <f t="shared" si="54"/>
        <v/>
      </c>
      <c r="G509" s="334"/>
      <c r="H509" s="331"/>
      <c r="I509" s="107"/>
      <c r="J509" s="108"/>
      <c r="K509" s="109"/>
      <c r="L509" s="108"/>
      <c r="O509" s="86"/>
      <c r="P509" s="57"/>
      <c r="Q509" s="37"/>
      <c r="R509" s="92" t="str">
        <f t="shared" si="55"/>
        <v/>
      </c>
      <c r="S509" s="52"/>
      <c r="T509" s="87"/>
      <c r="U509" s="86"/>
      <c r="V509" s="201"/>
      <c r="W509" s="37"/>
      <c r="X509" s="52"/>
      <c r="Y509" s="87"/>
      <c r="AA509" s="86"/>
      <c r="AB509" s="57"/>
      <c r="AC509" s="37"/>
      <c r="AD509" s="52"/>
      <c r="AE509" s="87"/>
      <c r="AG509" s="86"/>
      <c r="AH509" s="37"/>
      <c r="AI509" s="52"/>
      <c r="AJ509" s="87"/>
      <c r="AL509" s="86"/>
      <c r="AM509" s="37"/>
      <c r="AN509" s="52"/>
      <c r="AO509" s="87"/>
      <c r="AQ509" s="86"/>
      <c r="AR509" s="37"/>
      <c r="AS509" s="52"/>
      <c r="AT509" s="87"/>
    </row>
    <row r="510" spans="2:46" thickBot="1">
      <c r="B510" s="113"/>
      <c r="C510" s="324"/>
      <c r="D510" s="346"/>
      <c r="E510" s="326"/>
      <c r="F510" s="321" t="str">
        <f t="shared" si="54"/>
        <v/>
      </c>
      <c r="G510" s="334"/>
      <c r="H510" s="331"/>
      <c r="I510" s="107"/>
      <c r="J510" s="108"/>
      <c r="K510" s="109"/>
      <c r="L510" s="108"/>
      <c r="O510" s="86"/>
      <c r="P510" s="57"/>
      <c r="Q510" s="37"/>
      <c r="R510" s="92" t="str">
        <f t="shared" si="55"/>
        <v/>
      </c>
      <c r="S510" s="52"/>
      <c r="T510" s="87"/>
      <c r="U510" s="86"/>
      <c r="V510" s="201"/>
      <c r="W510" s="37"/>
      <c r="X510" s="52"/>
      <c r="Y510" s="87"/>
      <c r="AA510" s="86"/>
      <c r="AB510" s="57"/>
      <c r="AC510" s="37"/>
      <c r="AD510" s="52"/>
      <c r="AE510" s="87"/>
      <c r="AG510" s="86"/>
      <c r="AH510" s="37"/>
      <c r="AI510" s="52"/>
      <c r="AJ510" s="87"/>
      <c r="AL510" s="86"/>
      <c r="AM510" s="37"/>
      <c r="AN510" s="52"/>
      <c r="AO510" s="87"/>
      <c r="AQ510" s="86"/>
      <c r="AR510" s="37"/>
      <c r="AS510" s="52"/>
      <c r="AT510" s="87"/>
    </row>
    <row r="511" spans="2:46" thickBot="1">
      <c r="B511" s="113"/>
      <c r="C511" s="324"/>
      <c r="D511" s="346"/>
      <c r="E511" s="326"/>
      <c r="F511" s="321" t="str">
        <f t="shared" si="54"/>
        <v/>
      </c>
      <c r="G511" s="334"/>
      <c r="H511" s="331"/>
      <c r="I511" s="107"/>
      <c r="J511" s="108"/>
      <c r="K511" s="109"/>
      <c r="L511" s="108"/>
      <c r="O511" s="86"/>
      <c r="P511" s="57"/>
      <c r="Q511" s="37"/>
      <c r="R511" s="92" t="str">
        <f t="shared" si="55"/>
        <v/>
      </c>
      <c r="S511" s="52"/>
      <c r="T511" s="87"/>
      <c r="U511" s="86"/>
      <c r="V511" s="201"/>
      <c r="W511" s="37"/>
      <c r="X511" s="52"/>
      <c r="Y511" s="87"/>
      <c r="AA511" s="86"/>
      <c r="AB511" s="57"/>
      <c r="AC511" s="37"/>
      <c r="AD511" s="52"/>
      <c r="AE511" s="87"/>
      <c r="AG511" s="86"/>
      <c r="AH511" s="37"/>
      <c r="AI511" s="52"/>
      <c r="AJ511" s="87"/>
      <c r="AL511" s="86"/>
      <c r="AM511" s="37"/>
      <c r="AN511" s="52"/>
      <c r="AO511" s="87"/>
      <c r="AQ511" s="86"/>
      <c r="AR511" s="37"/>
      <c r="AS511" s="52"/>
      <c r="AT511" s="87"/>
    </row>
    <row r="512" spans="2:46" thickBot="1">
      <c r="B512" s="113"/>
      <c r="C512" s="324"/>
      <c r="D512" s="346"/>
      <c r="E512" s="326"/>
      <c r="F512" s="321" t="str">
        <f t="shared" si="54"/>
        <v/>
      </c>
      <c r="G512" s="334"/>
      <c r="H512" s="331"/>
      <c r="I512" s="107"/>
      <c r="J512" s="108"/>
      <c r="K512" s="109"/>
      <c r="L512" s="108"/>
      <c r="O512" s="86"/>
      <c r="P512" s="57"/>
      <c r="Q512" s="37"/>
      <c r="R512" s="92" t="str">
        <f t="shared" si="55"/>
        <v/>
      </c>
      <c r="S512" s="52"/>
      <c r="T512" s="87"/>
      <c r="U512" s="86"/>
      <c r="V512" s="201"/>
      <c r="W512" s="37"/>
      <c r="X512" s="52"/>
      <c r="Y512" s="87"/>
      <c r="AA512" s="86"/>
      <c r="AB512" s="57"/>
      <c r="AC512" s="37"/>
      <c r="AD512" s="52"/>
      <c r="AE512" s="87"/>
      <c r="AG512" s="86"/>
      <c r="AH512" s="37"/>
      <c r="AI512" s="52"/>
      <c r="AJ512" s="87"/>
      <c r="AL512" s="86"/>
      <c r="AM512" s="37"/>
      <c r="AN512" s="52"/>
      <c r="AO512" s="87"/>
      <c r="AQ512" s="86"/>
      <c r="AR512" s="37"/>
      <c r="AS512" s="52"/>
      <c r="AT512" s="87"/>
    </row>
    <row r="513" spans="2:46" thickBot="1">
      <c r="B513" s="113"/>
      <c r="C513" s="324"/>
      <c r="D513" s="346"/>
      <c r="E513" s="326"/>
      <c r="F513" s="321" t="str">
        <f t="shared" si="54"/>
        <v/>
      </c>
      <c r="G513" s="334"/>
      <c r="H513" s="331"/>
      <c r="I513" s="107"/>
      <c r="J513" s="108"/>
      <c r="K513" s="109"/>
      <c r="L513" s="108"/>
      <c r="O513" s="86"/>
      <c r="P513" s="57"/>
      <c r="Q513" s="37"/>
      <c r="R513" s="92" t="str">
        <f t="shared" si="55"/>
        <v/>
      </c>
      <c r="S513" s="52"/>
      <c r="T513" s="87"/>
      <c r="U513" s="86"/>
      <c r="V513" s="201"/>
      <c r="W513" s="37"/>
      <c r="X513" s="52"/>
      <c r="Y513" s="87"/>
      <c r="AA513" s="86"/>
      <c r="AB513" s="57"/>
      <c r="AC513" s="37"/>
      <c r="AD513" s="52"/>
      <c r="AE513" s="87"/>
      <c r="AG513" s="86"/>
      <c r="AH513" s="37"/>
      <c r="AI513" s="52"/>
      <c r="AJ513" s="87"/>
      <c r="AL513" s="86"/>
      <c r="AM513" s="37"/>
      <c r="AN513" s="52"/>
      <c r="AO513" s="87"/>
      <c r="AQ513" s="86"/>
      <c r="AR513" s="37"/>
      <c r="AS513" s="52"/>
      <c r="AT513" s="87"/>
    </row>
    <row r="514" spans="2:46" thickBot="1">
      <c r="B514" s="113"/>
      <c r="C514" s="324"/>
      <c r="D514" s="346"/>
      <c r="E514" s="326"/>
      <c r="F514" s="321" t="str">
        <f t="shared" si="54"/>
        <v/>
      </c>
      <c r="G514" s="334"/>
      <c r="H514" s="331"/>
      <c r="I514" s="107"/>
      <c r="J514" s="108"/>
      <c r="K514" s="109"/>
      <c r="L514" s="108"/>
      <c r="O514" s="86"/>
      <c r="P514" s="57"/>
      <c r="Q514" s="37"/>
      <c r="R514" s="92" t="str">
        <f t="shared" si="55"/>
        <v/>
      </c>
      <c r="S514" s="52"/>
      <c r="T514" s="87"/>
      <c r="U514" s="86"/>
      <c r="V514" s="201"/>
      <c r="W514" s="37"/>
      <c r="X514" s="52"/>
      <c r="Y514" s="87"/>
      <c r="AA514" s="86"/>
      <c r="AB514" s="57"/>
      <c r="AC514" s="37"/>
      <c r="AD514" s="52"/>
      <c r="AE514" s="87"/>
      <c r="AG514" s="86"/>
      <c r="AH514" s="37"/>
      <c r="AI514" s="52"/>
      <c r="AJ514" s="87"/>
      <c r="AL514" s="86"/>
      <c r="AM514" s="37"/>
      <c r="AN514" s="52"/>
      <c r="AO514" s="87"/>
      <c r="AQ514" s="86"/>
      <c r="AR514" s="37"/>
      <c r="AS514" s="52"/>
      <c r="AT514" s="87"/>
    </row>
    <row r="515" spans="2:46" thickBot="1">
      <c r="B515" s="113"/>
      <c r="C515" s="324"/>
      <c r="D515" s="346"/>
      <c r="E515" s="326"/>
      <c r="F515" s="321" t="str">
        <f t="shared" si="54"/>
        <v/>
      </c>
      <c r="G515" s="334"/>
      <c r="H515" s="331"/>
      <c r="I515" s="107"/>
      <c r="J515" s="108"/>
      <c r="K515" s="109"/>
      <c r="L515" s="108"/>
      <c r="O515" s="86"/>
      <c r="P515" s="57"/>
      <c r="Q515" s="37"/>
      <c r="R515" s="92" t="str">
        <f t="shared" si="55"/>
        <v/>
      </c>
      <c r="S515" s="52"/>
      <c r="T515" s="87"/>
      <c r="U515" s="86"/>
      <c r="V515" s="201"/>
      <c r="W515" s="37"/>
      <c r="X515" s="52"/>
      <c r="Y515" s="87"/>
      <c r="AA515" s="86"/>
      <c r="AB515" s="57"/>
      <c r="AC515" s="37"/>
      <c r="AD515" s="52"/>
      <c r="AE515" s="87"/>
      <c r="AG515" s="86"/>
      <c r="AH515" s="37"/>
      <c r="AI515" s="52"/>
      <c r="AJ515" s="87"/>
      <c r="AL515" s="86"/>
      <c r="AM515" s="37"/>
      <c r="AN515" s="52"/>
      <c r="AO515" s="87"/>
      <c r="AQ515" s="86"/>
      <c r="AR515" s="37"/>
      <c r="AS515" s="52"/>
      <c r="AT515" s="87"/>
    </row>
    <row r="516" spans="2:46" thickBot="1">
      <c r="B516" s="113"/>
      <c r="C516" s="324"/>
      <c r="D516" s="346"/>
      <c r="E516" s="326"/>
      <c r="F516" s="321" t="str">
        <f t="shared" si="54"/>
        <v/>
      </c>
      <c r="G516" s="334"/>
      <c r="H516" s="331"/>
      <c r="I516" s="107"/>
      <c r="J516" s="108"/>
      <c r="K516" s="109"/>
      <c r="L516" s="108"/>
      <c r="O516" s="86"/>
      <c r="P516" s="57"/>
      <c r="Q516" s="37"/>
      <c r="R516" s="92" t="str">
        <f t="shared" si="55"/>
        <v/>
      </c>
      <c r="S516" s="52"/>
      <c r="T516" s="87"/>
      <c r="U516" s="86"/>
      <c r="V516" s="201"/>
      <c r="W516" s="37"/>
      <c r="X516" s="52"/>
      <c r="Y516" s="87"/>
      <c r="AA516" s="86"/>
      <c r="AB516" s="57"/>
      <c r="AC516" s="37"/>
      <c r="AD516" s="52"/>
      <c r="AE516" s="87"/>
      <c r="AG516" s="86"/>
      <c r="AH516" s="37"/>
      <c r="AI516" s="52"/>
      <c r="AJ516" s="87"/>
      <c r="AL516" s="86"/>
      <c r="AM516" s="37"/>
      <c r="AN516" s="52"/>
      <c r="AO516" s="87"/>
      <c r="AQ516" s="86"/>
      <c r="AR516" s="37"/>
      <c r="AS516" s="52"/>
      <c r="AT516" s="87"/>
    </row>
    <row r="517" spans="2:46" thickBot="1">
      <c r="B517" s="113"/>
      <c r="C517" s="324"/>
      <c r="D517" s="346"/>
      <c r="E517" s="326"/>
      <c r="F517" s="321" t="str">
        <f t="shared" si="54"/>
        <v/>
      </c>
      <c r="G517" s="334"/>
      <c r="H517" s="331"/>
      <c r="I517" s="107"/>
      <c r="J517" s="108"/>
      <c r="K517" s="109"/>
      <c r="L517" s="108"/>
      <c r="O517" s="86"/>
      <c r="P517" s="57"/>
      <c r="Q517" s="37"/>
      <c r="R517" s="92" t="str">
        <f t="shared" si="55"/>
        <v/>
      </c>
      <c r="S517" s="52"/>
      <c r="T517" s="87"/>
      <c r="U517" s="86"/>
      <c r="V517" s="201"/>
      <c r="W517" s="37"/>
      <c r="X517" s="52"/>
      <c r="Y517" s="87"/>
      <c r="AA517" s="86"/>
      <c r="AB517" s="57"/>
      <c r="AC517" s="37"/>
      <c r="AD517" s="52"/>
      <c r="AE517" s="87"/>
      <c r="AG517" s="86"/>
      <c r="AH517" s="37"/>
      <c r="AI517" s="52"/>
      <c r="AJ517" s="87"/>
      <c r="AL517" s="86"/>
      <c r="AM517" s="37"/>
      <c r="AN517" s="52"/>
      <c r="AO517" s="87"/>
      <c r="AQ517" s="86"/>
      <c r="AR517" s="37"/>
      <c r="AS517" s="52"/>
      <c r="AT517" s="87"/>
    </row>
    <row r="518" spans="2:46" thickBot="1">
      <c r="B518" s="113"/>
      <c r="C518" s="324"/>
      <c r="D518" s="346"/>
      <c r="E518" s="326"/>
      <c r="F518" s="321" t="str">
        <f t="shared" ref="F518:F581" si="56">IF(E518="","",ROUND(G518*(1+$F$2),2))</f>
        <v/>
      </c>
      <c r="G518" s="334"/>
      <c r="H518" s="331"/>
      <c r="I518" s="107"/>
      <c r="J518" s="108"/>
      <c r="K518" s="109"/>
      <c r="L518" s="108"/>
      <c r="O518" s="86"/>
      <c r="P518" s="57"/>
      <c r="Q518" s="37"/>
      <c r="R518" s="92" t="str">
        <f t="shared" si="55"/>
        <v/>
      </c>
      <c r="S518" s="52"/>
      <c r="T518" s="87"/>
      <c r="U518" s="86"/>
      <c r="V518" s="201"/>
      <c r="W518" s="37"/>
      <c r="X518" s="52"/>
      <c r="Y518" s="87"/>
      <c r="AA518" s="86"/>
      <c r="AB518" s="57"/>
      <c r="AC518" s="37"/>
      <c r="AD518" s="52"/>
      <c r="AE518" s="87"/>
      <c r="AG518" s="86"/>
      <c r="AH518" s="37"/>
      <c r="AI518" s="52"/>
      <c r="AJ518" s="87"/>
      <c r="AL518" s="86"/>
      <c r="AM518" s="37"/>
      <c r="AN518" s="52"/>
      <c r="AO518" s="87"/>
      <c r="AQ518" s="86"/>
      <c r="AR518" s="37"/>
      <c r="AS518" s="52"/>
      <c r="AT518" s="87"/>
    </row>
    <row r="519" spans="2:46" thickBot="1">
      <c r="B519" s="113"/>
      <c r="C519" s="324"/>
      <c r="D519" s="346"/>
      <c r="E519" s="326"/>
      <c r="F519" s="321" t="str">
        <f t="shared" si="56"/>
        <v/>
      </c>
      <c r="G519" s="334"/>
      <c r="H519" s="331"/>
      <c r="I519" s="107"/>
      <c r="J519" s="108"/>
      <c r="K519" s="109"/>
      <c r="L519" s="108"/>
      <c r="O519" s="86"/>
      <c r="P519" s="57"/>
      <c r="Q519" s="37"/>
      <c r="R519" s="92" t="str">
        <f t="shared" si="55"/>
        <v/>
      </c>
      <c r="S519" s="52"/>
      <c r="T519" s="87"/>
      <c r="U519" s="86"/>
      <c r="V519" s="201"/>
      <c r="W519" s="37"/>
      <c r="X519" s="52"/>
      <c r="Y519" s="87"/>
      <c r="AA519" s="86"/>
      <c r="AB519" s="57"/>
      <c r="AC519" s="37"/>
      <c r="AD519" s="52"/>
      <c r="AE519" s="87"/>
      <c r="AG519" s="86"/>
      <c r="AH519" s="37"/>
      <c r="AI519" s="52"/>
      <c r="AJ519" s="87"/>
      <c r="AL519" s="86"/>
      <c r="AM519" s="37"/>
      <c r="AN519" s="52"/>
      <c r="AO519" s="87"/>
      <c r="AQ519" s="86"/>
      <c r="AR519" s="37"/>
      <c r="AS519" s="52"/>
      <c r="AT519" s="87"/>
    </row>
    <row r="520" spans="2:46" thickBot="1">
      <c r="B520" s="113"/>
      <c r="C520" s="324"/>
      <c r="D520" s="346"/>
      <c r="E520" s="326"/>
      <c r="F520" s="321" t="str">
        <f t="shared" si="56"/>
        <v/>
      </c>
      <c r="G520" s="334"/>
      <c r="H520" s="331"/>
      <c r="I520" s="107"/>
      <c r="J520" s="108"/>
      <c r="K520" s="109"/>
      <c r="L520" s="108"/>
      <c r="O520" s="86"/>
      <c r="P520" s="57"/>
      <c r="Q520" s="37"/>
      <c r="R520" s="92" t="str">
        <f t="shared" si="55"/>
        <v/>
      </c>
      <c r="S520" s="52"/>
      <c r="T520" s="87"/>
      <c r="U520" s="86"/>
      <c r="V520" s="201"/>
      <c r="W520" s="37"/>
      <c r="X520" s="52"/>
      <c r="Y520" s="87"/>
      <c r="AA520" s="86"/>
      <c r="AB520" s="57"/>
      <c r="AC520" s="37"/>
      <c r="AD520" s="52"/>
      <c r="AE520" s="87"/>
      <c r="AG520" s="86"/>
      <c r="AH520" s="37"/>
      <c r="AI520" s="52"/>
      <c r="AJ520" s="87"/>
      <c r="AL520" s="86"/>
      <c r="AM520" s="37"/>
      <c r="AN520" s="52"/>
      <c r="AO520" s="87"/>
      <c r="AQ520" s="86"/>
      <c r="AR520" s="37"/>
      <c r="AS520" s="52"/>
      <c r="AT520" s="87"/>
    </row>
    <row r="521" spans="2:46" thickBot="1">
      <c r="B521" s="113"/>
      <c r="C521" s="324"/>
      <c r="D521" s="346"/>
      <c r="E521" s="326"/>
      <c r="F521" s="321" t="str">
        <f t="shared" si="56"/>
        <v/>
      </c>
      <c r="G521" s="334"/>
      <c r="H521" s="331"/>
      <c r="I521" s="107"/>
      <c r="J521" s="108"/>
      <c r="K521" s="109"/>
      <c r="L521" s="108"/>
      <c r="O521" s="86"/>
      <c r="P521" s="57"/>
      <c r="Q521" s="37"/>
      <c r="R521" s="92" t="str">
        <f t="shared" si="55"/>
        <v/>
      </c>
      <c r="S521" s="52"/>
      <c r="T521" s="87"/>
      <c r="U521" s="86"/>
      <c r="V521" s="201"/>
      <c r="W521" s="37"/>
      <c r="X521" s="52"/>
      <c r="Y521" s="87"/>
      <c r="AA521" s="86"/>
      <c r="AB521" s="57"/>
      <c r="AC521" s="37"/>
      <c r="AD521" s="52"/>
      <c r="AE521" s="87"/>
      <c r="AG521" s="86"/>
      <c r="AH521" s="37"/>
      <c r="AI521" s="52"/>
      <c r="AJ521" s="87"/>
      <c r="AL521" s="86"/>
      <c r="AM521" s="37"/>
      <c r="AN521" s="52"/>
      <c r="AO521" s="87"/>
      <c r="AQ521" s="86"/>
      <c r="AR521" s="37"/>
      <c r="AS521" s="52"/>
      <c r="AT521" s="87"/>
    </row>
    <row r="522" spans="2:46" thickBot="1">
      <c r="B522" s="113"/>
      <c r="C522" s="324"/>
      <c r="D522" s="346"/>
      <c r="E522" s="326"/>
      <c r="F522" s="321" t="str">
        <f t="shared" si="56"/>
        <v/>
      </c>
      <c r="G522" s="334"/>
      <c r="H522" s="331"/>
      <c r="I522" s="107"/>
      <c r="J522" s="108"/>
      <c r="K522" s="109"/>
      <c r="L522" s="108"/>
      <c r="O522" s="86"/>
      <c r="P522" s="57"/>
      <c r="Q522" s="37"/>
      <c r="R522" s="92" t="str">
        <f t="shared" si="55"/>
        <v/>
      </c>
      <c r="S522" s="52"/>
      <c r="T522" s="87"/>
      <c r="U522" s="86"/>
      <c r="V522" s="201"/>
      <c r="W522" s="37"/>
      <c r="X522" s="52"/>
      <c r="Y522" s="87"/>
      <c r="AA522" s="86"/>
      <c r="AB522" s="57"/>
      <c r="AC522" s="37"/>
      <c r="AD522" s="52"/>
      <c r="AE522" s="87"/>
      <c r="AG522" s="86"/>
      <c r="AH522" s="37"/>
      <c r="AI522" s="52"/>
      <c r="AJ522" s="87"/>
      <c r="AL522" s="86"/>
      <c r="AM522" s="37"/>
      <c r="AN522" s="52"/>
      <c r="AO522" s="87"/>
      <c r="AQ522" s="86"/>
      <c r="AR522" s="37"/>
      <c r="AS522" s="52"/>
      <c r="AT522" s="87"/>
    </row>
    <row r="523" spans="2:46" thickBot="1">
      <c r="B523" s="113"/>
      <c r="C523" s="324"/>
      <c r="D523" s="346"/>
      <c r="E523" s="326"/>
      <c r="F523" s="321" t="str">
        <f t="shared" si="56"/>
        <v/>
      </c>
      <c r="G523" s="334"/>
      <c r="H523" s="331"/>
      <c r="I523" s="107"/>
      <c r="J523" s="108"/>
      <c r="K523" s="109"/>
      <c r="L523" s="108"/>
      <c r="O523" s="86"/>
      <c r="P523" s="57"/>
      <c r="Q523" s="37"/>
      <c r="R523" s="92" t="str">
        <f t="shared" si="55"/>
        <v/>
      </c>
      <c r="S523" s="52"/>
      <c r="T523" s="87"/>
      <c r="U523" s="86"/>
      <c r="V523" s="201"/>
      <c r="W523" s="37"/>
      <c r="X523" s="52"/>
      <c r="Y523" s="87"/>
      <c r="AA523" s="86"/>
      <c r="AB523" s="57"/>
      <c r="AC523" s="37"/>
      <c r="AD523" s="52"/>
      <c r="AE523" s="87"/>
      <c r="AG523" s="86"/>
      <c r="AH523" s="37"/>
      <c r="AI523" s="52"/>
      <c r="AJ523" s="87"/>
      <c r="AL523" s="86"/>
      <c r="AM523" s="37"/>
      <c r="AN523" s="52"/>
      <c r="AO523" s="87"/>
      <c r="AQ523" s="86"/>
      <c r="AR523" s="37"/>
      <c r="AS523" s="52"/>
      <c r="AT523" s="87"/>
    </row>
    <row r="524" spans="2:46" thickBot="1">
      <c r="B524" s="113"/>
      <c r="C524" s="324"/>
      <c r="D524" s="346"/>
      <c r="E524" s="326"/>
      <c r="F524" s="321" t="str">
        <f t="shared" si="56"/>
        <v/>
      </c>
      <c r="G524" s="334"/>
      <c r="H524" s="331"/>
      <c r="I524" s="107"/>
      <c r="J524" s="108"/>
      <c r="K524" s="109"/>
      <c r="L524" s="108"/>
      <c r="O524" s="86"/>
      <c r="P524" s="57"/>
      <c r="Q524" s="37"/>
      <c r="R524" s="92" t="str">
        <f t="shared" si="55"/>
        <v/>
      </c>
      <c r="S524" s="52"/>
      <c r="T524" s="87"/>
      <c r="U524" s="86"/>
      <c r="V524" s="201"/>
      <c r="W524" s="37"/>
      <c r="X524" s="52"/>
      <c r="Y524" s="87"/>
      <c r="AA524" s="86"/>
      <c r="AB524" s="57"/>
      <c r="AC524" s="37"/>
      <c r="AD524" s="52"/>
      <c r="AE524" s="87"/>
      <c r="AG524" s="86"/>
      <c r="AH524" s="37"/>
      <c r="AI524" s="52"/>
      <c r="AJ524" s="87"/>
      <c r="AL524" s="86"/>
      <c r="AM524" s="37"/>
      <c r="AN524" s="52"/>
      <c r="AO524" s="87"/>
      <c r="AQ524" s="86"/>
      <c r="AR524" s="37"/>
      <c r="AS524" s="52"/>
      <c r="AT524" s="87"/>
    </row>
    <row r="525" spans="2:46" thickBot="1">
      <c r="B525" s="113"/>
      <c r="C525" s="324"/>
      <c r="D525" s="346"/>
      <c r="E525" s="326"/>
      <c r="F525" s="321" t="str">
        <f t="shared" si="56"/>
        <v/>
      </c>
      <c r="G525" s="334"/>
      <c r="H525" s="331"/>
      <c r="I525" s="107"/>
      <c r="J525" s="108"/>
      <c r="K525" s="109"/>
      <c r="L525" s="108"/>
      <c r="O525" s="86"/>
      <c r="P525" s="57"/>
      <c r="Q525" s="37"/>
      <c r="R525" s="92" t="str">
        <f t="shared" si="55"/>
        <v/>
      </c>
      <c r="S525" s="52"/>
      <c r="T525" s="87"/>
      <c r="U525" s="86"/>
      <c r="V525" s="201"/>
      <c r="W525" s="37"/>
      <c r="X525" s="52"/>
      <c r="Y525" s="87"/>
      <c r="AA525" s="86"/>
      <c r="AB525" s="57"/>
      <c r="AC525" s="37"/>
      <c r="AD525" s="52"/>
      <c r="AE525" s="87"/>
      <c r="AG525" s="86"/>
      <c r="AH525" s="37"/>
      <c r="AI525" s="52"/>
      <c r="AJ525" s="87"/>
      <c r="AL525" s="86"/>
      <c r="AM525" s="37"/>
      <c r="AN525" s="52"/>
      <c r="AO525" s="87"/>
      <c r="AQ525" s="86"/>
      <c r="AR525" s="37"/>
      <c r="AS525" s="52"/>
      <c r="AT525" s="87"/>
    </row>
    <row r="526" spans="2:46" thickBot="1">
      <c r="B526" s="113"/>
      <c r="C526" s="324"/>
      <c r="D526" s="346"/>
      <c r="E526" s="326"/>
      <c r="F526" s="321" t="str">
        <f t="shared" si="56"/>
        <v/>
      </c>
      <c r="G526" s="334"/>
      <c r="H526" s="331"/>
      <c r="I526" s="107"/>
      <c r="J526" s="108"/>
      <c r="K526" s="109"/>
      <c r="L526" s="108"/>
      <c r="O526" s="86"/>
      <c r="P526" s="57"/>
      <c r="Q526" s="37"/>
      <c r="R526" s="92" t="str">
        <f t="shared" si="55"/>
        <v/>
      </c>
      <c r="S526" s="52"/>
      <c r="T526" s="87"/>
      <c r="U526" s="86"/>
      <c r="V526" s="201"/>
      <c r="W526" s="37"/>
      <c r="X526" s="52"/>
      <c r="Y526" s="87"/>
      <c r="AA526" s="86"/>
      <c r="AB526" s="57"/>
      <c r="AC526" s="37"/>
      <c r="AD526" s="52"/>
      <c r="AE526" s="87"/>
      <c r="AG526" s="86"/>
      <c r="AH526" s="37"/>
      <c r="AI526" s="52"/>
      <c r="AJ526" s="87"/>
      <c r="AL526" s="86"/>
      <c r="AM526" s="37"/>
      <c r="AN526" s="52"/>
      <c r="AO526" s="87"/>
      <c r="AQ526" s="86"/>
      <c r="AR526" s="37"/>
      <c r="AS526" s="52"/>
      <c r="AT526" s="87"/>
    </row>
    <row r="527" spans="2:46" thickBot="1">
      <c r="B527" s="113"/>
      <c r="C527" s="324"/>
      <c r="D527" s="346"/>
      <c r="E527" s="326"/>
      <c r="F527" s="321" t="str">
        <f t="shared" si="56"/>
        <v/>
      </c>
      <c r="G527" s="334"/>
      <c r="H527" s="331"/>
      <c r="I527" s="107"/>
      <c r="J527" s="108"/>
      <c r="K527" s="109"/>
      <c r="L527" s="108"/>
      <c r="O527" s="86"/>
      <c r="P527" s="57"/>
      <c r="Q527" s="37"/>
      <c r="R527" s="92" t="str">
        <f t="shared" si="55"/>
        <v/>
      </c>
      <c r="S527" s="52"/>
      <c r="T527" s="87"/>
      <c r="U527" s="86"/>
      <c r="V527" s="201"/>
      <c r="W527" s="37"/>
      <c r="X527" s="52"/>
      <c r="Y527" s="87"/>
      <c r="AA527" s="86"/>
      <c r="AB527" s="57"/>
      <c r="AC527" s="37"/>
      <c r="AD527" s="52"/>
      <c r="AE527" s="87"/>
      <c r="AG527" s="86"/>
      <c r="AH527" s="37"/>
      <c r="AI527" s="52"/>
      <c r="AJ527" s="87"/>
      <c r="AL527" s="86"/>
      <c r="AM527" s="37"/>
      <c r="AN527" s="52"/>
      <c r="AO527" s="87"/>
      <c r="AQ527" s="86"/>
      <c r="AR527" s="37"/>
      <c r="AS527" s="52"/>
      <c r="AT527" s="87"/>
    </row>
    <row r="528" spans="2:46" thickBot="1">
      <c r="B528" s="113"/>
      <c r="C528" s="324"/>
      <c r="D528" s="346"/>
      <c r="E528" s="326"/>
      <c r="F528" s="321" t="str">
        <f t="shared" si="56"/>
        <v/>
      </c>
      <c r="G528" s="334"/>
      <c r="H528" s="331"/>
      <c r="I528" s="107"/>
      <c r="J528" s="108"/>
      <c r="K528" s="109"/>
      <c r="L528" s="108"/>
      <c r="O528" s="86"/>
      <c r="P528" s="57"/>
      <c r="Q528" s="37"/>
      <c r="R528" s="92" t="str">
        <f t="shared" si="55"/>
        <v/>
      </c>
      <c r="S528" s="52"/>
      <c r="T528" s="87"/>
      <c r="U528" s="86"/>
      <c r="V528" s="201"/>
      <c r="W528" s="37"/>
      <c r="X528" s="52"/>
      <c r="Y528" s="87"/>
      <c r="AA528" s="86"/>
      <c r="AB528" s="57"/>
      <c r="AC528" s="37"/>
      <c r="AD528" s="52"/>
      <c r="AE528" s="87"/>
      <c r="AG528" s="86"/>
      <c r="AH528" s="37"/>
      <c r="AI528" s="52"/>
      <c r="AJ528" s="87"/>
      <c r="AL528" s="86"/>
      <c r="AM528" s="37"/>
      <c r="AN528" s="52"/>
      <c r="AO528" s="87"/>
      <c r="AQ528" s="86"/>
      <c r="AR528" s="37"/>
      <c r="AS528" s="52"/>
      <c r="AT528" s="87"/>
    </row>
    <row r="529" spans="2:46" thickBot="1">
      <c r="B529" s="113"/>
      <c r="C529" s="324"/>
      <c r="D529" s="346"/>
      <c r="E529" s="326"/>
      <c r="F529" s="321" t="str">
        <f t="shared" si="56"/>
        <v/>
      </c>
      <c r="G529" s="334"/>
      <c r="H529" s="331"/>
      <c r="I529" s="107"/>
      <c r="J529" s="108"/>
      <c r="K529" s="109"/>
      <c r="L529" s="108"/>
      <c r="O529" s="86"/>
      <c r="P529" s="57"/>
      <c r="Q529" s="37"/>
      <c r="R529" s="92" t="str">
        <f t="shared" si="55"/>
        <v/>
      </c>
      <c r="S529" s="52"/>
      <c r="T529" s="87"/>
      <c r="U529" s="86"/>
      <c r="V529" s="201"/>
      <c r="W529" s="37"/>
      <c r="X529" s="52"/>
      <c r="Y529" s="87"/>
      <c r="AA529" s="86"/>
      <c r="AB529" s="57"/>
      <c r="AC529" s="37"/>
      <c r="AD529" s="52"/>
      <c r="AE529" s="87"/>
      <c r="AG529" s="86"/>
      <c r="AH529" s="37"/>
      <c r="AI529" s="52"/>
      <c r="AJ529" s="87"/>
      <c r="AL529" s="86"/>
      <c r="AM529" s="37"/>
      <c r="AN529" s="52"/>
      <c r="AO529" s="87"/>
      <c r="AQ529" s="86"/>
      <c r="AR529" s="37"/>
      <c r="AS529" s="52"/>
      <c r="AT529" s="87"/>
    </row>
    <row r="530" spans="2:46" thickBot="1">
      <c r="B530" s="113"/>
      <c r="C530" s="324"/>
      <c r="D530" s="346"/>
      <c r="E530" s="326"/>
      <c r="F530" s="321" t="str">
        <f t="shared" si="56"/>
        <v/>
      </c>
      <c r="G530" s="334"/>
      <c r="H530" s="331"/>
      <c r="I530" s="107"/>
      <c r="J530" s="108"/>
      <c r="K530" s="109"/>
      <c r="L530" s="108"/>
      <c r="O530" s="86"/>
      <c r="P530" s="57"/>
      <c r="Q530" s="37"/>
      <c r="R530" s="92" t="str">
        <f t="shared" si="55"/>
        <v/>
      </c>
      <c r="S530" s="52"/>
      <c r="T530" s="87"/>
      <c r="U530" s="86"/>
      <c r="V530" s="201"/>
      <c r="W530" s="37"/>
      <c r="X530" s="52"/>
      <c r="Y530" s="87"/>
      <c r="AA530" s="86"/>
      <c r="AB530" s="57"/>
      <c r="AC530" s="37"/>
      <c r="AD530" s="52"/>
      <c r="AE530" s="87"/>
      <c r="AG530" s="86"/>
      <c r="AH530" s="37"/>
      <c r="AI530" s="52"/>
      <c r="AJ530" s="87"/>
      <c r="AL530" s="86"/>
      <c r="AM530" s="37"/>
      <c r="AN530" s="52"/>
      <c r="AO530" s="87"/>
      <c r="AQ530" s="86"/>
      <c r="AR530" s="37"/>
      <c r="AS530" s="52"/>
      <c r="AT530" s="87"/>
    </row>
    <row r="531" spans="2:46" thickBot="1">
      <c r="B531" s="113"/>
      <c r="C531" s="324"/>
      <c r="D531" s="346"/>
      <c r="E531" s="326"/>
      <c r="F531" s="321" t="str">
        <f t="shared" si="56"/>
        <v/>
      </c>
      <c r="G531" s="334"/>
      <c r="H531" s="331"/>
      <c r="I531" s="107"/>
      <c r="J531" s="108"/>
      <c r="K531" s="109"/>
      <c r="L531" s="108"/>
      <c r="O531" s="86"/>
      <c r="P531" s="57"/>
      <c r="Q531" s="37"/>
      <c r="R531" s="92" t="str">
        <f t="shared" si="55"/>
        <v/>
      </c>
      <c r="S531" s="52"/>
      <c r="T531" s="87"/>
      <c r="U531" s="86"/>
      <c r="V531" s="201"/>
      <c r="W531" s="37"/>
      <c r="X531" s="52"/>
      <c r="Y531" s="87"/>
      <c r="AA531" s="86"/>
      <c r="AB531" s="57"/>
      <c r="AC531" s="37"/>
      <c r="AD531" s="52"/>
      <c r="AE531" s="87"/>
      <c r="AG531" s="86"/>
      <c r="AH531" s="37"/>
      <c r="AI531" s="52"/>
      <c r="AJ531" s="87"/>
      <c r="AL531" s="86"/>
      <c r="AM531" s="37"/>
      <c r="AN531" s="52"/>
      <c r="AO531" s="87"/>
      <c r="AQ531" s="86"/>
      <c r="AR531" s="37"/>
      <c r="AS531" s="52"/>
      <c r="AT531" s="87"/>
    </row>
    <row r="532" spans="2:46" thickBot="1">
      <c r="B532" s="113"/>
      <c r="C532" s="324"/>
      <c r="D532" s="346"/>
      <c r="E532" s="326"/>
      <c r="F532" s="321" t="str">
        <f t="shared" si="56"/>
        <v/>
      </c>
      <c r="G532" s="334"/>
      <c r="H532" s="331"/>
      <c r="I532" s="107"/>
      <c r="J532" s="108"/>
      <c r="K532" s="109"/>
      <c r="L532" s="108"/>
      <c r="O532" s="86"/>
      <c r="P532" s="57"/>
      <c r="Q532" s="37"/>
      <c r="R532" s="92" t="str">
        <f t="shared" si="55"/>
        <v/>
      </c>
      <c r="S532" s="52"/>
      <c r="T532" s="87"/>
      <c r="U532" s="86"/>
      <c r="V532" s="201"/>
      <c r="W532" s="37"/>
      <c r="X532" s="52"/>
      <c r="Y532" s="87"/>
      <c r="AA532" s="86"/>
      <c r="AB532" s="57"/>
      <c r="AC532" s="37"/>
      <c r="AD532" s="52"/>
      <c r="AE532" s="87"/>
      <c r="AG532" s="86"/>
      <c r="AH532" s="37"/>
      <c r="AI532" s="52"/>
      <c r="AJ532" s="87"/>
      <c r="AL532" s="86"/>
      <c r="AM532" s="37"/>
      <c r="AN532" s="52"/>
      <c r="AO532" s="87"/>
      <c r="AQ532" s="86"/>
      <c r="AR532" s="37"/>
      <c r="AS532" s="52"/>
      <c r="AT532" s="87"/>
    </row>
    <row r="533" spans="2:46" thickBot="1">
      <c r="B533" s="113"/>
      <c r="C533" s="324"/>
      <c r="D533" s="346"/>
      <c r="E533" s="326"/>
      <c r="F533" s="321" t="str">
        <f t="shared" si="56"/>
        <v/>
      </c>
      <c r="G533" s="334"/>
      <c r="H533" s="331"/>
      <c r="I533" s="107"/>
      <c r="J533" s="108"/>
      <c r="K533" s="109"/>
      <c r="L533" s="108"/>
      <c r="O533" s="86"/>
      <c r="P533" s="57"/>
      <c r="Q533" s="37"/>
      <c r="R533" s="92" t="str">
        <f t="shared" si="55"/>
        <v/>
      </c>
      <c r="S533" s="52"/>
      <c r="T533" s="87"/>
      <c r="U533" s="86"/>
      <c r="V533" s="201"/>
      <c r="W533" s="37"/>
      <c r="X533" s="52"/>
      <c r="Y533" s="87"/>
      <c r="AA533" s="86"/>
      <c r="AB533" s="57"/>
      <c r="AC533" s="37"/>
      <c r="AD533" s="52"/>
      <c r="AE533" s="87"/>
      <c r="AG533" s="86"/>
      <c r="AH533" s="37"/>
      <c r="AI533" s="52"/>
      <c r="AJ533" s="87"/>
      <c r="AL533" s="86"/>
      <c r="AM533" s="37"/>
      <c r="AN533" s="52"/>
      <c r="AO533" s="87"/>
      <c r="AQ533" s="86"/>
      <c r="AR533" s="37"/>
      <c r="AS533" s="52"/>
      <c r="AT533" s="87"/>
    </row>
    <row r="534" spans="2:46" thickBot="1">
      <c r="B534" s="113"/>
      <c r="C534" s="324"/>
      <c r="D534" s="346"/>
      <c r="E534" s="326"/>
      <c r="F534" s="321" t="str">
        <f t="shared" si="56"/>
        <v/>
      </c>
      <c r="G534" s="334"/>
      <c r="H534" s="331"/>
      <c r="I534" s="107"/>
      <c r="J534" s="108"/>
      <c r="K534" s="109"/>
      <c r="L534" s="108"/>
      <c r="O534" s="86"/>
      <c r="P534" s="57"/>
      <c r="Q534" s="37"/>
      <c r="R534" s="92" t="str">
        <f t="shared" si="55"/>
        <v/>
      </c>
      <c r="S534" s="52"/>
      <c r="T534" s="87"/>
      <c r="U534" s="86"/>
      <c r="V534" s="201"/>
      <c r="W534" s="37"/>
      <c r="X534" s="52"/>
      <c r="Y534" s="87"/>
      <c r="AA534" s="86"/>
      <c r="AB534" s="57"/>
      <c r="AC534" s="37"/>
      <c r="AD534" s="52"/>
      <c r="AE534" s="87"/>
      <c r="AG534" s="86"/>
      <c r="AH534" s="37"/>
      <c r="AI534" s="52"/>
      <c r="AJ534" s="87"/>
      <c r="AL534" s="86"/>
      <c r="AM534" s="37"/>
      <c r="AN534" s="52"/>
      <c r="AO534" s="87"/>
      <c r="AQ534" s="86"/>
      <c r="AR534" s="37"/>
      <c r="AS534" s="52"/>
      <c r="AT534" s="87"/>
    </row>
    <row r="535" spans="2:46" thickBot="1">
      <c r="B535" s="113"/>
      <c r="C535" s="324"/>
      <c r="D535" s="346"/>
      <c r="E535" s="326"/>
      <c r="F535" s="321" t="str">
        <f t="shared" si="56"/>
        <v/>
      </c>
      <c r="G535" s="334"/>
      <c r="H535" s="331"/>
      <c r="I535" s="107"/>
      <c r="J535" s="108"/>
      <c r="K535" s="109"/>
      <c r="L535" s="108"/>
      <c r="O535" s="86"/>
      <c r="P535" s="57"/>
      <c r="Q535" s="37"/>
      <c r="R535" s="92" t="str">
        <f t="shared" si="55"/>
        <v/>
      </c>
      <c r="S535" s="52"/>
      <c r="T535" s="87"/>
      <c r="U535" s="86"/>
      <c r="V535" s="201"/>
      <c r="W535" s="37"/>
      <c r="X535" s="52"/>
      <c r="Y535" s="87"/>
      <c r="AA535" s="86"/>
      <c r="AB535" s="57"/>
      <c r="AC535" s="37"/>
      <c r="AD535" s="52"/>
      <c r="AE535" s="87"/>
      <c r="AG535" s="86"/>
      <c r="AH535" s="37"/>
      <c r="AI535" s="52"/>
      <c r="AJ535" s="87"/>
      <c r="AL535" s="86"/>
      <c r="AM535" s="37"/>
      <c r="AN535" s="52"/>
      <c r="AO535" s="87"/>
      <c r="AQ535" s="86"/>
      <c r="AR535" s="37"/>
      <c r="AS535" s="52"/>
      <c r="AT535" s="87"/>
    </row>
    <row r="536" spans="2:46" thickBot="1">
      <c r="B536" s="113"/>
      <c r="C536" s="324"/>
      <c r="D536" s="346"/>
      <c r="E536" s="326"/>
      <c r="F536" s="321" t="str">
        <f t="shared" si="56"/>
        <v/>
      </c>
      <c r="G536" s="334"/>
      <c r="H536" s="331"/>
      <c r="I536" s="107"/>
      <c r="J536" s="108"/>
      <c r="K536" s="109"/>
      <c r="L536" s="108"/>
      <c r="O536" s="86"/>
      <c r="P536" s="57"/>
      <c r="Q536" s="37"/>
      <c r="R536" s="92" t="str">
        <f t="shared" si="55"/>
        <v/>
      </c>
      <c r="S536" s="52"/>
      <c r="T536" s="87"/>
      <c r="U536" s="86"/>
      <c r="V536" s="201"/>
      <c r="W536" s="37"/>
      <c r="X536" s="52"/>
      <c r="Y536" s="87"/>
      <c r="AA536" s="86"/>
      <c r="AB536" s="57"/>
      <c r="AC536" s="37"/>
      <c r="AD536" s="52"/>
      <c r="AE536" s="87"/>
      <c r="AG536" s="86"/>
      <c r="AH536" s="37"/>
      <c r="AI536" s="52"/>
      <c r="AJ536" s="87"/>
      <c r="AL536" s="86"/>
      <c r="AM536" s="37"/>
      <c r="AN536" s="52"/>
      <c r="AO536" s="87"/>
      <c r="AQ536" s="86"/>
      <c r="AR536" s="37"/>
      <c r="AS536" s="52"/>
      <c r="AT536" s="87"/>
    </row>
    <row r="537" spans="2:46" thickBot="1">
      <c r="B537" s="113"/>
      <c r="C537" s="324"/>
      <c r="D537" s="346"/>
      <c r="E537" s="326"/>
      <c r="F537" s="321" t="str">
        <f t="shared" si="56"/>
        <v/>
      </c>
      <c r="G537" s="334"/>
      <c r="H537" s="331"/>
      <c r="I537" s="107"/>
      <c r="J537" s="108"/>
      <c r="K537" s="109"/>
      <c r="L537" s="108"/>
      <c r="O537" s="86"/>
      <c r="P537" s="57"/>
      <c r="Q537" s="37"/>
      <c r="R537" s="92" t="str">
        <f t="shared" si="55"/>
        <v/>
      </c>
      <c r="S537" s="52"/>
      <c r="T537" s="87"/>
      <c r="U537" s="86"/>
      <c r="V537" s="201"/>
      <c r="W537" s="37"/>
      <c r="X537" s="52"/>
      <c r="Y537" s="87"/>
      <c r="AA537" s="86"/>
      <c r="AB537" s="57"/>
      <c r="AC537" s="37"/>
      <c r="AD537" s="52"/>
      <c r="AE537" s="87"/>
      <c r="AG537" s="86"/>
      <c r="AH537" s="37"/>
      <c r="AI537" s="52"/>
      <c r="AJ537" s="87"/>
      <c r="AL537" s="86"/>
      <c r="AM537" s="37"/>
      <c r="AN537" s="52"/>
      <c r="AO537" s="87"/>
      <c r="AQ537" s="86"/>
      <c r="AR537" s="37"/>
      <c r="AS537" s="52"/>
      <c r="AT537" s="87"/>
    </row>
    <row r="538" spans="2:46" thickBot="1">
      <c r="B538" s="113"/>
      <c r="C538" s="324"/>
      <c r="D538" s="346"/>
      <c r="E538" s="326"/>
      <c r="F538" s="321" t="str">
        <f t="shared" si="56"/>
        <v/>
      </c>
      <c r="G538" s="334"/>
      <c r="H538" s="331"/>
      <c r="I538" s="107"/>
      <c r="J538" s="108"/>
      <c r="K538" s="109"/>
      <c r="L538" s="108"/>
      <c r="O538" s="86"/>
      <c r="P538" s="57"/>
      <c r="Q538" s="37"/>
      <c r="R538" s="92" t="str">
        <f t="shared" si="55"/>
        <v/>
      </c>
      <c r="S538" s="52"/>
      <c r="T538" s="87"/>
      <c r="U538" s="86"/>
      <c r="V538" s="201"/>
      <c r="W538" s="37"/>
      <c r="X538" s="52"/>
      <c r="Y538" s="87"/>
      <c r="AA538" s="86"/>
      <c r="AB538" s="57"/>
      <c r="AC538" s="37"/>
      <c r="AD538" s="52"/>
      <c r="AE538" s="87"/>
      <c r="AG538" s="86"/>
      <c r="AH538" s="37"/>
      <c r="AI538" s="52"/>
      <c r="AJ538" s="87"/>
      <c r="AL538" s="86"/>
      <c r="AM538" s="37"/>
      <c r="AN538" s="52"/>
      <c r="AO538" s="87"/>
      <c r="AQ538" s="86"/>
      <c r="AR538" s="37"/>
      <c r="AS538" s="52"/>
      <c r="AT538" s="87"/>
    </row>
    <row r="539" spans="2:46" thickBot="1">
      <c r="B539" s="113"/>
      <c r="C539" s="324"/>
      <c r="D539" s="346"/>
      <c r="E539" s="326"/>
      <c r="F539" s="321" t="str">
        <f t="shared" si="56"/>
        <v/>
      </c>
      <c r="G539" s="334"/>
      <c r="H539" s="331"/>
      <c r="I539" s="107"/>
      <c r="J539" s="108"/>
      <c r="K539" s="109"/>
      <c r="L539" s="108"/>
      <c r="O539" s="86"/>
      <c r="P539" s="57"/>
      <c r="Q539" s="37"/>
      <c r="R539" s="92" t="str">
        <f t="shared" si="55"/>
        <v/>
      </c>
      <c r="S539" s="52"/>
      <c r="T539" s="87"/>
      <c r="U539" s="86"/>
      <c r="V539" s="201"/>
      <c r="W539" s="37"/>
      <c r="X539" s="52"/>
      <c r="Y539" s="87"/>
      <c r="AA539" s="86"/>
      <c r="AB539" s="57"/>
      <c r="AC539" s="37"/>
      <c r="AD539" s="52"/>
      <c r="AE539" s="87"/>
      <c r="AG539" s="86"/>
      <c r="AH539" s="37"/>
      <c r="AI539" s="52"/>
      <c r="AJ539" s="87"/>
      <c r="AL539" s="86"/>
      <c r="AM539" s="37"/>
      <c r="AN539" s="52"/>
      <c r="AO539" s="87"/>
      <c r="AQ539" s="86"/>
      <c r="AR539" s="37"/>
      <c r="AS539" s="52"/>
      <c r="AT539" s="87"/>
    </row>
    <row r="540" spans="2:46" thickBot="1">
      <c r="B540" s="113"/>
      <c r="C540" s="324"/>
      <c r="D540" s="346"/>
      <c r="E540" s="326"/>
      <c r="F540" s="321" t="str">
        <f t="shared" si="56"/>
        <v/>
      </c>
      <c r="G540" s="334"/>
      <c r="H540" s="331"/>
      <c r="I540" s="107"/>
      <c r="J540" s="108"/>
      <c r="K540" s="109"/>
      <c r="L540" s="108"/>
      <c r="O540" s="86"/>
      <c r="P540" s="57"/>
      <c r="Q540" s="37"/>
      <c r="R540" s="92" t="str">
        <f t="shared" si="55"/>
        <v/>
      </c>
      <c r="S540" s="52"/>
      <c r="T540" s="87"/>
      <c r="U540" s="86"/>
      <c r="V540" s="201"/>
      <c r="W540" s="37"/>
      <c r="X540" s="52"/>
      <c r="Y540" s="87"/>
      <c r="AA540" s="86"/>
      <c r="AB540" s="57"/>
      <c r="AC540" s="37"/>
      <c r="AD540" s="52"/>
      <c r="AE540" s="87"/>
      <c r="AG540" s="86"/>
      <c r="AH540" s="37"/>
      <c r="AI540" s="52"/>
      <c r="AJ540" s="87"/>
      <c r="AL540" s="86"/>
      <c r="AM540" s="37"/>
      <c r="AN540" s="52"/>
      <c r="AO540" s="87"/>
      <c r="AQ540" s="86"/>
      <c r="AR540" s="37"/>
      <c r="AS540" s="52"/>
      <c r="AT540" s="87"/>
    </row>
    <row r="541" spans="2:46" thickBot="1">
      <c r="B541" s="113"/>
      <c r="C541" s="324"/>
      <c r="D541" s="346"/>
      <c r="E541" s="326"/>
      <c r="F541" s="321" t="str">
        <f t="shared" si="56"/>
        <v/>
      </c>
      <c r="G541" s="334"/>
      <c r="H541" s="331"/>
      <c r="I541" s="107"/>
      <c r="J541" s="108"/>
      <c r="K541" s="109"/>
      <c r="L541" s="108"/>
      <c r="O541" s="86"/>
      <c r="P541" s="57"/>
      <c r="Q541" s="37"/>
      <c r="R541" s="92" t="str">
        <f t="shared" si="55"/>
        <v/>
      </c>
      <c r="S541" s="52"/>
      <c r="T541" s="87"/>
      <c r="U541" s="86"/>
      <c r="V541" s="201"/>
      <c r="W541" s="37"/>
      <c r="X541" s="52"/>
      <c r="Y541" s="87"/>
      <c r="AA541" s="86"/>
      <c r="AB541" s="57"/>
      <c r="AC541" s="37"/>
      <c r="AD541" s="52"/>
      <c r="AE541" s="87"/>
      <c r="AG541" s="86"/>
      <c r="AH541" s="37"/>
      <c r="AI541" s="52"/>
      <c r="AJ541" s="87"/>
      <c r="AL541" s="86"/>
      <c r="AM541" s="37"/>
      <c r="AN541" s="52"/>
      <c r="AO541" s="87"/>
      <c r="AQ541" s="86"/>
      <c r="AR541" s="37"/>
      <c r="AS541" s="52"/>
      <c r="AT541" s="87"/>
    </row>
    <row r="542" spans="2:46" thickBot="1">
      <c r="B542" s="113"/>
      <c r="C542" s="324"/>
      <c r="D542" s="346"/>
      <c r="E542" s="326"/>
      <c r="F542" s="321" t="str">
        <f t="shared" si="56"/>
        <v/>
      </c>
      <c r="G542" s="334"/>
      <c r="H542" s="331"/>
      <c r="I542" s="107"/>
      <c r="J542" s="108"/>
      <c r="K542" s="109"/>
      <c r="L542" s="108"/>
      <c r="O542" s="86"/>
      <c r="P542" s="57"/>
      <c r="Q542" s="37"/>
      <c r="R542" s="92" t="str">
        <f t="shared" si="55"/>
        <v/>
      </c>
      <c r="S542" s="52"/>
      <c r="T542" s="87"/>
      <c r="U542" s="86"/>
      <c r="V542" s="201"/>
      <c r="W542" s="37"/>
      <c r="X542" s="52"/>
      <c r="Y542" s="87"/>
      <c r="AA542" s="86"/>
      <c r="AB542" s="57"/>
      <c r="AC542" s="37"/>
      <c r="AD542" s="52"/>
      <c r="AE542" s="87"/>
      <c r="AG542" s="86"/>
      <c r="AH542" s="37"/>
      <c r="AI542" s="52"/>
      <c r="AJ542" s="87"/>
      <c r="AL542" s="86"/>
      <c r="AM542" s="37"/>
      <c r="AN542" s="52"/>
      <c r="AO542" s="87"/>
      <c r="AQ542" s="86"/>
      <c r="AR542" s="37"/>
      <c r="AS542" s="52"/>
      <c r="AT542" s="87"/>
    </row>
    <row r="543" spans="2:46" thickBot="1">
      <c r="B543" s="113"/>
      <c r="C543" s="324"/>
      <c r="D543" s="346"/>
      <c r="E543" s="326"/>
      <c r="F543" s="321" t="str">
        <f t="shared" si="56"/>
        <v/>
      </c>
      <c r="G543" s="334"/>
      <c r="H543" s="331"/>
      <c r="I543" s="107"/>
      <c r="J543" s="108"/>
      <c r="K543" s="109"/>
      <c r="L543" s="108"/>
      <c r="O543" s="86"/>
      <c r="P543" s="57"/>
      <c r="Q543" s="37"/>
      <c r="R543" s="92" t="str">
        <f t="shared" si="55"/>
        <v/>
      </c>
      <c r="S543" s="52"/>
      <c r="T543" s="87"/>
      <c r="U543" s="86"/>
      <c r="V543" s="201"/>
      <c r="W543" s="37"/>
      <c r="X543" s="52"/>
      <c r="Y543" s="87"/>
      <c r="AA543" s="86"/>
      <c r="AB543" s="57"/>
      <c r="AC543" s="37"/>
      <c r="AD543" s="52"/>
      <c r="AE543" s="87"/>
      <c r="AG543" s="86"/>
      <c r="AH543" s="37"/>
      <c r="AI543" s="52"/>
      <c r="AJ543" s="87"/>
      <c r="AL543" s="86"/>
      <c r="AM543" s="37"/>
      <c r="AN543" s="52"/>
      <c r="AO543" s="87"/>
      <c r="AQ543" s="86"/>
      <c r="AR543" s="37"/>
      <c r="AS543" s="52"/>
      <c r="AT543" s="87"/>
    </row>
    <row r="544" spans="2:46" thickBot="1">
      <c r="B544" s="113"/>
      <c r="C544" s="324"/>
      <c r="D544" s="346"/>
      <c r="E544" s="326"/>
      <c r="F544" s="321" t="str">
        <f t="shared" si="56"/>
        <v/>
      </c>
      <c r="G544" s="334"/>
      <c r="H544" s="331"/>
      <c r="I544" s="107"/>
      <c r="J544" s="108"/>
      <c r="K544" s="109"/>
      <c r="L544" s="108"/>
      <c r="O544" s="86"/>
      <c r="P544" s="57"/>
      <c r="Q544" s="37"/>
      <c r="R544" s="92" t="str">
        <f t="shared" si="55"/>
        <v/>
      </c>
      <c r="S544" s="52"/>
      <c r="T544" s="87"/>
      <c r="U544" s="86"/>
      <c r="V544" s="201"/>
      <c r="W544" s="37"/>
      <c r="X544" s="52"/>
      <c r="Y544" s="87"/>
      <c r="AA544" s="86"/>
      <c r="AB544" s="57"/>
      <c r="AC544" s="37"/>
      <c r="AD544" s="52"/>
      <c r="AE544" s="87"/>
      <c r="AG544" s="86"/>
      <c r="AH544" s="37"/>
      <c r="AI544" s="52"/>
      <c r="AJ544" s="87"/>
      <c r="AL544" s="86"/>
      <c r="AM544" s="37"/>
      <c r="AN544" s="52"/>
      <c r="AO544" s="87"/>
      <c r="AQ544" s="86"/>
      <c r="AR544" s="37"/>
      <c r="AS544" s="52"/>
      <c r="AT544" s="87"/>
    </row>
    <row r="545" spans="2:46" thickBot="1">
      <c r="B545" s="113"/>
      <c r="C545" s="324"/>
      <c r="D545" s="346"/>
      <c r="E545" s="326"/>
      <c r="F545" s="321" t="str">
        <f t="shared" si="56"/>
        <v/>
      </c>
      <c r="G545" s="334"/>
      <c r="H545" s="331"/>
      <c r="I545" s="107"/>
      <c r="J545" s="108"/>
      <c r="K545" s="109"/>
      <c r="L545" s="108"/>
      <c r="O545" s="86"/>
      <c r="P545" s="57"/>
      <c r="Q545" s="37"/>
      <c r="R545" s="92" t="str">
        <f t="shared" si="55"/>
        <v/>
      </c>
      <c r="S545" s="52"/>
      <c r="T545" s="87"/>
      <c r="U545" s="86"/>
      <c r="V545" s="201"/>
      <c r="W545" s="37"/>
      <c r="X545" s="52"/>
      <c r="Y545" s="87"/>
      <c r="AA545" s="86"/>
      <c r="AB545" s="57"/>
      <c r="AC545" s="37"/>
      <c r="AD545" s="52"/>
      <c r="AE545" s="87"/>
      <c r="AG545" s="86"/>
      <c r="AH545" s="37"/>
      <c r="AI545" s="52"/>
      <c r="AJ545" s="87"/>
      <c r="AL545" s="86"/>
      <c r="AM545" s="37"/>
      <c r="AN545" s="52"/>
      <c r="AO545" s="87"/>
      <c r="AQ545" s="86"/>
      <c r="AR545" s="37"/>
      <c r="AS545" s="52"/>
      <c r="AT545" s="87"/>
    </row>
    <row r="546" spans="2:46" thickBot="1">
      <c r="B546" s="113"/>
      <c r="C546" s="324"/>
      <c r="D546" s="346"/>
      <c r="E546" s="326"/>
      <c r="F546" s="321" t="str">
        <f t="shared" si="56"/>
        <v/>
      </c>
      <c r="G546" s="334"/>
      <c r="H546" s="331"/>
      <c r="I546" s="107"/>
      <c r="J546" s="108"/>
      <c r="K546" s="109"/>
      <c r="L546" s="108"/>
      <c r="O546" s="86"/>
      <c r="P546" s="57"/>
      <c r="Q546" s="37"/>
      <c r="R546" s="92" t="str">
        <f t="shared" si="55"/>
        <v/>
      </c>
      <c r="S546" s="52"/>
      <c r="T546" s="87"/>
      <c r="U546" s="86"/>
      <c r="V546" s="201"/>
      <c r="W546" s="37"/>
      <c r="X546" s="52"/>
      <c r="Y546" s="87"/>
      <c r="AA546" s="86"/>
      <c r="AB546" s="57"/>
      <c r="AC546" s="37"/>
      <c r="AD546" s="52"/>
      <c r="AE546" s="87"/>
      <c r="AG546" s="86"/>
      <c r="AH546" s="37"/>
      <c r="AI546" s="52"/>
      <c r="AJ546" s="87"/>
      <c r="AL546" s="86"/>
      <c r="AM546" s="37"/>
      <c r="AN546" s="52"/>
      <c r="AO546" s="87"/>
      <c r="AQ546" s="86"/>
      <c r="AR546" s="37"/>
      <c r="AS546" s="52"/>
      <c r="AT546" s="87"/>
    </row>
    <row r="547" spans="2:46" thickBot="1">
      <c r="B547" s="113"/>
      <c r="C547" s="324"/>
      <c r="D547" s="346"/>
      <c r="E547" s="326"/>
      <c r="F547" s="321" t="str">
        <f t="shared" si="56"/>
        <v/>
      </c>
      <c r="G547" s="334"/>
      <c r="H547" s="331"/>
      <c r="I547" s="107"/>
      <c r="J547" s="108"/>
      <c r="K547" s="109"/>
      <c r="L547" s="108"/>
      <c r="O547" s="86"/>
      <c r="P547" s="57"/>
      <c r="Q547" s="37"/>
      <c r="R547" s="92" t="str">
        <f t="shared" si="55"/>
        <v/>
      </c>
      <c r="S547" s="52"/>
      <c r="T547" s="87"/>
      <c r="U547" s="86"/>
      <c r="V547" s="201"/>
      <c r="W547" s="37"/>
      <c r="X547" s="52"/>
      <c r="Y547" s="87"/>
      <c r="AA547" s="86"/>
      <c r="AB547" s="57"/>
      <c r="AC547" s="37"/>
      <c r="AD547" s="52"/>
      <c r="AE547" s="87"/>
      <c r="AG547" s="86"/>
      <c r="AH547" s="37"/>
      <c r="AI547" s="52"/>
      <c r="AJ547" s="87"/>
      <c r="AL547" s="86"/>
      <c r="AM547" s="37"/>
      <c r="AN547" s="52"/>
      <c r="AO547" s="87"/>
      <c r="AQ547" s="86"/>
      <c r="AR547" s="37"/>
      <c r="AS547" s="52"/>
      <c r="AT547" s="87"/>
    </row>
    <row r="548" spans="2:46" thickBot="1">
      <c r="B548" s="113"/>
      <c r="C548" s="324"/>
      <c r="D548" s="346"/>
      <c r="E548" s="326"/>
      <c r="F548" s="321" t="str">
        <f t="shared" si="56"/>
        <v/>
      </c>
      <c r="G548" s="334"/>
      <c r="H548" s="331"/>
      <c r="I548" s="107"/>
      <c r="J548" s="108"/>
      <c r="K548" s="109"/>
      <c r="L548" s="108"/>
      <c r="O548" s="86"/>
      <c r="P548" s="57"/>
      <c r="Q548" s="37"/>
      <c r="R548" s="92" t="str">
        <f t="shared" si="55"/>
        <v/>
      </c>
      <c r="S548" s="52"/>
      <c r="T548" s="87"/>
      <c r="U548" s="86"/>
      <c r="V548" s="201"/>
      <c r="W548" s="37"/>
      <c r="X548" s="52"/>
      <c r="Y548" s="87"/>
      <c r="AA548" s="86"/>
      <c r="AB548" s="57"/>
      <c r="AC548" s="37"/>
      <c r="AD548" s="52"/>
      <c r="AE548" s="87"/>
      <c r="AG548" s="86"/>
      <c r="AH548" s="37"/>
      <c r="AI548" s="52"/>
      <c r="AJ548" s="87"/>
      <c r="AL548" s="86"/>
      <c r="AM548" s="37"/>
      <c r="AN548" s="52"/>
      <c r="AO548" s="87"/>
      <c r="AQ548" s="86"/>
      <c r="AR548" s="37"/>
      <c r="AS548" s="52"/>
      <c r="AT548" s="87"/>
    </row>
    <row r="549" spans="2:46" thickBot="1">
      <c r="B549" s="113"/>
      <c r="C549" s="324"/>
      <c r="D549" s="346"/>
      <c r="E549" s="326"/>
      <c r="F549" s="321" t="str">
        <f t="shared" si="56"/>
        <v/>
      </c>
      <c r="G549" s="334"/>
      <c r="H549" s="331"/>
      <c r="I549" s="107"/>
      <c r="J549" s="108"/>
      <c r="K549" s="109"/>
      <c r="L549" s="108"/>
      <c r="O549" s="86"/>
      <c r="P549" s="57"/>
      <c r="Q549" s="37"/>
      <c r="R549" s="92" t="str">
        <f t="shared" si="55"/>
        <v/>
      </c>
      <c r="S549" s="52"/>
      <c r="T549" s="87"/>
      <c r="U549" s="86"/>
      <c r="V549" s="201"/>
      <c r="W549" s="37"/>
      <c r="X549" s="52"/>
      <c r="Y549" s="87"/>
      <c r="AA549" s="86"/>
      <c r="AB549" s="57"/>
      <c r="AC549" s="37"/>
      <c r="AD549" s="52"/>
      <c r="AE549" s="87"/>
      <c r="AG549" s="86"/>
      <c r="AH549" s="37"/>
      <c r="AI549" s="52"/>
      <c r="AJ549" s="87"/>
      <c r="AL549" s="86"/>
      <c r="AM549" s="37"/>
      <c r="AN549" s="52"/>
      <c r="AO549" s="87"/>
      <c r="AQ549" s="86"/>
      <c r="AR549" s="37"/>
      <c r="AS549" s="52"/>
      <c r="AT549" s="87"/>
    </row>
    <row r="550" spans="2:46" thickBot="1">
      <c r="B550" s="113"/>
      <c r="C550" s="324"/>
      <c r="D550" s="346"/>
      <c r="E550" s="326"/>
      <c r="F550" s="321" t="str">
        <f t="shared" si="56"/>
        <v/>
      </c>
      <c r="G550" s="334"/>
      <c r="H550" s="331"/>
      <c r="I550" s="107"/>
      <c r="J550" s="108"/>
      <c r="K550" s="109"/>
      <c r="L550" s="108"/>
      <c r="O550" s="86"/>
      <c r="P550" s="57"/>
      <c r="Q550" s="37"/>
      <c r="R550" s="92" t="str">
        <f t="shared" si="55"/>
        <v/>
      </c>
      <c r="S550" s="52"/>
      <c r="T550" s="87"/>
      <c r="U550" s="86"/>
      <c r="V550" s="201"/>
      <c r="W550" s="37"/>
      <c r="X550" s="52"/>
      <c r="Y550" s="87"/>
      <c r="AA550" s="86"/>
      <c r="AB550" s="57"/>
      <c r="AC550" s="37"/>
      <c r="AD550" s="52"/>
      <c r="AE550" s="87"/>
      <c r="AG550" s="86"/>
      <c r="AH550" s="37"/>
      <c r="AI550" s="52"/>
      <c r="AJ550" s="87"/>
      <c r="AL550" s="86"/>
      <c r="AM550" s="37"/>
      <c r="AN550" s="52"/>
      <c r="AO550" s="87"/>
      <c r="AQ550" s="86"/>
      <c r="AR550" s="37"/>
      <c r="AS550" s="52"/>
      <c r="AT550" s="87"/>
    </row>
    <row r="551" spans="2:46" thickBot="1">
      <c r="B551" s="113"/>
      <c r="C551" s="324"/>
      <c r="D551" s="346"/>
      <c r="E551" s="326"/>
      <c r="F551" s="321" t="str">
        <f t="shared" si="56"/>
        <v/>
      </c>
      <c r="G551" s="334"/>
      <c r="H551" s="331"/>
      <c r="I551" s="107"/>
      <c r="J551" s="108"/>
      <c r="K551" s="109"/>
      <c r="L551" s="108"/>
      <c r="O551" s="86"/>
      <c r="P551" s="57"/>
      <c r="Q551" s="37"/>
      <c r="R551" s="92" t="str">
        <f t="shared" si="55"/>
        <v/>
      </c>
      <c r="S551" s="52"/>
      <c r="T551" s="87"/>
      <c r="U551" s="86"/>
      <c r="V551" s="201"/>
      <c r="W551" s="37"/>
      <c r="X551" s="52"/>
      <c r="Y551" s="87"/>
      <c r="AA551" s="86"/>
      <c r="AB551" s="57"/>
      <c r="AC551" s="37"/>
      <c r="AD551" s="52"/>
      <c r="AE551" s="87"/>
      <c r="AG551" s="86"/>
      <c r="AH551" s="37"/>
      <c r="AI551" s="52"/>
      <c r="AJ551" s="87"/>
      <c r="AL551" s="86"/>
      <c r="AM551" s="37"/>
      <c r="AN551" s="52"/>
      <c r="AO551" s="87"/>
      <c r="AQ551" s="86"/>
      <c r="AR551" s="37"/>
      <c r="AS551" s="52"/>
      <c r="AT551" s="87"/>
    </row>
    <row r="552" spans="2:46" thickBot="1">
      <c r="B552" s="113"/>
      <c r="C552" s="324"/>
      <c r="D552" s="346"/>
      <c r="E552" s="326"/>
      <c r="F552" s="321" t="str">
        <f t="shared" si="56"/>
        <v/>
      </c>
      <c r="G552" s="334"/>
      <c r="H552" s="331"/>
      <c r="I552" s="107"/>
      <c r="J552" s="108"/>
      <c r="K552" s="109"/>
      <c r="L552" s="108"/>
      <c r="O552" s="86"/>
      <c r="P552" s="57"/>
      <c r="Q552" s="37"/>
      <c r="R552" s="92" t="str">
        <f t="shared" si="55"/>
        <v/>
      </c>
      <c r="S552" s="52"/>
      <c r="T552" s="87"/>
      <c r="U552" s="86"/>
      <c r="V552" s="201"/>
      <c r="W552" s="37"/>
      <c r="X552" s="52"/>
      <c r="Y552" s="87"/>
      <c r="AA552" s="86"/>
      <c r="AB552" s="57"/>
      <c r="AC552" s="37"/>
      <c r="AD552" s="52"/>
      <c r="AE552" s="87"/>
      <c r="AG552" s="86"/>
      <c r="AH552" s="37"/>
      <c r="AI552" s="52"/>
      <c r="AJ552" s="87"/>
      <c r="AL552" s="86"/>
      <c r="AM552" s="37"/>
      <c r="AN552" s="52"/>
      <c r="AO552" s="87"/>
      <c r="AQ552" s="86"/>
      <c r="AR552" s="37"/>
      <c r="AS552" s="52"/>
      <c r="AT552" s="87"/>
    </row>
    <row r="553" spans="2:46" thickBot="1">
      <c r="B553" s="113"/>
      <c r="C553" s="324"/>
      <c r="D553" s="346"/>
      <c r="E553" s="326"/>
      <c r="F553" s="321" t="str">
        <f t="shared" si="56"/>
        <v/>
      </c>
      <c r="G553" s="334"/>
      <c r="H553" s="331"/>
      <c r="I553" s="107"/>
      <c r="J553" s="108"/>
      <c r="K553" s="109"/>
      <c r="L553" s="108"/>
      <c r="O553" s="86"/>
      <c r="P553" s="57"/>
      <c r="Q553" s="37"/>
      <c r="R553" s="92" t="str">
        <f t="shared" si="55"/>
        <v/>
      </c>
      <c r="S553" s="52"/>
      <c r="T553" s="87"/>
      <c r="U553" s="86"/>
      <c r="V553" s="201"/>
      <c r="W553" s="37"/>
      <c r="X553" s="52"/>
      <c r="Y553" s="87"/>
      <c r="AA553" s="86"/>
      <c r="AB553" s="57"/>
      <c r="AC553" s="37"/>
      <c r="AD553" s="52"/>
      <c r="AE553" s="87"/>
      <c r="AG553" s="86"/>
      <c r="AH553" s="37"/>
      <c r="AI553" s="52"/>
      <c r="AJ553" s="87"/>
      <c r="AL553" s="86"/>
      <c r="AM553" s="37"/>
      <c r="AN553" s="52"/>
      <c r="AO553" s="87"/>
      <c r="AQ553" s="86"/>
      <c r="AR553" s="37"/>
      <c r="AS553" s="52"/>
      <c r="AT553" s="87"/>
    </row>
    <row r="554" spans="2:46" thickBot="1">
      <c r="B554" s="113"/>
      <c r="C554" s="324"/>
      <c r="D554" s="346"/>
      <c r="E554" s="326"/>
      <c r="F554" s="321" t="str">
        <f t="shared" si="56"/>
        <v/>
      </c>
      <c r="G554" s="334"/>
      <c r="H554" s="331"/>
      <c r="I554" s="107"/>
      <c r="J554" s="108"/>
      <c r="K554" s="109"/>
      <c r="L554" s="108"/>
      <c r="O554" s="86"/>
      <c r="P554" s="57"/>
      <c r="Q554" s="37"/>
      <c r="R554" s="92" t="str">
        <f t="shared" si="55"/>
        <v/>
      </c>
      <c r="S554" s="52"/>
      <c r="T554" s="87"/>
      <c r="U554" s="86"/>
      <c r="V554" s="201"/>
      <c r="W554" s="37"/>
      <c r="X554" s="52"/>
      <c r="Y554" s="87"/>
      <c r="AA554" s="86"/>
      <c r="AB554" s="57"/>
      <c r="AC554" s="37"/>
      <c r="AD554" s="52"/>
      <c r="AE554" s="87"/>
      <c r="AG554" s="86"/>
      <c r="AH554" s="37"/>
      <c r="AI554" s="52"/>
      <c r="AJ554" s="87"/>
      <c r="AL554" s="86"/>
      <c r="AM554" s="37"/>
      <c r="AN554" s="52"/>
      <c r="AO554" s="87"/>
      <c r="AQ554" s="86"/>
      <c r="AR554" s="37"/>
      <c r="AS554" s="52"/>
      <c r="AT554" s="87"/>
    </row>
    <row r="555" spans="2:46" thickBot="1">
      <c r="B555" s="113"/>
      <c r="C555" s="324"/>
      <c r="D555" s="346"/>
      <c r="E555" s="326"/>
      <c r="F555" s="321" t="str">
        <f t="shared" si="56"/>
        <v/>
      </c>
      <c r="G555" s="334"/>
      <c r="H555" s="331"/>
      <c r="I555" s="107"/>
      <c r="J555" s="108"/>
      <c r="K555" s="109"/>
      <c r="L555" s="108"/>
      <c r="O555" s="86"/>
      <c r="P555" s="57"/>
      <c r="Q555" s="37"/>
      <c r="R555" s="92" t="str">
        <f t="shared" ref="R555:R618" si="57">IF(Q555="","",ROUND(S555*(1+$F$2),2))</f>
        <v/>
      </c>
      <c r="S555" s="52"/>
      <c r="T555" s="87"/>
      <c r="U555" s="86"/>
      <c r="V555" s="201"/>
      <c r="W555" s="37"/>
      <c r="X555" s="52"/>
      <c r="Y555" s="87"/>
      <c r="AA555" s="86"/>
      <c r="AB555" s="57"/>
      <c r="AC555" s="37"/>
      <c r="AD555" s="52"/>
      <c r="AE555" s="87"/>
      <c r="AG555" s="86"/>
      <c r="AH555" s="37"/>
      <c r="AI555" s="52"/>
      <c r="AJ555" s="87"/>
      <c r="AL555" s="86"/>
      <c r="AM555" s="37"/>
      <c r="AN555" s="52"/>
      <c r="AO555" s="87"/>
      <c r="AQ555" s="86"/>
      <c r="AR555" s="37"/>
      <c r="AS555" s="52"/>
      <c r="AT555" s="87"/>
    </row>
    <row r="556" spans="2:46" thickBot="1">
      <c r="B556" s="113"/>
      <c r="C556" s="324"/>
      <c r="D556" s="346"/>
      <c r="E556" s="326"/>
      <c r="F556" s="321" t="str">
        <f t="shared" si="56"/>
        <v/>
      </c>
      <c r="G556" s="334"/>
      <c r="H556" s="331"/>
      <c r="I556" s="107"/>
      <c r="J556" s="108"/>
      <c r="K556" s="109"/>
      <c r="L556" s="108"/>
      <c r="O556" s="86"/>
      <c r="P556" s="57"/>
      <c r="Q556" s="37"/>
      <c r="R556" s="92" t="str">
        <f t="shared" si="57"/>
        <v/>
      </c>
      <c r="S556" s="52"/>
      <c r="T556" s="87"/>
      <c r="U556" s="86"/>
      <c r="V556" s="201"/>
      <c r="W556" s="37"/>
      <c r="X556" s="52"/>
      <c r="Y556" s="87"/>
      <c r="AA556" s="86"/>
      <c r="AB556" s="57"/>
      <c r="AC556" s="37"/>
      <c r="AD556" s="52"/>
      <c r="AE556" s="87"/>
      <c r="AG556" s="86"/>
      <c r="AH556" s="37"/>
      <c r="AI556" s="52"/>
      <c r="AJ556" s="87"/>
      <c r="AL556" s="86"/>
      <c r="AM556" s="37"/>
      <c r="AN556" s="52"/>
      <c r="AO556" s="87"/>
      <c r="AQ556" s="86"/>
      <c r="AR556" s="37"/>
      <c r="AS556" s="52"/>
      <c r="AT556" s="87"/>
    </row>
    <row r="557" spans="2:46" thickBot="1">
      <c r="B557" s="113"/>
      <c r="C557" s="324"/>
      <c r="D557" s="346"/>
      <c r="E557" s="326"/>
      <c r="F557" s="321" t="str">
        <f t="shared" si="56"/>
        <v/>
      </c>
      <c r="G557" s="334"/>
      <c r="H557" s="331"/>
      <c r="I557" s="107"/>
      <c r="J557" s="108"/>
      <c r="K557" s="109"/>
      <c r="L557" s="108"/>
      <c r="O557" s="86"/>
      <c r="P557" s="57"/>
      <c r="Q557" s="37"/>
      <c r="R557" s="92" t="str">
        <f t="shared" si="57"/>
        <v/>
      </c>
      <c r="S557" s="52"/>
      <c r="T557" s="87"/>
      <c r="U557" s="86"/>
      <c r="V557" s="201"/>
      <c r="W557" s="37"/>
      <c r="X557" s="52"/>
      <c r="Y557" s="87"/>
      <c r="AA557" s="86"/>
      <c r="AB557" s="57"/>
      <c r="AC557" s="37"/>
      <c r="AD557" s="52"/>
      <c r="AE557" s="87"/>
      <c r="AG557" s="86"/>
      <c r="AH557" s="37"/>
      <c r="AI557" s="52"/>
      <c r="AJ557" s="87"/>
      <c r="AL557" s="86"/>
      <c r="AM557" s="37"/>
      <c r="AN557" s="52"/>
      <c r="AO557" s="87"/>
      <c r="AQ557" s="86"/>
      <c r="AR557" s="37"/>
      <c r="AS557" s="52"/>
      <c r="AT557" s="87"/>
    </row>
    <row r="558" spans="2:46" thickBot="1">
      <c r="B558" s="113"/>
      <c r="C558" s="324"/>
      <c r="D558" s="346"/>
      <c r="E558" s="326"/>
      <c r="F558" s="321" t="str">
        <f t="shared" si="56"/>
        <v/>
      </c>
      <c r="G558" s="334"/>
      <c r="H558" s="331"/>
      <c r="I558" s="107"/>
      <c r="J558" s="108"/>
      <c r="K558" s="109"/>
      <c r="L558" s="108"/>
      <c r="O558" s="86"/>
      <c r="P558" s="57"/>
      <c r="Q558" s="37"/>
      <c r="R558" s="92" t="str">
        <f t="shared" si="57"/>
        <v/>
      </c>
      <c r="S558" s="52"/>
      <c r="T558" s="87"/>
      <c r="U558" s="86"/>
      <c r="V558" s="201"/>
      <c r="W558" s="37"/>
      <c r="X558" s="52"/>
      <c r="Y558" s="87"/>
      <c r="AA558" s="86"/>
      <c r="AB558" s="57"/>
      <c r="AC558" s="37"/>
      <c r="AD558" s="52"/>
      <c r="AE558" s="87"/>
      <c r="AG558" s="86"/>
      <c r="AH558" s="37"/>
      <c r="AI558" s="52"/>
      <c r="AJ558" s="87"/>
      <c r="AL558" s="86"/>
      <c r="AM558" s="37"/>
      <c r="AN558" s="52"/>
      <c r="AO558" s="87"/>
      <c r="AQ558" s="86"/>
      <c r="AR558" s="37"/>
      <c r="AS558" s="52"/>
      <c r="AT558" s="87"/>
    </row>
    <row r="559" spans="2:46" thickBot="1">
      <c r="B559" s="113"/>
      <c r="C559" s="324"/>
      <c r="D559" s="346"/>
      <c r="E559" s="326"/>
      <c r="F559" s="321" t="str">
        <f t="shared" si="56"/>
        <v/>
      </c>
      <c r="G559" s="334"/>
      <c r="H559" s="331"/>
      <c r="I559" s="107"/>
      <c r="J559" s="108"/>
      <c r="K559" s="109"/>
      <c r="L559" s="108"/>
      <c r="O559" s="86"/>
      <c r="P559" s="57"/>
      <c r="Q559" s="37"/>
      <c r="R559" s="92" t="str">
        <f t="shared" si="57"/>
        <v/>
      </c>
      <c r="S559" s="52"/>
      <c r="T559" s="87"/>
      <c r="U559" s="86"/>
      <c r="V559" s="201"/>
      <c r="W559" s="37"/>
      <c r="X559" s="52"/>
      <c r="Y559" s="87"/>
      <c r="AA559" s="86"/>
      <c r="AB559" s="57"/>
      <c r="AC559" s="37"/>
      <c r="AD559" s="52"/>
      <c r="AE559" s="87"/>
      <c r="AG559" s="86"/>
      <c r="AH559" s="37"/>
      <c r="AI559" s="52"/>
      <c r="AJ559" s="87"/>
      <c r="AL559" s="86"/>
      <c r="AM559" s="37"/>
      <c r="AN559" s="52"/>
      <c r="AO559" s="87"/>
      <c r="AQ559" s="86"/>
      <c r="AR559" s="37"/>
      <c r="AS559" s="52"/>
      <c r="AT559" s="87"/>
    </row>
    <row r="560" spans="2:46" thickBot="1">
      <c r="B560" s="113"/>
      <c r="C560" s="324"/>
      <c r="D560" s="346"/>
      <c r="E560" s="326"/>
      <c r="F560" s="321" t="str">
        <f t="shared" si="56"/>
        <v/>
      </c>
      <c r="G560" s="334"/>
      <c r="H560" s="331"/>
      <c r="I560" s="107"/>
      <c r="J560" s="108"/>
      <c r="K560" s="109"/>
      <c r="L560" s="108"/>
      <c r="O560" s="86"/>
      <c r="P560" s="57"/>
      <c r="Q560" s="37"/>
      <c r="R560" s="92" t="str">
        <f t="shared" si="57"/>
        <v/>
      </c>
      <c r="S560" s="52"/>
      <c r="T560" s="87"/>
      <c r="U560" s="86"/>
      <c r="V560" s="201"/>
      <c r="W560" s="37"/>
      <c r="X560" s="52"/>
      <c r="Y560" s="87"/>
      <c r="AA560" s="86"/>
      <c r="AB560" s="57"/>
      <c r="AC560" s="37"/>
      <c r="AD560" s="52"/>
      <c r="AE560" s="87"/>
      <c r="AG560" s="86"/>
      <c r="AH560" s="37"/>
      <c r="AI560" s="52"/>
      <c r="AJ560" s="87"/>
      <c r="AL560" s="86"/>
      <c r="AM560" s="37"/>
      <c r="AN560" s="52"/>
      <c r="AO560" s="87"/>
      <c r="AQ560" s="86"/>
      <c r="AR560" s="37"/>
      <c r="AS560" s="52"/>
      <c r="AT560" s="87"/>
    </row>
    <row r="561" spans="2:46" thickBot="1">
      <c r="B561" s="113"/>
      <c r="C561" s="324"/>
      <c r="D561" s="346"/>
      <c r="E561" s="326"/>
      <c r="F561" s="321" t="str">
        <f t="shared" si="56"/>
        <v/>
      </c>
      <c r="G561" s="334"/>
      <c r="H561" s="331"/>
      <c r="I561" s="107"/>
      <c r="J561" s="108"/>
      <c r="K561" s="109"/>
      <c r="L561" s="108"/>
      <c r="O561" s="86"/>
      <c r="P561" s="57"/>
      <c r="Q561" s="37"/>
      <c r="R561" s="92" t="str">
        <f t="shared" si="57"/>
        <v/>
      </c>
      <c r="S561" s="52"/>
      <c r="T561" s="87"/>
      <c r="U561" s="86"/>
      <c r="V561" s="201"/>
      <c r="W561" s="37"/>
      <c r="X561" s="52"/>
      <c r="Y561" s="87"/>
      <c r="AA561" s="86"/>
      <c r="AB561" s="57"/>
      <c r="AC561" s="37"/>
      <c r="AD561" s="52"/>
      <c r="AE561" s="87"/>
      <c r="AG561" s="86"/>
      <c r="AH561" s="37"/>
      <c r="AI561" s="52"/>
      <c r="AJ561" s="87"/>
      <c r="AL561" s="86"/>
      <c r="AM561" s="37"/>
      <c r="AN561" s="52"/>
      <c r="AO561" s="87"/>
      <c r="AQ561" s="86"/>
      <c r="AR561" s="37"/>
      <c r="AS561" s="52"/>
      <c r="AT561" s="87"/>
    </row>
    <row r="562" spans="2:46" thickBot="1">
      <c r="B562" s="113"/>
      <c r="C562" s="324"/>
      <c r="D562" s="346"/>
      <c r="E562" s="326"/>
      <c r="F562" s="321" t="str">
        <f t="shared" si="56"/>
        <v/>
      </c>
      <c r="G562" s="334"/>
      <c r="H562" s="331"/>
      <c r="I562" s="107"/>
      <c r="J562" s="108"/>
      <c r="K562" s="109"/>
      <c r="L562" s="108"/>
      <c r="O562" s="86"/>
      <c r="P562" s="57"/>
      <c r="Q562" s="37"/>
      <c r="R562" s="92" t="str">
        <f t="shared" si="57"/>
        <v/>
      </c>
      <c r="S562" s="52"/>
      <c r="T562" s="87"/>
      <c r="U562" s="86"/>
      <c r="V562" s="201"/>
      <c r="W562" s="37"/>
      <c r="X562" s="52"/>
      <c r="Y562" s="87"/>
      <c r="AA562" s="86"/>
      <c r="AB562" s="57"/>
      <c r="AC562" s="37"/>
      <c r="AD562" s="52"/>
      <c r="AE562" s="87"/>
      <c r="AG562" s="86"/>
      <c r="AH562" s="37"/>
      <c r="AI562" s="52"/>
      <c r="AJ562" s="87"/>
      <c r="AL562" s="86"/>
      <c r="AM562" s="37"/>
      <c r="AN562" s="52"/>
      <c r="AO562" s="87"/>
      <c r="AQ562" s="86"/>
      <c r="AR562" s="37"/>
      <c r="AS562" s="52"/>
      <c r="AT562" s="87"/>
    </row>
    <row r="563" spans="2:46" thickBot="1">
      <c r="B563" s="113"/>
      <c r="C563" s="324"/>
      <c r="D563" s="346"/>
      <c r="E563" s="326"/>
      <c r="F563" s="321" t="str">
        <f t="shared" si="56"/>
        <v/>
      </c>
      <c r="G563" s="334"/>
      <c r="H563" s="331"/>
      <c r="I563" s="107"/>
      <c r="J563" s="108"/>
      <c r="K563" s="109"/>
      <c r="L563" s="108"/>
      <c r="O563" s="86"/>
      <c r="P563" s="57"/>
      <c r="Q563" s="37"/>
      <c r="R563" s="92" t="str">
        <f t="shared" si="57"/>
        <v/>
      </c>
      <c r="S563" s="52"/>
      <c r="T563" s="87"/>
      <c r="U563" s="86"/>
      <c r="V563" s="201"/>
      <c r="W563" s="37"/>
      <c r="X563" s="52"/>
      <c r="Y563" s="87"/>
      <c r="AA563" s="86"/>
      <c r="AB563" s="57"/>
      <c r="AC563" s="37"/>
      <c r="AD563" s="52"/>
      <c r="AE563" s="87"/>
      <c r="AG563" s="86"/>
      <c r="AH563" s="37"/>
      <c r="AI563" s="52"/>
      <c r="AJ563" s="87"/>
      <c r="AL563" s="86"/>
      <c r="AM563" s="37"/>
      <c r="AN563" s="52"/>
      <c r="AO563" s="87"/>
      <c r="AQ563" s="86"/>
      <c r="AR563" s="37"/>
      <c r="AS563" s="52"/>
      <c r="AT563" s="87"/>
    </row>
    <row r="564" spans="2:46" thickBot="1">
      <c r="B564" s="113"/>
      <c r="C564" s="324"/>
      <c r="D564" s="346"/>
      <c r="E564" s="326"/>
      <c r="F564" s="321" t="str">
        <f t="shared" si="56"/>
        <v/>
      </c>
      <c r="G564" s="334"/>
      <c r="H564" s="331"/>
      <c r="I564" s="107"/>
      <c r="J564" s="108"/>
      <c r="K564" s="109"/>
      <c r="L564" s="108"/>
      <c r="O564" s="86"/>
      <c r="P564" s="57"/>
      <c r="Q564" s="37"/>
      <c r="R564" s="92" t="str">
        <f t="shared" si="57"/>
        <v/>
      </c>
      <c r="S564" s="52"/>
      <c r="T564" s="87"/>
      <c r="U564" s="86"/>
      <c r="V564" s="201"/>
      <c r="W564" s="37"/>
      <c r="X564" s="52"/>
      <c r="Y564" s="87"/>
      <c r="AA564" s="86"/>
      <c r="AB564" s="57"/>
      <c r="AC564" s="37"/>
      <c r="AD564" s="52"/>
      <c r="AE564" s="87"/>
      <c r="AG564" s="86"/>
      <c r="AH564" s="37"/>
      <c r="AI564" s="52"/>
      <c r="AJ564" s="87"/>
      <c r="AL564" s="86"/>
      <c r="AM564" s="37"/>
      <c r="AN564" s="52"/>
      <c r="AO564" s="87"/>
      <c r="AQ564" s="86"/>
      <c r="AR564" s="37"/>
      <c r="AS564" s="52"/>
      <c r="AT564" s="87"/>
    </row>
    <row r="565" spans="2:46" thickBot="1">
      <c r="B565" s="113"/>
      <c r="C565" s="324"/>
      <c r="D565" s="346"/>
      <c r="E565" s="326"/>
      <c r="F565" s="321" t="str">
        <f t="shared" si="56"/>
        <v/>
      </c>
      <c r="G565" s="334"/>
      <c r="H565" s="331"/>
      <c r="I565" s="107"/>
      <c r="J565" s="108"/>
      <c r="K565" s="109"/>
      <c r="L565" s="108"/>
      <c r="O565" s="86"/>
      <c r="P565" s="57"/>
      <c r="Q565" s="37"/>
      <c r="R565" s="92" t="str">
        <f t="shared" si="57"/>
        <v/>
      </c>
      <c r="S565" s="52"/>
      <c r="T565" s="87"/>
      <c r="U565" s="86"/>
      <c r="V565" s="201"/>
      <c r="W565" s="37"/>
      <c r="X565" s="52"/>
      <c r="Y565" s="87"/>
      <c r="AA565" s="86"/>
      <c r="AB565" s="57"/>
      <c r="AC565" s="37"/>
      <c r="AD565" s="52"/>
      <c r="AE565" s="87"/>
      <c r="AG565" s="86"/>
      <c r="AH565" s="37"/>
      <c r="AI565" s="52"/>
      <c r="AJ565" s="87"/>
      <c r="AL565" s="86"/>
      <c r="AM565" s="37"/>
      <c r="AN565" s="52"/>
      <c r="AO565" s="87"/>
      <c r="AQ565" s="86"/>
      <c r="AR565" s="37"/>
      <c r="AS565" s="52"/>
      <c r="AT565" s="87"/>
    </row>
    <row r="566" spans="2:46" thickBot="1">
      <c r="B566" s="113"/>
      <c r="C566" s="324"/>
      <c r="D566" s="346"/>
      <c r="E566" s="326"/>
      <c r="F566" s="321" t="str">
        <f t="shared" si="56"/>
        <v/>
      </c>
      <c r="G566" s="334"/>
      <c r="H566" s="331"/>
      <c r="I566" s="107"/>
      <c r="J566" s="108"/>
      <c r="K566" s="109"/>
      <c r="L566" s="108"/>
      <c r="O566" s="86"/>
      <c r="P566" s="57"/>
      <c r="Q566" s="37"/>
      <c r="R566" s="92" t="str">
        <f t="shared" si="57"/>
        <v/>
      </c>
      <c r="S566" s="52"/>
      <c r="T566" s="87"/>
      <c r="U566" s="86"/>
      <c r="V566" s="201"/>
      <c r="W566" s="37"/>
      <c r="X566" s="52"/>
      <c r="Y566" s="87"/>
      <c r="AA566" s="86"/>
      <c r="AB566" s="57"/>
      <c r="AC566" s="37"/>
      <c r="AD566" s="52"/>
      <c r="AE566" s="87"/>
      <c r="AG566" s="86"/>
      <c r="AH566" s="37"/>
      <c r="AI566" s="52"/>
      <c r="AJ566" s="87"/>
      <c r="AL566" s="86"/>
      <c r="AM566" s="37"/>
      <c r="AN566" s="52"/>
      <c r="AO566" s="87"/>
      <c r="AQ566" s="86"/>
      <c r="AR566" s="37"/>
      <c r="AS566" s="52"/>
      <c r="AT566" s="87"/>
    </row>
    <row r="567" spans="2:46" thickBot="1">
      <c r="B567" s="113"/>
      <c r="C567" s="324"/>
      <c r="D567" s="346"/>
      <c r="E567" s="326"/>
      <c r="F567" s="321" t="str">
        <f t="shared" si="56"/>
        <v/>
      </c>
      <c r="G567" s="334"/>
      <c r="H567" s="331"/>
      <c r="I567" s="107"/>
      <c r="J567" s="108"/>
      <c r="K567" s="109"/>
      <c r="L567" s="108"/>
      <c r="O567" s="86"/>
      <c r="P567" s="57"/>
      <c r="Q567" s="37"/>
      <c r="R567" s="92" t="str">
        <f t="shared" si="57"/>
        <v/>
      </c>
      <c r="S567" s="52"/>
      <c r="T567" s="87"/>
      <c r="U567" s="86"/>
      <c r="V567" s="201"/>
      <c r="W567" s="37"/>
      <c r="X567" s="52"/>
      <c r="Y567" s="87"/>
      <c r="AA567" s="86"/>
      <c r="AB567" s="57"/>
      <c r="AC567" s="37"/>
      <c r="AD567" s="52"/>
      <c r="AE567" s="87"/>
      <c r="AG567" s="86"/>
      <c r="AH567" s="37"/>
      <c r="AI567" s="52"/>
      <c r="AJ567" s="87"/>
      <c r="AL567" s="86"/>
      <c r="AM567" s="37"/>
      <c r="AN567" s="52"/>
      <c r="AO567" s="87"/>
      <c r="AQ567" s="86"/>
      <c r="AR567" s="37"/>
      <c r="AS567" s="52"/>
      <c r="AT567" s="87"/>
    </row>
    <row r="568" spans="2:46" thickBot="1">
      <c r="B568" s="113"/>
      <c r="C568" s="324"/>
      <c r="D568" s="346"/>
      <c r="E568" s="326"/>
      <c r="F568" s="321" t="str">
        <f t="shared" si="56"/>
        <v/>
      </c>
      <c r="G568" s="334"/>
      <c r="H568" s="331"/>
      <c r="I568" s="107"/>
      <c r="J568" s="108"/>
      <c r="K568" s="109"/>
      <c r="L568" s="108"/>
      <c r="O568" s="86"/>
      <c r="P568" s="57"/>
      <c r="Q568" s="37"/>
      <c r="R568" s="92" t="str">
        <f t="shared" si="57"/>
        <v/>
      </c>
      <c r="S568" s="52"/>
      <c r="T568" s="87"/>
      <c r="U568" s="86"/>
      <c r="V568" s="201"/>
      <c r="W568" s="37"/>
      <c r="X568" s="52"/>
      <c r="Y568" s="87"/>
      <c r="AA568" s="86"/>
      <c r="AB568" s="57"/>
      <c r="AC568" s="37"/>
      <c r="AD568" s="52"/>
      <c r="AE568" s="87"/>
      <c r="AG568" s="86"/>
      <c r="AH568" s="37"/>
      <c r="AI568" s="52"/>
      <c r="AJ568" s="87"/>
      <c r="AL568" s="86"/>
      <c r="AM568" s="37"/>
      <c r="AN568" s="52"/>
      <c r="AO568" s="87"/>
      <c r="AQ568" s="86"/>
      <c r="AR568" s="37"/>
      <c r="AS568" s="52"/>
      <c r="AT568" s="87"/>
    </row>
    <row r="569" spans="2:46" thickBot="1">
      <c r="B569" s="113"/>
      <c r="C569" s="324"/>
      <c r="D569" s="346"/>
      <c r="E569" s="326"/>
      <c r="F569" s="321" t="str">
        <f t="shared" si="56"/>
        <v/>
      </c>
      <c r="G569" s="334"/>
      <c r="H569" s="331"/>
      <c r="I569" s="107"/>
      <c r="J569" s="108"/>
      <c r="K569" s="109"/>
      <c r="L569" s="108"/>
      <c r="O569" s="86"/>
      <c r="P569" s="57"/>
      <c r="Q569" s="37"/>
      <c r="R569" s="92" t="str">
        <f t="shared" si="57"/>
        <v/>
      </c>
      <c r="S569" s="52"/>
      <c r="T569" s="87"/>
      <c r="U569" s="86"/>
      <c r="V569" s="201"/>
      <c r="W569" s="37"/>
      <c r="X569" s="52"/>
      <c r="Y569" s="87"/>
      <c r="AA569" s="86"/>
      <c r="AB569" s="57"/>
      <c r="AC569" s="37"/>
      <c r="AD569" s="52"/>
      <c r="AE569" s="87"/>
      <c r="AG569" s="86"/>
      <c r="AH569" s="37"/>
      <c r="AI569" s="52"/>
      <c r="AJ569" s="87"/>
      <c r="AL569" s="86"/>
      <c r="AM569" s="37"/>
      <c r="AN569" s="52"/>
      <c r="AO569" s="87"/>
      <c r="AQ569" s="86"/>
      <c r="AR569" s="37"/>
      <c r="AS569" s="52"/>
      <c r="AT569" s="87"/>
    </row>
    <row r="570" spans="2:46" thickBot="1">
      <c r="B570" s="113"/>
      <c r="C570" s="324"/>
      <c r="D570" s="346"/>
      <c r="E570" s="326"/>
      <c r="F570" s="321" t="str">
        <f t="shared" si="56"/>
        <v/>
      </c>
      <c r="G570" s="334"/>
      <c r="H570" s="331"/>
      <c r="I570" s="107"/>
      <c r="J570" s="108"/>
      <c r="K570" s="109"/>
      <c r="L570" s="108"/>
      <c r="O570" s="86"/>
      <c r="P570" s="57"/>
      <c r="Q570" s="37"/>
      <c r="R570" s="92" t="str">
        <f t="shared" si="57"/>
        <v/>
      </c>
      <c r="S570" s="52"/>
      <c r="T570" s="87"/>
      <c r="U570" s="86"/>
      <c r="V570" s="201"/>
      <c r="W570" s="37"/>
      <c r="X570" s="52"/>
      <c r="Y570" s="87"/>
      <c r="AA570" s="86"/>
      <c r="AB570" s="57"/>
      <c r="AC570" s="37"/>
      <c r="AD570" s="52"/>
      <c r="AE570" s="87"/>
      <c r="AG570" s="86"/>
      <c r="AH570" s="37"/>
      <c r="AI570" s="52"/>
      <c r="AJ570" s="87"/>
      <c r="AL570" s="86"/>
      <c r="AM570" s="37"/>
      <c r="AN570" s="52"/>
      <c r="AO570" s="87"/>
      <c r="AQ570" s="86"/>
      <c r="AR570" s="37"/>
      <c r="AS570" s="52"/>
      <c r="AT570" s="87"/>
    </row>
    <row r="571" spans="2:46" thickBot="1">
      <c r="B571" s="113"/>
      <c r="C571" s="324"/>
      <c r="D571" s="346"/>
      <c r="E571" s="326"/>
      <c r="F571" s="321" t="str">
        <f t="shared" si="56"/>
        <v/>
      </c>
      <c r="G571" s="334"/>
      <c r="H571" s="331"/>
      <c r="I571" s="107"/>
      <c r="J571" s="108"/>
      <c r="K571" s="109"/>
      <c r="L571" s="108"/>
      <c r="O571" s="86"/>
      <c r="P571" s="57"/>
      <c r="Q571" s="37"/>
      <c r="R571" s="92" t="str">
        <f t="shared" si="57"/>
        <v/>
      </c>
      <c r="S571" s="52"/>
      <c r="T571" s="87"/>
      <c r="U571" s="86"/>
      <c r="V571" s="201"/>
      <c r="W571" s="37"/>
      <c r="X571" s="52"/>
      <c r="Y571" s="87"/>
      <c r="AA571" s="86"/>
      <c r="AB571" s="57"/>
      <c r="AC571" s="37"/>
      <c r="AD571" s="52"/>
      <c r="AE571" s="87"/>
      <c r="AG571" s="86"/>
      <c r="AH571" s="37"/>
      <c r="AI571" s="52"/>
      <c r="AJ571" s="87"/>
      <c r="AL571" s="86"/>
      <c r="AM571" s="37"/>
      <c r="AN571" s="52"/>
      <c r="AO571" s="87"/>
      <c r="AQ571" s="86"/>
      <c r="AR571" s="37"/>
      <c r="AS571" s="52"/>
      <c r="AT571" s="87"/>
    </row>
    <row r="572" spans="2:46" thickBot="1">
      <c r="B572" s="113"/>
      <c r="C572" s="324"/>
      <c r="D572" s="346"/>
      <c r="E572" s="326"/>
      <c r="F572" s="321" t="str">
        <f t="shared" si="56"/>
        <v/>
      </c>
      <c r="G572" s="334"/>
      <c r="H572" s="331"/>
      <c r="I572" s="107"/>
      <c r="J572" s="108"/>
      <c r="K572" s="109"/>
      <c r="L572" s="108"/>
      <c r="O572" s="86"/>
      <c r="P572" s="57"/>
      <c r="Q572" s="37"/>
      <c r="R572" s="92" t="str">
        <f t="shared" si="57"/>
        <v/>
      </c>
      <c r="S572" s="52"/>
      <c r="T572" s="87"/>
      <c r="U572" s="86"/>
      <c r="V572" s="201"/>
      <c r="W572" s="37"/>
      <c r="X572" s="52"/>
      <c r="Y572" s="87"/>
      <c r="AA572" s="86"/>
      <c r="AB572" s="57"/>
      <c r="AC572" s="37"/>
      <c r="AD572" s="52"/>
      <c r="AE572" s="87"/>
      <c r="AG572" s="86"/>
      <c r="AH572" s="37"/>
      <c r="AI572" s="52"/>
      <c r="AJ572" s="87"/>
      <c r="AL572" s="86"/>
      <c r="AM572" s="37"/>
      <c r="AN572" s="52"/>
      <c r="AO572" s="87"/>
      <c r="AQ572" s="86"/>
      <c r="AR572" s="37"/>
      <c r="AS572" s="52"/>
      <c r="AT572" s="87"/>
    </row>
    <row r="573" spans="2:46" thickBot="1">
      <c r="B573" s="113"/>
      <c r="C573" s="324"/>
      <c r="D573" s="346"/>
      <c r="E573" s="326"/>
      <c r="F573" s="321" t="str">
        <f t="shared" si="56"/>
        <v/>
      </c>
      <c r="G573" s="334"/>
      <c r="H573" s="331"/>
      <c r="I573" s="107"/>
      <c r="J573" s="108"/>
      <c r="K573" s="109"/>
      <c r="L573" s="108"/>
      <c r="O573" s="86"/>
      <c r="P573" s="57"/>
      <c r="Q573" s="37"/>
      <c r="R573" s="92" t="str">
        <f t="shared" si="57"/>
        <v/>
      </c>
      <c r="S573" s="52"/>
      <c r="T573" s="87"/>
      <c r="U573" s="86"/>
      <c r="V573" s="201"/>
      <c r="W573" s="37"/>
      <c r="X573" s="52"/>
      <c r="Y573" s="87"/>
      <c r="AA573" s="86"/>
      <c r="AB573" s="57"/>
      <c r="AC573" s="37"/>
      <c r="AD573" s="52"/>
      <c r="AE573" s="87"/>
      <c r="AG573" s="86"/>
      <c r="AH573" s="37"/>
      <c r="AI573" s="52"/>
      <c r="AJ573" s="87"/>
      <c r="AL573" s="86"/>
      <c r="AM573" s="37"/>
      <c r="AN573" s="52"/>
      <c r="AO573" s="87"/>
      <c r="AQ573" s="86"/>
      <c r="AR573" s="37"/>
      <c r="AS573" s="52"/>
      <c r="AT573" s="87"/>
    </row>
    <row r="574" spans="2:46" thickBot="1">
      <c r="B574" s="113"/>
      <c r="C574" s="324"/>
      <c r="D574" s="346"/>
      <c r="E574" s="326"/>
      <c r="F574" s="321" t="str">
        <f t="shared" si="56"/>
        <v/>
      </c>
      <c r="G574" s="334"/>
      <c r="H574" s="331"/>
      <c r="I574" s="107"/>
      <c r="J574" s="108"/>
      <c r="K574" s="109"/>
      <c r="L574" s="108"/>
      <c r="O574" s="86"/>
      <c r="P574" s="57"/>
      <c r="Q574" s="37"/>
      <c r="R574" s="92" t="str">
        <f t="shared" si="57"/>
        <v/>
      </c>
      <c r="S574" s="52"/>
      <c r="T574" s="87"/>
      <c r="U574" s="86"/>
      <c r="V574" s="201"/>
      <c r="W574" s="37"/>
      <c r="X574" s="52"/>
      <c r="Y574" s="87"/>
      <c r="AA574" s="86"/>
      <c r="AB574" s="57"/>
      <c r="AC574" s="37"/>
      <c r="AD574" s="52"/>
      <c r="AE574" s="87"/>
      <c r="AG574" s="86"/>
      <c r="AH574" s="37"/>
      <c r="AI574" s="52"/>
      <c r="AJ574" s="87"/>
      <c r="AL574" s="86"/>
      <c r="AM574" s="37"/>
      <c r="AN574" s="52"/>
      <c r="AO574" s="87"/>
      <c r="AQ574" s="86"/>
      <c r="AR574" s="37"/>
      <c r="AS574" s="52"/>
      <c r="AT574" s="87"/>
    </row>
    <row r="575" spans="2:46" thickBot="1">
      <c r="B575" s="113"/>
      <c r="C575" s="324"/>
      <c r="D575" s="346"/>
      <c r="E575" s="326"/>
      <c r="F575" s="321" t="str">
        <f t="shared" si="56"/>
        <v/>
      </c>
      <c r="G575" s="334"/>
      <c r="H575" s="331"/>
      <c r="I575" s="107"/>
      <c r="J575" s="108"/>
      <c r="K575" s="109"/>
      <c r="L575" s="108"/>
      <c r="O575" s="86"/>
      <c r="P575" s="57"/>
      <c r="Q575" s="37"/>
      <c r="R575" s="92" t="str">
        <f t="shared" si="57"/>
        <v/>
      </c>
      <c r="S575" s="52"/>
      <c r="T575" s="87"/>
      <c r="U575" s="86"/>
      <c r="V575" s="201"/>
      <c r="W575" s="37"/>
      <c r="X575" s="52"/>
      <c r="Y575" s="87"/>
      <c r="AA575" s="86"/>
      <c r="AB575" s="57"/>
      <c r="AC575" s="37"/>
      <c r="AD575" s="52"/>
      <c r="AE575" s="87"/>
      <c r="AG575" s="86"/>
      <c r="AH575" s="37"/>
      <c r="AI575" s="52"/>
      <c r="AJ575" s="87"/>
      <c r="AL575" s="86"/>
      <c r="AM575" s="37"/>
      <c r="AN575" s="52"/>
      <c r="AO575" s="87"/>
      <c r="AQ575" s="86"/>
      <c r="AR575" s="37"/>
      <c r="AS575" s="52"/>
      <c r="AT575" s="87"/>
    </row>
    <row r="576" spans="2:46" thickBot="1">
      <c r="B576" s="113"/>
      <c r="C576" s="324"/>
      <c r="D576" s="346"/>
      <c r="E576" s="326"/>
      <c r="F576" s="321" t="str">
        <f t="shared" si="56"/>
        <v/>
      </c>
      <c r="G576" s="334"/>
      <c r="H576" s="331"/>
      <c r="I576" s="107"/>
      <c r="J576" s="108"/>
      <c r="K576" s="109"/>
      <c r="L576" s="108"/>
      <c r="O576" s="86"/>
      <c r="P576" s="57"/>
      <c r="Q576" s="37"/>
      <c r="R576" s="92" t="str">
        <f t="shared" si="57"/>
        <v/>
      </c>
      <c r="S576" s="52"/>
      <c r="T576" s="87"/>
      <c r="U576" s="86"/>
      <c r="V576" s="201"/>
      <c r="W576" s="37"/>
      <c r="X576" s="52"/>
      <c r="Y576" s="87"/>
      <c r="AA576" s="86"/>
      <c r="AB576" s="57"/>
      <c r="AC576" s="37"/>
      <c r="AD576" s="52"/>
      <c r="AE576" s="87"/>
      <c r="AG576" s="86"/>
      <c r="AH576" s="37"/>
      <c r="AI576" s="52"/>
      <c r="AJ576" s="87"/>
      <c r="AL576" s="86"/>
      <c r="AM576" s="37"/>
      <c r="AN576" s="52"/>
      <c r="AO576" s="87"/>
      <c r="AQ576" s="86"/>
      <c r="AR576" s="37"/>
      <c r="AS576" s="52"/>
      <c r="AT576" s="87"/>
    </row>
    <row r="577" spans="2:46" thickBot="1">
      <c r="B577" s="113"/>
      <c r="C577" s="324"/>
      <c r="D577" s="346"/>
      <c r="E577" s="326"/>
      <c r="F577" s="321" t="str">
        <f t="shared" si="56"/>
        <v/>
      </c>
      <c r="G577" s="334"/>
      <c r="H577" s="331"/>
      <c r="I577" s="107"/>
      <c r="J577" s="108"/>
      <c r="K577" s="109"/>
      <c r="L577" s="108"/>
      <c r="O577" s="86"/>
      <c r="P577" s="57"/>
      <c r="Q577" s="37"/>
      <c r="R577" s="92" t="str">
        <f t="shared" si="57"/>
        <v/>
      </c>
      <c r="S577" s="52"/>
      <c r="T577" s="87"/>
      <c r="U577" s="86"/>
      <c r="V577" s="201"/>
      <c r="W577" s="37"/>
      <c r="X577" s="52"/>
      <c r="Y577" s="87"/>
      <c r="AA577" s="86"/>
      <c r="AB577" s="57"/>
      <c r="AC577" s="37"/>
      <c r="AD577" s="52"/>
      <c r="AE577" s="87"/>
      <c r="AG577" s="86"/>
      <c r="AH577" s="37"/>
      <c r="AI577" s="52"/>
      <c r="AJ577" s="87"/>
      <c r="AL577" s="86"/>
      <c r="AM577" s="37"/>
      <c r="AN577" s="52"/>
      <c r="AO577" s="87"/>
      <c r="AQ577" s="86"/>
      <c r="AR577" s="37"/>
      <c r="AS577" s="52"/>
      <c r="AT577" s="87"/>
    </row>
    <row r="578" spans="2:46" thickBot="1">
      <c r="B578" s="113"/>
      <c r="C578" s="324"/>
      <c r="D578" s="346"/>
      <c r="E578" s="326"/>
      <c r="F578" s="321" t="str">
        <f t="shared" si="56"/>
        <v/>
      </c>
      <c r="G578" s="334"/>
      <c r="H578" s="331"/>
      <c r="I578" s="107"/>
      <c r="J578" s="108"/>
      <c r="K578" s="109"/>
      <c r="L578" s="108"/>
      <c r="O578" s="86"/>
      <c r="P578" s="57"/>
      <c r="Q578" s="37"/>
      <c r="R578" s="92" t="str">
        <f t="shared" si="57"/>
        <v/>
      </c>
      <c r="S578" s="52"/>
      <c r="T578" s="87"/>
      <c r="U578" s="86"/>
      <c r="V578" s="201"/>
      <c r="W578" s="37"/>
      <c r="X578" s="52"/>
      <c r="Y578" s="87"/>
      <c r="AA578" s="86"/>
      <c r="AB578" s="57"/>
      <c r="AC578" s="37"/>
      <c r="AD578" s="52"/>
      <c r="AE578" s="87"/>
      <c r="AG578" s="86"/>
      <c r="AH578" s="37"/>
      <c r="AI578" s="52"/>
      <c r="AJ578" s="87"/>
      <c r="AL578" s="86"/>
      <c r="AM578" s="37"/>
      <c r="AN578" s="52"/>
      <c r="AO578" s="87"/>
      <c r="AQ578" s="86"/>
      <c r="AR578" s="37"/>
      <c r="AS578" s="52"/>
      <c r="AT578" s="87"/>
    </row>
    <row r="579" spans="2:46" thickBot="1">
      <c r="B579" s="113"/>
      <c r="C579" s="324"/>
      <c r="D579" s="346"/>
      <c r="E579" s="326"/>
      <c r="F579" s="321" t="str">
        <f t="shared" si="56"/>
        <v/>
      </c>
      <c r="G579" s="334"/>
      <c r="H579" s="331"/>
      <c r="I579" s="107"/>
      <c r="J579" s="108"/>
      <c r="K579" s="109"/>
      <c r="L579" s="108"/>
      <c r="O579" s="86"/>
      <c r="P579" s="57"/>
      <c r="Q579" s="37"/>
      <c r="R579" s="92" t="str">
        <f t="shared" si="57"/>
        <v/>
      </c>
      <c r="S579" s="52"/>
      <c r="T579" s="87"/>
      <c r="U579" s="86"/>
      <c r="V579" s="201"/>
      <c r="W579" s="37"/>
      <c r="X579" s="52"/>
      <c r="Y579" s="87"/>
      <c r="AA579" s="86"/>
      <c r="AB579" s="57"/>
      <c r="AC579" s="37"/>
      <c r="AD579" s="52"/>
      <c r="AE579" s="87"/>
      <c r="AG579" s="86"/>
      <c r="AH579" s="37"/>
      <c r="AI579" s="52"/>
      <c r="AJ579" s="87"/>
      <c r="AL579" s="86"/>
      <c r="AM579" s="37"/>
      <c r="AN579" s="52"/>
      <c r="AO579" s="87"/>
      <c r="AQ579" s="86"/>
      <c r="AR579" s="37"/>
      <c r="AS579" s="52"/>
      <c r="AT579" s="87"/>
    </row>
    <row r="580" spans="2:46" thickBot="1">
      <c r="B580" s="113"/>
      <c r="C580" s="324"/>
      <c r="D580" s="346"/>
      <c r="E580" s="326"/>
      <c r="F580" s="321" t="str">
        <f t="shared" si="56"/>
        <v/>
      </c>
      <c r="G580" s="334"/>
      <c r="H580" s="331"/>
      <c r="I580" s="107"/>
      <c r="J580" s="108"/>
      <c r="K580" s="109"/>
      <c r="L580" s="108"/>
      <c r="O580" s="86"/>
      <c r="P580" s="57"/>
      <c r="Q580" s="37"/>
      <c r="R580" s="92" t="str">
        <f t="shared" si="57"/>
        <v/>
      </c>
      <c r="S580" s="52"/>
      <c r="T580" s="87"/>
      <c r="U580" s="86"/>
      <c r="V580" s="201"/>
      <c r="W580" s="37"/>
      <c r="X580" s="52"/>
      <c r="Y580" s="87"/>
      <c r="AA580" s="86"/>
      <c r="AB580" s="57"/>
      <c r="AC580" s="37"/>
      <c r="AD580" s="52"/>
      <c r="AE580" s="87"/>
      <c r="AG580" s="86"/>
      <c r="AH580" s="37"/>
      <c r="AI580" s="52"/>
      <c r="AJ580" s="87"/>
      <c r="AL580" s="86"/>
      <c r="AM580" s="37"/>
      <c r="AN580" s="52"/>
      <c r="AO580" s="87"/>
      <c r="AQ580" s="86"/>
      <c r="AR580" s="37"/>
      <c r="AS580" s="52"/>
      <c r="AT580" s="87"/>
    </row>
    <row r="581" spans="2:46" thickBot="1">
      <c r="B581" s="113"/>
      <c r="C581" s="324"/>
      <c r="D581" s="346"/>
      <c r="E581" s="326"/>
      <c r="F581" s="321" t="str">
        <f t="shared" si="56"/>
        <v/>
      </c>
      <c r="G581" s="334"/>
      <c r="H581" s="331"/>
      <c r="I581" s="107"/>
      <c r="J581" s="108"/>
      <c r="K581" s="109"/>
      <c r="L581" s="108"/>
      <c r="O581" s="86"/>
      <c r="P581" s="57"/>
      <c r="Q581" s="37"/>
      <c r="R581" s="92" t="str">
        <f t="shared" si="57"/>
        <v/>
      </c>
      <c r="S581" s="52"/>
      <c r="T581" s="87"/>
      <c r="U581" s="86"/>
      <c r="V581" s="201"/>
      <c r="W581" s="37"/>
      <c r="X581" s="52"/>
      <c r="Y581" s="87"/>
      <c r="AA581" s="86"/>
      <c r="AB581" s="57"/>
      <c r="AC581" s="37"/>
      <c r="AD581" s="52"/>
      <c r="AE581" s="87"/>
      <c r="AG581" s="86"/>
      <c r="AH581" s="37"/>
      <c r="AI581" s="52"/>
      <c r="AJ581" s="87"/>
      <c r="AL581" s="86"/>
      <c r="AM581" s="37"/>
      <c r="AN581" s="52"/>
      <c r="AO581" s="87"/>
      <c r="AQ581" s="86"/>
      <c r="AR581" s="37"/>
      <c r="AS581" s="52"/>
      <c r="AT581" s="87"/>
    </row>
    <row r="582" spans="2:46" thickBot="1">
      <c r="B582" s="113"/>
      <c r="C582" s="324"/>
      <c r="D582" s="346"/>
      <c r="E582" s="326"/>
      <c r="F582" s="321" t="str">
        <f t="shared" ref="F582:F645" si="58">IF(E582="","",ROUND(G582*(1+$F$2),2))</f>
        <v/>
      </c>
      <c r="G582" s="334"/>
      <c r="H582" s="331"/>
      <c r="I582" s="107"/>
      <c r="J582" s="108"/>
      <c r="K582" s="109"/>
      <c r="L582" s="108"/>
      <c r="O582" s="86"/>
      <c r="P582" s="57"/>
      <c r="Q582" s="37"/>
      <c r="R582" s="92" t="str">
        <f t="shared" si="57"/>
        <v/>
      </c>
      <c r="S582" s="52"/>
      <c r="T582" s="87"/>
      <c r="U582" s="86"/>
      <c r="V582" s="201"/>
      <c r="W582" s="37"/>
      <c r="X582" s="52"/>
      <c r="Y582" s="87"/>
      <c r="AA582" s="86"/>
      <c r="AB582" s="57"/>
      <c r="AC582" s="37"/>
      <c r="AD582" s="52"/>
      <c r="AE582" s="87"/>
      <c r="AG582" s="86"/>
      <c r="AH582" s="37"/>
      <c r="AI582" s="52"/>
      <c r="AJ582" s="87"/>
      <c r="AL582" s="86"/>
      <c r="AM582" s="37"/>
      <c r="AN582" s="52"/>
      <c r="AO582" s="87"/>
      <c r="AQ582" s="86"/>
      <c r="AR582" s="37"/>
      <c r="AS582" s="52"/>
      <c r="AT582" s="87"/>
    </row>
    <row r="583" spans="2:46" thickBot="1">
      <c r="B583" s="113"/>
      <c r="C583" s="324"/>
      <c r="D583" s="346"/>
      <c r="E583" s="326"/>
      <c r="F583" s="321" t="str">
        <f t="shared" si="58"/>
        <v/>
      </c>
      <c r="G583" s="334"/>
      <c r="H583" s="331"/>
      <c r="I583" s="107"/>
      <c r="J583" s="108"/>
      <c r="K583" s="109"/>
      <c r="L583" s="108"/>
      <c r="O583" s="86"/>
      <c r="P583" s="57"/>
      <c r="Q583" s="37"/>
      <c r="R583" s="92" t="str">
        <f t="shared" si="57"/>
        <v/>
      </c>
      <c r="S583" s="52"/>
      <c r="T583" s="87"/>
      <c r="U583" s="86"/>
      <c r="V583" s="201"/>
      <c r="W583" s="37"/>
      <c r="X583" s="52"/>
      <c r="Y583" s="87"/>
      <c r="AA583" s="86"/>
      <c r="AB583" s="57"/>
      <c r="AC583" s="37"/>
      <c r="AD583" s="52"/>
      <c r="AE583" s="87"/>
      <c r="AG583" s="86"/>
      <c r="AH583" s="37"/>
      <c r="AI583" s="52"/>
      <c r="AJ583" s="87"/>
      <c r="AL583" s="86"/>
      <c r="AM583" s="37"/>
      <c r="AN583" s="52"/>
      <c r="AO583" s="87"/>
      <c r="AQ583" s="86"/>
      <c r="AR583" s="37"/>
      <c r="AS583" s="52"/>
      <c r="AT583" s="87"/>
    </row>
    <row r="584" spans="2:46" thickBot="1">
      <c r="B584" s="113"/>
      <c r="C584" s="324"/>
      <c r="D584" s="346"/>
      <c r="E584" s="326"/>
      <c r="F584" s="321" t="str">
        <f t="shared" si="58"/>
        <v/>
      </c>
      <c r="G584" s="334"/>
      <c r="H584" s="331"/>
      <c r="I584" s="107"/>
      <c r="J584" s="108"/>
      <c r="K584" s="109"/>
      <c r="L584" s="108"/>
      <c r="O584" s="86"/>
      <c r="P584" s="57"/>
      <c r="Q584" s="37"/>
      <c r="R584" s="92" t="str">
        <f t="shared" si="57"/>
        <v/>
      </c>
      <c r="S584" s="52"/>
      <c r="T584" s="87"/>
      <c r="U584" s="86"/>
      <c r="V584" s="201"/>
      <c r="W584" s="37"/>
      <c r="X584" s="52"/>
      <c r="Y584" s="87"/>
      <c r="AA584" s="86"/>
      <c r="AB584" s="57"/>
      <c r="AC584" s="37"/>
      <c r="AD584" s="52"/>
      <c r="AE584" s="87"/>
      <c r="AG584" s="86"/>
      <c r="AH584" s="37"/>
      <c r="AI584" s="52"/>
      <c r="AJ584" s="87"/>
      <c r="AL584" s="86"/>
      <c r="AM584" s="37"/>
      <c r="AN584" s="52"/>
      <c r="AO584" s="87"/>
      <c r="AQ584" s="86"/>
      <c r="AR584" s="37"/>
      <c r="AS584" s="52"/>
      <c r="AT584" s="87"/>
    </row>
    <row r="585" spans="2:46" thickBot="1">
      <c r="B585" s="113"/>
      <c r="C585" s="324"/>
      <c r="D585" s="346"/>
      <c r="E585" s="326"/>
      <c r="F585" s="321" t="str">
        <f t="shared" si="58"/>
        <v/>
      </c>
      <c r="G585" s="334"/>
      <c r="H585" s="331"/>
      <c r="I585" s="107"/>
      <c r="J585" s="108"/>
      <c r="K585" s="109"/>
      <c r="L585" s="108"/>
      <c r="O585" s="86"/>
      <c r="P585" s="57"/>
      <c r="Q585" s="37"/>
      <c r="R585" s="92" t="str">
        <f t="shared" si="57"/>
        <v/>
      </c>
      <c r="S585" s="52"/>
      <c r="T585" s="87"/>
      <c r="U585" s="86"/>
      <c r="V585" s="201"/>
      <c r="W585" s="37"/>
      <c r="X585" s="52"/>
      <c r="Y585" s="87"/>
      <c r="AA585" s="86"/>
      <c r="AB585" s="57"/>
      <c r="AC585" s="37"/>
      <c r="AD585" s="52"/>
      <c r="AE585" s="87"/>
      <c r="AG585" s="86"/>
      <c r="AH585" s="37"/>
      <c r="AI585" s="52"/>
      <c r="AJ585" s="87"/>
      <c r="AL585" s="86"/>
      <c r="AM585" s="37"/>
      <c r="AN585" s="52"/>
      <c r="AO585" s="87"/>
      <c r="AQ585" s="86"/>
      <c r="AR585" s="37"/>
      <c r="AS585" s="52"/>
      <c r="AT585" s="87"/>
    </row>
    <row r="586" spans="2:46" thickBot="1">
      <c r="B586" s="113"/>
      <c r="C586" s="324"/>
      <c r="D586" s="346"/>
      <c r="E586" s="326"/>
      <c r="F586" s="321" t="str">
        <f t="shared" si="58"/>
        <v/>
      </c>
      <c r="G586" s="334"/>
      <c r="H586" s="331"/>
      <c r="I586" s="107"/>
      <c r="J586" s="108"/>
      <c r="K586" s="109"/>
      <c r="L586" s="108"/>
      <c r="O586" s="86"/>
      <c r="P586" s="57"/>
      <c r="Q586" s="37"/>
      <c r="R586" s="92" t="str">
        <f t="shared" si="57"/>
        <v/>
      </c>
      <c r="S586" s="52"/>
      <c r="T586" s="87"/>
      <c r="U586" s="86"/>
      <c r="V586" s="201"/>
      <c r="W586" s="37"/>
      <c r="X586" s="52"/>
      <c r="Y586" s="87"/>
      <c r="AA586" s="86"/>
      <c r="AB586" s="57"/>
      <c r="AC586" s="37"/>
      <c r="AD586" s="52"/>
      <c r="AE586" s="87"/>
      <c r="AG586" s="86"/>
      <c r="AH586" s="37"/>
      <c r="AI586" s="52"/>
      <c r="AJ586" s="87"/>
      <c r="AL586" s="86"/>
      <c r="AM586" s="37"/>
      <c r="AN586" s="52"/>
      <c r="AO586" s="87"/>
      <c r="AQ586" s="86"/>
      <c r="AR586" s="37"/>
      <c r="AS586" s="52"/>
      <c r="AT586" s="87"/>
    </row>
    <row r="587" spans="2:46" thickBot="1">
      <c r="B587" s="113"/>
      <c r="C587" s="324"/>
      <c r="D587" s="346"/>
      <c r="E587" s="326"/>
      <c r="F587" s="321" t="str">
        <f t="shared" si="58"/>
        <v/>
      </c>
      <c r="G587" s="334"/>
      <c r="H587" s="331"/>
      <c r="I587" s="107"/>
      <c r="J587" s="108"/>
      <c r="K587" s="109"/>
      <c r="L587" s="108"/>
      <c r="O587" s="86"/>
      <c r="P587" s="57"/>
      <c r="Q587" s="37"/>
      <c r="R587" s="92" t="str">
        <f t="shared" si="57"/>
        <v/>
      </c>
      <c r="S587" s="52"/>
      <c r="T587" s="87"/>
      <c r="U587" s="86"/>
      <c r="V587" s="201"/>
      <c r="W587" s="37"/>
      <c r="X587" s="52"/>
      <c r="Y587" s="87"/>
      <c r="AA587" s="86"/>
      <c r="AB587" s="57"/>
      <c r="AC587" s="37"/>
      <c r="AD587" s="52"/>
      <c r="AE587" s="87"/>
      <c r="AG587" s="86"/>
      <c r="AH587" s="37"/>
      <c r="AI587" s="52"/>
      <c r="AJ587" s="87"/>
      <c r="AL587" s="86"/>
      <c r="AM587" s="37"/>
      <c r="AN587" s="52"/>
      <c r="AO587" s="87"/>
      <c r="AQ587" s="86"/>
      <c r="AR587" s="37"/>
      <c r="AS587" s="52"/>
      <c r="AT587" s="87"/>
    </row>
    <row r="588" spans="2:46" thickBot="1">
      <c r="B588" s="113"/>
      <c r="C588" s="324"/>
      <c r="D588" s="346"/>
      <c r="E588" s="326"/>
      <c r="F588" s="321" t="str">
        <f t="shared" si="58"/>
        <v/>
      </c>
      <c r="G588" s="334"/>
      <c r="H588" s="331"/>
      <c r="I588" s="107"/>
      <c r="J588" s="108"/>
      <c r="K588" s="109"/>
      <c r="L588" s="108"/>
      <c r="O588" s="86"/>
      <c r="P588" s="57"/>
      <c r="Q588" s="37"/>
      <c r="R588" s="92" t="str">
        <f t="shared" si="57"/>
        <v/>
      </c>
      <c r="S588" s="52"/>
      <c r="T588" s="87"/>
      <c r="U588" s="86"/>
      <c r="V588" s="201"/>
      <c r="W588" s="37"/>
      <c r="X588" s="52"/>
      <c r="Y588" s="87"/>
      <c r="AA588" s="86"/>
      <c r="AB588" s="57"/>
      <c r="AC588" s="37"/>
      <c r="AD588" s="52"/>
      <c r="AE588" s="87"/>
      <c r="AG588" s="86"/>
      <c r="AH588" s="37"/>
      <c r="AI588" s="52"/>
      <c r="AJ588" s="87"/>
      <c r="AL588" s="86"/>
      <c r="AM588" s="37"/>
      <c r="AN588" s="52"/>
      <c r="AO588" s="87"/>
      <c r="AQ588" s="86"/>
      <c r="AR588" s="37"/>
      <c r="AS588" s="52"/>
      <c r="AT588" s="87"/>
    </row>
    <row r="589" spans="2:46" thickBot="1">
      <c r="B589" s="113"/>
      <c r="C589" s="324"/>
      <c r="D589" s="346"/>
      <c r="E589" s="326"/>
      <c r="F589" s="321" t="str">
        <f t="shared" si="58"/>
        <v/>
      </c>
      <c r="G589" s="334"/>
      <c r="H589" s="331"/>
      <c r="I589" s="107"/>
      <c r="J589" s="108"/>
      <c r="K589" s="109"/>
      <c r="L589" s="108"/>
      <c r="O589" s="86"/>
      <c r="P589" s="57"/>
      <c r="Q589" s="37"/>
      <c r="R589" s="92" t="str">
        <f t="shared" si="57"/>
        <v/>
      </c>
      <c r="S589" s="52"/>
      <c r="T589" s="87"/>
      <c r="U589" s="86"/>
      <c r="V589" s="201"/>
      <c r="W589" s="37"/>
      <c r="X589" s="52"/>
      <c r="Y589" s="87"/>
      <c r="AA589" s="86"/>
      <c r="AB589" s="57"/>
      <c r="AC589" s="37"/>
      <c r="AD589" s="52"/>
      <c r="AE589" s="87"/>
      <c r="AG589" s="86"/>
      <c r="AH589" s="37"/>
      <c r="AI589" s="52"/>
      <c r="AJ589" s="87"/>
      <c r="AL589" s="86"/>
      <c r="AM589" s="37"/>
      <c r="AN589" s="52"/>
      <c r="AO589" s="87"/>
      <c r="AQ589" s="86"/>
      <c r="AR589" s="37"/>
      <c r="AS589" s="52"/>
      <c r="AT589" s="87"/>
    </row>
    <row r="590" spans="2:46" thickBot="1">
      <c r="B590" s="113"/>
      <c r="C590" s="324"/>
      <c r="D590" s="346"/>
      <c r="E590" s="326"/>
      <c r="F590" s="321" t="str">
        <f t="shared" si="58"/>
        <v/>
      </c>
      <c r="G590" s="334"/>
      <c r="H590" s="331"/>
      <c r="I590" s="107"/>
      <c r="J590" s="108"/>
      <c r="K590" s="109"/>
      <c r="L590" s="108"/>
      <c r="O590" s="86"/>
      <c r="P590" s="57"/>
      <c r="Q590" s="37"/>
      <c r="R590" s="92" t="str">
        <f t="shared" si="57"/>
        <v/>
      </c>
      <c r="S590" s="52"/>
      <c r="T590" s="87"/>
      <c r="U590" s="86"/>
      <c r="V590" s="201"/>
      <c r="W590" s="37"/>
      <c r="X590" s="52"/>
      <c r="Y590" s="87"/>
      <c r="AA590" s="86"/>
      <c r="AB590" s="57"/>
      <c r="AC590" s="37"/>
      <c r="AD590" s="52"/>
      <c r="AE590" s="87"/>
      <c r="AG590" s="86"/>
      <c r="AH590" s="37"/>
      <c r="AI590" s="52"/>
      <c r="AJ590" s="87"/>
      <c r="AL590" s="86"/>
      <c r="AM590" s="37"/>
      <c r="AN590" s="52"/>
      <c r="AO590" s="87"/>
      <c r="AQ590" s="86"/>
      <c r="AR590" s="37"/>
      <c r="AS590" s="52"/>
      <c r="AT590" s="87"/>
    </row>
    <row r="591" spans="2:46" thickBot="1">
      <c r="B591" s="113"/>
      <c r="C591" s="324"/>
      <c r="D591" s="346"/>
      <c r="E591" s="326"/>
      <c r="F591" s="321" t="str">
        <f t="shared" si="58"/>
        <v/>
      </c>
      <c r="G591" s="334"/>
      <c r="H591" s="331"/>
      <c r="I591" s="107"/>
      <c r="J591" s="108"/>
      <c r="K591" s="109"/>
      <c r="L591" s="108"/>
      <c r="O591" s="86"/>
      <c r="P591" s="57"/>
      <c r="Q591" s="37"/>
      <c r="R591" s="92" t="str">
        <f t="shared" si="57"/>
        <v/>
      </c>
      <c r="S591" s="52"/>
      <c r="T591" s="87"/>
      <c r="U591" s="86"/>
      <c r="V591" s="201"/>
      <c r="W591" s="37"/>
      <c r="X591" s="52"/>
      <c r="Y591" s="87"/>
      <c r="AA591" s="86"/>
      <c r="AB591" s="57"/>
      <c r="AC591" s="37"/>
      <c r="AD591" s="52"/>
      <c r="AE591" s="87"/>
      <c r="AG591" s="86"/>
      <c r="AH591" s="37"/>
      <c r="AI591" s="52"/>
      <c r="AJ591" s="87"/>
      <c r="AL591" s="86"/>
      <c r="AM591" s="37"/>
      <c r="AN591" s="52"/>
      <c r="AO591" s="87"/>
      <c r="AQ591" s="86"/>
      <c r="AR591" s="37"/>
      <c r="AS591" s="52"/>
      <c r="AT591" s="87"/>
    </row>
    <row r="592" spans="2:46" thickBot="1">
      <c r="B592" s="113"/>
      <c r="C592" s="324"/>
      <c r="D592" s="346"/>
      <c r="E592" s="326"/>
      <c r="F592" s="321" t="str">
        <f t="shared" si="58"/>
        <v/>
      </c>
      <c r="G592" s="334"/>
      <c r="H592" s="331"/>
      <c r="I592" s="107"/>
      <c r="J592" s="108"/>
      <c r="K592" s="109"/>
      <c r="L592" s="108"/>
      <c r="O592" s="86"/>
      <c r="P592" s="57"/>
      <c r="Q592" s="37"/>
      <c r="R592" s="92" t="str">
        <f t="shared" si="57"/>
        <v/>
      </c>
      <c r="S592" s="52"/>
      <c r="T592" s="87"/>
      <c r="U592" s="86"/>
      <c r="V592" s="201"/>
      <c r="W592" s="37"/>
      <c r="X592" s="52"/>
      <c r="Y592" s="87"/>
      <c r="AA592" s="86"/>
      <c r="AB592" s="57"/>
      <c r="AC592" s="37"/>
      <c r="AD592" s="52"/>
      <c r="AE592" s="87"/>
      <c r="AG592" s="86"/>
      <c r="AH592" s="37"/>
      <c r="AI592" s="52"/>
      <c r="AJ592" s="87"/>
      <c r="AL592" s="86"/>
      <c r="AM592" s="37"/>
      <c r="AN592" s="52"/>
      <c r="AO592" s="87"/>
      <c r="AQ592" s="86"/>
      <c r="AR592" s="37"/>
      <c r="AS592" s="52"/>
      <c r="AT592" s="87"/>
    </row>
    <row r="593" spans="2:46" thickBot="1">
      <c r="B593" s="113"/>
      <c r="C593" s="324"/>
      <c r="D593" s="346"/>
      <c r="E593" s="326"/>
      <c r="F593" s="321" t="str">
        <f t="shared" si="58"/>
        <v/>
      </c>
      <c r="G593" s="334"/>
      <c r="H593" s="331"/>
      <c r="I593" s="107"/>
      <c r="J593" s="108"/>
      <c r="K593" s="109"/>
      <c r="L593" s="108"/>
      <c r="O593" s="86"/>
      <c r="P593" s="57"/>
      <c r="Q593" s="37"/>
      <c r="R593" s="92" t="str">
        <f t="shared" si="57"/>
        <v/>
      </c>
      <c r="S593" s="52"/>
      <c r="T593" s="87"/>
      <c r="U593" s="86"/>
      <c r="V593" s="201"/>
      <c r="W593" s="37"/>
      <c r="X593" s="52"/>
      <c r="Y593" s="87"/>
      <c r="AA593" s="86"/>
      <c r="AB593" s="57"/>
      <c r="AC593" s="37"/>
      <c r="AD593" s="52"/>
      <c r="AE593" s="87"/>
      <c r="AG593" s="86"/>
      <c r="AH593" s="37"/>
      <c r="AI593" s="52"/>
      <c r="AJ593" s="87"/>
      <c r="AL593" s="86"/>
      <c r="AM593" s="37"/>
      <c r="AN593" s="52"/>
      <c r="AO593" s="87"/>
      <c r="AQ593" s="86"/>
      <c r="AR593" s="37"/>
      <c r="AS593" s="52"/>
      <c r="AT593" s="87"/>
    </row>
    <row r="594" spans="2:46" thickBot="1">
      <c r="B594" s="113"/>
      <c r="C594" s="324"/>
      <c r="D594" s="346"/>
      <c r="E594" s="326"/>
      <c r="F594" s="321" t="str">
        <f t="shared" si="58"/>
        <v/>
      </c>
      <c r="G594" s="334"/>
      <c r="H594" s="331"/>
      <c r="I594" s="107"/>
      <c r="J594" s="108"/>
      <c r="K594" s="109"/>
      <c r="L594" s="108"/>
      <c r="O594" s="86"/>
      <c r="P594" s="57"/>
      <c r="Q594" s="37"/>
      <c r="R594" s="92" t="str">
        <f t="shared" si="57"/>
        <v/>
      </c>
      <c r="S594" s="52"/>
      <c r="T594" s="87"/>
      <c r="U594" s="86"/>
      <c r="V594" s="201"/>
      <c r="W594" s="37"/>
      <c r="X594" s="52"/>
      <c r="Y594" s="87"/>
      <c r="AA594" s="86"/>
      <c r="AB594" s="57"/>
      <c r="AC594" s="37"/>
      <c r="AD594" s="52"/>
      <c r="AE594" s="87"/>
      <c r="AG594" s="86"/>
      <c r="AH594" s="37"/>
      <c r="AI594" s="52"/>
      <c r="AJ594" s="87"/>
      <c r="AL594" s="86"/>
      <c r="AM594" s="37"/>
      <c r="AN594" s="52"/>
      <c r="AO594" s="87"/>
      <c r="AQ594" s="86"/>
      <c r="AR594" s="37"/>
      <c r="AS594" s="52"/>
      <c r="AT594" s="87"/>
    </row>
    <row r="595" spans="2:46" thickBot="1">
      <c r="B595" s="113"/>
      <c r="C595" s="324"/>
      <c r="D595" s="346"/>
      <c r="E595" s="326"/>
      <c r="F595" s="321" t="str">
        <f t="shared" si="58"/>
        <v/>
      </c>
      <c r="G595" s="334"/>
      <c r="H595" s="331"/>
      <c r="I595" s="107"/>
      <c r="J595" s="108"/>
      <c r="K595" s="109"/>
      <c r="L595" s="108"/>
      <c r="O595" s="86"/>
      <c r="P595" s="57"/>
      <c r="Q595" s="37"/>
      <c r="R595" s="92" t="str">
        <f t="shared" si="57"/>
        <v/>
      </c>
      <c r="S595" s="52"/>
      <c r="T595" s="87"/>
      <c r="U595" s="86"/>
      <c r="V595" s="201"/>
      <c r="W595" s="37"/>
      <c r="X595" s="52"/>
      <c r="Y595" s="87"/>
      <c r="AA595" s="86"/>
      <c r="AB595" s="57"/>
      <c r="AC595" s="37"/>
      <c r="AD595" s="52"/>
      <c r="AE595" s="87"/>
      <c r="AG595" s="86"/>
      <c r="AH595" s="37"/>
      <c r="AI595" s="52"/>
      <c r="AJ595" s="87"/>
      <c r="AL595" s="86"/>
      <c r="AM595" s="37"/>
      <c r="AN595" s="52"/>
      <c r="AO595" s="87"/>
      <c r="AQ595" s="86"/>
      <c r="AR595" s="37"/>
      <c r="AS595" s="52"/>
      <c r="AT595" s="87"/>
    </row>
    <row r="596" spans="2:46" thickBot="1">
      <c r="B596" s="113"/>
      <c r="C596" s="324"/>
      <c r="D596" s="346"/>
      <c r="E596" s="326"/>
      <c r="F596" s="321" t="str">
        <f t="shared" si="58"/>
        <v/>
      </c>
      <c r="G596" s="334"/>
      <c r="H596" s="331"/>
      <c r="I596" s="107"/>
      <c r="J596" s="108"/>
      <c r="K596" s="109"/>
      <c r="L596" s="108"/>
      <c r="O596" s="86"/>
      <c r="P596" s="57"/>
      <c r="Q596" s="37"/>
      <c r="R596" s="92" t="str">
        <f t="shared" si="57"/>
        <v/>
      </c>
      <c r="S596" s="52"/>
      <c r="T596" s="87"/>
      <c r="U596" s="86"/>
      <c r="V596" s="201"/>
      <c r="W596" s="37"/>
      <c r="X596" s="52"/>
      <c r="Y596" s="87"/>
      <c r="AA596" s="86"/>
      <c r="AB596" s="57"/>
      <c r="AC596" s="37"/>
      <c r="AD596" s="52"/>
      <c r="AE596" s="87"/>
      <c r="AG596" s="86"/>
      <c r="AH596" s="37"/>
      <c r="AI596" s="52"/>
      <c r="AJ596" s="87"/>
      <c r="AL596" s="86"/>
      <c r="AM596" s="37"/>
      <c r="AN596" s="52"/>
      <c r="AO596" s="87"/>
      <c r="AQ596" s="86"/>
      <c r="AR596" s="37"/>
      <c r="AS596" s="52"/>
      <c r="AT596" s="87"/>
    </row>
    <row r="597" spans="2:46" thickBot="1">
      <c r="B597" s="113"/>
      <c r="C597" s="324"/>
      <c r="D597" s="346"/>
      <c r="E597" s="326"/>
      <c r="F597" s="321" t="str">
        <f t="shared" si="58"/>
        <v/>
      </c>
      <c r="G597" s="334"/>
      <c r="H597" s="331"/>
      <c r="I597" s="107"/>
      <c r="J597" s="108"/>
      <c r="K597" s="109"/>
      <c r="L597" s="108"/>
      <c r="O597" s="86"/>
      <c r="P597" s="57"/>
      <c r="Q597" s="37"/>
      <c r="R597" s="92" t="str">
        <f t="shared" si="57"/>
        <v/>
      </c>
      <c r="S597" s="52"/>
      <c r="T597" s="87"/>
      <c r="U597" s="86"/>
      <c r="V597" s="201"/>
      <c r="W597" s="37"/>
      <c r="X597" s="52"/>
      <c r="Y597" s="87"/>
      <c r="AA597" s="86"/>
      <c r="AB597" s="57"/>
      <c r="AC597" s="37"/>
      <c r="AD597" s="52"/>
      <c r="AE597" s="87"/>
      <c r="AG597" s="86"/>
      <c r="AH597" s="37"/>
      <c r="AI597" s="52"/>
      <c r="AJ597" s="87"/>
      <c r="AL597" s="86"/>
      <c r="AM597" s="37"/>
      <c r="AN597" s="52"/>
      <c r="AO597" s="87"/>
      <c r="AQ597" s="86"/>
      <c r="AR597" s="37"/>
      <c r="AS597" s="52"/>
      <c r="AT597" s="87"/>
    </row>
    <row r="598" spans="2:46" thickBot="1">
      <c r="B598" s="113"/>
      <c r="C598" s="324"/>
      <c r="D598" s="346"/>
      <c r="E598" s="326"/>
      <c r="F598" s="321" t="str">
        <f t="shared" si="58"/>
        <v/>
      </c>
      <c r="G598" s="334"/>
      <c r="H598" s="331"/>
      <c r="I598" s="107"/>
      <c r="J598" s="108"/>
      <c r="K598" s="109"/>
      <c r="L598" s="108"/>
      <c r="O598" s="86"/>
      <c r="P598" s="57"/>
      <c r="Q598" s="37"/>
      <c r="R598" s="92" t="str">
        <f t="shared" si="57"/>
        <v/>
      </c>
      <c r="S598" s="52"/>
      <c r="T598" s="87"/>
      <c r="U598" s="86"/>
      <c r="V598" s="201"/>
      <c r="W598" s="37"/>
      <c r="X598" s="52"/>
      <c r="Y598" s="87"/>
      <c r="AA598" s="86"/>
      <c r="AB598" s="57"/>
      <c r="AC598" s="37"/>
      <c r="AD598" s="52"/>
      <c r="AE598" s="87"/>
      <c r="AG598" s="86"/>
      <c r="AH598" s="37"/>
      <c r="AI598" s="52"/>
      <c r="AJ598" s="87"/>
      <c r="AL598" s="86"/>
      <c r="AM598" s="37"/>
      <c r="AN598" s="52"/>
      <c r="AO598" s="87"/>
      <c r="AQ598" s="86"/>
      <c r="AR598" s="37"/>
      <c r="AS598" s="52"/>
      <c r="AT598" s="87"/>
    </row>
    <row r="599" spans="2:46" thickBot="1">
      <c r="B599" s="113"/>
      <c r="C599" s="324"/>
      <c r="D599" s="346"/>
      <c r="E599" s="326"/>
      <c r="F599" s="321" t="str">
        <f t="shared" si="58"/>
        <v/>
      </c>
      <c r="G599" s="334"/>
      <c r="H599" s="331"/>
      <c r="I599" s="107"/>
      <c r="J599" s="108"/>
      <c r="K599" s="109"/>
      <c r="L599" s="108"/>
      <c r="O599" s="86"/>
      <c r="P599" s="57"/>
      <c r="Q599" s="37"/>
      <c r="R599" s="92" t="str">
        <f t="shared" si="57"/>
        <v/>
      </c>
      <c r="S599" s="52"/>
      <c r="T599" s="87"/>
      <c r="U599" s="86"/>
      <c r="V599" s="201"/>
      <c r="W599" s="37"/>
      <c r="X599" s="52"/>
      <c r="Y599" s="87"/>
      <c r="AA599" s="86"/>
      <c r="AB599" s="57"/>
      <c r="AC599" s="37"/>
      <c r="AD599" s="52"/>
      <c r="AE599" s="87"/>
      <c r="AG599" s="86"/>
      <c r="AH599" s="37"/>
      <c r="AI599" s="52"/>
      <c r="AJ599" s="87"/>
      <c r="AL599" s="86"/>
      <c r="AM599" s="37"/>
      <c r="AN599" s="52"/>
      <c r="AO599" s="87"/>
      <c r="AQ599" s="86"/>
      <c r="AR599" s="37"/>
      <c r="AS599" s="52"/>
      <c r="AT599" s="87"/>
    </row>
    <row r="600" spans="2:46" thickBot="1">
      <c r="B600" s="113"/>
      <c r="C600" s="324"/>
      <c r="D600" s="346"/>
      <c r="E600" s="326"/>
      <c r="F600" s="321" t="str">
        <f t="shared" si="58"/>
        <v/>
      </c>
      <c r="G600" s="334"/>
      <c r="H600" s="331"/>
      <c r="I600" s="107"/>
      <c r="J600" s="108"/>
      <c r="K600" s="109"/>
      <c r="L600" s="108"/>
      <c r="O600" s="86"/>
      <c r="P600" s="57"/>
      <c r="Q600" s="37"/>
      <c r="R600" s="92" t="str">
        <f t="shared" si="57"/>
        <v/>
      </c>
      <c r="S600" s="52"/>
      <c r="T600" s="87"/>
      <c r="U600" s="86"/>
      <c r="V600" s="201"/>
      <c r="W600" s="37"/>
      <c r="X600" s="52"/>
      <c r="Y600" s="87"/>
      <c r="AA600" s="86"/>
      <c r="AB600" s="57"/>
      <c r="AC600" s="37"/>
      <c r="AD600" s="52"/>
      <c r="AE600" s="87"/>
      <c r="AG600" s="86"/>
      <c r="AH600" s="37"/>
      <c r="AI600" s="52"/>
      <c r="AJ600" s="87"/>
      <c r="AL600" s="86"/>
      <c r="AM600" s="37"/>
      <c r="AN600" s="52"/>
      <c r="AO600" s="87"/>
      <c r="AQ600" s="86"/>
      <c r="AR600" s="37"/>
      <c r="AS600" s="52"/>
      <c r="AT600" s="87"/>
    </row>
    <row r="601" spans="2:46" thickBot="1">
      <c r="B601" s="113"/>
      <c r="C601" s="324"/>
      <c r="D601" s="346"/>
      <c r="E601" s="326"/>
      <c r="F601" s="321" t="str">
        <f t="shared" si="58"/>
        <v/>
      </c>
      <c r="G601" s="334"/>
      <c r="H601" s="331"/>
      <c r="I601" s="107"/>
      <c r="J601" s="108"/>
      <c r="K601" s="109"/>
      <c r="L601" s="108"/>
      <c r="O601" s="86"/>
      <c r="P601" s="57"/>
      <c r="Q601" s="37"/>
      <c r="R601" s="92" t="str">
        <f t="shared" si="57"/>
        <v/>
      </c>
      <c r="S601" s="52"/>
      <c r="T601" s="87"/>
      <c r="U601" s="86"/>
      <c r="V601" s="201"/>
      <c r="W601" s="37"/>
      <c r="X601" s="52"/>
      <c r="Y601" s="87"/>
      <c r="AA601" s="86"/>
      <c r="AB601" s="57"/>
      <c r="AC601" s="37"/>
      <c r="AD601" s="52"/>
      <c r="AE601" s="87"/>
      <c r="AG601" s="86"/>
      <c r="AH601" s="37"/>
      <c r="AI601" s="52"/>
      <c r="AJ601" s="87"/>
      <c r="AL601" s="86"/>
      <c r="AM601" s="37"/>
      <c r="AN601" s="52"/>
      <c r="AO601" s="87"/>
      <c r="AQ601" s="86"/>
      <c r="AR601" s="37"/>
      <c r="AS601" s="52"/>
      <c r="AT601" s="87"/>
    </row>
    <row r="602" spans="2:46" thickBot="1">
      <c r="B602" s="113"/>
      <c r="C602" s="324"/>
      <c r="D602" s="346"/>
      <c r="E602" s="326"/>
      <c r="F602" s="321" t="str">
        <f t="shared" si="58"/>
        <v/>
      </c>
      <c r="G602" s="334"/>
      <c r="H602" s="331"/>
      <c r="I602" s="107"/>
      <c r="J602" s="108"/>
      <c r="K602" s="109"/>
      <c r="L602" s="108"/>
      <c r="O602" s="86"/>
      <c r="P602" s="57"/>
      <c r="Q602" s="37"/>
      <c r="R602" s="92" t="str">
        <f t="shared" si="57"/>
        <v/>
      </c>
      <c r="S602" s="52"/>
      <c r="T602" s="87"/>
      <c r="U602" s="86"/>
      <c r="V602" s="201"/>
      <c r="W602" s="37"/>
      <c r="X602" s="52"/>
      <c r="Y602" s="87"/>
      <c r="AA602" s="86"/>
      <c r="AB602" s="57"/>
      <c r="AC602" s="37"/>
      <c r="AD602" s="52"/>
      <c r="AE602" s="87"/>
      <c r="AG602" s="86"/>
      <c r="AH602" s="37"/>
      <c r="AI602" s="52"/>
      <c r="AJ602" s="87"/>
      <c r="AL602" s="86"/>
      <c r="AM602" s="37"/>
      <c r="AN602" s="52"/>
      <c r="AO602" s="87"/>
      <c r="AQ602" s="86"/>
      <c r="AR602" s="37"/>
      <c r="AS602" s="52"/>
      <c r="AT602" s="87"/>
    </row>
    <row r="603" spans="2:46" thickBot="1">
      <c r="B603" s="113"/>
      <c r="C603" s="324"/>
      <c r="D603" s="346"/>
      <c r="E603" s="326"/>
      <c r="F603" s="321" t="str">
        <f t="shared" si="58"/>
        <v/>
      </c>
      <c r="G603" s="334"/>
      <c r="H603" s="331"/>
      <c r="I603" s="107"/>
      <c r="J603" s="108"/>
      <c r="K603" s="109"/>
      <c r="L603" s="108"/>
      <c r="O603" s="86"/>
      <c r="P603" s="57"/>
      <c r="Q603" s="37"/>
      <c r="R603" s="92" t="str">
        <f t="shared" si="57"/>
        <v/>
      </c>
      <c r="S603" s="52"/>
      <c r="T603" s="87"/>
      <c r="U603" s="86"/>
      <c r="V603" s="201"/>
      <c r="W603" s="37"/>
      <c r="X603" s="52"/>
      <c r="Y603" s="87"/>
      <c r="AA603" s="86"/>
      <c r="AB603" s="57"/>
      <c r="AC603" s="37"/>
      <c r="AD603" s="52"/>
      <c r="AE603" s="87"/>
      <c r="AG603" s="86"/>
      <c r="AH603" s="37"/>
      <c r="AI603" s="52"/>
      <c r="AJ603" s="87"/>
      <c r="AL603" s="86"/>
      <c r="AM603" s="37"/>
      <c r="AN603" s="52"/>
      <c r="AO603" s="87"/>
      <c r="AQ603" s="86"/>
      <c r="AR603" s="37"/>
      <c r="AS603" s="52"/>
      <c r="AT603" s="87"/>
    </row>
    <row r="604" spans="2:46" thickBot="1">
      <c r="B604" s="113"/>
      <c r="C604" s="324"/>
      <c r="D604" s="346"/>
      <c r="E604" s="326"/>
      <c r="F604" s="321" t="str">
        <f t="shared" si="58"/>
        <v/>
      </c>
      <c r="G604" s="334"/>
      <c r="H604" s="331"/>
      <c r="I604" s="107"/>
      <c r="J604" s="108"/>
      <c r="K604" s="109"/>
      <c r="L604" s="108"/>
      <c r="O604" s="86"/>
      <c r="P604" s="57"/>
      <c r="Q604" s="37"/>
      <c r="R604" s="92" t="str">
        <f t="shared" si="57"/>
        <v/>
      </c>
      <c r="S604" s="52"/>
      <c r="T604" s="87"/>
      <c r="U604" s="86"/>
      <c r="V604" s="201"/>
      <c r="W604" s="37"/>
      <c r="X604" s="52"/>
      <c r="Y604" s="87"/>
      <c r="AA604" s="86"/>
      <c r="AB604" s="57"/>
      <c r="AC604" s="37"/>
      <c r="AD604" s="52"/>
      <c r="AE604" s="87"/>
      <c r="AG604" s="86"/>
      <c r="AH604" s="37"/>
      <c r="AI604" s="52"/>
      <c r="AJ604" s="87"/>
      <c r="AL604" s="86"/>
      <c r="AM604" s="37"/>
      <c r="AN604" s="52"/>
      <c r="AO604" s="87"/>
      <c r="AQ604" s="86"/>
      <c r="AR604" s="37"/>
      <c r="AS604" s="52"/>
      <c r="AT604" s="87"/>
    </row>
    <row r="605" spans="2:46" thickBot="1">
      <c r="B605" s="113"/>
      <c r="C605" s="324"/>
      <c r="D605" s="346"/>
      <c r="E605" s="326"/>
      <c r="F605" s="321" t="str">
        <f t="shared" si="58"/>
        <v/>
      </c>
      <c r="G605" s="334"/>
      <c r="H605" s="331"/>
      <c r="I605" s="107"/>
      <c r="J605" s="108"/>
      <c r="K605" s="109"/>
      <c r="L605" s="108"/>
      <c r="O605" s="86"/>
      <c r="P605" s="57"/>
      <c r="Q605" s="37"/>
      <c r="R605" s="92" t="str">
        <f t="shared" si="57"/>
        <v/>
      </c>
      <c r="S605" s="52"/>
      <c r="T605" s="87"/>
      <c r="U605" s="86"/>
      <c r="V605" s="201"/>
      <c r="W605" s="37"/>
      <c r="X605" s="52"/>
      <c r="Y605" s="87"/>
      <c r="AA605" s="86"/>
      <c r="AB605" s="57"/>
      <c r="AC605" s="37"/>
      <c r="AD605" s="52"/>
      <c r="AE605" s="87"/>
      <c r="AG605" s="86"/>
      <c r="AH605" s="37"/>
      <c r="AI605" s="52"/>
      <c r="AJ605" s="87"/>
      <c r="AL605" s="86"/>
      <c r="AM605" s="37"/>
      <c r="AN605" s="52"/>
      <c r="AO605" s="87"/>
      <c r="AQ605" s="86"/>
      <c r="AR605" s="37"/>
      <c r="AS605" s="52"/>
      <c r="AT605" s="87"/>
    </row>
    <row r="606" spans="2:46" thickBot="1">
      <c r="B606" s="113"/>
      <c r="C606" s="324"/>
      <c r="D606" s="346"/>
      <c r="E606" s="326"/>
      <c r="F606" s="321" t="str">
        <f t="shared" si="58"/>
        <v/>
      </c>
      <c r="G606" s="334"/>
      <c r="H606" s="331"/>
      <c r="I606" s="107"/>
      <c r="J606" s="108"/>
      <c r="K606" s="109"/>
      <c r="L606" s="108"/>
      <c r="O606" s="86"/>
      <c r="P606" s="57"/>
      <c r="Q606" s="37"/>
      <c r="R606" s="92" t="str">
        <f t="shared" si="57"/>
        <v/>
      </c>
      <c r="S606" s="52"/>
      <c r="T606" s="87"/>
      <c r="U606" s="86"/>
      <c r="V606" s="201"/>
      <c r="W606" s="37"/>
      <c r="X606" s="52"/>
      <c r="Y606" s="87"/>
      <c r="AA606" s="86"/>
      <c r="AB606" s="57"/>
      <c r="AC606" s="37"/>
      <c r="AD606" s="52"/>
      <c r="AE606" s="87"/>
      <c r="AG606" s="86"/>
      <c r="AH606" s="37"/>
      <c r="AI606" s="52"/>
      <c r="AJ606" s="87"/>
      <c r="AL606" s="86"/>
      <c r="AM606" s="37"/>
      <c r="AN606" s="52"/>
      <c r="AO606" s="87"/>
      <c r="AQ606" s="86"/>
      <c r="AR606" s="37"/>
      <c r="AS606" s="52"/>
      <c r="AT606" s="87"/>
    </row>
    <row r="607" spans="2:46" thickBot="1">
      <c r="B607" s="113"/>
      <c r="C607" s="324"/>
      <c r="D607" s="346"/>
      <c r="E607" s="326"/>
      <c r="F607" s="321" t="str">
        <f t="shared" si="58"/>
        <v/>
      </c>
      <c r="G607" s="334"/>
      <c r="H607" s="331"/>
      <c r="I607" s="107"/>
      <c r="J607" s="108"/>
      <c r="K607" s="109"/>
      <c r="L607" s="108"/>
      <c r="O607" s="86"/>
      <c r="P607" s="57"/>
      <c r="Q607" s="37"/>
      <c r="R607" s="92" t="str">
        <f t="shared" si="57"/>
        <v/>
      </c>
      <c r="S607" s="52"/>
      <c r="T607" s="87"/>
      <c r="U607" s="86"/>
      <c r="V607" s="201"/>
      <c r="W607" s="37"/>
      <c r="X607" s="52"/>
      <c r="Y607" s="87"/>
      <c r="AA607" s="86"/>
      <c r="AB607" s="57"/>
      <c r="AC607" s="37"/>
      <c r="AD607" s="52"/>
      <c r="AE607" s="87"/>
      <c r="AG607" s="86"/>
      <c r="AH607" s="37"/>
      <c r="AI607" s="52"/>
      <c r="AJ607" s="87"/>
      <c r="AL607" s="86"/>
      <c r="AM607" s="37"/>
      <c r="AN607" s="52"/>
      <c r="AO607" s="87"/>
      <c r="AQ607" s="86"/>
      <c r="AR607" s="37"/>
      <c r="AS607" s="52"/>
      <c r="AT607" s="87"/>
    </row>
    <row r="608" spans="2:46" thickBot="1">
      <c r="B608" s="113"/>
      <c r="C608" s="324"/>
      <c r="D608" s="346"/>
      <c r="E608" s="326"/>
      <c r="F608" s="321" t="str">
        <f t="shared" si="58"/>
        <v/>
      </c>
      <c r="G608" s="334"/>
      <c r="H608" s="331"/>
      <c r="I608" s="107"/>
      <c r="J608" s="108"/>
      <c r="K608" s="109"/>
      <c r="L608" s="108"/>
      <c r="O608" s="86"/>
      <c r="P608" s="57"/>
      <c r="Q608" s="37"/>
      <c r="R608" s="92" t="str">
        <f t="shared" si="57"/>
        <v/>
      </c>
      <c r="S608" s="52"/>
      <c r="T608" s="87"/>
      <c r="U608" s="86"/>
      <c r="V608" s="201"/>
      <c r="W608" s="37"/>
      <c r="X608" s="52"/>
      <c r="Y608" s="87"/>
      <c r="AA608" s="86"/>
      <c r="AB608" s="57"/>
      <c r="AC608" s="37"/>
      <c r="AD608" s="52"/>
      <c r="AE608" s="87"/>
      <c r="AG608" s="86"/>
      <c r="AH608" s="37"/>
      <c r="AI608" s="52"/>
      <c r="AJ608" s="87"/>
      <c r="AL608" s="86"/>
      <c r="AM608" s="37"/>
      <c r="AN608" s="52"/>
      <c r="AO608" s="87"/>
      <c r="AQ608" s="86"/>
      <c r="AR608" s="37"/>
      <c r="AS608" s="52"/>
      <c r="AT608" s="87"/>
    </row>
    <row r="609" spans="2:46" thickBot="1">
      <c r="B609" s="113"/>
      <c r="C609" s="324"/>
      <c r="D609" s="346"/>
      <c r="E609" s="326"/>
      <c r="F609" s="321" t="str">
        <f t="shared" si="58"/>
        <v/>
      </c>
      <c r="G609" s="334"/>
      <c r="H609" s="331"/>
      <c r="I609" s="107"/>
      <c r="J609" s="108"/>
      <c r="K609" s="109"/>
      <c r="L609" s="108"/>
      <c r="O609" s="86"/>
      <c r="P609" s="57"/>
      <c r="Q609" s="37"/>
      <c r="R609" s="92" t="str">
        <f t="shared" si="57"/>
        <v/>
      </c>
      <c r="S609" s="52"/>
      <c r="T609" s="87"/>
      <c r="U609" s="86"/>
      <c r="V609" s="201"/>
      <c r="W609" s="37"/>
      <c r="X609" s="52"/>
      <c r="Y609" s="87"/>
      <c r="AA609" s="86"/>
      <c r="AB609" s="57"/>
      <c r="AC609" s="37"/>
      <c r="AD609" s="52"/>
      <c r="AE609" s="87"/>
      <c r="AG609" s="86"/>
      <c r="AH609" s="37"/>
      <c r="AI609" s="52"/>
      <c r="AJ609" s="87"/>
      <c r="AL609" s="86"/>
      <c r="AM609" s="37"/>
      <c r="AN609" s="52"/>
      <c r="AO609" s="87"/>
      <c r="AQ609" s="86"/>
      <c r="AR609" s="37"/>
      <c r="AS609" s="52"/>
      <c r="AT609" s="87"/>
    </row>
    <row r="610" spans="2:46" thickBot="1">
      <c r="B610" s="113"/>
      <c r="C610" s="324"/>
      <c r="D610" s="346"/>
      <c r="E610" s="326"/>
      <c r="F610" s="321" t="str">
        <f t="shared" si="58"/>
        <v/>
      </c>
      <c r="G610" s="334"/>
      <c r="H610" s="331"/>
      <c r="I610" s="107"/>
      <c r="J610" s="108"/>
      <c r="K610" s="109"/>
      <c r="L610" s="108"/>
      <c r="O610" s="86"/>
      <c r="P610" s="57"/>
      <c r="Q610" s="37"/>
      <c r="R610" s="92" t="str">
        <f t="shared" si="57"/>
        <v/>
      </c>
      <c r="S610" s="52"/>
      <c r="T610" s="87"/>
      <c r="U610" s="86"/>
      <c r="V610" s="201"/>
      <c r="W610" s="37"/>
      <c r="X610" s="52"/>
      <c r="Y610" s="87"/>
      <c r="AA610" s="86"/>
      <c r="AB610" s="57"/>
      <c r="AC610" s="37"/>
      <c r="AD610" s="52"/>
      <c r="AE610" s="87"/>
      <c r="AG610" s="86"/>
      <c r="AH610" s="37"/>
      <c r="AI610" s="52"/>
      <c r="AJ610" s="87"/>
      <c r="AL610" s="86"/>
      <c r="AM610" s="37"/>
      <c r="AN610" s="52"/>
      <c r="AO610" s="87"/>
      <c r="AQ610" s="86"/>
      <c r="AR610" s="37"/>
      <c r="AS610" s="52"/>
      <c r="AT610" s="87"/>
    </row>
    <row r="611" spans="2:46" thickBot="1">
      <c r="B611" s="113"/>
      <c r="C611" s="324"/>
      <c r="D611" s="346"/>
      <c r="E611" s="326"/>
      <c r="F611" s="321" t="str">
        <f t="shared" si="58"/>
        <v/>
      </c>
      <c r="G611" s="334"/>
      <c r="H611" s="331"/>
      <c r="I611" s="107"/>
      <c r="J611" s="108"/>
      <c r="K611" s="109"/>
      <c r="L611" s="108"/>
      <c r="O611" s="86"/>
      <c r="P611" s="57"/>
      <c r="Q611" s="37"/>
      <c r="R611" s="92" t="str">
        <f t="shared" si="57"/>
        <v/>
      </c>
      <c r="S611" s="52"/>
      <c r="T611" s="87"/>
      <c r="U611" s="86"/>
      <c r="V611" s="201"/>
      <c r="W611" s="37"/>
      <c r="X611" s="52"/>
      <c r="Y611" s="87"/>
      <c r="AA611" s="86"/>
      <c r="AB611" s="57"/>
      <c r="AC611" s="37"/>
      <c r="AD611" s="52"/>
      <c r="AE611" s="87"/>
      <c r="AG611" s="86"/>
      <c r="AH611" s="37"/>
      <c r="AI611" s="52"/>
      <c r="AJ611" s="87"/>
      <c r="AL611" s="86"/>
      <c r="AM611" s="37"/>
      <c r="AN611" s="52"/>
      <c r="AO611" s="87"/>
      <c r="AQ611" s="86"/>
      <c r="AR611" s="37"/>
      <c r="AS611" s="52"/>
      <c r="AT611" s="87"/>
    </row>
    <row r="612" spans="2:46" thickBot="1">
      <c r="B612" s="113"/>
      <c r="C612" s="324"/>
      <c r="D612" s="346"/>
      <c r="E612" s="326"/>
      <c r="F612" s="321" t="str">
        <f t="shared" si="58"/>
        <v/>
      </c>
      <c r="G612" s="334"/>
      <c r="H612" s="331"/>
      <c r="I612" s="107"/>
      <c r="J612" s="108"/>
      <c r="K612" s="109"/>
      <c r="L612" s="108"/>
      <c r="O612" s="86"/>
      <c r="P612" s="57"/>
      <c r="Q612" s="37"/>
      <c r="R612" s="92" t="str">
        <f t="shared" si="57"/>
        <v/>
      </c>
      <c r="S612" s="52"/>
      <c r="T612" s="87"/>
      <c r="U612" s="86"/>
      <c r="V612" s="201"/>
      <c r="W612" s="37"/>
      <c r="X612" s="52"/>
      <c r="Y612" s="87"/>
      <c r="AA612" s="86"/>
      <c r="AB612" s="57"/>
      <c r="AC612" s="37"/>
      <c r="AD612" s="52"/>
      <c r="AE612" s="87"/>
      <c r="AG612" s="86"/>
      <c r="AH612" s="37"/>
      <c r="AI612" s="52"/>
      <c r="AJ612" s="87"/>
      <c r="AL612" s="86"/>
      <c r="AM612" s="37"/>
      <c r="AN612" s="52"/>
      <c r="AO612" s="87"/>
      <c r="AQ612" s="86"/>
      <c r="AR612" s="37"/>
      <c r="AS612" s="52"/>
      <c r="AT612" s="87"/>
    </row>
    <row r="613" spans="2:46" thickBot="1">
      <c r="B613" s="113"/>
      <c r="C613" s="324"/>
      <c r="D613" s="346"/>
      <c r="E613" s="326"/>
      <c r="F613" s="321" t="str">
        <f t="shared" si="58"/>
        <v/>
      </c>
      <c r="G613" s="334"/>
      <c r="H613" s="331"/>
      <c r="I613" s="107"/>
      <c r="J613" s="108"/>
      <c r="K613" s="109"/>
      <c r="L613" s="108"/>
      <c r="O613" s="86"/>
      <c r="P613" s="57"/>
      <c r="Q613" s="37"/>
      <c r="R613" s="92" t="str">
        <f t="shared" si="57"/>
        <v/>
      </c>
      <c r="S613" s="52"/>
      <c r="T613" s="87"/>
      <c r="U613" s="86"/>
      <c r="V613" s="201"/>
      <c r="W613" s="37"/>
      <c r="X613" s="52"/>
      <c r="Y613" s="87"/>
      <c r="AA613" s="86"/>
      <c r="AB613" s="57"/>
      <c r="AC613" s="37"/>
      <c r="AD613" s="52"/>
      <c r="AE613" s="87"/>
      <c r="AG613" s="86"/>
      <c r="AH613" s="37"/>
      <c r="AI613" s="52"/>
      <c r="AJ613" s="87"/>
      <c r="AL613" s="86"/>
      <c r="AM613" s="37"/>
      <c r="AN613" s="52"/>
      <c r="AO613" s="87"/>
      <c r="AQ613" s="86"/>
      <c r="AR613" s="37"/>
      <c r="AS613" s="52"/>
      <c r="AT613" s="87"/>
    </row>
    <row r="614" spans="2:46" thickBot="1">
      <c r="B614" s="113"/>
      <c r="C614" s="324"/>
      <c r="D614" s="346"/>
      <c r="E614" s="326"/>
      <c r="F614" s="321" t="str">
        <f t="shared" si="58"/>
        <v/>
      </c>
      <c r="G614" s="334"/>
      <c r="H614" s="331"/>
      <c r="I614" s="107"/>
      <c r="J614" s="108"/>
      <c r="K614" s="109"/>
      <c r="L614" s="108"/>
      <c r="O614" s="86"/>
      <c r="P614" s="57"/>
      <c r="Q614" s="37"/>
      <c r="R614" s="92" t="str">
        <f t="shared" si="57"/>
        <v/>
      </c>
      <c r="S614" s="52"/>
      <c r="T614" s="87"/>
      <c r="U614" s="86"/>
      <c r="V614" s="201"/>
      <c r="W614" s="37"/>
      <c r="X614" s="52"/>
      <c r="Y614" s="87"/>
      <c r="AA614" s="86"/>
      <c r="AB614" s="57"/>
      <c r="AC614" s="37"/>
      <c r="AD614" s="52"/>
      <c r="AE614" s="87"/>
      <c r="AG614" s="86"/>
      <c r="AH614" s="37"/>
      <c r="AI614" s="52"/>
      <c r="AJ614" s="87"/>
      <c r="AL614" s="86"/>
      <c r="AM614" s="37"/>
      <c r="AN614" s="52"/>
      <c r="AO614" s="87"/>
      <c r="AQ614" s="86"/>
      <c r="AR614" s="37"/>
      <c r="AS614" s="52"/>
      <c r="AT614" s="87"/>
    </row>
    <row r="615" spans="2:46" thickBot="1">
      <c r="B615" s="113"/>
      <c r="C615" s="324"/>
      <c r="D615" s="346"/>
      <c r="E615" s="326"/>
      <c r="F615" s="321" t="str">
        <f t="shared" si="58"/>
        <v/>
      </c>
      <c r="G615" s="334"/>
      <c r="H615" s="331"/>
      <c r="I615" s="107"/>
      <c r="J615" s="108"/>
      <c r="K615" s="109"/>
      <c r="L615" s="108"/>
      <c r="O615" s="86"/>
      <c r="P615" s="57"/>
      <c r="Q615" s="37"/>
      <c r="R615" s="92" t="str">
        <f t="shared" si="57"/>
        <v/>
      </c>
      <c r="S615" s="52"/>
      <c r="T615" s="87"/>
      <c r="U615" s="86"/>
      <c r="V615" s="201"/>
      <c r="W615" s="37"/>
      <c r="X615" s="52"/>
      <c r="Y615" s="87"/>
      <c r="AA615" s="86"/>
      <c r="AB615" s="57"/>
      <c r="AC615" s="37"/>
      <c r="AD615" s="52"/>
      <c r="AE615" s="87"/>
      <c r="AG615" s="86"/>
      <c r="AH615" s="37"/>
      <c r="AI615" s="52"/>
      <c r="AJ615" s="87"/>
      <c r="AL615" s="86"/>
      <c r="AM615" s="37"/>
      <c r="AN615" s="52"/>
      <c r="AO615" s="87"/>
      <c r="AQ615" s="86"/>
      <c r="AR615" s="37"/>
      <c r="AS615" s="52"/>
      <c r="AT615" s="87"/>
    </row>
    <row r="616" spans="2:46" thickBot="1">
      <c r="B616" s="113"/>
      <c r="C616" s="324"/>
      <c r="D616" s="346"/>
      <c r="E616" s="326"/>
      <c r="F616" s="321" t="str">
        <f t="shared" si="58"/>
        <v/>
      </c>
      <c r="G616" s="334"/>
      <c r="H616" s="331"/>
      <c r="I616" s="107"/>
      <c r="J616" s="108"/>
      <c r="K616" s="109"/>
      <c r="L616" s="108"/>
      <c r="O616" s="86"/>
      <c r="P616" s="57"/>
      <c r="Q616" s="37"/>
      <c r="R616" s="92" t="str">
        <f t="shared" si="57"/>
        <v/>
      </c>
      <c r="S616" s="52"/>
      <c r="T616" s="87"/>
      <c r="U616" s="86"/>
      <c r="V616" s="201"/>
      <c r="W616" s="37"/>
      <c r="X616" s="52"/>
      <c r="Y616" s="87"/>
      <c r="AA616" s="86"/>
      <c r="AB616" s="57"/>
      <c r="AC616" s="37"/>
      <c r="AD616" s="52"/>
      <c r="AE616" s="87"/>
      <c r="AG616" s="86"/>
      <c r="AH616" s="37"/>
      <c r="AI616" s="52"/>
      <c r="AJ616" s="87"/>
      <c r="AL616" s="86"/>
      <c r="AM616" s="37"/>
      <c r="AN616" s="52"/>
      <c r="AO616" s="87"/>
      <c r="AQ616" s="86"/>
      <c r="AR616" s="37"/>
      <c r="AS616" s="52"/>
      <c r="AT616" s="87"/>
    </row>
    <row r="617" spans="2:46" thickBot="1">
      <c r="B617" s="113"/>
      <c r="C617" s="324"/>
      <c r="D617" s="346"/>
      <c r="E617" s="326"/>
      <c r="F617" s="321" t="str">
        <f t="shared" si="58"/>
        <v/>
      </c>
      <c r="G617" s="334"/>
      <c r="H617" s="331"/>
      <c r="I617" s="107"/>
      <c r="J617" s="108"/>
      <c r="K617" s="109"/>
      <c r="L617" s="108"/>
      <c r="O617" s="86"/>
      <c r="P617" s="57"/>
      <c r="Q617" s="37"/>
      <c r="R617" s="92" t="str">
        <f t="shared" si="57"/>
        <v/>
      </c>
      <c r="S617" s="52"/>
      <c r="T617" s="87"/>
      <c r="U617" s="86"/>
      <c r="V617" s="201"/>
      <c r="W617" s="37"/>
      <c r="X617" s="52"/>
      <c r="Y617" s="87"/>
      <c r="AA617" s="86"/>
      <c r="AB617" s="57"/>
      <c r="AC617" s="37"/>
      <c r="AD617" s="52"/>
      <c r="AE617" s="87"/>
      <c r="AG617" s="86"/>
      <c r="AH617" s="37"/>
      <c r="AI617" s="52"/>
      <c r="AJ617" s="87"/>
      <c r="AL617" s="86"/>
      <c r="AM617" s="37"/>
      <c r="AN617" s="52"/>
      <c r="AO617" s="87"/>
      <c r="AQ617" s="86"/>
      <c r="AR617" s="37"/>
      <c r="AS617" s="52"/>
      <c r="AT617" s="87"/>
    </row>
    <row r="618" spans="2:46" thickBot="1">
      <c r="B618" s="113"/>
      <c r="C618" s="324"/>
      <c r="D618" s="346"/>
      <c r="E618" s="326"/>
      <c r="F618" s="321" t="str">
        <f t="shared" si="58"/>
        <v/>
      </c>
      <c r="G618" s="334"/>
      <c r="H618" s="331"/>
      <c r="I618" s="107"/>
      <c r="J618" s="108"/>
      <c r="K618" s="109"/>
      <c r="L618" s="108"/>
      <c r="O618" s="86"/>
      <c r="P618" s="57"/>
      <c r="Q618" s="37"/>
      <c r="R618" s="92" t="str">
        <f t="shared" si="57"/>
        <v/>
      </c>
      <c r="S618" s="52"/>
      <c r="T618" s="87"/>
      <c r="U618" s="86"/>
      <c r="V618" s="201"/>
      <c r="W618" s="37"/>
      <c r="X618" s="52"/>
      <c r="Y618" s="87"/>
      <c r="AA618" s="86"/>
      <c r="AB618" s="57"/>
      <c r="AC618" s="37"/>
      <c r="AD618" s="52"/>
      <c r="AE618" s="87"/>
      <c r="AG618" s="86"/>
      <c r="AH618" s="37"/>
      <c r="AI618" s="52"/>
      <c r="AJ618" s="87"/>
      <c r="AL618" s="86"/>
      <c r="AM618" s="37"/>
      <c r="AN618" s="52"/>
      <c r="AO618" s="87"/>
      <c r="AQ618" s="86"/>
      <c r="AR618" s="37"/>
      <c r="AS618" s="52"/>
      <c r="AT618" s="87"/>
    </row>
    <row r="619" spans="2:46" thickBot="1">
      <c r="B619" s="113"/>
      <c r="C619" s="324"/>
      <c r="D619" s="346"/>
      <c r="E619" s="326"/>
      <c r="F619" s="321" t="str">
        <f t="shared" si="58"/>
        <v/>
      </c>
      <c r="G619" s="334"/>
      <c r="H619" s="331"/>
      <c r="I619" s="107"/>
      <c r="J619" s="108"/>
      <c r="K619" s="109"/>
      <c r="L619" s="108"/>
      <c r="O619" s="86"/>
      <c r="P619" s="57"/>
      <c r="Q619" s="37"/>
      <c r="R619" s="92" t="str">
        <f t="shared" ref="R619:R682" si="59">IF(Q619="","",ROUND(S619*(1+$F$2),2))</f>
        <v/>
      </c>
      <c r="S619" s="52"/>
      <c r="T619" s="87"/>
      <c r="U619" s="86"/>
      <c r="V619" s="201"/>
      <c r="W619" s="37"/>
      <c r="X619" s="52"/>
      <c r="Y619" s="87"/>
      <c r="AA619" s="86"/>
      <c r="AB619" s="57"/>
      <c r="AC619" s="37"/>
      <c r="AD619" s="52"/>
      <c r="AE619" s="87"/>
      <c r="AG619" s="86"/>
      <c r="AH619" s="37"/>
      <c r="AI619" s="52"/>
      <c r="AJ619" s="87"/>
      <c r="AL619" s="86"/>
      <c r="AM619" s="37"/>
      <c r="AN619" s="52"/>
      <c r="AO619" s="87"/>
      <c r="AQ619" s="86"/>
      <c r="AR619" s="37"/>
      <c r="AS619" s="52"/>
      <c r="AT619" s="87"/>
    </row>
    <row r="620" spans="2:46" thickBot="1">
      <c r="B620" s="113"/>
      <c r="C620" s="324"/>
      <c r="D620" s="346"/>
      <c r="E620" s="326"/>
      <c r="F620" s="321" t="str">
        <f t="shared" si="58"/>
        <v/>
      </c>
      <c r="G620" s="334"/>
      <c r="H620" s="331"/>
      <c r="I620" s="107"/>
      <c r="J620" s="108"/>
      <c r="K620" s="109"/>
      <c r="L620" s="108"/>
      <c r="O620" s="86"/>
      <c r="P620" s="57"/>
      <c r="Q620" s="37"/>
      <c r="R620" s="92" t="str">
        <f t="shared" si="59"/>
        <v/>
      </c>
      <c r="S620" s="52"/>
      <c r="T620" s="87"/>
      <c r="U620" s="86"/>
      <c r="V620" s="201"/>
      <c r="W620" s="37"/>
      <c r="X620" s="52"/>
      <c r="Y620" s="87"/>
      <c r="AA620" s="86"/>
      <c r="AB620" s="57"/>
      <c r="AC620" s="37"/>
      <c r="AD620" s="52"/>
      <c r="AE620" s="87"/>
      <c r="AG620" s="86"/>
      <c r="AH620" s="37"/>
      <c r="AI620" s="52"/>
      <c r="AJ620" s="87"/>
      <c r="AL620" s="86"/>
      <c r="AM620" s="37"/>
      <c r="AN620" s="52"/>
      <c r="AO620" s="87"/>
      <c r="AQ620" s="86"/>
      <c r="AR620" s="37"/>
      <c r="AS620" s="52"/>
      <c r="AT620" s="87"/>
    </row>
    <row r="621" spans="2:46" thickBot="1">
      <c r="B621" s="113"/>
      <c r="C621" s="324"/>
      <c r="D621" s="346"/>
      <c r="E621" s="326"/>
      <c r="F621" s="321" t="str">
        <f t="shared" si="58"/>
        <v/>
      </c>
      <c r="G621" s="334"/>
      <c r="H621" s="331"/>
      <c r="I621" s="107"/>
      <c r="J621" s="108"/>
      <c r="K621" s="109"/>
      <c r="L621" s="108"/>
      <c r="O621" s="86"/>
      <c r="P621" s="57"/>
      <c r="Q621" s="37"/>
      <c r="R621" s="92" t="str">
        <f t="shared" si="59"/>
        <v/>
      </c>
      <c r="S621" s="52"/>
      <c r="T621" s="87"/>
      <c r="U621" s="86"/>
      <c r="V621" s="201"/>
      <c r="W621" s="37"/>
      <c r="X621" s="52"/>
      <c r="Y621" s="87"/>
      <c r="AA621" s="86"/>
      <c r="AB621" s="57"/>
      <c r="AC621" s="37"/>
      <c r="AD621" s="52"/>
      <c r="AE621" s="87"/>
      <c r="AG621" s="86"/>
      <c r="AH621" s="37"/>
      <c r="AI621" s="52"/>
      <c r="AJ621" s="87"/>
      <c r="AL621" s="86"/>
      <c r="AM621" s="37"/>
      <c r="AN621" s="52"/>
      <c r="AO621" s="87"/>
      <c r="AQ621" s="86"/>
      <c r="AR621" s="37"/>
      <c r="AS621" s="52"/>
      <c r="AT621" s="87"/>
    </row>
    <row r="622" spans="2:46" thickBot="1">
      <c r="B622" s="113"/>
      <c r="C622" s="324"/>
      <c r="D622" s="346"/>
      <c r="E622" s="326"/>
      <c r="F622" s="321" t="str">
        <f t="shared" si="58"/>
        <v/>
      </c>
      <c r="G622" s="334"/>
      <c r="H622" s="331"/>
      <c r="I622" s="107"/>
      <c r="J622" s="108"/>
      <c r="K622" s="109"/>
      <c r="L622" s="108"/>
      <c r="O622" s="86"/>
      <c r="P622" s="57"/>
      <c r="Q622" s="37"/>
      <c r="R622" s="92" t="str">
        <f t="shared" si="59"/>
        <v/>
      </c>
      <c r="S622" s="52"/>
      <c r="T622" s="87"/>
      <c r="U622" s="86"/>
      <c r="V622" s="201"/>
      <c r="W622" s="37"/>
      <c r="X622" s="52"/>
      <c r="Y622" s="87"/>
      <c r="AA622" s="86"/>
      <c r="AB622" s="57"/>
      <c r="AC622" s="37"/>
      <c r="AD622" s="52"/>
      <c r="AE622" s="87"/>
      <c r="AG622" s="86"/>
      <c r="AH622" s="37"/>
      <c r="AI622" s="52"/>
      <c r="AJ622" s="87"/>
      <c r="AL622" s="86"/>
      <c r="AM622" s="37"/>
      <c r="AN622" s="52"/>
      <c r="AO622" s="87"/>
      <c r="AQ622" s="86"/>
      <c r="AR622" s="37"/>
      <c r="AS622" s="52"/>
      <c r="AT622" s="87"/>
    </row>
    <row r="623" spans="2:46" thickBot="1">
      <c r="B623" s="113"/>
      <c r="C623" s="324"/>
      <c r="D623" s="346"/>
      <c r="E623" s="326"/>
      <c r="F623" s="321" t="str">
        <f t="shared" si="58"/>
        <v/>
      </c>
      <c r="G623" s="334"/>
      <c r="H623" s="331"/>
      <c r="I623" s="107"/>
      <c r="J623" s="108"/>
      <c r="K623" s="109"/>
      <c r="L623" s="108"/>
      <c r="O623" s="86"/>
      <c r="P623" s="57"/>
      <c r="Q623" s="37"/>
      <c r="R623" s="92" t="str">
        <f t="shared" si="59"/>
        <v/>
      </c>
      <c r="S623" s="52"/>
      <c r="T623" s="87"/>
      <c r="U623" s="86"/>
      <c r="V623" s="201"/>
      <c r="W623" s="37"/>
      <c r="X623" s="52"/>
      <c r="Y623" s="87"/>
      <c r="AA623" s="86"/>
      <c r="AB623" s="57"/>
      <c r="AC623" s="37"/>
      <c r="AD623" s="52"/>
      <c r="AE623" s="87"/>
      <c r="AG623" s="86"/>
      <c r="AH623" s="37"/>
      <c r="AI623" s="52"/>
      <c r="AJ623" s="87"/>
      <c r="AL623" s="86"/>
      <c r="AM623" s="37"/>
      <c r="AN623" s="52"/>
      <c r="AO623" s="87"/>
      <c r="AQ623" s="86"/>
      <c r="AR623" s="37"/>
      <c r="AS623" s="52"/>
      <c r="AT623" s="87"/>
    </row>
    <row r="624" spans="2:46" thickBot="1">
      <c r="B624" s="113"/>
      <c r="C624" s="324"/>
      <c r="D624" s="346"/>
      <c r="E624" s="326"/>
      <c r="F624" s="321" t="str">
        <f t="shared" si="58"/>
        <v/>
      </c>
      <c r="G624" s="334"/>
      <c r="H624" s="331"/>
      <c r="I624" s="107"/>
      <c r="J624" s="108"/>
      <c r="K624" s="109"/>
      <c r="L624" s="108"/>
      <c r="O624" s="86"/>
      <c r="P624" s="57"/>
      <c r="Q624" s="37"/>
      <c r="R624" s="92" t="str">
        <f t="shared" si="59"/>
        <v/>
      </c>
      <c r="S624" s="52"/>
      <c r="T624" s="87"/>
      <c r="U624" s="86"/>
      <c r="V624" s="201"/>
      <c r="W624" s="37"/>
      <c r="X624" s="52"/>
      <c r="Y624" s="87"/>
      <c r="AA624" s="86"/>
      <c r="AB624" s="57"/>
      <c r="AC624" s="37"/>
      <c r="AD624" s="52"/>
      <c r="AE624" s="87"/>
      <c r="AG624" s="86"/>
      <c r="AH624" s="37"/>
      <c r="AI624" s="52"/>
      <c r="AJ624" s="87"/>
      <c r="AL624" s="86"/>
      <c r="AM624" s="37"/>
      <c r="AN624" s="52"/>
      <c r="AO624" s="87"/>
      <c r="AQ624" s="86"/>
      <c r="AR624" s="37"/>
      <c r="AS624" s="52"/>
      <c r="AT624" s="87"/>
    </row>
    <row r="625" spans="2:46" thickBot="1">
      <c r="B625" s="113"/>
      <c r="C625" s="324"/>
      <c r="D625" s="346"/>
      <c r="E625" s="326"/>
      <c r="F625" s="321" t="str">
        <f t="shared" si="58"/>
        <v/>
      </c>
      <c r="G625" s="334"/>
      <c r="H625" s="331"/>
      <c r="I625" s="107"/>
      <c r="J625" s="108"/>
      <c r="K625" s="109"/>
      <c r="L625" s="108"/>
      <c r="O625" s="86"/>
      <c r="P625" s="57"/>
      <c r="Q625" s="37"/>
      <c r="R625" s="92" t="str">
        <f t="shared" si="59"/>
        <v/>
      </c>
      <c r="S625" s="52"/>
      <c r="T625" s="87"/>
      <c r="U625" s="86"/>
      <c r="V625" s="201"/>
      <c r="W625" s="37"/>
      <c r="X625" s="52"/>
      <c r="Y625" s="87"/>
      <c r="AA625" s="86"/>
      <c r="AB625" s="57"/>
      <c r="AC625" s="37"/>
      <c r="AD625" s="52"/>
      <c r="AE625" s="87"/>
      <c r="AG625" s="86"/>
      <c r="AH625" s="37"/>
      <c r="AI625" s="52"/>
      <c r="AJ625" s="87"/>
      <c r="AL625" s="86"/>
      <c r="AM625" s="37"/>
      <c r="AN625" s="52"/>
      <c r="AO625" s="87"/>
      <c r="AQ625" s="86"/>
      <c r="AR625" s="37"/>
      <c r="AS625" s="52"/>
      <c r="AT625" s="87"/>
    </row>
    <row r="626" spans="2:46" thickBot="1">
      <c r="B626" s="113"/>
      <c r="C626" s="324"/>
      <c r="D626" s="346"/>
      <c r="E626" s="326"/>
      <c r="F626" s="321" t="str">
        <f t="shared" si="58"/>
        <v/>
      </c>
      <c r="G626" s="334"/>
      <c r="H626" s="331"/>
      <c r="I626" s="107"/>
      <c r="J626" s="108"/>
      <c r="K626" s="109"/>
      <c r="L626" s="108"/>
      <c r="O626" s="86"/>
      <c r="P626" s="57"/>
      <c r="Q626" s="37"/>
      <c r="R626" s="92" t="str">
        <f t="shared" si="59"/>
        <v/>
      </c>
      <c r="S626" s="52"/>
      <c r="T626" s="87"/>
      <c r="U626" s="86"/>
      <c r="V626" s="201"/>
      <c r="W626" s="37"/>
      <c r="X626" s="52"/>
      <c r="Y626" s="87"/>
      <c r="AA626" s="86"/>
      <c r="AB626" s="57"/>
      <c r="AC626" s="37"/>
      <c r="AD626" s="52"/>
      <c r="AE626" s="87"/>
      <c r="AG626" s="86"/>
      <c r="AH626" s="37"/>
      <c r="AI626" s="52"/>
      <c r="AJ626" s="87"/>
      <c r="AL626" s="86"/>
      <c r="AM626" s="37"/>
      <c r="AN626" s="52"/>
      <c r="AO626" s="87"/>
      <c r="AQ626" s="86"/>
      <c r="AR626" s="37"/>
      <c r="AS626" s="52"/>
      <c r="AT626" s="87"/>
    </row>
    <row r="627" spans="2:46" thickBot="1">
      <c r="B627" s="113"/>
      <c r="C627" s="324"/>
      <c r="D627" s="346"/>
      <c r="E627" s="326"/>
      <c r="F627" s="321" t="str">
        <f t="shared" si="58"/>
        <v/>
      </c>
      <c r="G627" s="334"/>
      <c r="H627" s="331"/>
      <c r="I627" s="107"/>
      <c r="J627" s="108"/>
      <c r="K627" s="109"/>
      <c r="L627" s="108"/>
      <c r="O627" s="86"/>
      <c r="P627" s="57"/>
      <c r="Q627" s="37"/>
      <c r="R627" s="92" t="str">
        <f t="shared" si="59"/>
        <v/>
      </c>
      <c r="S627" s="52"/>
      <c r="T627" s="87"/>
      <c r="U627" s="86"/>
      <c r="V627" s="201"/>
      <c r="W627" s="37"/>
      <c r="X627" s="52"/>
      <c r="Y627" s="87"/>
      <c r="AA627" s="86"/>
      <c r="AB627" s="57"/>
      <c r="AC627" s="37"/>
      <c r="AD627" s="52"/>
      <c r="AE627" s="87"/>
      <c r="AG627" s="86"/>
      <c r="AH627" s="37"/>
      <c r="AI627" s="52"/>
      <c r="AJ627" s="87"/>
      <c r="AL627" s="86"/>
      <c r="AM627" s="37"/>
      <c r="AN627" s="52"/>
      <c r="AO627" s="87"/>
      <c r="AQ627" s="86"/>
      <c r="AR627" s="37"/>
      <c r="AS627" s="52"/>
      <c r="AT627" s="87"/>
    </row>
    <row r="628" spans="2:46" thickBot="1">
      <c r="B628" s="113"/>
      <c r="C628" s="324"/>
      <c r="D628" s="346"/>
      <c r="E628" s="326"/>
      <c r="F628" s="321" t="str">
        <f t="shared" si="58"/>
        <v/>
      </c>
      <c r="G628" s="334"/>
      <c r="H628" s="331"/>
      <c r="I628" s="107"/>
      <c r="J628" s="108"/>
      <c r="K628" s="109"/>
      <c r="L628" s="108"/>
      <c r="O628" s="86"/>
      <c r="P628" s="57"/>
      <c r="Q628" s="37"/>
      <c r="R628" s="92" t="str">
        <f t="shared" si="59"/>
        <v/>
      </c>
      <c r="S628" s="52"/>
      <c r="T628" s="87"/>
      <c r="U628" s="86"/>
      <c r="V628" s="201"/>
      <c r="W628" s="37"/>
      <c r="X628" s="52"/>
      <c r="Y628" s="87"/>
      <c r="AA628" s="86"/>
      <c r="AB628" s="57"/>
      <c r="AC628" s="37"/>
      <c r="AD628" s="52"/>
      <c r="AE628" s="87"/>
      <c r="AG628" s="86"/>
      <c r="AH628" s="37"/>
      <c r="AI628" s="52"/>
      <c r="AJ628" s="87"/>
      <c r="AL628" s="86"/>
      <c r="AM628" s="37"/>
      <c r="AN628" s="52"/>
      <c r="AO628" s="87"/>
      <c r="AQ628" s="86"/>
      <c r="AR628" s="37"/>
      <c r="AS628" s="52"/>
      <c r="AT628" s="87"/>
    </row>
    <row r="629" spans="2:46" thickBot="1">
      <c r="B629" s="113"/>
      <c r="C629" s="324"/>
      <c r="D629" s="346"/>
      <c r="E629" s="326"/>
      <c r="F629" s="321" t="str">
        <f t="shared" si="58"/>
        <v/>
      </c>
      <c r="G629" s="334"/>
      <c r="H629" s="331"/>
      <c r="I629" s="107"/>
      <c r="J629" s="108"/>
      <c r="K629" s="109"/>
      <c r="L629" s="108"/>
      <c r="O629" s="86"/>
      <c r="P629" s="57"/>
      <c r="Q629" s="37"/>
      <c r="R629" s="92" t="str">
        <f t="shared" si="59"/>
        <v/>
      </c>
      <c r="S629" s="52"/>
      <c r="T629" s="87"/>
      <c r="U629" s="86"/>
      <c r="V629" s="201"/>
      <c r="W629" s="37"/>
      <c r="X629" s="52"/>
      <c r="Y629" s="87"/>
      <c r="AA629" s="86"/>
      <c r="AB629" s="57"/>
      <c r="AC629" s="37"/>
      <c r="AD629" s="52"/>
      <c r="AE629" s="87"/>
      <c r="AG629" s="86"/>
      <c r="AH629" s="37"/>
      <c r="AI629" s="52"/>
      <c r="AJ629" s="87"/>
      <c r="AL629" s="86"/>
      <c r="AM629" s="37"/>
      <c r="AN629" s="52"/>
      <c r="AO629" s="87"/>
      <c r="AQ629" s="86"/>
      <c r="AR629" s="37"/>
      <c r="AS629" s="52"/>
      <c r="AT629" s="87"/>
    </row>
    <row r="630" spans="2:46" thickBot="1">
      <c r="B630" s="113"/>
      <c r="C630" s="324"/>
      <c r="D630" s="346"/>
      <c r="E630" s="326"/>
      <c r="F630" s="321" t="str">
        <f t="shared" si="58"/>
        <v/>
      </c>
      <c r="G630" s="334"/>
      <c r="H630" s="331"/>
      <c r="I630" s="107"/>
      <c r="J630" s="108"/>
      <c r="K630" s="109"/>
      <c r="L630" s="108"/>
      <c r="O630" s="86"/>
      <c r="P630" s="57"/>
      <c r="Q630" s="37"/>
      <c r="R630" s="92" t="str">
        <f t="shared" si="59"/>
        <v/>
      </c>
      <c r="S630" s="52"/>
      <c r="T630" s="87"/>
      <c r="U630" s="86"/>
      <c r="V630" s="201"/>
      <c r="W630" s="37"/>
      <c r="X630" s="52"/>
      <c r="Y630" s="87"/>
      <c r="AA630" s="86"/>
      <c r="AB630" s="57"/>
      <c r="AC630" s="37"/>
      <c r="AD630" s="52"/>
      <c r="AE630" s="87"/>
      <c r="AG630" s="86"/>
      <c r="AH630" s="37"/>
      <c r="AI630" s="52"/>
      <c r="AJ630" s="87"/>
      <c r="AL630" s="86"/>
      <c r="AM630" s="37"/>
      <c r="AN630" s="52"/>
      <c r="AO630" s="87"/>
      <c r="AQ630" s="86"/>
      <c r="AR630" s="37"/>
      <c r="AS630" s="52"/>
      <c r="AT630" s="87"/>
    </row>
    <row r="631" spans="2:46" thickBot="1">
      <c r="B631" s="113"/>
      <c r="C631" s="324"/>
      <c r="D631" s="346"/>
      <c r="E631" s="326"/>
      <c r="F631" s="321" t="str">
        <f t="shared" si="58"/>
        <v/>
      </c>
      <c r="G631" s="334"/>
      <c r="H631" s="331"/>
      <c r="I631" s="107"/>
      <c r="J631" s="108"/>
      <c r="K631" s="109"/>
      <c r="L631" s="108"/>
      <c r="O631" s="86"/>
      <c r="P631" s="57"/>
      <c r="Q631" s="37"/>
      <c r="R631" s="92" t="str">
        <f t="shared" si="59"/>
        <v/>
      </c>
      <c r="S631" s="52"/>
      <c r="T631" s="87"/>
      <c r="U631" s="86"/>
      <c r="V631" s="201"/>
      <c r="W631" s="37"/>
      <c r="X631" s="52"/>
      <c r="Y631" s="87"/>
      <c r="AA631" s="86"/>
      <c r="AB631" s="57"/>
      <c r="AC631" s="37"/>
      <c r="AD631" s="52"/>
      <c r="AE631" s="87"/>
      <c r="AG631" s="86"/>
      <c r="AH631" s="37"/>
      <c r="AI631" s="52"/>
      <c r="AJ631" s="87"/>
      <c r="AL631" s="86"/>
      <c r="AM631" s="37"/>
      <c r="AN631" s="52"/>
      <c r="AO631" s="87"/>
      <c r="AQ631" s="86"/>
      <c r="AR631" s="37"/>
      <c r="AS631" s="52"/>
      <c r="AT631" s="87"/>
    </row>
    <row r="632" spans="2:46" thickBot="1">
      <c r="B632" s="113"/>
      <c r="C632" s="324"/>
      <c r="D632" s="346"/>
      <c r="E632" s="326"/>
      <c r="F632" s="321" t="str">
        <f t="shared" si="58"/>
        <v/>
      </c>
      <c r="G632" s="334"/>
      <c r="H632" s="331"/>
      <c r="I632" s="107"/>
      <c r="J632" s="108"/>
      <c r="K632" s="109"/>
      <c r="L632" s="108"/>
      <c r="O632" s="86"/>
      <c r="P632" s="57"/>
      <c r="Q632" s="37"/>
      <c r="R632" s="92" t="str">
        <f t="shared" si="59"/>
        <v/>
      </c>
      <c r="S632" s="52"/>
      <c r="T632" s="87"/>
      <c r="U632" s="86"/>
      <c r="V632" s="201"/>
      <c r="W632" s="37"/>
      <c r="X632" s="52"/>
      <c r="Y632" s="87"/>
      <c r="AA632" s="86"/>
      <c r="AB632" s="57"/>
      <c r="AC632" s="37"/>
      <c r="AD632" s="52"/>
      <c r="AE632" s="87"/>
      <c r="AG632" s="86"/>
      <c r="AH632" s="37"/>
      <c r="AI632" s="52"/>
      <c r="AJ632" s="87"/>
      <c r="AL632" s="86"/>
      <c r="AM632" s="37"/>
      <c r="AN632" s="52"/>
      <c r="AO632" s="87"/>
      <c r="AQ632" s="86"/>
      <c r="AR632" s="37"/>
      <c r="AS632" s="52"/>
      <c r="AT632" s="87"/>
    </row>
    <row r="633" spans="2:46" thickBot="1">
      <c r="B633" s="113"/>
      <c r="C633" s="324"/>
      <c r="D633" s="346"/>
      <c r="E633" s="326"/>
      <c r="F633" s="321" t="str">
        <f t="shared" si="58"/>
        <v/>
      </c>
      <c r="G633" s="334"/>
      <c r="H633" s="331"/>
      <c r="I633" s="107"/>
      <c r="J633" s="108"/>
      <c r="K633" s="109"/>
      <c r="L633" s="108"/>
      <c r="O633" s="86"/>
      <c r="P633" s="57"/>
      <c r="Q633" s="37"/>
      <c r="R633" s="92" t="str">
        <f t="shared" si="59"/>
        <v/>
      </c>
      <c r="S633" s="52"/>
      <c r="T633" s="87"/>
      <c r="U633" s="86"/>
      <c r="V633" s="201"/>
      <c r="W633" s="37"/>
      <c r="X633" s="52"/>
      <c r="Y633" s="87"/>
      <c r="AA633" s="86"/>
      <c r="AB633" s="57"/>
      <c r="AC633" s="37"/>
      <c r="AD633" s="52"/>
      <c r="AE633" s="87"/>
      <c r="AG633" s="86"/>
      <c r="AH633" s="37"/>
      <c r="AI633" s="52"/>
      <c r="AJ633" s="87"/>
      <c r="AL633" s="86"/>
      <c r="AM633" s="37"/>
      <c r="AN633" s="52"/>
      <c r="AO633" s="87"/>
      <c r="AQ633" s="86"/>
      <c r="AR633" s="37"/>
      <c r="AS633" s="52"/>
      <c r="AT633" s="87"/>
    </row>
    <row r="634" spans="2:46" thickBot="1">
      <c r="B634" s="113"/>
      <c r="C634" s="324"/>
      <c r="D634" s="346"/>
      <c r="E634" s="326"/>
      <c r="F634" s="321" t="str">
        <f t="shared" si="58"/>
        <v/>
      </c>
      <c r="G634" s="334"/>
      <c r="H634" s="331"/>
      <c r="I634" s="107"/>
      <c r="J634" s="108"/>
      <c r="K634" s="109"/>
      <c r="L634" s="108"/>
      <c r="O634" s="86"/>
      <c r="P634" s="57"/>
      <c r="Q634" s="37"/>
      <c r="R634" s="92" t="str">
        <f t="shared" si="59"/>
        <v/>
      </c>
      <c r="S634" s="52"/>
      <c r="T634" s="87"/>
      <c r="U634" s="86"/>
      <c r="V634" s="201"/>
      <c r="W634" s="37"/>
      <c r="X634" s="52"/>
      <c r="Y634" s="87"/>
      <c r="AA634" s="86"/>
      <c r="AB634" s="57"/>
      <c r="AC634" s="37"/>
      <c r="AD634" s="52"/>
      <c r="AE634" s="87"/>
      <c r="AG634" s="86"/>
      <c r="AH634" s="37"/>
      <c r="AI634" s="52"/>
      <c r="AJ634" s="87"/>
      <c r="AL634" s="86"/>
      <c r="AM634" s="37"/>
      <c r="AN634" s="52"/>
      <c r="AO634" s="87"/>
      <c r="AQ634" s="86"/>
      <c r="AR634" s="37"/>
      <c r="AS634" s="52"/>
      <c r="AT634" s="87"/>
    </row>
    <row r="635" spans="2:46" thickBot="1">
      <c r="B635" s="113"/>
      <c r="C635" s="324"/>
      <c r="D635" s="346"/>
      <c r="E635" s="326"/>
      <c r="F635" s="321" t="str">
        <f t="shared" si="58"/>
        <v/>
      </c>
      <c r="G635" s="334"/>
      <c r="H635" s="331"/>
      <c r="I635" s="107"/>
      <c r="J635" s="108"/>
      <c r="K635" s="109"/>
      <c r="L635" s="108"/>
      <c r="O635" s="86"/>
      <c r="P635" s="57"/>
      <c r="Q635" s="37"/>
      <c r="R635" s="92" t="str">
        <f t="shared" si="59"/>
        <v/>
      </c>
      <c r="S635" s="52"/>
      <c r="T635" s="87"/>
      <c r="U635" s="86"/>
      <c r="V635" s="201"/>
      <c r="W635" s="37"/>
      <c r="X635" s="52"/>
      <c r="Y635" s="87"/>
      <c r="AA635" s="86"/>
      <c r="AB635" s="57"/>
      <c r="AC635" s="37"/>
      <c r="AD635" s="52"/>
      <c r="AE635" s="87"/>
      <c r="AG635" s="86"/>
      <c r="AH635" s="37"/>
      <c r="AI635" s="52"/>
      <c r="AJ635" s="87"/>
      <c r="AL635" s="86"/>
      <c r="AM635" s="37"/>
      <c r="AN635" s="52"/>
      <c r="AO635" s="87"/>
      <c r="AQ635" s="86"/>
      <c r="AR635" s="37"/>
      <c r="AS635" s="52"/>
      <c r="AT635" s="87"/>
    </row>
    <row r="636" spans="2:46" thickBot="1">
      <c r="B636" s="113"/>
      <c r="C636" s="324"/>
      <c r="D636" s="346"/>
      <c r="E636" s="326"/>
      <c r="F636" s="321" t="str">
        <f t="shared" si="58"/>
        <v/>
      </c>
      <c r="G636" s="334"/>
      <c r="H636" s="331"/>
      <c r="I636" s="107"/>
      <c r="J636" s="108"/>
      <c r="K636" s="109"/>
      <c r="L636" s="108"/>
      <c r="O636" s="86"/>
      <c r="P636" s="57"/>
      <c r="Q636" s="37"/>
      <c r="R636" s="92" t="str">
        <f t="shared" si="59"/>
        <v/>
      </c>
      <c r="S636" s="52"/>
      <c r="T636" s="87"/>
      <c r="U636" s="86"/>
      <c r="V636" s="201"/>
      <c r="W636" s="37"/>
      <c r="X636" s="52"/>
      <c r="Y636" s="87"/>
      <c r="AA636" s="86"/>
      <c r="AB636" s="57"/>
      <c r="AC636" s="37"/>
      <c r="AD636" s="52"/>
      <c r="AE636" s="87"/>
      <c r="AG636" s="86"/>
      <c r="AH636" s="37"/>
      <c r="AI636" s="52"/>
      <c r="AJ636" s="87"/>
      <c r="AL636" s="86"/>
      <c r="AM636" s="37"/>
      <c r="AN636" s="52"/>
      <c r="AO636" s="87"/>
      <c r="AQ636" s="86"/>
      <c r="AR636" s="37"/>
      <c r="AS636" s="52"/>
      <c r="AT636" s="87"/>
    </row>
    <row r="637" spans="2:46" thickBot="1">
      <c r="B637" s="113"/>
      <c r="C637" s="324"/>
      <c r="D637" s="346"/>
      <c r="E637" s="326"/>
      <c r="F637" s="321" t="str">
        <f t="shared" si="58"/>
        <v/>
      </c>
      <c r="G637" s="334"/>
      <c r="H637" s="331"/>
      <c r="I637" s="107"/>
      <c r="J637" s="108"/>
      <c r="K637" s="109"/>
      <c r="L637" s="108"/>
      <c r="O637" s="86"/>
      <c r="P637" s="57"/>
      <c r="Q637" s="37"/>
      <c r="R637" s="92" t="str">
        <f t="shared" si="59"/>
        <v/>
      </c>
      <c r="S637" s="52"/>
      <c r="T637" s="87"/>
      <c r="U637" s="86"/>
      <c r="V637" s="201"/>
      <c r="W637" s="37"/>
      <c r="X637" s="52"/>
      <c r="Y637" s="87"/>
      <c r="AA637" s="86"/>
      <c r="AB637" s="57"/>
      <c r="AC637" s="37"/>
      <c r="AD637" s="52"/>
      <c r="AE637" s="87"/>
      <c r="AG637" s="86"/>
      <c r="AH637" s="37"/>
      <c r="AI637" s="52"/>
      <c r="AJ637" s="87"/>
      <c r="AL637" s="86"/>
      <c r="AM637" s="37"/>
      <c r="AN637" s="52"/>
      <c r="AO637" s="87"/>
      <c r="AQ637" s="86"/>
      <c r="AR637" s="37"/>
      <c r="AS637" s="52"/>
      <c r="AT637" s="87"/>
    </row>
    <row r="638" spans="2:46" thickBot="1">
      <c r="B638" s="113"/>
      <c r="C638" s="324"/>
      <c r="D638" s="346"/>
      <c r="E638" s="326"/>
      <c r="F638" s="321" t="str">
        <f t="shared" si="58"/>
        <v/>
      </c>
      <c r="G638" s="334"/>
      <c r="H638" s="331"/>
      <c r="I638" s="107"/>
      <c r="J638" s="108"/>
      <c r="K638" s="109"/>
      <c r="L638" s="108"/>
      <c r="O638" s="86"/>
      <c r="P638" s="57"/>
      <c r="Q638" s="37"/>
      <c r="R638" s="92" t="str">
        <f t="shared" si="59"/>
        <v/>
      </c>
      <c r="S638" s="52"/>
      <c r="T638" s="87"/>
      <c r="U638" s="86"/>
      <c r="V638" s="201"/>
      <c r="W638" s="37"/>
      <c r="X638" s="52"/>
      <c r="Y638" s="87"/>
      <c r="AA638" s="86"/>
      <c r="AB638" s="57"/>
      <c r="AC638" s="37"/>
      <c r="AD638" s="52"/>
      <c r="AE638" s="87"/>
      <c r="AG638" s="86"/>
      <c r="AH638" s="37"/>
      <c r="AI638" s="52"/>
      <c r="AJ638" s="87"/>
      <c r="AL638" s="86"/>
      <c r="AM638" s="37"/>
      <c r="AN638" s="52"/>
      <c r="AO638" s="87"/>
      <c r="AQ638" s="86"/>
      <c r="AR638" s="37"/>
      <c r="AS638" s="52"/>
      <c r="AT638" s="87"/>
    </row>
    <row r="639" spans="2:46" thickBot="1">
      <c r="B639" s="113"/>
      <c r="C639" s="324"/>
      <c r="D639" s="346"/>
      <c r="E639" s="326"/>
      <c r="F639" s="321" t="str">
        <f t="shared" si="58"/>
        <v/>
      </c>
      <c r="G639" s="334"/>
      <c r="H639" s="331"/>
      <c r="I639" s="107"/>
      <c r="J639" s="108"/>
      <c r="K639" s="109"/>
      <c r="L639" s="108"/>
      <c r="O639" s="86"/>
      <c r="P639" s="57"/>
      <c r="Q639" s="37"/>
      <c r="R639" s="92" t="str">
        <f t="shared" si="59"/>
        <v/>
      </c>
      <c r="S639" s="52"/>
      <c r="T639" s="87"/>
      <c r="U639" s="86"/>
      <c r="V639" s="201"/>
      <c r="W639" s="37"/>
      <c r="X639" s="52"/>
      <c r="Y639" s="87"/>
      <c r="AA639" s="86"/>
      <c r="AB639" s="57"/>
      <c r="AC639" s="37"/>
      <c r="AD639" s="52"/>
      <c r="AE639" s="87"/>
      <c r="AG639" s="86"/>
      <c r="AH639" s="37"/>
      <c r="AI639" s="52"/>
      <c r="AJ639" s="87"/>
      <c r="AL639" s="86"/>
      <c r="AM639" s="37"/>
      <c r="AN639" s="52"/>
      <c r="AO639" s="87"/>
      <c r="AQ639" s="86"/>
      <c r="AR639" s="37"/>
      <c r="AS639" s="52"/>
      <c r="AT639" s="87"/>
    </row>
    <row r="640" spans="2:46" thickBot="1">
      <c r="B640" s="113"/>
      <c r="C640" s="324"/>
      <c r="D640" s="346"/>
      <c r="E640" s="326"/>
      <c r="F640" s="321" t="str">
        <f t="shared" si="58"/>
        <v/>
      </c>
      <c r="G640" s="334"/>
      <c r="H640" s="331"/>
      <c r="I640" s="107"/>
      <c r="J640" s="108"/>
      <c r="K640" s="109"/>
      <c r="L640" s="108"/>
      <c r="O640" s="86"/>
      <c r="P640" s="57"/>
      <c r="Q640" s="37"/>
      <c r="R640" s="92" t="str">
        <f t="shared" si="59"/>
        <v/>
      </c>
      <c r="S640" s="52"/>
      <c r="T640" s="87"/>
      <c r="U640" s="86"/>
      <c r="V640" s="201"/>
      <c r="W640" s="37"/>
      <c r="X640" s="52"/>
      <c r="Y640" s="87"/>
      <c r="AA640" s="86"/>
      <c r="AB640" s="57"/>
      <c r="AC640" s="37"/>
      <c r="AD640" s="52"/>
      <c r="AE640" s="87"/>
      <c r="AG640" s="86"/>
      <c r="AH640" s="37"/>
      <c r="AI640" s="52"/>
      <c r="AJ640" s="87"/>
      <c r="AL640" s="86"/>
      <c r="AM640" s="37"/>
      <c r="AN640" s="52"/>
      <c r="AO640" s="87"/>
      <c r="AQ640" s="86"/>
      <c r="AR640" s="37"/>
      <c r="AS640" s="52"/>
      <c r="AT640" s="87"/>
    </row>
    <row r="641" spans="2:46" thickBot="1">
      <c r="B641" s="113"/>
      <c r="C641" s="324"/>
      <c r="D641" s="346"/>
      <c r="E641" s="326"/>
      <c r="F641" s="321" t="str">
        <f t="shared" si="58"/>
        <v/>
      </c>
      <c r="G641" s="334"/>
      <c r="H641" s="331"/>
      <c r="I641" s="107"/>
      <c r="J641" s="108"/>
      <c r="K641" s="109"/>
      <c r="L641" s="108"/>
      <c r="O641" s="86"/>
      <c r="P641" s="57"/>
      <c r="Q641" s="37"/>
      <c r="R641" s="92" t="str">
        <f t="shared" si="59"/>
        <v/>
      </c>
      <c r="S641" s="52"/>
      <c r="T641" s="87"/>
      <c r="U641" s="86"/>
      <c r="V641" s="201"/>
      <c r="W641" s="37"/>
      <c r="X641" s="52"/>
      <c r="Y641" s="87"/>
      <c r="AA641" s="86"/>
      <c r="AB641" s="57"/>
      <c r="AC641" s="37"/>
      <c r="AD641" s="52"/>
      <c r="AE641" s="87"/>
      <c r="AG641" s="86"/>
      <c r="AH641" s="37"/>
      <c r="AI641" s="52"/>
      <c r="AJ641" s="87"/>
      <c r="AL641" s="86"/>
      <c r="AM641" s="37"/>
      <c r="AN641" s="52"/>
      <c r="AO641" s="87"/>
      <c r="AQ641" s="86"/>
      <c r="AR641" s="37"/>
      <c r="AS641" s="52"/>
      <c r="AT641" s="87"/>
    </row>
    <row r="642" spans="2:46" thickBot="1">
      <c r="B642" s="113"/>
      <c r="C642" s="324"/>
      <c r="D642" s="346"/>
      <c r="E642" s="326"/>
      <c r="F642" s="321" t="str">
        <f t="shared" si="58"/>
        <v/>
      </c>
      <c r="G642" s="334"/>
      <c r="H642" s="331"/>
      <c r="I642" s="107"/>
      <c r="J642" s="108"/>
      <c r="K642" s="109"/>
      <c r="L642" s="108"/>
      <c r="O642" s="86"/>
      <c r="P642" s="57"/>
      <c r="Q642" s="37"/>
      <c r="R642" s="92" t="str">
        <f t="shared" si="59"/>
        <v/>
      </c>
      <c r="S642" s="52"/>
      <c r="T642" s="87"/>
      <c r="U642" s="86"/>
      <c r="V642" s="201"/>
      <c r="W642" s="37"/>
      <c r="X642" s="52"/>
      <c r="Y642" s="87"/>
      <c r="AA642" s="86"/>
      <c r="AB642" s="57"/>
      <c r="AC642" s="37"/>
      <c r="AD642" s="52"/>
      <c r="AE642" s="87"/>
      <c r="AG642" s="86"/>
      <c r="AH642" s="37"/>
      <c r="AI642" s="52"/>
      <c r="AJ642" s="87"/>
      <c r="AL642" s="86"/>
      <c r="AM642" s="37"/>
      <c r="AN642" s="52"/>
      <c r="AO642" s="87"/>
      <c r="AQ642" s="86"/>
      <c r="AR642" s="37"/>
      <c r="AS642" s="52"/>
      <c r="AT642" s="87"/>
    </row>
    <row r="643" spans="2:46" thickBot="1">
      <c r="B643" s="113"/>
      <c r="C643" s="324"/>
      <c r="D643" s="346"/>
      <c r="E643" s="326"/>
      <c r="F643" s="321" t="str">
        <f t="shared" si="58"/>
        <v/>
      </c>
      <c r="G643" s="334"/>
      <c r="H643" s="331"/>
      <c r="I643" s="107"/>
      <c r="J643" s="108"/>
      <c r="K643" s="109"/>
      <c r="L643" s="108"/>
      <c r="O643" s="86"/>
      <c r="P643" s="57"/>
      <c r="Q643" s="37"/>
      <c r="R643" s="92" t="str">
        <f t="shared" si="59"/>
        <v/>
      </c>
      <c r="S643" s="52"/>
      <c r="T643" s="87"/>
      <c r="U643" s="86"/>
      <c r="V643" s="201"/>
      <c r="W643" s="37"/>
      <c r="X643" s="52"/>
      <c r="Y643" s="87"/>
      <c r="AA643" s="86"/>
      <c r="AB643" s="57"/>
      <c r="AC643" s="37"/>
      <c r="AD643" s="52"/>
      <c r="AE643" s="87"/>
      <c r="AG643" s="86"/>
      <c r="AH643" s="37"/>
      <c r="AI643" s="52"/>
      <c r="AJ643" s="87"/>
      <c r="AL643" s="86"/>
      <c r="AM643" s="37"/>
      <c r="AN643" s="52"/>
      <c r="AO643" s="87"/>
      <c r="AQ643" s="86"/>
      <c r="AR643" s="37"/>
      <c r="AS643" s="52"/>
      <c r="AT643" s="87"/>
    </row>
    <row r="644" spans="2:46" thickBot="1">
      <c r="B644" s="113"/>
      <c r="C644" s="324"/>
      <c r="D644" s="346"/>
      <c r="E644" s="326"/>
      <c r="F644" s="321" t="str">
        <f t="shared" si="58"/>
        <v/>
      </c>
      <c r="G644" s="334"/>
      <c r="H644" s="331"/>
      <c r="I644" s="107"/>
      <c r="J644" s="108"/>
      <c r="K644" s="109"/>
      <c r="L644" s="108"/>
      <c r="O644" s="86"/>
      <c r="P644" s="57"/>
      <c r="Q644" s="37"/>
      <c r="R644" s="92" t="str">
        <f t="shared" si="59"/>
        <v/>
      </c>
      <c r="S644" s="52"/>
      <c r="T644" s="87"/>
      <c r="U644" s="86"/>
      <c r="V644" s="201"/>
      <c r="W644" s="37"/>
      <c r="X644" s="52"/>
      <c r="Y644" s="87"/>
      <c r="AA644" s="86"/>
      <c r="AB644" s="57"/>
      <c r="AC644" s="37"/>
      <c r="AD644" s="52"/>
      <c r="AE644" s="87"/>
      <c r="AG644" s="86"/>
      <c r="AH644" s="37"/>
      <c r="AI644" s="52"/>
      <c r="AJ644" s="87"/>
      <c r="AL644" s="86"/>
      <c r="AM644" s="37"/>
      <c r="AN644" s="52"/>
      <c r="AO644" s="87"/>
      <c r="AQ644" s="86"/>
      <c r="AR644" s="37"/>
      <c r="AS644" s="52"/>
      <c r="AT644" s="87"/>
    </row>
    <row r="645" spans="2:46" thickBot="1">
      <c r="B645" s="113"/>
      <c r="C645" s="324"/>
      <c r="D645" s="346"/>
      <c r="E645" s="326"/>
      <c r="F645" s="321" t="str">
        <f t="shared" si="58"/>
        <v/>
      </c>
      <c r="G645" s="334"/>
      <c r="H645" s="331"/>
      <c r="I645" s="107"/>
      <c r="J645" s="108"/>
      <c r="K645" s="109"/>
      <c r="L645" s="108"/>
      <c r="O645" s="86"/>
      <c r="P645" s="57"/>
      <c r="Q645" s="37"/>
      <c r="R645" s="92" t="str">
        <f t="shared" si="59"/>
        <v/>
      </c>
      <c r="S645" s="52"/>
      <c r="T645" s="87"/>
      <c r="U645" s="86"/>
      <c r="V645" s="201"/>
      <c r="W645" s="37"/>
      <c r="X645" s="52"/>
      <c r="Y645" s="87"/>
      <c r="AA645" s="86"/>
      <c r="AB645" s="57"/>
      <c r="AC645" s="37"/>
      <c r="AD645" s="52"/>
      <c r="AE645" s="87"/>
      <c r="AG645" s="86"/>
      <c r="AH645" s="37"/>
      <c r="AI645" s="52"/>
      <c r="AJ645" s="87"/>
      <c r="AL645" s="86"/>
      <c r="AM645" s="37"/>
      <c r="AN645" s="52"/>
      <c r="AO645" s="87"/>
      <c r="AQ645" s="86"/>
      <c r="AR645" s="37"/>
      <c r="AS645" s="52"/>
      <c r="AT645" s="87"/>
    </row>
    <row r="646" spans="2:46" thickBot="1">
      <c r="B646" s="113"/>
      <c r="C646" s="324"/>
      <c r="D646" s="346"/>
      <c r="E646" s="326"/>
      <c r="F646" s="321" t="str">
        <f t="shared" ref="F646:F709" si="60">IF(E646="","",ROUND(G646*(1+$F$2),2))</f>
        <v/>
      </c>
      <c r="G646" s="334"/>
      <c r="H646" s="331"/>
      <c r="I646" s="107"/>
      <c r="J646" s="108"/>
      <c r="K646" s="109"/>
      <c r="L646" s="108"/>
      <c r="O646" s="86"/>
      <c r="P646" s="57"/>
      <c r="Q646" s="37"/>
      <c r="R646" s="92" t="str">
        <f t="shared" si="59"/>
        <v/>
      </c>
      <c r="S646" s="52"/>
      <c r="T646" s="87"/>
      <c r="U646" s="86"/>
      <c r="V646" s="201"/>
      <c r="W646" s="37"/>
      <c r="X646" s="52"/>
      <c r="Y646" s="87"/>
      <c r="AA646" s="86"/>
      <c r="AB646" s="57"/>
      <c r="AC646" s="37"/>
      <c r="AD646" s="52"/>
      <c r="AE646" s="87"/>
      <c r="AG646" s="86"/>
      <c r="AH646" s="37"/>
      <c r="AI646" s="52"/>
      <c r="AJ646" s="87"/>
      <c r="AL646" s="86"/>
      <c r="AM646" s="37"/>
      <c r="AN646" s="52"/>
      <c r="AO646" s="87"/>
      <c r="AQ646" s="86"/>
      <c r="AR646" s="37"/>
      <c r="AS646" s="52"/>
      <c r="AT646" s="87"/>
    </row>
    <row r="647" spans="2:46" thickBot="1">
      <c r="B647" s="113"/>
      <c r="C647" s="324"/>
      <c r="D647" s="346"/>
      <c r="E647" s="326"/>
      <c r="F647" s="321" t="str">
        <f t="shared" si="60"/>
        <v/>
      </c>
      <c r="G647" s="334"/>
      <c r="H647" s="331"/>
      <c r="I647" s="107"/>
      <c r="J647" s="108"/>
      <c r="K647" s="109"/>
      <c r="L647" s="108"/>
      <c r="O647" s="86"/>
      <c r="P647" s="57"/>
      <c r="Q647" s="37"/>
      <c r="R647" s="92" t="str">
        <f t="shared" si="59"/>
        <v/>
      </c>
      <c r="S647" s="52"/>
      <c r="T647" s="87"/>
      <c r="U647" s="86"/>
      <c r="V647" s="201"/>
      <c r="W647" s="37"/>
      <c r="X647" s="52"/>
      <c r="Y647" s="87"/>
      <c r="AA647" s="86"/>
      <c r="AB647" s="57"/>
      <c r="AC647" s="37"/>
      <c r="AD647" s="52"/>
      <c r="AE647" s="87"/>
      <c r="AG647" s="86"/>
      <c r="AH647" s="37"/>
      <c r="AI647" s="52"/>
      <c r="AJ647" s="87"/>
      <c r="AL647" s="86"/>
      <c r="AM647" s="37"/>
      <c r="AN647" s="52"/>
      <c r="AO647" s="87"/>
      <c r="AQ647" s="86"/>
      <c r="AR647" s="37"/>
      <c r="AS647" s="52"/>
      <c r="AT647" s="87"/>
    </row>
    <row r="648" spans="2:46" thickBot="1">
      <c r="B648" s="113"/>
      <c r="C648" s="324"/>
      <c r="D648" s="346"/>
      <c r="E648" s="326"/>
      <c r="F648" s="321" t="str">
        <f t="shared" si="60"/>
        <v/>
      </c>
      <c r="G648" s="334"/>
      <c r="H648" s="331"/>
      <c r="I648" s="107"/>
      <c r="J648" s="108"/>
      <c r="K648" s="109"/>
      <c r="L648" s="108"/>
      <c r="O648" s="86"/>
      <c r="P648" s="57"/>
      <c r="Q648" s="37"/>
      <c r="R648" s="92" t="str">
        <f t="shared" si="59"/>
        <v/>
      </c>
      <c r="S648" s="52"/>
      <c r="T648" s="87"/>
      <c r="U648" s="86"/>
      <c r="V648" s="201"/>
      <c r="W648" s="37"/>
      <c r="X648" s="52"/>
      <c r="Y648" s="87"/>
      <c r="AA648" s="86"/>
      <c r="AB648" s="57"/>
      <c r="AC648" s="37"/>
      <c r="AD648" s="52"/>
      <c r="AE648" s="87"/>
      <c r="AG648" s="86"/>
      <c r="AH648" s="37"/>
      <c r="AI648" s="52"/>
      <c r="AJ648" s="87"/>
      <c r="AL648" s="86"/>
      <c r="AM648" s="37"/>
      <c r="AN648" s="52"/>
      <c r="AO648" s="87"/>
      <c r="AQ648" s="86"/>
      <c r="AR648" s="37"/>
      <c r="AS648" s="52"/>
      <c r="AT648" s="87"/>
    </row>
    <row r="649" spans="2:46" thickBot="1">
      <c r="B649" s="113"/>
      <c r="C649" s="324"/>
      <c r="D649" s="346"/>
      <c r="E649" s="326"/>
      <c r="F649" s="321" t="str">
        <f t="shared" si="60"/>
        <v/>
      </c>
      <c r="G649" s="334"/>
      <c r="H649" s="331"/>
      <c r="I649" s="107"/>
      <c r="J649" s="108"/>
      <c r="K649" s="109"/>
      <c r="L649" s="108"/>
      <c r="O649" s="86"/>
      <c r="P649" s="57"/>
      <c r="Q649" s="37"/>
      <c r="R649" s="92" t="str">
        <f t="shared" si="59"/>
        <v/>
      </c>
      <c r="S649" s="52"/>
      <c r="T649" s="87"/>
      <c r="U649" s="86"/>
      <c r="V649" s="201"/>
      <c r="W649" s="37"/>
      <c r="X649" s="52"/>
      <c r="Y649" s="87"/>
      <c r="AA649" s="86"/>
      <c r="AB649" s="57"/>
      <c r="AC649" s="37"/>
      <c r="AD649" s="52"/>
      <c r="AE649" s="87"/>
      <c r="AG649" s="86"/>
      <c r="AH649" s="37"/>
      <c r="AI649" s="52"/>
      <c r="AJ649" s="87"/>
      <c r="AL649" s="86"/>
      <c r="AM649" s="37"/>
      <c r="AN649" s="52"/>
      <c r="AO649" s="87"/>
      <c r="AQ649" s="86"/>
      <c r="AR649" s="37"/>
      <c r="AS649" s="52"/>
      <c r="AT649" s="87"/>
    </row>
    <row r="650" spans="2:46" thickBot="1">
      <c r="B650" s="113"/>
      <c r="C650" s="324"/>
      <c r="D650" s="346"/>
      <c r="E650" s="326"/>
      <c r="F650" s="321" t="str">
        <f t="shared" si="60"/>
        <v/>
      </c>
      <c r="G650" s="334"/>
      <c r="H650" s="331"/>
      <c r="I650" s="107"/>
      <c r="J650" s="108"/>
      <c r="K650" s="109"/>
      <c r="L650" s="108"/>
      <c r="O650" s="86"/>
      <c r="P650" s="57"/>
      <c r="Q650" s="37"/>
      <c r="R650" s="92" t="str">
        <f t="shared" si="59"/>
        <v/>
      </c>
      <c r="S650" s="52"/>
      <c r="T650" s="87"/>
      <c r="U650" s="86"/>
      <c r="V650" s="201"/>
      <c r="W650" s="37"/>
      <c r="X650" s="52"/>
      <c r="Y650" s="87"/>
      <c r="AA650" s="86"/>
      <c r="AB650" s="57"/>
      <c r="AC650" s="37"/>
      <c r="AD650" s="52"/>
      <c r="AE650" s="87"/>
      <c r="AG650" s="86"/>
      <c r="AH650" s="37"/>
      <c r="AI650" s="52"/>
      <c r="AJ650" s="87"/>
      <c r="AL650" s="86"/>
      <c r="AM650" s="37"/>
      <c r="AN650" s="52"/>
      <c r="AO650" s="87"/>
      <c r="AQ650" s="86"/>
      <c r="AR650" s="37"/>
      <c r="AS650" s="52"/>
      <c r="AT650" s="87"/>
    </row>
    <row r="651" spans="2:46" thickBot="1">
      <c r="B651" s="113"/>
      <c r="C651" s="324"/>
      <c r="D651" s="346"/>
      <c r="E651" s="326"/>
      <c r="F651" s="321" t="str">
        <f t="shared" si="60"/>
        <v/>
      </c>
      <c r="G651" s="334"/>
      <c r="H651" s="331"/>
      <c r="I651" s="107"/>
      <c r="J651" s="108"/>
      <c r="K651" s="109"/>
      <c r="L651" s="108"/>
      <c r="O651" s="86"/>
      <c r="P651" s="57"/>
      <c r="Q651" s="37"/>
      <c r="R651" s="92" t="str">
        <f t="shared" si="59"/>
        <v/>
      </c>
      <c r="S651" s="52"/>
      <c r="T651" s="87"/>
      <c r="U651" s="86"/>
      <c r="V651" s="201"/>
      <c r="W651" s="37"/>
      <c r="X651" s="52"/>
      <c r="Y651" s="87"/>
      <c r="AA651" s="86"/>
      <c r="AB651" s="57"/>
      <c r="AC651" s="37"/>
      <c r="AD651" s="52"/>
      <c r="AE651" s="87"/>
      <c r="AG651" s="86"/>
      <c r="AH651" s="37"/>
      <c r="AI651" s="52"/>
      <c r="AJ651" s="87"/>
      <c r="AL651" s="86"/>
      <c r="AM651" s="37"/>
      <c r="AN651" s="52"/>
      <c r="AO651" s="87"/>
      <c r="AQ651" s="86"/>
      <c r="AR651" s="37"/>
      <c r="AS651" s="52"/>
      <c r="AT651" s="87"/>
    </row>
    <row r="652" spans="2:46" thickBot="1">
      <c r="B652" s="113"/>
      <c r="C652" s="324"/>
      <c r="D652" s="346"/>
      <c r="E652" s="326"/>
      <c r="F652" s="321" t="str">
        <f t="shared" si="60"/>
        <v/>
      </c>
      <c r="G652" s="334"/>
      <c r="H652" s="331"/>
      <c r="I652" s="107"/>
      <c r="J652" s="108"/>
      <c r="K652" s="109"/>
      <c r="L652" s="108"/>
      <c r="O652" s="86"/>
      <c r="P652" s="57"/>
      <c r="Q652" s="37"/>
      <c r="R652" s="92" t="str">
        <f t="shared" si="59"/>
        <v/>
      </c>
      <c r="S652" s="52"/>
      <c r="T652" s="87"/>
      <c r="U652" s="86"/>
      <c r="V652" s="201"/>
      <c r="W652" s="37"/>
      <c r="X652" s="52"/>
      <c r="Y652" s="87"/>
      <c r="AA652" s="86"/>
      <c r="AB652" s="57"/>
      <c r="AC652" s="37"/>
      <c r="AD652" s="52"/>
      <c r="AE652" s="87"/>
      <c r="AG652" s="86"/>
      <c r="AH652" s="37"/>
      <c r="AI652" s="52"/>
      <c r="AJ652" s="87"/>
      <c r="AL652" s="86"/>
      <c r="AM652" s="37"/>
      <c r="AN652" s="52"/>
      <c r="AO652" s="87"/>
      <c r="AQ652" s="86"/>
      <c r="AR652" s="37"/>
      <c r="AS652" s="52"/>
      <c r="AT652" s="87"/>
    </row>
    <row r="653" spans="2:46" thickBot="1">
      <c r="B653" s="113"/>
      <c r="C653" s="324"/>
      <c r="D653" s="346"/>
      <c r="E653" s="326"/>
      <c r="F653" s="321" t="str">
        <f t="shared" si="60"/>
        <v/>
      </c>
      <c r="G653" s="334"/>
      <c r="H653" s="331"/>
      <c r="I653" s="107"/>
      <c r="J653" s="108"/>
      <c r="K653" s="109"/>
      <c r="L653" s="108"/>
      <c r="O653" s="86"/>
      <c r="P653" s="57"/>
      <c r="Q653" s="37"/>
      <c r="R653" s="92" t="str">
        <f t="shared" si="59"/>
        <v/>
      </c>
      <c r="S653" s="52"/>
      <c r="T653" s="87"/>
      <c r="U653" s="86"/>
      <c r="V653" s="201"/>
      <c r="W653" s="37"/>
      <c r="X653" s="52"/>
      <c r="Y653" s="87"/>
      <c r="AA653" s="86"/>
      <c r="AB653" s="57"/>
      <c r="AC653" s="37"/>
      <c r="AD653" s="52"/>
      <c r="AE653" s="87"/>
      <c r="AG653" s="86"/>
      <c r="AH653" s="37"/>
      <c r="AI653" s="52"/>
      <c r="AJ653" s="87"/>
      <c r="AL653" s="86"/>
      <c r="AM653" s="37"/>
      <c r="AN653" s="52"/>
      <c r="AO653" s="87"/>
      <c r="AQ653" s="86"/>
      <c r="AR653" s="37"/>
      <c r="AS653" s="52"/>
      <c r="AT653" s="87"/>
    </row>
    <row r="654" spans="2:46" thickBot="1">
      <c r="B654" s="113"/>
      <c r="C654" s="324"/>
      <c r="D654" s="346"/>
      <c r="E654" s="326"/>
      <c r="F654" s="321" t="str">
        <f t="shared" si="60"/>
        <v/>
      </c>
      <c r="G654" s="334"/>
      <c r="H654" s="331"/>
      <c r="I654" s="107"/>
      <c r="J654" s="108"/>
      <c r="K654" s="109"/>
      <c r="L654" s="108"/>
      <c r="O654" s="86"/>
      <c r="P654" s="57"/>
      <c r="Q654" s="37"/>
      <c r="R654" s="92" t="str">
        <f t="shared" si="59"/>
        <v/>
      </c>
      <c r="S654" s="52"/>
      <c r="T654" s="87"/>
      <c r="U654" s="86"/>
      <c r="V654" s="201"/>
      <c r="W654" s="37"/>
      <c r="X654" s="52"/>
      <c r="Y654" s="87"/>
      <c r="AA654" s="86"/>
      <c r="AB654" s="57"/>
      <c r="AC654" s="37"/>
      <c r="AD654" s="52"/>
      <c r="AE654" s="87"/>
      <c r="AG654" s="86"/>
      <c r="AH654" s="37"/>
      <c r="AI654" s="52"/>
      <c r="AJ654" s="87"/>
      <c r="AL654" s="86"/>
      <c r="AM654" s="37"/>
      <c r="AN654" s="52"/>
      <c r="AO654" s="87"/>
      <c r="AQ654" s="86"/>
      <c r="AR654" s="37"/>
      <c r="AS654" s="52"/>
      <c r="AT654" s="87"/>
    </row>
    <row r="655" spans="2:46" thickBot="1">
      <c r="B655" s="113"/>
      <c r="C655" s="324"/>
      <c r="D655" s="346"/>
      <c r="E655" s="326"/>
      <c r="F655" s="321" t="str">
        <f t="shared" si="60"/>
        <v/>
      </c>
      <c r="G655" s="334"/>
      <c r="H655" s="331"/>
      <c r="I655" s="107"/>
      <c r="J655" s="108"/>
      <c r="K655" s="109"/>
      <c r="L655" s="108"/>
      <c r="O655" s="86"/>
      <c r="P655" s="57"/>
      <c r="Q655" s="37"/>
      <c r="R655" s="92" t="str">
        <f t="shared" si="59"/>
        <v/>
      </c>
      <c r="S655" s="52"/>
      <c r="T655" s="87"/>
      <c r="U655" s="86"/>
      <c r="V655" s="201"/>
      <c r="W655" s="37"/>
      <c r="X655" s="52"/>
      <c r="Y655" s="87"/>
      <c r="AA655" s="86"/>
      <c r="AB655" s="57"/>
      <c r="AC655" s="37"/>
      <c r="AD655" s="52"/>
      <c r="AE655" s="87"/>
      <c r="AG655" s="86"/>
      <c r="AH655" s="37"/>
      <c r="AI655" s="52"/>
      <c r="AJ655" s="87"/>
      <c r="AL655" s="86"/>
      <c r="AM655" s="37"/>
      <c r="AN655" s="52"/>
      <c r="AO655" s="87"/>
      <c r="AQ655" s="86"/>
      <c r="AR655" s="37"/>
      <c r="AS655" s="52"/>
      <c r="AT655" s="87"/>
    </row>
    <row r="656" spans="2:46" thickBot="1">
      <c r="B656" s="113"/>
      <c r="C656" s="324"/>
      <c r="D656" s="346"/>
      <c r="E656" s="326"/>
      <c r="F656" s="321" t="str">
        <f t="shared" si="60"/>
        <v/>
      </c>
      <c r="G656" s="334"/>
      <c r="H656" s="331"/>
      <c r="I656" s="107"/>
      <c r="J656" s="108"/>
      <c r="K656" s="109"/>
      <c r="L656" s="108"/>
      <c r="O656" s="86"/>
      <c r="P656" s="57"/>
      <c r="Q656" s="37"/>
      <c r="R656" s="92" t="str">
        <f t="shared" si="59"/>
        <v/>
      </c>
      <c r="S656" s="52"/>
      <c r="T656" s="87"/>
      <c r="U656" s="86"/>
      <c r="V656" s="201"/>
      <c r="W656" s="37"/>
      <c r="X656" s="52"/>
      <c r="Y656" s="87"/>
      <c r="AA656" s="86"/>
      <c r="AB656" s="57"/>
      <c r="AC656" s="37"/>
      <c r="AD656" s="52"/>
      <c r="AE656" s="87"/>
      <c r="AG656" s="86"/>
      <c r="AH656" s="37"/>
      <c r="AI656" s="52"/>
      <c r="AJ656" s="87"/>
      <c r="AL656" s="86"/>
      <c r="AM656" s="37"/>
      <c r="AN656" s="52"/>
      <c r="AO656" s="87"/>
      <c r="AQ656" s="86"/>
      <c r="AR656" s="37"/>
      <c r="AS656" s="52"/>
      <c r="AT656" s="87"/>
    </row>
    <row r="657" spans="2:46" thickBot="1">
      <c r="B657" s="113"/>
      <c r="C657" s="324"/>
      <c r="D657" s="346"/>
      <c r="E657" s="326"/>
      <c r="F657" s="321" t="str">
        <f t="shared" si="60"/>
        <v/>
      </c>
      <c r="G657" s="334"/>
      <c r="H657" s="331"/>
      <c r="I657" s="107"/>
      <c r="J657" s="108"/>
      <c r="K657" s="109"/>
      <c r="L657" s="108"/>
      <c r="O657" s="86"/>
      <c r="P657" s="57"/>
      <c r="Q657" s="37"/>
      <c r="R657" s="92" t="str">
        <f t="shared" si="59"/>
        <v/>
      </c>
      <c r="S657" s="52"/>
      <c r="T657" s="87"/>
      <c r="U657" s="86"/>
      <c r="V657" s="201"/>
      <c r="W657" s="37"/>
      <c r="X657" s="52"/>
      <c r="Y657" s="87"/>
      <c r="AA657" s="86"/>
      <c r="AB657" s="57"/>
      <c r="AC657" s="37"/>
      <c r="AD657" s="52"/>
      <c r="AE657" s="87"/>
      <c r="AG657" s="86"/>
      <c r="AH657" s="37"/>
      <c r="AI657" s="52"/>
      <c r="AJ657" s="87"/>
      <c r="AL657" s="86"/>
      <c r="AM657" s="37"/>
      <c r="AN657" s="52"/>
      <c r="AO657" s="87"/>
      <c r="AQ657" s="86"/>
      <c r="AR657" s="37"/>
      <c r="AS657" s="52"/>
      <c r="AT657" s="87"/>
    </row>
    <row r="658" spans="2:46" thickBot="1">
      <c r="B658" s="113"/>
      <c r="C658" s="324"/>
      <c r="D658" s="346"/>
      <c r="E658" s="326"/>
      <c r="F658" s="321" t="str">
        <f t="shared" si="60"/>
        <v/>
      </c>
      <c r="G658" s="334"/>
      <c r="H658" s="331"/>
      <c r="I658" s="107"/>
      <c r="J658" s="108"/>
      <c r="K658" s="109"/>
      <c r="L658" s="108"/>
      <c r="O658" s="86"/>
      <c r="P658" s="57"/>
      <c r="Q658" s="37"/>
      <c r="R658" s="92" t="str">
        <f t="shared" si="59"/>
        <v/>
      </c>
      <c r="S658" s="52"/>
      <c r="T658" s="87"/>
      <c r="U658" s="86"/>
      <c r="V658" s="201"/>
      <c r="W658" s="37"/>
      <c r="X658" s="52"/>
      <c r="Y658" s="87"/>
      <c r="AA658" s="86"/>
      <c r="AB658" s="57"/>
      <c r="AC658" s="37"/>
      <c r="AD658" s="52"/>
      <c r="AE658" s="87"/>
      <c r="AG658" s="86"/>
      <c r="AH658" s="37"/>
      <c r="AI658" s="52"/>
      <c r="AJ658" s="87"/>
      <c r="AL658" s="86"/>
      <c r="AM658" s="37"/>
      <c r="AN658" s="52"/>
      <c r="AO658" s="87"/>
      <c r="AQ658" s="86"/>
      <c r="AR658" s="37"/>
      <c r="AS658" s="52"/>
      <c r="AT658" s="87"/>
    </row>
    <row r="659" spans="2:46" thickBot="1">
      <c r="B659" s="113"/>
      <c r="C659" s="324"/>
      <c r="D659" s="346"/>
      <c r="E659" s="326"/>
      <c r="F659" s="321" t="str">
        <f t="shared" si="60"/>
        <v/>
      </c>
      <c r="G659" s="334"/>
      <c r="H659" s="331"/>
      <c r="I659" s="107"/>
      <c r="J659" s="108"/>
      <c r="K659" s="109"/>
      <c r="L659" s="108"/>
      <c r="O659" s="86"/>
      <c r="P659" s="57"/>
      <c r="Q659" s="37"/>
      <c r="R659" s="92" t="str">
        <f t="shared" si="59"/>
        <v/>
      </c>
      <c r="S659" s="52"/>
      <c r="T659" s="87"/>
      <c r="U659" s="86"/>
      <c r="V659" s="201"/>
      <c r="W659" s="37"/>
      <c r="X659" s="52"/>
      <c r="Y659" s="87"/>
      <c r="AA659" s="86"/>
      <c r="AB659" s="57"/>
      <c r="AC659" s="37"/>
      <c r="AD659" s="52"/>
      <c r="AE659" s="87"/>
      <c r="AG659" s="86"/>
      <c r="AH659" s="37"/>
      <c r="AI659" s="52"/>
      <c r="AJ659" s="87"/>
      <c r="AL659" s="86"/>
      <c r="AM659" s="37"/>
      <c r="AN659" s="52"/>
      <c r="AO659" s="87"/>
      <c r="AQ659" s="86"/>
      <c r="AR659" s="37"/>
      <c r="AS659" s="52"/>
      <c r="AT659" s="87"/>
    </row>
    <row r="660" spans="2:46" thickBot="1">
      <c r="B660" s="113"/>
      <c r="C660" s="324"/>
      <c r="D660" s="346"/>
      <c r="E660" s="326"/>
      <c r="F660" s="321" t="str">
        <f t="shared" si="60"/>
        <v/>
      </c>
      <c r="G660" s="334"/>
      <c r="H660" s="331"/>
      <c r="I660" s="107"/>
      <c r="J660" s="108"/>
      <c r="K660" s="109"/>
      <c r="L660" s="108"/>
      <c r="O660" s="86"/>
      <c r="P660" s="57"/>
      <c r="Q660" s="37"/>
      <c r="R660" s="92" t="str">
        <f t="shared" si="59"/>
        <v/>
      </c>
      <c r="S660" s="52"/>
      <c r="T660" s="87"/>
      <c r="U660" s="86"/>
      <c r="V660" s="201"/>
      <c r="W660" s="37"/>
      <c r="X660" s="52"/>
      <c r="Y660" s="87"/>
      <c r="AA660" s="86"/>
      <c r="AB660" s="57"/>
      <c r="AC660" s="37"/>
      <c r="AD660" s="52"/>
      <c r="AE660" s="87"/>
      <c r="AG660" s="86"/>
      <c r="AH660" s="37"/>
      <c r="AI660" s="52"/>
      <c r="AJ660" s="87"/>
      <c r="AL660" s="86"/>
      <c r="AM660" s="37"/>
      <c r="AN660" s="52"/>
      <c r="AO660" s="87"/>
      <c r="AQ660" s="86"/>
      <c r="AR660" s="37"/>
      <c r="AS660" s="52"/>
      <c r="AT660" s="87"/>
    </row>
    <row r="661" spans="2:46" thickBot="1">
      <c r="B661" s="113"/>
      <c r="C661" s="324"/>
      <c r="D661" s="346"/>
      <c r="E661" s="326"/>
      <c r="F661" s="321" t="str">
        <f t="shared" si="60"/>
        <v/>
      </c>
      <c r="G661" s="334"/>
      <c r="H661" s="331"/>
      <c r="I661" s="107"/>
      <c r="J661" s="108"/>
      <c r="K661" s="109"/>
      <c r="L661" s="108"/>
      <c r="O661" s="86"/>
      <c r="P661" s="57"/>
      <c r="Q661" s="37"/>
      <c r="R661" s="92" t="str">
        <f t="shared" si="59"/>
        <v/>
      </c>
      <c r="S661" s="52"/>
      <c r="T661" s="87"/>
      <c r="U661" s="86"/>
      <c r="V661" s="201"/>
      <c r="W661" s="37"/>
      <c r="X661" s="52"/>
      <c r="Y661" s="87"/>
      <c r="AA661" s="86"/>
      <c r="AB661" s="57"/>
      <c r="AC661" s="37"/>
      <c r="AD661" s="52"/>
      <c r="AE661" s="87"/>
      <c r="AG661" s="86"/>
      <c r="AH661" s="37"/>
      <c r="AI661" s="52"/>
      <c r="AJ661" s="87"/>
      <c r="AL661" s="86"/>
      <c r="AM661" s="37"/>
      <c r="AN661" s="52"/>
      <c r="AO661" s="87"/>
      <c r="AQ661" s="86"/>
      <c r="AR661" s="37"/>
      <c r="AS661" s="52"/>
      <c r="AT661" s="87"/>
    </row>
    <row r="662" spans="2:46" thickBot="1">
      <c r="B662" s="113"/>
      <c r="C662" s="324"/>
      <c r="D662" s="346"/>
      <c r="E662" s="326"/>
      <c r="F662" s="321" t="str">
        <f t="shared" si="60"/>
        <v/>
      </c>
      <c r="G662" s="334"/>
      <c r="H662" s="331"/>
      <c r="I662" s="107"/>
      <c r="J662" s="108"/>
      <c r="K662" s="109"/>
      <c r="L662" s="108"/>
      <c r="O662" s="86"/>
      <c r="P662" s="57"/>
      <c r="Q662" s="37"/>
      <c r="R662" s="92" t="str">
        <f t="shared" si="59"/>
        <v/>
      </c>
      <c r="S662" s="52"/>
      <c r="T662" s="87"/>
      <c r="U662" s="86"/>
      <c r="V662" s="201"/>
      <c r="W662" s="37"/>
      <c r="X662" s="52"/>
      <c r="Y662" s="87"/>
      <c r="AA662" s="86"/>
      <c r="AB662" s="57"/>
      <c r="AC662" s="37"/>
      <c r="AD662" s="52"/>
      <c r="AE662" s="87"/>
      <c r="AG662" s="86"/>
      <c r="AH662" s="37"/>
      <c r="AI662" s="52"/>
      <c r="AJ662" s="87"/>
      <c r="AL662" s="86"/>
      <c r="AM662" s="37"/>
      <c r="AN662" s="52"/>
      <c r="AO662" s="87"/>
      <c r="AQ662" s="86"/>
      <c r="AR662" s="37"/>
      <c r="AS662" s="52"/>
      <c r="AT662" s="87"/>
    </row>
    <row r="663" spans="2:46" thickBot="1">
      <c r="B663" s="113"/>
      <c r="C663" s="324"/>
      <c r="D663" s="346"/>
      <c r="E663" s="326"/>
      <c r="F663" s="321" t="str">
        <f t="shared" si="60"/>
        <v/>
      </c>
      <c r="G663" s="334"/>
      <c r="H663" s="331"/>
      <c r="I663" s="107"/>
      <c r="J663" s="108"/>
      <c r="K663" s="109"/>
      <c r="L663" s="108"/>
      <c r="O663" s="86"/>
      <c r="P663" s="57"/>
      <c r="Q663" s="37"/>
      <c r="R663" s="92" t="str">
        <f t="shared" si="59"/>
        <v/>
      </c>
      <c r="S663" s="52"/>
      <c r="T663" s="87"/>
      <c r="U663" s="86"/>
      <c r="V663" s="201"/>
      <c r="W663" s="37"/>
      <c r="X663" s="52"/>
      <c r="Y663" s="87"/>
      <c r="AA663" s="86"/>
      <c r="AB663" s="57"/>
      <c r="AC663" s="37"/>
      <c r="AD663" s="52"/>
      <c r="AE663" s="87"/>
      <c r="AG663" s="86"/>
      <c r="AH663" s="37"/>
      <c r="AI663" s="52"/>
      <c r="AJ663" s="87"/>
      <c r="AL663" s="86"/>
      <c r="AM663" s="37"/>
      <c r="AN663" s="52"/>
      <c r="AO663" s="87"/>
      <c r="AQ663" s="86"/>
      <c r="AR663" s="37"/>
      <c r="AS663" s="52"/>
      <c r="AT663" s="87"/>
    </row>
    <row r="664" spans="2:46" thickBot="1">
      <c r="B664" s="113"/>
      <c r="C664" s="324"/>
      <c r="D664" s="346"/>
      <c r="E664" s="326"/>
      <c r="F664" s="321" t="str">
        <f t="shared" si="60"/>
        <v/>
      </c>
      <c r="G664" s="334"/>
      <c r="H664" s="331"/>
      <c r="I664" s="107"/>
      <c r="J664" s="108"/>
      <c r="K664" s="109"/>
      <c r="L664" s="108"/>
      <c r="O664" s="86"/>
      <c r="P664" s="57"/>
      <c r="Q664" s="37"/>
      <c r="R664" s="92" t="str">
        <f t="shared" si="59"/>
        <v/>
      </c>
      <c r="S664" s="52"/>
      <c r="T664" s="87"/>
      <c r="U664" s="86"/>
      <c r="V664" s="201"/>
      <c r="W664" s="37"/>
      <c r="X664" s="52"/>
      <c r="Y664" s="87"/>
      <c r="AA664" s="86"/>
      <c r="AB664" s="57"/>
      <c r="AC664" s="37"/>
      <c r="AD664" s="52"/>
      <c r="AE664" s="87"/>
      <c r="AG664" s="86"/>
      <c r="AH664" s="37"/>
      <c r="AI664" s="52"/>
      <c r="AJ664" s="87"/>
      <c r="AL664" s="86"/>
      <c r="AM664" s="37"/>
      <c r="AN664" s="52"/>
      <c r="AO664" s="87"/>
      <c r="AQ664" s="86"/>
      <c r="AR664" s="37"/>
      <c r="AS664" s="52"/>
      <c r="AT664" s="87"/>
    </row>
    <row r="665" spans="2:46" thickBot="1">
      <c r="B665" s="113"/>
      <c r="C665" s="324"/>
      <c r="D665" s="346"/>
      <c r="E665" s="326"/>
      <c r="F665" s="321" t="str">
        <f t="shared" si="60"/>
        <v/>
      </c>
      <c r="G665" s="334"/>
      <c r="H665" s="331"/>
      <c r="I665" s="107"/>
      <c r="J665" s="108"/>
      <c r="K665" s="109"/>
      <c r="L665" s="108"/>
      <c r="O665" s="86"/>
      <c r="P665" s="57"/>
      <c r="Q665" s="37"/>
      <c r="R665" s="92" t="str">
        <f t="shared" si="59"/>
        <v/>
      </c>
      <c r="S665" s="52"/>
      <c r="T665" s="87"/>
      <c r="U665" s="86"/>
      <c r="V665" s="201"/>
      <c r="W665" s="37"/>
      <c r="X665" s="52"/>
      <c r="Y665" s="87"/>
      <c r="AA665" s="86"/>
      <c r="AB665" s="57"/>
      <c r="AC665" s="37"/>
      <c r="AD665" s="52"/>
      <c r="AE665" s="87"/>
      <c r="AG665" s="86"/>
      <c r="AH665" s="37"/>
      <c r="AI665" s="52"/>
      <c r="AJ665" s="87"/>
      <c r="AL665" s="86"/>
      <c r="AM665" s="37"/>
      <c r="AN665" s="52"/>
      <c r="AO665" s="87"/>
      <c r="AQ665" s="86"/>
      <c r="AR665" s="37"/>
      <c r="AS665" s="52"/>
      <c r="AT665" s="87"/>
    </row>
    <row r="666" spans="2:46" thickBot="1">
      <c r="B666" s="113"/>
      <c r="C666" s="324"/>
      <c r="D666" s="346"/>
      <c r="E666" s="326"/>
      <c r="F666" s="321" t="str">
        <f t="shared" si="60"/>
        <v/>
      </c>
      <c r="G666" s="334"/>
      <c r="H666" s="331"/>
      <c r="I666" s="107"/>
      <c r="J666" s="108"/>
      <c r="K666" s="109"/>
      <c r="L666" s="108"/>
      <c r="O666" s="86"/>
      <c r="P666" s="57"/>
      <c r="Q666" s="37"/>
      <c r="R666" s="92" t="str">
        <f t="shared" si="59"/>
        <v/>
      </c>
      <c r="S666" s="52"/>
      <c r="T666" s="87"/>
      <c r="U666" s="86"/>
      <c r="V666" s="201"/>
      <c r="W666" s="37"/>
      <c r="X666" s="52"/>
      <c r="Y666" s="87"/>
      <c r="AA666" s="86"/>
      <c r="AB666" s="57"/>
      <c r="AC666" s="37"/>
      <c r="AD666" s="52"/>
      <c r="AE666" s="87"/>
      <c r="AG666" s="86"/>
      <c r="AH666" s="37"/>
      <c r="AI666" s="52"/>
      <c r="AJ666" s="87"/>
      <c r="AL666" s="86"/>
      <c r="AM666" s="37"/>
      <c r="AN666" s="52"/>
      <c r="AO666" s="87"/>
      <c r="AQ666" s="86"/>
      <c r="AR666" s="37"/>
      <c r="AS666" s="52"/>
      <c r="AT666" s="87"/>
    </row>
    <row r="667" spans="2:46" thickBot="1">
      <c r="B667" s="113"/>
      <c r="C667" s="324"/>
      <c r="D667" s="346"/>
      <c r="E667" s="326"/>
      <c r="F667" s="321" t="str">
        <f t="shared" si="60"/>
        <v/>
      </c>
      <c r="G667" s="334"/>
      <c r="H667" s="331"/>
      <c r="I667" s="107"/>
      <c r="J667" s="108"/>
      <c r="K667" s="109"/>
      <c r="L667" s="108"/>
      <c r="O667" s="86"/>
      <c r="P667" s="57"/>
      <c r="Q667" s="37"/>
      <c r="R667" s="92" t="str">
        <f t="shared" si="59"/>
        <v/>
      </c>
      <c r="S667" s="52"/>
      <c r="T667" s="87"/>
      <c r="U667" s="86"/>
      <c r="V667" s="201"/>
      <c r="W667" s="37"/>
      <c r="X667" s="52"/>
      <c r="Y667" s="87"/>
      <c r="AA667" s="86"/>
      <c r="AB667" s="57"/>
      <c r="AC667" s="37"/>
      <c r="AD667" s="52"/>
      <c r="AE667" s="87"/>
      <c r="AG667" s="86"/>
      <c r="AH667" s="37"/>
      <c r="AI667" s="52"/>
      <c r="AJ667" s="87"/>
      <c r="AL667" s="86"/>
      <c r="AM667" s="37"/>
      <c r="AN667" s="52"/>
      <c r="AO667" s="87"/>
      <c r="AQ667" s="86"/>
      <c r="AR667" s="37"/>
      <c r="AS667" s="52"/>
      <c r="AT667" s="87"/>
    </row>
    <row r="668" spans="2:46" thickBot="1">
      <c r="B668" s="113"/>
      <c r="C668" s="324"/>
      <c r="D668" s="346"/>
      <c r="E668" s="326"/>
      <c r="F668" s="321" t="str">
        <f t="shared" si="60"/>
        <v/>
      </c>
      <c r="G668" s="334"/>
      <c r="H668" s="331"/>
      <c r="I668" s="107"/>
      <c r="J668" s="108"/>
      <c r="K668" s="109"/>
      <c r="L668" s="108"/>
      <c r="O668" s="86"/>
      <c r="P668" s="57"/>
      <c r="Q668" s="37"/>
      <c r="R668" s="92" t="str">
        <f t="shared" si="59"/>
        <v/>
      </c>
      <c r="S668" s="52"/>
      <c r="T668" s="87"/>
      <c r="U668" s="86"/>
      <c r="V668" s="201"/>
      <c r="W668" s="37"/>
      <c r="X668" s="52"/>
      <c r="Y668" s="87"/>
      <c r="AA668" s="86"/>
      <c r="AB668" s="57"/>
      <c r="AC668" s="37"/>
      <c r="AD668" s="52"/>
      <c r="AE668" s="87"/>
      <c r="AG668" s="86"/>
      <c r="AH668" s="37"/>
      <c r="AI668" s="52"/>
      <c r="AJ668" s="87"/>
      <c r="AL668" s="86"/>
      <c r="AM668" s="37"/>
      <c r="AN668" s="52"/>
      <c r="AO668" s="87"/>
      <c r="AQ668" s="86"/>
      <c r="AR668" s="37"/>
      <c r="AS668" s="52"/>
      <c r="AT668" s="87"/>
    </row>
    <row r="669" spans="2:46" thickBot="1">
      <c r="B669" s="113"/>
      <c r="C669" s="324"/>
      <c r="D669" s="346"/>
      <c r="E669" s="326"/>
      <c r="F669" s="321" t="str">
        <f t="shared" si="60"/>
        <v/>
      </c>
      <c r="G669" s="334"/>
      <c r="H669" s="331"/>
      <c r="I669" s="107"/>
      <c r="J669" s="108"/>
      <c r="K669" s="109"/>
      <c r="L669" s="108"/>
      <c r="O669" s="86"/>
      <c r="P669" s="57"/>
      <c r="Q669" s="37"/>
      <c r="R669" s="92" t="str">
        <f t="shared" si="59"/>
        <v/>
      </c>
      <c r="S669" s="52"/>
      <c r="T669" s="87"/>
      <c r="U669" s="86"/>
      <c r="V669" s="201"/>
      <c r="W669" s="37"/>
      <c r="X669" s="52"/>
      <c r="Y669" s="87"/>
      <c r="AA669" s="86"/>
      <c r="AB669" s="57"/>
      <c r="AC669" s="37"/>
      <c r="AD669" s="52"/>
      <c r="AE669" s="87"/>
      <c r="AG669" s="86"/>
      <c r="AH669" s="37"/>
      <c r="AI669" s="52"/>
      <c r="AJ669" s="87"/>
      <c r="AL669" s="86"/>
      <c r="AM669" s="37"/>
      <c r="AN669" s="52"/>
      <c r="AO669" s="87"/>
      <c r="AQ669" s="86"/>
      <c r="AR669" s="37"/>
      <c r="AS669" s="52"/>
      <c r="AT669" s="87"/>
    </row>
    <row r="670" spans="2:46" thickBot="1">
      <c r="B670" s="113"/>
      <c r="C670" s="324"/>
      <c r="D670" s="346"/>
      <c r="E670" s="326"/>
      <c r="F670" s="321" t="str">
        <f t="shared" si="60"/>
        <v/>
      </c>
      <c r="G670" s="334"/>
      <c r="H670" s="331"/>
      <c r="I670" s="107"/>
      <c r="J670" s="108"/>
      <c r="K670" s="109"/>
      <c r="L670" s="108"/>
      <c r="O670" s="86"/>
      <c r="P670" s="57"/>
      <c r="Q670" s="37"/>
      <c r="R670" s="92" t="str">
        <f t="shared" si="59"/>
        <v/>
      </c>
      <c r="S670" s="52"/>
      <c r="T670" s="87"/>
      <c r="U670" s="86"/>
      <c r="V670" s="201"/>
      <c r="W670" s="37"/>
      <c r="X670" s="52"/>
      <c r="Y670" s="87"/>
      <c r="AA670" s="86"/>
      <c r="AB670" s="57"/>
      <c r="AC670" s="37"/>
      <c r="AD670" s="52"/>
      <c r="AE670" s="87"/>
      <c r="AG670" s="86"/>
      <c r="AH670" s="37"/>
      <c r="AI670" s="52"/>
      <c r="AJ670" s="87"/>
      <c r="AL670" s="86"/>
      <c r="AM670" s="37"/>
      <c r="AN670" s="52"/>
      <c r="AO670" s="87"/>
      <c r="AQ670" s="86"/>
      <c r="AR670" s="37"/>
      <c r="AS670" s="52"/>
      <c r="AT670" s="87"/>
    </row>
    <row r="671" spans="2:46" thickBot="1">
      <c r="B671" s="113"/>
      <c r="C671" s="324"/>
      <c r="D671" s="346"/>
      <c r="E671" s="326"/>
      <c r="F671" s="321" t="str">
        <f t="shared" si="60"/>
        <v/>
      </c>
      <c r="G671" s="334"/>
      <c r="H671" s="331"/>
      <c r="I671" s="107"/>
      <c r="J671" s="108"/>
      <c r="K671" s="109"/>
      <c r="L671" s="108"/>
      <c r="O671" s="86"/>
      <c r="P671" s="57"/>
      <c r="Q671" s="37"/>
      <c r="R671" s="92" t="str">
        <f t="shared" si="59"/>
        <v/>
      </c>
      <c r="S671" s="52"/>
      <c r="T671" s="87"/>
      <c r="U671" s="86"/>
      <c r="V671" s="201"/>
      <c r="W671" s="37"/>
      <c r="X671" s="52"/>
      <c r="Y671" s="87"/>
      <c r="AA671" s="86"/>
      <c r="AB671" s="57"/>
      <c r="AC671" s="37"/>
      <c r="AD671" s="52"/>
      <c r="AE671" s="87"/>
      <c r="AG671" s="86"/>
      <c r="AH671" s="37"/>
      <c r="AI671" s="52"/>
      <c r="AJ671" s="87"/>
      <c r="AL671" s="86"/>
      <c r="AM671" s="37"/>
      <c r="AN671" s="52"/>
      <c r="AO671" s="87"/>
      <c r="AQ671" s="86"/>
      <c r="AR671" s="37"/>
      <c r="AS671" s="52"/>
      <c r="AT671" s="87"/>
    </row>
    <row r="672" spans="2:46" thickBot="1">
      <c r="B672" s="113"/>
      <c r="C672" s="324"/>
      <c r="D672" s="346"/>
      <c r="E672" s="326"/>
      <c r="F672" s="321" t="str">
        <f t="shared" si="60"/>
        <v/>
      </c>
      <c r="G672" s="334"/>
      <c r="H672" s="331"/>
      <c r="I672" s="107"/>
      <c r="J672" s="108"/>
      <c r="K672" s="109"/>
      <c r="L672" s="108"/>
      <c r="O672" s="86"/>
      <c r="P672" s="57"/>
      <c r="Q672" s="37"/>
      <c r="R672" s="92" t="str">
        <f t="shared" si="59"/>
        <v/>
      </c>
      <c r="S672" s="52"/>
      <c r="T672" s="87"/>
      <c r="U672" s="86"/>
      <c r="V672" s="201"/>
      <c r="W672" s="37"/>
      <c r="X672" s="52"/>
      <c r="Y672" s="87"/>
      <c r="AA672" s="86"/>
      <c r="AB672" s="57"/>
      <c r="AC672" s="37"/>
      <c r="AD672" s="52"/>
      <c r="AE672" s="87"/>
      <c r="AG672" s="86"/>
      <c r="AH672" s="37"/>
      <c r="AI672" s="52"/>
      <c r="AJ672" s="87"/>
      <c r="AL672" s="86"/>
      <c r="AM672" s="37"/>
      <c r="AN672" s="52"/>
      <c r="AO672" s="87"/>
      <c r="AQ672" s="86"/>
      <c r="AR672" s="37"/>
      <c r="AS672" s="52"/>
      <c r="AT672" s="87"/>
    </row>
    <row r="673" spans="2:46" thickBot="1">
      <c r="B673" s="113"/>
      <c r="C673" s="324"/>
      <c r="D673" s="346"/>
      <c r="E673" s="326"/>
      <c r="F673" s="321" t="str">
        <f t="shared" si="60"/>
        <v/>
      </c>
      <c r="G673" s="334"/>
      <c r="H673" s="331"/>
      <c r="I673" s="107"/>
      <c r="J673" s="108"/>
      <c r="K673" s="109"/>
      <c r="L673" s="108"/>
      <c r="O673" s="86"/>
      <c r="P673" s="57"/>
      <c r="Q673" s="37"/>
      <c r="R673" s="92" t="str">
        <f t="shared" si="59"/>
        <v/>
      </c>
      <c r="S673" s="52"/>
      <c r="T673" s="87"/>
      <c r="U673" s="86"/>
      <c r="V673" s="201"/>
      <c r="W673" s="37"/>
      <c r="X673" s="52"/>
      <c r="Y673" s="87"/>
      <c r="AA673" s="86"/>
      <c r="AB673" s="57"/>
      <c r="AC673" s="37"/>
      <c r="AD673" s="52"/>
      <c r="AE673" s="87"/>
      <c r="AG673" s="86"/>
      <c r="AH673" s="37"/>
      <c r="AI673" s="52"/>
      <c r="AJ673" s="87"/>
      <c r="AL673" s="86"/>
      <c r="AM673" s="37"/>
      <c r="AN673" s="52"/>
      <c r="AO673" s="87"/>
      <c r="AQ673" s="86"/>
      <c r="AR673" s="37"/>
      <c r="AS673" s="52"/>
      <c r="AT673" s="87"/>
    </row>
    <row r="674" spans="2:46" thickBot="1">
      <c r="B674" s="113"/>
      <c r="C674" s="324"/>
      <c r="D674" s="346"/>
      <c r="E674" s="326"/>
      <c r="F674" s="321" t="str">
        <f t="shared" si="60"/>
        <v/>
      </c>
      <c r="G674" s="334"/>
      <c r="H674" s="331"/>
      <c r="I674" s="107"/>
      <c r="J674" s="108"/>
      <c r="K674" s="109"/>
      <c r="L674" s="108"/>
      <c r="O674" s="86"/>
      <c r="P674" s="57"/>
      <c r="Q674" s="37"/>
      <c r="R674" s="92" t="str">
        <f t="shared" si="59"/>
        <v/>
      </c>
      <c r="S674" s="52"/>
      <c r="T674" s="87"/>
      <c r="U674" s="86"/>
      <c r="V674" s="201"/>
      <c r="W674" s="37"/>
      <c r="X674" s="52"/>
      <c r="Y674" s="87"/>
      <c r="AA674" s="86"/>
      <c r="AB674" s="57"/>
      <c r="AC674" s="37"/>
      <c r="AD674" s="52"/>
      <c r="AE674" s="87"/>
      <c r="AG674" s="86"/>
      <c r="AH674" s="37"/>
      <c r="AI674" s="52"/>
      <c r="AJ674" s="87"/>
      <c r="AL674" s="86"/>
      <c r="AM674" s="37"/>
      <c r="AN674" s="52"/>
      <c r="AO674" s="87"/>
      <c r="AQ674" s="86"/>
      <c r="AR674" s="37"/>
      <c r="AS674" s="52"/>
      <c r="AT674" s="87"/>
    </row>
    <row r="675" spans="2:46" thickBot="1">
      <c r="B675" s="113"/>
      <c r="C675" s="324"/>
      <c r="D675" s="346"/>
      <c r="E675" s="326"/>
      <c r="F675" s="321" t="str">
        <f t="shared" si="60"/>
        <v/>
      </c>
      <c r="G675" s="334"/>
      <c r="H675" s="331"/>
      <c r="I675" s="107"/>
      <c r="J675" s="108"/>
      <c r="K675" s="109"/>
      <c r="L675" s="108"/>
      <c r="O675" s="86"/>
      <c r="P675" s="57"/>
      <c r="Q675" s="37"/>
      <c r="R675" s="92" t="str">
        <f t="shared" si="59"/>
        <v/>
      </c>
      <c r="S675" s="52"/>
      <c r="T675" s="87"/>
      <c r="U675" s="86"/>
      <c r="V675" s="201"/>
      <c r="W675" s="37"/>
      <c r="X675" s="52"/>
      <c r="Y675" s="87"/>
      <c r="AA675" s="86"/>
      <c r="AB675" s="57"/>
      <c r="AC675" s="37"/>
      <c r="AD675" s="52"/>
      <c r="AE675" s="87"/>
      <c r="AG675" s="86"/>
      <c r="AH675" s="37"/>
      <c r="AI675" s="52"/>
      <c r="AJ675" s="87"/>
      <c r="AL675" s="86"/>
      <c r="AM675" s="37"/>
      <c r="AN675" s="52"/>
      <c r="AO675" s="87"/>
      <c r="AQ675" s="86"/>
      <c r="AR675" s="37"/>
      <c r="AS675" s="52"/>
      <c r="AT675" s="87"/>
    </row>
    <row r="676" spans="2:46" thickBot="1">
      <c r="B676" s="113"/>
      <c r="C676" s="324"/>
      <c r="D676" s="346"/>
      <c r="E676" s="326"/>
      <c r="F676" s="321" t="str">
        <f t="shared" si="60"/>
        <v/>
      </c>
      <c r="G676" s="334"/>
      <c r="H676" s="331"/>
      <c r="I676" s="107"/>
      <c r="J676" s="108"/>
      <c r="K676" s="109"/>
      <c r="L676" s="108"/>
      <c r="O676" s="86"/>
      <c r="P676" s="57"/>
      <c r="Q676" s="37"/>
      <c r="R676" s="92" t="str">
        <f t="shared" si="59"/>
        <v/>
      </c>
      <c r="S676" s="52"/>
      <c r="T676" s="87"/>
      <c r="U676" s="86"/>
      <c r="V676" s="201"/>
      <c r="W676" s="37"/>
      <c r="X676" s="52"/>
      <c r="Y676" s="87"/>
      <c r="AA676" s="86"/>
      <c r="AB676" s="57"/>
      <c r="AC676" s="37"/>
      <c r="AD676" s="52"/>
      <c r="AE676" s="87"/>
      <c r="AG676" s="86"/>
      <c r="AH676" s="37"/>
      <c r="AI676" s="52"/>
      <c r="AJ676" s="87"/>
      <c r="AL676" s="86"/>
      <c r="AM676" s="37"/>
      <c r="AN676" s="52"/>
      <c r="AO676" s="87"/>
      <c r="AQ676" s="86"/>
      <c r="AR676" s="37"/>
      <c r="AS676" s="52"/>
      <c r="AT676" s="87"/>
    </row>
    <row r="677" spans="2:46" thickBot="1">
      <c r="B677" s="113"/>
      <c r="C677" s="324"/>
      <c r="D677" s="346"/>
      <c r="E677" s="326"/>
      <c r="F677" s="321" t="str">
        <f t="shared" si="60"/>
        <v/>
      </c>
      <c r="G677" s="334"/>
      <c r="H677" s="331"/>
      <c r="I677" s="107"/>
      <c r="J677" s="108"/>
      <c r="K677" s="109"/>
      <c r="L677" s="108"/>
      <c r="O677" s="86"/>
      <c r="P677" s="57"/>
      <c r="Q677" s="37"/>
      <c r="R677" s="92" t="str">
        <f t="shared" si="59"/>
        <v/>
      </c>
      <c r="S677" s="52"/>
      <c r="T677" s="87"/>
      <c r="U677" s="86"/>
      <c r="V677" s="201"/>
      <c r="W677" s="37"/>
      <c r="X677" s="52"/>
      <c r="Y677" s="87"/>
      <c r="AA677" s="86"/>
      <c r="AB677" s="57"/>
      <c r="AC677" s="37"/>
      <c r="AD677" s="52"/>
      <c r="AE677" s="87"/>
      <c r="AG677" s="86"/>
      <c r="AH677" s="37"/>
      <c r="AI677" s="52"/>
      <c r="AJ677" s="87"/>
      <c r="AL677" s="86"/>
      <c r="AM677" s="37"/>
      <c r="AN677" s="52"/>
      <c r="AO677" s="87"/>
      <c r="AQ677" s="86"/>
      <c r="AR677" s="37"/>
      <c r="AS677" s="52"/>
      <c r="AT677" s="87"/>
    </row>
    <row r="678" spans="2:46" thickBot="1">
      <c r="B678" s="113"/>
      <c r="C678" s="324"/>
      <c r="D678" s="346"/>
      <c r="E678" s="326"/>
      <c r="F678" s="321" t="str">
        <f t="shared" si="60"/>
        <v/>
      </c>
      <c r="G678" s="334"/>
      <c r="H678" s="331"/>
      <c r="I678" s="107"/>
      <c r="J678" s="108"/>
      <c r="K678" s="109"/>
      <c r="L678" s="108"/>
      <c r="O678" s="86"/>
      <c r="P678" s="57"/>
      <c r="Q678" s="37"/>
      <c r="R678" s="92" t="str">
        <f t="shared" si="59"/>
        <v/>
      </c>
      <c r="S678" s="52"/>
      <c r="T678" s="87"/>
      <c r="U678" s="86"/>
      <c r="V678" s="201"/>
      <c r="W678" s="37"/>
      <c r="X678" s="52"/>
      <c r="Y678" s="87"/>
      <c r="AA678" s="86"/>
      <c r="AB678" s="57"/>
      <c r="AC678" s="37"/>
      <c r="AD678" s="52"/>
      <c r="AE678" s="87"/>
      <c r="AG678" s="86"/>
      <c r="AH678" s="37"/>
      <c r="AI678" s="52"/>
      <c r="AJ678" s="87"/>
      <c r="AL678" s="86"/>
      <c r="AM678" s="37"/>
      <c r="AN678" s="52"/>
      <c r="AO678" s="87"/>
      <c r="AQ678" s="86"/>
      <c r="AR678" s="37"/>
      <c r="AS678" s="52"/>
      <c r="AT678" s="87"/>
    </row>
    <row r="679" spans="2:46" thickBot="1">
      <c r="B679" s="113"/>
      <c r="C679" s="324"/>
      <c r="D679" s="346"/>
      <c r="E679" s="326"/>
      <c r="F679" s="321" t="str">
        <f t="shared" si="60"/>
        <v/>
      </c>
      <c r="G679" s="334"/>
      <c r="H679" s="331"/>
      <c r="I679" s="107"/>
      <c r="J679" s="108"/>
      <c r="K679" s="109"/>
      <c r="L679" s="108"/>
      <c r="O679" s="86"/>
      <c r="P679" s="57"/>
      <c r="Q679" s="37"/>
      <c r="R679" s="92" t="str">
        <f t="shared" si="59"/>
        <v/>
      </c>
      <c r="S679" s="52"/>
      <c r="T679" s="87"/>
      <c r="U679" s="86"/>
      <c r="V679" s="201"/>
      <c r="W679" s="37"/>
      <c r="X679" s="52"/>
      <c r="Y679" s="87"/>
      <c r="AA679" s="86"/>
      <c r="AB679" s="57"/>
      <c r="AC679" s="37"/>
      <c r="AD679" s="52"/>
      <c r="AE679" s="87"/>
      <c r="AG679" s="86"/>
      <c r="AH679" s="37"/>
      <c r="AI679" s="52"/>
      <c r="AJ679" s="87"/>
      <c r="AL679" s="86"/>
      <c r="AM679" s="37"/>
      <c r="AN679" s="52"/>
      <c r="AO679" s="87"/>
      <c r="AQ679" s="86"/>
      <c r="AR679" s="37"/>
      <c r="AS679" s="52"/>
      <c r="AT679" s="87"/>
    </row>
    <row r="680" spans="2:46" thickBot="1">
      <c r="B680" s="113"/>
      <c r="C680" s="324"/>
      <c r="D680" s="346"/>
      <c r="E680" s="326"/>
      <c r="F680" s="321" t="str">
        <f t="shared" si="60"/>
        <v/>
      </c>
      <c r="G680" s="334"/>
      <c r="H680" s="331"/>
      <c r="I680" s="107"/>
      <c r="J680" s="108"/>
      <c r="K680" s="109"/>
      <c r="L680" s="108"/>
      <c r="O680" s="86"/>
      <c r="P680" s="57"/>
      <c r="Q680" s="37"/>
      <c r="R680" s="92" t="str">
        <f t="shared" si="59"/>
        <v/>
      </c>
      <c r="S680" s="52"/>
      <c r="T680" s="87"/>
      <c r="U680" s="86"/>
      <c r="V680" s="201"/>
      <c r="W680" s="37"/>
      <c r="X680" s="52"/>
      <c r="Y680" s="87"/>
      <c r="AA680" s="86"/>
      <c r="AB680" s="57"/>
      <c r="AC680" s="37"/>
      <c r="AD680" s="52"/>
      <c r="AE680" s="87"/>
      <c r="AG680" s="86"/>
      <c r="AH680" s="37"/>
      <c r="AI680" s="52"/>
      <c r="AJ680" s="87"/>
      <c r="AL680" s="86"/>
      <c r="AM680" s="37"/>
      <c r="AN680" s="52"/>
      <c r="AO680" s="87"/>
      <c r="AQ680" s="86"/>
      <c r="AR680" s="37"/>
      <c r="AS680" s="52"/>
      <c r="AT680" s="87"/>
    </row>
    <row r="681" spans="2:46" thickBot="1">
      <c r="B681" s="113"/>
      <c r="C681" s="324"/>
      <c r="D681" s="346"/>
      <c r="E681" s="326"/>
      <c r="F681" s="321" t="str">
        <f t="shared" si="60"/>
        <v/>
      </c>
      <c r="G681" s="334"/>
      <c r="H681" s="331"/>
      <c r="I681" s="107"/>
      <c r="J681" s="108"/>
      <c r="K681" s="109"/>
      <c r="L681" s="108"/>
      <c r="O681" s="86"/>
      <c r="P681" s="57"/>
      <c r="Q681" s="37"/>
      <c r="R681" s="92" t="str">
        <f t="shared" si="59"/>
        <v/>
      </c>
      <c r="S681" s="52"/>
      <c r="T681" s="87"/>
      <c r="U681" s="86"/>
      <c r="V681" s="201"/>
      <c r="W681" s="37"/>
      <c r="X681" s="52"/>
      <c r="Y681" s="87"/>
      <c r="AA681" s="86"/>
      <c r="AB681" s="57"/>
      <c r="AC681" s="37"/>
      <c r="AD681" s="52"/>
      <c r="AE681" s="87"/>
      <c r="AG681" s="86"/>
      <c r="AH681" s="37"/>
      <c r="AI681" s="52"/>
      <c r="AJ681" s="87"/>
      <c r="AL681" s="86"/>
      <c r="AM681" s="37"/>
      <c r="AN681" s="52"/>
      <c r="AO681" s="87"/>
      <c r="AQ681" s="86"/>
      <c r="AR681" s="37"/>
      <c r="AS681" s="52"/>
      <c r="AT681" s="87"/>
    </row>
    <row r="682" spans="2:46" thickBot="1">
      <c r="B682" s="113"/>
      <c r="C682" s="324"/>
      <c r="D682" s="346"/>
      <c r="E682" s="326"/>
      <c r="F682" s="321" t="str">
        <f t="shared" si="60"/>
        <v/>
      </c>
      <c r="G682" s="334"/>
      <c r="H682" s="331"/>
      <c r="I682" s="107"/>
      <c r="J682" s="108"/>
      <c r="K682" s="109"/>
      <c r="L682" s="108"/>
      <c r="O682" s="86"/>
      <c r="P682" s="57"/>
      <c r="Q682" s="37"/>
      <c r="R682" s="92" t="str">
        <f t="shared" si="59"/>
        <v/>
      </c>
      <c r="S682" s="52"/>
      <c r="T682" s="87"/>
      <c r="U682" s="86"/>
      <c r="V682" s="201"/>
      <c r="W682" s="37"/>
      <c r="X682" s="52"/>
      <c r="Y682" s="87"/>
      <c r="AA682" s="86"/>
      <c r="AB682" s="57"/>
      <c r="AC682" s="37"/>
      <c r="AD682" s="52"/>
      <c r="AE682" s="87"/>
      <c r="AG682" s="86"/>
      <c r="AH682" s="37"/>
      <c r="AI682" s="52"/>
      <c r="AJ682" s="87"/>
      <c r="AL682" s="86"/>
      <c r="AM682" s="37"/>
      <c r="AN682" s="52"/>
      <c r="AO682" s="87"/>
      <c r="AQ682" s="86"/>
      <c r="AR682" s="37"/>
      <c r="AS682" s="52"/>
      <c r="AT682" s="87"/>
    </row>
    <row r="683" spans="2:46" thickBot="1">
      <c r="B683" s="113"/>
      <c r="C683" s="324"/>
      <c r="D683" s="346"/>
      <c r="E683" s="326"/>
      <c r="F683" s="321" t="str">
        <f t="shared" si="60"/>
        <v/>
      </c>
      <c r="G683" s="334"/>
      <c r="H683" s="331"/>
      <c r="I683" s="107"/>
      <c r="J683" s="108"/>
      <c r="K683" s="109"/>
      <c r="L683" s="108"/>
      <c r="O683" s="86"/>
      <c r="P683" s="57"/>
      <c r="Q683" s="37"/>
      <c r="R683" s="92" t="str">
        <f t="shared" ref="R683:R746" si="61">IF(Q683="","",ROUND(S683*(1+$F$2),2))</f>
        <v/>
      </c>
      <c r="S683" s="52"/>
      <c r="T683" s="87"/>
      <c r="U683" s="86"/>
      <c r="V683" s="201"/>
      <c r="W683" s="37"/>
      <c r="X683" s="52"/>
      <c r="Y683" s="87"/>
      <c r="AA683" s="86"/>
      <c r="AB683" s="57"/>
      <c r="AC683" s="37"/>
      <c r="AD683" s="52"/>
      <c r="AE683" s="87"/>
      <c r="AG683" s="86"/>
      <c r="AH683" s="37"/>
      <c r="AI683" s="52"/>
      <c r="AJ683" s="87"/>
      <c r="AL683" s="86"/>
      <c r="AM683" s="37"/>
      <c r="AN683" s="52"/>
      <c r="AO683" s="87"/>
      <c r="AQ683" s="86"/>
      <c r="AR683" s="37"/>
      <c r="AS683" s="52"/>
      <c r="AT683" s="87"/>
    </row>
    <row r="684" spans="2:46" thickBot="1">
      <c r="B684" s="113"/>
      <c r="C684" s="324"/>
      <c r="D684" s="346"/>
      <c r="E684" s="326"/>
      <c r="F684" s="321" t="str">
        <f t="shared" si="60"/>
        <v/>
      </c>
      <c r="G684" s="334"/>
      <c r="H684" s="331"/>
      <c r="I684" s="107"/>
      <c r="J684" s="108"/>
      <c r="K684" s="109"/>
      <c r="L684" s="108"/>
      <c r="O684" s="86"/>
      <c r="P684" s="57"/>
      <c r="Q684" s="37"/>
      <c r="R684" s="92" t="str">
        <f t="shared" si="61"/>
        <v/>
      </c>
      <c r="S684" s="52"/>
      <c r="T684" s="87"/>
      <c r="U684" s="86"/>
      <c r="V684" s="201"/>
      <c r="W684" s="37"/>
      <c r="X684" s="52"/>
      <c r="Y684" s="87"/>
      <c r="AA684" s="86"/>
      <c r="AB684" s="57"/>
      <c r="AC684" s="37"/>
      <c r="AD684" s="52"/>
      <c r="AE684" s="87"/>
      <c r="AG684" s="86"/>
      <c r="AH684" s="37"/>
      <c r="AI684" s="52"/>
      <c r="AJ684" s="87"/>
      <c r="AL684" s="86"/>
      <c r="AM684" s="37"/>
      <c r="AN684" s="52"/>
      <c r="AO684" s="87"/>
      <c r="AQ684" s="86"/>
      <c r="AR684" s="37"/>
      <c r="AS684" s="52"/>
      <c r="AT684" s="87"/>
    </row>
    <row r="685" spans="2:46" thickBot="1">
      <c r="B685" s="113"/>
      <c r="C685" s="324"/>
      <c r="D685" s="346"/>
      <c r="E685" s="326"/>
      <c r="F685" s="321" t="str">
        <f t="shared" si="60"/>
        <v/>
      </c>
      <c r="G685" s="334"/>
      <c r="H685" s="331"/>
      <c r="I685" s="107"/>
      <c r="J685" s="108"/>
      <c r="K685" s="109"/>
      <c r="L685" s="108"/>
      <c r="O685" s="86"/>
      <c r="P685" s="57"/>
      <c r="Q685" s="37"/>
      <c r="R685" s="92" t="str">
        <f t="shared" si="61"/>
        <v/>
      </c>
      <c r="S685" s="52"/>
      <c r="T685" s="87"/>
      <c r="U685" s="86"/>
      <c r="V685" s="201"/>
      <c r="W685" s="37"/>
      <c r="X685" s="52"/>
      <c r="Y685" s="87"/>
      <c r="AA685" s="86"/>
      <c r="AB685" s="57"/>
      <c r="AC685" s="37"/>
      <c r="AD685" s="52"/>
      <c r="AE685" s="87"/>
      <c r="AG685" s="86"/>
      <c r="AH685" s="37"/>
      <c r="AI685" s="52"/>
      <c r="AJ685" s="87"/>
      <c r="AL685" s="86"/>
      <c r="AM685" s="37"/>
      <c r="AN685" s="52"/>
      <c r="AO685" s="87"/>
      <c r="AQ685" s="86"/>
      <c r="AR685" s="37"/>
      <c r="AS685" s="52"/>
      <c r="AT685" s="87"/>
    </row>
    <row r="686" spans="2:46" thickBot="1">
      <c r="B686" s="113"/>
      <c r="C686" s="324"/>
      <c r="D686" s="346"/>
      <c r="E686" s="326"/>
      <c r="F686" s="321" t="str">
        <f t="shared" si="60"/>
        <v/>
      </c>
      <c r="G686" s="334"/>
      <c r="H686" s="331"/>
      <c r="I686" s="107"/>
      <c r="J686" s="108"/>
      <c r="K686" s="109"/>
      <c r="L686" s="108"/>
      <c r="O686" s="86"/>
      <c r="P686" s="57"/>
      <c r="Q686" s="37"/>
      <c r="R686" s="92" t="str">
        <f t="shared" si="61"/>
        <v/>
      </c>
      <c r="S686" s="52"/>
      <c r="T686" s="87"/>
      <c r="U686" s="86"/>
      <c r="V686" s="201"/>
      <c r="W686" s="37"/>
      <c r="X686" s="52"/>
      <c r="Y686" s="87"/>
      <c r="AA686" s="86"/>
      <c r="AB686" s="57"/>
      <c r="AC686" s="37"/>
      <c r="AD686" s="52"/>
      <c r="AE686" s="87"/>
      <c r="AG686" s="86"/>
      <c r="AH686" s="37"/>
      <c r="AI686" s="52"/>
      <c r="AJ686" s="87"/>
      <c r="AL686" s="86"/>
      <c r="AM686" s="37"/>
      <c r="AN686" s="52"/>
      <c r="AO686" s="87"/>
      <c r="AQ686" s="86"/>
      <c r="AR686" s="37"/>
      <c r="AS686" s="52"/>
      <c r="AT686" s="87"/>
    </row>
    <row r="687" spans="2:46" thickBot="1">
      <c r="B687" s="113"/>
      <c r="C687" s="324"/>
      <c r="D687" s="346"/>
      <c r="E687" s="326"/>
      <c r="F687" s="321" t="str">
        <f t="shared" si="60"/>
        <v/>
      </c>
      <c r="G687" s="334"/>
      <c r="H687" s="331"/>
      <c r="I687" s="107"/>
      <c r="J687" s="108"/>
      <c r="K687" s="109"/>
      <c r="L687" s="108"/>
      <c r="O687" s="86"/>
      <c r="P687" s="57"/>
      <c r="Q687" s="37"/>
      <c r="R687" s="92" t="str">
        <f t="shared" si="61"/>
        <v/>
      </c>
      <c r="S687" s="52"/>
      <c r="T687" s="87"/>
      <c r="U687" s="86"/>
      <c r="V687" s="201"/>
      <c r="W687" s="37"/>
      <c r="X687" s="52"/>
      <c r="Y687" s="87"/>
      <c r="AA687" s="86"/>
      <c r="AB687" s="57"/>
      <c r="AC687" s="37"/>
      <c r="AD687" s="52"/>
      <c r="AE687" s="87"/>
      <c r="AG687" s="86"/>
      <c r="AH687" s="37"/>
      <c r="AI687" s="52"/>
      <c r="AJ687" s="87"/>
      <c r="AL687" s="86"/>
      <c r="AM687" s="37"/>
      <c r="AN687" s="52"/>
      <c r="AO687" s="87"/>
      <c r="AQ687" s="86"/>
      <c r="AR687" s="37"/>
      <c r="AS687" s="52"/>
      <c r="AT687" s="87"/>
    </row>
    <row r="688" spans="2:46" thickBot="1">
      <c r="B688" s="113"/>
      <c r="C688" s="324"/>
      <c r="D688" s="346"/>
      <c r="E688" s="326"/>
      <c r="F688" s="321" t="str">
        <f t="shared" si="60"/>
        <v/>
      </c>
      <c r="G688" s="334"/>
      <c r="H688" s="331"/>
      <c r="I688" s="107"/>
      <c r="J688" s="108"/>
      <c r="K688" s="109"/>
      <c r="L688" s="108"/>
      <c r="O688" s="86"/>
      <c r="P688" s="57"/>
      <c r="Q688" s="37"/>
      <c r="R688" s="92" t="str">
        <f t="shared" si="61"/>
        <v/>
      </c>
      <c r="S688" s="52"/>
      <c r="T688" s="87"/>
      <c r="U688" s="86"/>
      <c r="V688" s="201"/>
      <c r="W688" s="37"/>
      <c r="X688" s="52"/>
      <c r="Y688" s="87"/>
      <c r="AA688" s="86"/>
      <c r="AB688" s="57"/>
      <c r="AC688" s="37"/>
      <c r="AD688" s="52"/>
      <c r="AE688" s="87"/>
      <c r="AG688" s="86"/>
      <c r="AH688" s="37"/>
      <c r="AI688" s="52"/>
      <c r="AJ688" s="87"/>
      <c r="AL688" s="86"/>
      <c r="AM688" s="37"/>
      <c r="AN688" s="52"/>
      <c r="AO688" s="87"/>
      <c r="AQ688" s="86"/>
      <c r="AR688" s="37"/>
      <c r="AS688" s="52"/>
      <c r="AT688" s="87"/>
    </row>
    <row r="689" spans="2:46" thickBot="1">
      <c r="B689" s="113"/>
      <c r="C689" s="324"/>
      <c r="D689" s="346"/>
      <c r="E689" s="326"/>
      <c r="F689" s="321" t="str">
        <f t="shared" si="60"/>
        <v/>
      </c>
      <c r="G689" s="334"/>
      <c r="H689" s="331"/>
      <c r="I689" s="107"/>
      <c r="J689" s="108"/>
      <c r="K689" s="109"/>
      <c r="L689" s="108"/>
      <c r="O689" s="86"/>
      <c r="P689" s="57"/>
      <c r="Q689" s="37"/>
      <c r="R689" s="92" t="str">
        <f t="shared" si="61"/>
        <v/>
      </c>
      <c r="S689" s="52"/>
      <c r="T689" s="87"/>
      <c r="U689" s="86"/>
      <c r="V689" s="201"/>
      <c r="W689" s="37"/>
      <c r="X689" s="52"/>
      <c r="Y689" s="87"/>
      <c r="AA689" s="86"/>
      <c r="AB689" s="57"/>
      <c r="AC689" s="37"/>
      <c r="AD689" s="52"/>
      <c r="AE689" s="87"/>
      <c r="AG689" s="86"/>
      <c r="AH689" s="37"/>
      <c r="AI689" s="52"/>
      <c r="AJ689" s="87"/>
      <c r="AL689" s="86"/>
      <c r="AM689" s="37"/>
      <c r="AN689" s="52"/>
      <c r="AO689" s="87"/>
      <c r="AQ689" s="86"/>
      <c r="AR689" s="37"/>
      <c r="AS689" s="52"/>
      <c r="AT689" s="87"/>
    </row>
    <row r="690" spans="2:46" thickBot="1">
      <c r="B690" s="113"/>
      <c r="C690" s="324"/>
      <c r="D690" s="346"/>
      <c r="E690" s="326"/>
      <c r="F690" s="321" t="str">
        <f t="shared" si="60"/>
        <v/>
      </c>
      <c r="G690" s="334"/>
      <c r="H690" s="331"/>
      <c r="I690" s="107"/>
      <c r="J690" s="108"/>
      <c r="K690" s="109"/>
      <c r="L690" s="108"/>
      <c r="O690" s="86"/>
      <c r="P690" s="57"/>
      <c r="Q690" s="37"/>
      <c r="R690" s="92" t="str">
        <f t="shared" si="61"/>
        <v/>
      </c>
      <c r="S690" s="52"/>
      <c r="T690" s="87"/>
      <c r="U690" s="86"/>
      <c r="V690" s="201"/>
      <c r="W690" s="37"/>
      <c r="X690" s="52"/>
      <c r="Y690" s="87"/>
      <c r="AA690" s="86"/>
      <c r="AB690" s="57"/>
      <c r="AC690" s="37"/>
      <c r="AD690" s="52"/>
      <c r="AE690" s="87"/>
      <c r="AG690" s="86"/>
      <c r="AH690" s="37"/>
      <c r="AI690" s="52"/>
      <c r="AJ690" s="87"/>
      <c r="AL690" s="86"/>
      <c r="AM690" s="37"/>
      <c r="AN690" s="52"/>
      <c r="AO690" s="87"/>
      <c r="AQ690" s="86"/>
      <c r="AR690" s="37"/>
      <c r="AS690" s="52"/>
      <c r="AT690" s="87"/>
    </row>
    <row r="691" spans="2:46" thickBot="1">
      <c r="B691" s="113"/>
      <c r="C691" s="324"/>
      <c r="D691" s="346"/>
      <c r="E691" s="326"/>
      <c r="F691" s="321" t="str">
        <f t="shared" si="60"/>
        <v/>
      </c>
      <c r="G691" s="334"/>
      <c r="H691" s="331"/>
      <c r="I691" s="107"/>
      <c r="J691" s="108"/>
      <c r="K691" s="109"/>
      <c r="L691" s="108"/>
      <c r="O691" s="86"/>
      <c r="P691" s="57"/>
      <c r="Q691" s="37"/>
      <c r="R691" s="92" t="str">
        <f t="shared" si="61"/>
        <v/>
      </c>
      <c r="S691" s="52"/>
      <c r="T691" s="87"/>
      <c r="U691" s="86"/>
      <c r="V691" s="201"/>
      <c r="W691" s="37"/>
      <c r="X691" s="52"/>
      <c r="Y691" s="87"/>
      <c r="AA691" s="86"/>
      <c r="AB691" s="57"/>
      <c r="AC691" s="37"/>
      <c r="AD691" s="52"/>
      <c r="AE691" s="87"/>
      <c r="AG691" s="86"/>
      <c r="AH691" s="37"/>
      <c r="AI691" s="52"/>
      <c r="AJ691" s="87"/>
      <c r="AL691" s="86"/>
      <c r="AM691" s="37"/>
      <c r="AN691" s="52"/>
      <c r="AO691" s="87"/>
      <c r="AQ691" s="86"/>
      <c r="AR691" s="37"/>
      <c r="AS691" s="52"/>
      <c r="AT691" s="87"/>
    </row>
    <row r="692" spans="2:46" thickBot="1">
      <c r="B692" s="113"/>
      <c r="C692" s="324"/>
      <c r="D692" s="346"/>
      <c r="E692" s="326"/>
      <c r="F692" s="321" t="str">
        <f t="shared" si="60"/>
        <v/>
      </c>
      <c r="G692" s="334"/>
      <c r="H692" s="331"/>
      <c r="I692" s="107"/>
      <c r="J692" s="108"/>
      <c r="K692" s="109"/>
      <c r="L692" s="108"/>
      <c r="O692" s="86"/>
      <c r="P692" s="57"/>
      <c r="Q692" s="37"/>
      <c r="R692" s="92" t="str">
        <f t="shared" si="61"/>
        <v/>
      </c>
      <c r="S692" s="52"/>
      <c r="T692" s="87"/>
      <c r="U692" s="86"/>
      <c r="V692" s="201"/>
      <c r="W692" s="37"/>
      <c r="X692" s="52"/>
      <c r="Y692" s="87"/>
      <c r="AA692" s="86"/>
      <c r="AB692" s="57"/>
      <c r="AC692" s="37"/>
      <c r="AD692" s="52"/>
      <c r="AE692" s="87"/>
      <c r="AG692" s="86"/>
      <c r="AH692" s="37"/>
      <c r="AI692" s="52"/>
      <c r="AJ692" s="87"/>
      <c r="AL692" s="86"/>
      <c r="AM692" s="37"/>
      <c r="AN692" s="52"/>
      <c r="AO692" s="87"/>
      <c r="AQ692" s="86"/>
      <c r="AR692" s="37"/>
      <c r="AS692" s="52"/>
      <c r="AT692" s="87"/>
    </row>
    <row r="693" spans="2:46" thickBot="1">
      <c r="B693" s="113"/>
      <c r="C693" s="324"/>
      <c r="D693" s="346"/>
      <c r="E693" s="326"/>
      <c r="F693" s="321" t="str">
        <f t="shared" si="60"/>
        <v/>
      </c>
      <c r="G693" s="334"/>
      <c r="H693" s="331"/>
      <c r="I693" s="107"/>
      <c r="J693" s="108"/>
      <c r="K693" s="109"/>
      <c r="L693" s="108"/>
      <c r="O693" s="86"/>
      <c r="P693" s="57"/>
      <c r="Q693" s="37"/>
      <c r="R693" s="92" t="str">
        <f t="shared" si="61"/>
        <v/>
      </c>
      <c r="S693" s="52"/>
      <c r="T693" s="87"/>
      <c r="U693" s="86"/>
      <c r="V693" s="201"/>
      <c r="W693" s="37"/>
      <c r="X693" s="52"/>
      <c r="Y693" s="87"/>
      <c r="AA693" s="86"/>
      <c r="AB693" s="57"/>
      <c r="AC693" s="37"/>
      <c r="AD693" s="52"/>
      <c r="AE693" s="87"/>
      <c r="AG693" s="86"/>
      <c r="AH693" s="37"/>
      <c r="AI693" s="52"/>
      <c r="AJ693" s="87"/>
      <c r="AL693" s="86"/>
      <c r="AM693" s="37"/>
      <c r="AN693" s="52"/>
      <c r="AO693" s="87"/>
      <c r="AQ693" s="86"/>
      <c r="AR693" s="37"/>
      <c r="AS693" s="52"/>
      <c r="AT693" s="87"/>
    </row>
    <row r="694" spans="2:46" thickBot="1">
      <c r="B694" s="113"/>
      <c r="C694" s="324"/>
      <c r="D694" s="346"/>
      <c r="E694" s="326"/>
      <c r="F694" s="321" t="str">
        <f t="shared" si="60"/>
        <v/>
      </c>
      <c r="G694" s="334"/>
      <c r="H694" s="331"/>
      <c r="I694" s="107"/>
      <c r="J694" s="108"/>
      <c r="K694" s="109"/>
      <c r="L694" s="108"/>
      <c r="O694" s="86"/>
      <c r="P694" s="57"/>
      <c r="Q694" s="37"/>
      <c r="R694" s="92" t="str">
        <f t="shared" si="61"/>
        <v/>
      </c>
      <c r="S694" s="52"/>
      <c r="T694" s="87"/>
      <c r="U694" s="86"/>
      <c r="V694" s="201"/>
      <c r="W694" s="37"/>
      <c r="X694" s="52"/>
      <c r="Y694" s="87"/>
      <c r="AA694" s="86"/>
      <c r="AB694" s="57"/>
      <c r="AC694" s="37"/>
      <c r="AD694" s="52"/>
      <c r="AE694" s="87"/>
      <c r="AG694" s="86"/>
      <c r="AH694" s="37"/>
      <c r="AI694" s="52"/>
      <c r="AJ694" s="87"/>
      <c r="AL694" s="86"/>
      <c r="AM694" s="37"/>
      <c r="AN694" s="52"/>
      <c r="AO694" s="87"/>
      <c r="AQ694" s="86"/>
      <c r="AR694" s="37"/>
      <c r="AS694" s="52"/>
      <c r="AT694" s="87"/>
    </row>
    <row r="695" spans="2:46" thickBot="1">
      <c r="B695" s="113"/>
      <c r="C695" s="324"/>
      <c r="D695" s="346"/>
      <c r="E695" s="326"/>
      <c r="F695" s="321" t="str">
        <f t="shared" si="60"/>
        <v/>
      </c>
      <c r="G695" s="334"/>
      <c r="H695" s="331"/>
      <c r="I695" s="107"/>
      <c r="J695" s="108"/>
      <c r="K695" s="109"/>
      <c r="L695" s="108"/>
      <c r="O695" s="86"/>
      <c r="P695" s="57"/>
      <c r="Q695" s="37"/>
      <c r="R695" s="92" t="str">
        <f t="shared" si="61"/>
        <v/>
      </c>
      <c r="S695" s="52"/>
      <c r="T695" s="87"/>
      <c r="U695" s="86"/>
      <c r="V695" s="201"/>
      <c r="W695" s="37"/>
      <c r="X695" s="52"/>
      <c r="Y695" s="87"/>
      <c r="AA695" s="86"/>
      <c r="AB695" s="57"/>
      <c r="AC695" s="37"/>
      <c r="AD695" s="52"/>
      <c r="AE695" s="87"/>
      <c r="AG695" s="86"/>
      <c r="AH695" s="37"/>
      <c r="AI695" s="52"/>
      <c r="AJ695" s="87"/>
      <c r="AL695" s="86"/>
      <c r="AM695" s="37"/>
      <c r="AN695" s="52"/>
      <c r="AO695" s="87"/>
      <c r="AQ695" s="86"/>
      <c r="AR695" s="37"/>
      <c r="AS695" s="52"/>
      <c r="AT695" s="87"/>
    </row>
    <row r="696" spans="2:46" thickBot="1">
      <c r="B696" s="113"/>
      <c r="C696" s="324"/>
      <c r="D696" s="346"/>
      <c r="E696" s="326"/>
      <c r="F696" s="321" t="str">
        <f t="shared" si="60"/>
        <v/>
      </c>
      <c r="G696" s="334"/>
      <c r="H696" s="331"/>
      <c r="I696" s="107"/>
      <c r="J696" s="108"/>
      <c r="K696" s="109"/>
      <c r="L696" s="108"/>
      <c r="O696" s="86"/>
      <c r="P696" s="57"/>
      <c r="Q696" s="37"/>
      <c r="R696" s="92" t="str">
        <f t="shared" si="61"/>
        <v/>
      </c>
      <c r="S696" s="52"/>
      <c r="T696" s="87"/>
      <c r="U696" s="86"/>
      <c r="V696" s="201"/>
      <c r="W696" s="37"/>
      <c r="X696" s="52"/>
      <c r="Y696" s="87"/>
      <c r="AA696" s="86"/>
      <c r="AB696" s="57"/>
      <c r="AC696" s="37"/>
      <c r="AD696" s="52"/>
      <c r="AE696" s="87"/>
      <c r="AG696" s="86"/>
      <c r="AH696" s="37"/>
      <c r="AI696" s="52"/>
      <c r="AJ696" s="87"/>
      <c r="AL696" s="86"/>
      <c r="AM696" s="37"/>
      <c r="AN696" s="52"/>
      <c r="AO696" s="87"/>
      <c r="AQ696" s="86"/>
      <c r="AR696" s="37"/>
      <c r="AS696" s="52"/>
      <c r="AT696" s="87"/>
    </row>
    <row r="697" spans="2:46" thickBot="1">
      <c r="B697" s="113"/>
      <c r="C697" s="324"/>
      <c r="D697" s="346"/>
      <c r="E697" s="326"/>
      <c r="F697" s="321" t="str">
        <f t="shared" si="60"/>
        <v/>
      </c>
      <c r="G697" s="334"/>
      <c r="H697" s="331"/>
      <c r="I697" s="107"/>
      <c r="J697" s="108"/>
      <c r="K697" s="109"/>
      <c r="L697" s="108"/>
      <c r="O697" s="86"/>
      <c r="P697" s="57"/>
      <c r="Q697" s="37"/>
      <c r="R697" s="92" t="str">
        <f t="shared" si="61"/>
        <v/>
      </c>
      <c r="S697" s="52"/>
      <c r="T697" s="87"/>
      <c r="U697" s="86"/>
      <c r="V697" s="201"/>
      <c r="W697" s="37"/>
      <c r="X697" s="52"/>
      <c r="Y697" s="87"/>
      <c r="AA697" s="86"/>
      <c r="AB697" s="57"/>
      <c r="AC697" s="37"/>
      <c r="AD697" s="52"/>
      <c r="AE697" s="87"/>
      <c r="AG697" s="86"/>
      <c r="AH697" s="37"/>
      <c r="AI697" s="52"/>
      <c r="AJ697" s="87"/>
      <c r="AL697" s="86"/>
      <c r="AM697" s="37"/>
      <c r="AN697" s="52"/>
      <c r="AO697" s="87"/>
      <c r="AQ697" s="86"/>
      <c r="AR697" s="37"/>
      <c r="AS697" s="52"/>
      <c r="AT697" s="87"/>
    </row>
    <row r="698" spans="2:46" thickBot="1">
      <c r="B698" s="113"/>
      <c r="C698" s="324"/>
      <c r="D698" s="346"/>
      <c r="E698" s="326"/>
      <c r="F698" s="321" t="str">
        <f t="shared" si="60"/>
        <v/>
      </c>
      <c r="G698" s="334"/>
      <c r="H698" s="331"/>
      <c r="I698" s="107"/>
      <c r="J698" s="108"/>
      <c r="K698" s="109"/>
      <c r="L698" s="108"/>
      <c r="O698" s="86"/>
      <c r="P698" s="57"/>
      <c r="Q698" s="37"/>
      <c r="R698" s="92" t="str">
        <f t="shared" si="61"/>
        <v/>
      </c>
      <c r="S698" s="52"/>
      <c r="T698" s="87"/>
      <c r="U698" s="86"/>
      <c r="V698" s="201"/>
      <c r="W698" s="37"/>
      <c r="X698" s="52"/>
      <c r="Y698" s="87"/>
      <c r="AA698" s="86"/>
      <c r="AB698" s="57"/>
      <c r="AC698" s="37"/>
      <c r="AD698" s="52"/>
      <c r="AE698" s="87"/>
      <c r="AG698" s="86"/>
      <c r="AH698" s="37"/>
      <c r="AI698" s="52"/>
      <c r="AJ698" s="87"/>
      <c r="AL698" s="86"/>
      <c r="AM698" s="37"/>
      <c r="AN698" s="52"/>
      <c r="AO698" s="87"/>
      <c r="AQ698" s="86"/>
      <c r="AR698" s="37"/>
      <c r="AS698" s="52"/>
      <c r="AT698" s="87"/>
    </row>
    <row r="699" spans="2:46" thickBot="1">
      <c r="B699" s="113"/>
      <c r="C699" s="324"/>
      <c r="D699" s="346"/>
      <c r="E699" s="326"/>
      <c r="F699" s="321" t="str">
        <f t="shared" si="60"/>
        <v/>
      </c>
      <c r="G699" s="334"/>
      <c r="H699" s="331"/>
      <c r="I699" s="107"/>
      <c r="J699" s="108"/>
      <c r="K699" s="109"/>
      <c r="L699" s="108"/>
      <c r="O699" s="86"/>
      <c r="P699" s="57"/>
      <c r="Q699" s="37"/>
      <c r="R699" s="92" t="str">
        <f t="shared" si="61"/>
        <v/>
      </c>
      <c r="S699" s="52"/>
      <c r="T699" s="87"/>
      <c r="U699" s="86"/>
      <c r="V699" s="201"/>
      <c r="W699" s="37"/>
      <c r="X699" s="52"/>
      <c r="Y699" s="87"/>
      <c r="AA699" s="86"/>
      <c r="AB699" s="57"/>
      <c r="AC699" s="37"/>
      <c r="AD699" s="52"/>
      <c r="AE699" s="87"/>
      <c r="AG699" s="86"/>
      <c r="AH699" s="37"/>
      <c r="AI699" s="52"/>
      <c r="AJ699" s="87"/>
      <c r="AL699" s="86"/>
      <c r="AM699" s="37"/>
      <c r="AN699" s="52"/>
      <c r="AO699" s="87"/>
      <c r="AQ699" s="86"/>
      <c r="AR699" s="37"/>
      <c r="AS699" s="52"/>
      <c r="AT699" s="87"/>
    </row>
    <row r="700" spans="2:46" thickBot="1">
      <c r="B700" s="113"/>
      <c r="C700" s="324"/>
      <c r="D700" s="346"/>
      <c r="E700" s="326"/>
      <c r="F700" s="321" t="str">
        <f t="shared" si="60"/>
        <v/>
      </c>
      <c r="G700" s="334"/>
      <c r="H700" s="331"/>
      <c r="I700" s="107"/>
      <c r="J700" s="108"/>
      <c r="K700" s="109"/>
      <c r="L700" s="108"/>
      <c r="O700" s="86"/>
      <c r="P700" s="57"/>
      <c r="Q700" s="37"/>
      <c r="R700" s="92" t="str">
        <f t="shared" si="61"/>
        <v/>
      </c>
      <c r="S700" s="52"/>
      <c r="T700" s="87"/>
      <c r="U700" s="86"/>
      <c r="V700" s="201"/>
      <c r="W700" s="37"/>
      <c r="X700" s="52"/>
      <c r="Y700" s="87"/>
      <c r="AA700" s="86"/>
      <c r="AB700" s="57"/>
      <c r="AC700" s="37"/>
      <c r="AD700" s="52"/>
      <c r="AE700" s="87"/>
      <c r="AG700" s="86"/>
      <c r="AH700" s="37"/>
      <c r="AI700" s="52"/>
      <c r="AJ700" s="87"/>
      <c r="AL700" s="86"/>
      <c r="AM700" s="37"/>
      <c r="AN700" s="52"/>
      <c r="AO700" s="87"/>
      <c r="AQ700" s="86"/>
      <c r="AR700" s="37"/>
      <c r="AS700" s="52"/>
      <c r="AT700" s="87"/>
    </row>
    <row r="701" spans="2:46" thickBot="1">
      <c r="B701" s="113"/>
      <c r="C701" s="324"/>
      <c r="D701" s="346"/>
      <c r="E701" s="326"/>
      <c r="F701" s="321" t="str">
        <f t="shared" si="60"/>
        <v/>
      </c>
      <c r="G701" s="334"/>
      <c r="H701" s="331"/>
      <c r="I701" s="107"/>
      <c r="J701" s="108"/>
      <c r="K701" s="109"/>
      <c r="L701" s="108"/>
      <c r="O701" s="86"/>
      <c r="P701" s="57"/>
      <c r="Q701" s="37"/>
      <c r="R701" s="92" t="str">
        <f t="shared" si="61"/>
        <v/>
      </c>
      <c r="S701" s="52"/>
      <c r="T701" s="87"/>
      <c r="U701" s="86"/>
      <c r="V701" s="201"/>
      <c r="W701" s="37"/>
      <c r="X701" s="52"/>
      <c r="Y701" s="87"/>
      <c r="AA701" s="86"/>
      <c r="AB701" s="57"/>
      <c r="AC701" s="37"/>
      <c r="AD701" s="52"/>
      <c r="AE701" s="87"/>
      <c r="AG701" s="86"/>
      <c r="AH701" s="37"/>
      <c r="AI701" s="52"/>
      <c r="AJ701" s="87"/>
      <c r="AL701" s="86"/>
      <c r="AM701" s="37"/>
      <c r="AN701" s="52"/>
      <c r="AO701" s="87"/>
      <c r="AQ701" s="86"/>
      <c r="AR701" s="37"/>
      <c r="AS701" s="52"/>
      <c r="AT701" s="87"/>
    </row>
    <row r="702" spans="2:46" thickBot="1">
      <c r="B702" s="113"/>
      <c r="C702" s="324"/>
      <c r="D702" s="346"/>
      <c r="E702" s="326"/>
      <c r="F702" s="321" t="str">
        <f t="shared" si="60"/>
        <v/>
      </c>
      <c r="G702" s="334"/>
      <c r="H702" s="331"/>
      <c r="I702" s="107"/>
      <c r="J702" s="108"/>
      <c r="K702" s="109"/>
      <c r="L702" s="108"/>
      <c r="O702" s="86"/>
      <c r="P702" s="57"/>
      <c r="Q702" s="37"/>
      <c r="R702" s="92" t="str">
        <f t="shared" si="61"/>
        <v/>
      </c>
      <c r="S702" s="52"/>
      <c r="T702" s="87"/>
      <c r="U702" s="86"/>
      <c r="V702" s="201"/>
      <c r="W702" s="37"/>
      <c r="X702" s="52"/>
      <c r="Y702" s="87"/>
      <c r="AA702" s="86"/>
      <c r="AB702" s="57"/>
      <c r="AC702" s="37"/>
      <c r="AD702" s="52"/>
      <c r="AE702" s="87"/>
      <c r="AG702" s="86"/>
      <c r="AH702" s="37"/>
      <c r="AI702" s="52"/>
      <c r="AJ702" s="87"/>
      <c r="AL702" s="86"/>
      <c r="AM702" s="37"/>
      <c r="AN702" s="52"/>
      <c r="AO702" s="87"/>
      <c r="AQ702" s="86"/>
      <c r="AR702" s="37"/>
      <c r="AS702" s="52"/>
      <c r="AT702" s="87"/>
    </row>
    <row r="703" spans="2:46" thickBot="1">
      <c r="B703" s="113"/>
      <c r="C703" s="324"/>
      <c r="D703" s="346"/>
      <c r="E703" s="326"/>
      <c r="F703" s="321" t="str">
        <f t="shared" si="60"/>
        <v/>
      </c>
      <c r="G703" s="334"/>
      <c r="H703" s="331"/>
      <c r="I703" s="107"/>
      <c r="J703" s="108"/>
      <c r="K703" s="109"/>
      <c r="L703" s="108"/>
      <c r="O703" s="86"/>
      <c r="P703" s="57"/>
      <c r="Q703" s="37"/>
      <c r="R703" s="92" t="str">
        <f t="shared" si="61"/>
        <v/>
      </c>
      <c r="S703" s="52"/>
      <c r="T703" s="87"/>
      <c r="U703" s="86"/>
      <c r="V703" s="201"/>
      <c r="W703" s="37"/>
      <c r="X703" s="52"/>
      <c r="Y703" s="87"/>
      <c r="AA703" s="86"/>
      <c r="AB703" s="57"/>
      <c r="AC703" s="37"/>
      <c r="AD703" s="52"/>
      <c r="AE703" s="87"/>
      <c r="AG703" s="86"/>
      <c r="AH703" s="37"/>
      <c r="AI703" s="52"/>
      <c r="AJ703" s="87"/>
      <c r="AL703" s="86"/>
      <c r="AM703" s="37"/>
      <c r="AN703" s="52"/>
      <c r="AO703" s="87"/>
      <c r="AQ703" s="86"/>
      <c r="AR703" s="37"/>
      <c r="AS703" s="52"/>
      <c r="AT703" s="87"/>
    </row>
    <row r="704" spans="2:46" thickBot="1">
      <c r="B704" s="113"/>
      <c r="C704" s="324"/>
      <c r="D704" s="346"/>
      <c r="E704" s="326"/>
      <c r="F704" s="321" t="str">
        <f t="shared" si="60"/>
        <v/>
      </c>
      <c r="G704" s="334"/>
      <c r="H704" s="331"/>
      <c r="I704" s="107"/>
      <c r="J704" s="108"/>
      <c r="K704" s="109"/>
      <c r="L704" s="108"/>
      <c r="O704" s="86"/>
      <c r="P704" s="57"/>
      <c r="Q704" s="37"/>
      <c r="R704" s="92" t="str">
        <f t="shared" si="61"/>
        <v/>
      </c>
      <c r="S704" s="52"/>
      <c r="T704" s="87"/>
      <c r="U704" s="86"/>
      <c r="V704" s="201"/>
      <c r="W704" s="37"/>
      <c r="X704" s="52"/>
      <c r="Y704" s="87"/>
      <c r="AA704" s="86"/>
      <c r="AB704" s="57"/>
      <c r="AC704" s="37"/>
      <c r="AD704" s="52"/>
      <c r="AE704" s="87"/>
      <c r="AG704" s="86"/>
      <c r="AH704" s="37"/>
      <c r="AI704" s="52"/>
      <c r="AJ704" s="87"/>
      <c r="AL704" s="86"/>
      <c r="AM704" s="37"/>
      <c r="AN704" s="52"/>
      <c r="AO704" s="87"/>
      <c r="AQ704" s="86"/>
      <c r="AR704" s="37"/>
      <c r="AS704" s="52"/>
      <c r="AT704" s="87"/>
    </row>
    <row r="705" spans="2:46" thickBot="1">
      <c r="B705" s="113"/>
      <c r="C705" s="324"/>
      <c r="D705" s="346"/>
      <c r="E705" s="326"/>
      <c r="F705" s="321" t="str">
        <f t="shared" si="60"/>
        <v/>
      </c>
      <c r="G705" s="334"/>
      <c r="H705" s="331"/>
      <c r="I705" s="107"/>
      <c r="J705" s="108"/>
      <c r="K705" s="109"/>
      <c r="L705" s="108"/>
      <c r="O705" s="86"/>
      <c r="P705" s="57"/>
      <c r="Q705" s="37"/>
      <c r="R705" s="92" t="str">
        <f t="shared" si="61"/>
        <v/>
      </c>
      <c r="S705" s="52"/>
      <c r="T705" s="87"/>
      <c r="U705" s="86"/>
      <c r="V705" s="201"/>
      <c r="W705" s="37"/>
      <c r="X705" s="52"/>
      <c r="Y705" s="87"/>
      <c r="AA705" s="86"/>
      <c r="AB705" s="57"/>
      <c r="AC705" s="37"/>
      <c r="AD705" s="52"/>
      <c r="AE705" s="87"/>
      <c r="AG705" s="86"/>
      <c r="AH705" s="37"/>
      <c r="AI705" s="52"/>
      <c r="AJ705" s="87"/>
      <c r="AL705" s="86"/>
      <c r="AM705" s="37"/>
      <c r="AN705" s="52"/>
      <c r="AO705" s="87"/>
      <c r="AQ705" s="86"/>
      <c r="AR705" s="37"/>
      <c r="AS705" s="52"/>
      <c r="AT705" s="87"/>
    </row>
    <row r="706" spans="2:46" thickBot="1">
      <c r="B706" s="113"/>
      <c r="C706" s="324"/>
      <c r="D706" s="346"/>
      <c r="E706" s="326"/>
      <c r="F706" s="321" t="str">
        <f t="shared" si="60"/>
        <v/>
      </c>
      <c r="G706" s="334"/>
      <c r="H706" s="331"/>
      <c r="I706" s="107"/>
      <c r="J706" s="108"/>
      <c r="K706" s="109"/>
      <c r="L706" s="108"/>
      <c r="O706" s="86"/>
      <c r="P706" s="57"/>
      <c r="Q706" s="37"/>
      <c r="R706" s="92" t="str">
        <f t="shared" si="61"/>
        <v/>
      </c>
      <c r="S706" s="52"/>
      <c r="T706" s="87"/>
      <c r="U706" s="86"/>
      <c r="V706" s="201"/>
      <c r="W706" s="37"/>
      <c r="X706" s="52"/>
      <c r="Y706" s="87"/>
      <c r="AA706" s="86"/>
      <c r="AB706" s="57"/>
      <c r="AC706" s="37"/>
      <c r="AD706" s="52"/>
      <c r="AE706" s="87"/>
      <c r="AG706" s="86"/>
      <c r="AH706" s="37"/>
      <c r="AI706" s="52"/>
      <c r="AJ706" s="87"/>
      <c r="AL706" s="86"/>
      <c r="AM706" s="37"/>
      <c r="AN706" s="52"/>
      <c r="AO706" s="87"/>
      <c r="AQ706" s="86"/>
      <c r="AR706" s="37"/>
      <c r="AS706" s="52"/>
      <c r="AT706" s="87"/>
    </row>
    <row r="707" spans="2:46" thickBot="1">
      <c r="B707" s="113"/>
      <c r="C707" s="324"/>
      <c r="D707" s="346"/>
      <c r="E707" s="326"/>
      <c r="F707" s="321" t="str">
        <f t="shared" si="60"/>
        <v/>
      </c>
      <c r="G707" s="334"/>
      <c r="H707" s="331"/>
      <c r="I707" s="107"/>
      <c r="J707" s="108"/>
      <c r="K707" s="109"/>
      <c r="L707" s="108"/>
      <c r="O707" s="86"/>
      <c r="P707" s="57"/>
      <c r="Q707" s="37"/>
      <c r="R707" s="92" t="str">
        <f t="shared" si="61"/>
        <v/>
      </c>
      <c r="S707" s="52"/>
      <c r="T707" s="87"/>
      <c r="U707" s="86"/>
      <c r="V707" s="201"/>
      <c r="W707" s="37"/>
      <c r="X707" s="52"/>
      <c r="Y707" s="87"/>
      <c r="AA707" s="86"/>
      <c r="AB707" s="57"/>
      <c r="AC707" s="37"/>
      <c r="AD707" s="52"/>
      <c r="AE707" s="87"/>
      <c r="AG707" s="86"/>
      <c r="AH707" s="37"/>
      <c r="AI707" s="52"/>
      <c r="AJ707" s="87"/>
      <c r="AL707" s="86"/>
      <c r="AM707" s="37"/>
      <c r="AN707" s="52"/>
      <c r="AO707" s="87"/>
      <c r="AQ707" s="86"/>
      <c r="AR707" s="37"/>
      <c r="AS707" s="52"/>
      <c r="AT707" s="87"/>
    </row>
    <row r="708" spans="2:46" thickBot="1">
      <c r="B708" s="113"/>
      <c r="C708" s="324"/>
      <c r="D708" s="346"/>
      <c r="E708" s="326"/>
      <c r="F708" s="321" t="str">
        <f t="shared" si="60"/>
        <v/>
      </c>
      <c r="G708" s="334"/>
      <c r="H708" s="331"/>
      <c r="I708" s="107"/>
      <c r="J708" s="108"/>
      <c r="K708" s="109"/>
      <c r="L708" s="108"/>
      <c r="O708" s="86"/>
      <c r="P708" s="57"/>
      <c r="Q708" s="37"/>
      <c r="R708" s="92" t="str">
        <f t="shared" si="61"/>
        <v/>
      </c>
      <c r="S708" s="52"/>
      <c r="T708" s="87"/>
      <c r="U708" s="86"/>
      <c r="V708" s="201"/>
      <c r="W708" s="37"/>
      <c r="X708" s="52"/>
      <c r="Y708" s="87"/>
      <c r="AA708" s="86"/>
      <c r="AB708" s="57"/>
      <c r="AC708" s="37"/>
      <c r="AD708" s="52"/>
      <c r="AE708" s="87"/>
      <c r="AG708" s="86"/>
      <c r="AH708" s="37"/>
      <c r="AI708" s="52"/>
      <c r="AJ708" s="87"/>
      <c r="AL708" s="86"/>
      <c r="AM708" s="37"/>
      <c r="AN708" s="52"/>
      <c r="AO708" s="87"/>
      <c r="AQ708" s="86"/>
      <c r="AR708" s="37"/>
      <c r="AS708" s="52"/>
      <c r="AT708" s="87"/>
    </row>
    <row r="709" spans="2:46" thickBot="1">
      <c r="B709" s="113"/>
      <c r="C709" s="324"/>
      <c r="D709" s="346"/>
      <c r="E709" s="326"/>
      <c r="F709" s="321" t="str">
        <f t="shared" si="60"/>
        <v/>
      </c>
      <c r="G709" s="334"/>
      <c r="H709" s="331"/>
      <c r="I709" s="107"/>
      <c r="J709" s="108"/>
      <c r="K709" s="109"/>
      <c r="L709" s="108"/>
      <c r="O709" s="86"/>
      <c r="P709" s="57"/>
      <c r="Q709" s="37"/>
      <c r="R709" s="92" t="str">
        <f t="shared" si="61"/>
        <v/>
      </c>
      <c r="S709" s="52"/>
      <c r="T709" s="87"/>
      <c r="U709" s="86"/>
      <c r="V709" s="201"/>
      <c r="W709" s="37"/>
      <c r="X709" s="52"/>
      <c r="Y709" s="87"/>
      <c r="AA709" s="86"/>
      <c r="AB709" s="57"/>
      <c r="AC709" s="37"/>
      <c r="AD709" s="52"/>
      <c r="AE709" s="87"/>
      <c r="AG709" s="86"/>
      <c r="AH709" s="37"/>
      <c r="AI709" s="52"/>
      <c r="AJ709" s="87"/>
      <c r="AL709" s="86"/>
      <c r="AM709" s="37"/>
      <c r="AN709" s="52"/>
      <c r="AO709" s="87"/>
      <c r="AQ709" s="86"/>
      <c r="AR709" s="37"/>
      <c r="AS709" s="52"/>
      <c r="AT709" s="87"/>
    </row>
    <row r="710" spans="2:46" thickBot="1">
      <c r="B710" s="113"/>
      <c r="C710" s="324"/>
      <c r="D710" s="346"/>
      <c r="E710" s="326"/>
      <c r="F710" s="321" t="str">
        <f t="shared" ref="F710:F773" si="62">IF(E710="","",ROUND(G710*(1+$F$2),2))</f>
        <v/>
      </c>
      <c r="G710" s="334"/>
      <c r="H710" s="331"/>
      <c r="I710" s="107"/>
      <c r="J710" s="108"/>
      <c r="K710" s="109"/>
      <c r="L710" s="108"/>
      <c r="O710" s="86"/>
      <c r="P710" s="57"/>
      <c r="Q710" s="37"/>
      <c r="R710" s="92" t="str">
        <f t="shared" si="61"/>
        <v/>
      </c>
      <c r="S710" s="52"/>
      <c r="T710" s="87"/>
      <c r="U710" s="86"/>
      <c r="V710" s="201"/>
      <c r="W710" s="37"/>
      <c r="X710" s="52"/>
      <c r="Y710" s="87"/>
      <c r="AA710" s="86"/>
      <c r="AB710" s="57"/>
      <c r="AC710" s="37"/>
      <c r="AD710" s="52"/>
      <c r="AE710" s="87"/>
      <c r="AG710" s="86"/>
      <c r="AH710" s="37"/>
      <c r="AI710" s="52"/>
      <c r="AJ710" s="87"/>
      <c r="AL710" s="86"/>
      <c r="AM710" s="37"/>
      <c r="AN710" s="52"/>
      <c r="AO710" s="87"/>
      <c r="AQ710" s="86"/>
      <c r="AR710" s="37"/>
      <c r="AS710" s="52"/>
      <c r="AT710" s="87"/>
    </row>
    <row r="711" spans="2:46" thickBot="1">
      <c r="B711" s="113"/>
      <c r="C711" s="324"/>
      <c r="D711" s="346"/>
      <c r="E711" s="326"/>
      <c r="F711" s="321" t="str">
        <f t="shared" si="62"/>
        <v/>
      </c>
      <c r="G711" s="334"/>
      <c r="H711" s="331"/>
      <c r="I711" s="107"/>
      <c r="J711" s="108"/>
      <c r="K711" s="109"/>
      <c r="L711" s="108"/>
      <c r="O711" s="86"/>
      <c r="P711" s="57"/>
      <c r="Q711" s="37"/>
      <c r="R711" s="92" t="str">
        <f t="shared" si="61"/>
        <v/>
      </c>
      <c r="S711" s="52"/>
      <c r="T711" s="87"/>
      <c r="U711" s="86"/>
      <c r="V711" s="201"/>
      <c r="W711" s="37"/>
      <c r="X711" s="52"/>
      <c r="Y711" s="87"/>
      <c r="AA711" s="86"/>
      <c r="AB711" s="57"/>
      <c r="AC711" s="37"/>
      <c r="AD711" s="52"/>
      <c r="AE711" s="87"/>
      <c r="AG711" s="86"/>
      <c r="AH711" s="37"/>
      <c r="AI711" s="52"/>
      <c r="AJ711" s="87"/>
      <c r="AL711" s="86"/>
      <c r="AM711" s="37"/>
      <c r="AN711" s="52"/>
      <c r="AO711" s="87"/>
      <c r="AQ711" s="86"/>
      <c r="AR711" s="37"/>
      <c r="AS711" s="52"/>
      <c r="AT711" s="87"/>
    </row>
    <row r="712" spans="2:46" thickBot="1">
      <c r="B712" s="113"/>
      <c r="C712" s="324"/>
      <c r="D712" s="346"/>
      <c r="E712" s="326"/>
      <c r="F712" s="321" t="str">
        <f t="shared" si="62"/>
        <v/>
      </c>
      <c r="G712" s="334"/>
      <c r="H712" s="331"/>
      <c r="I712" s="107"/>
      <c r="J712" s="108"/>
      <c r="K712" s="109"/>
      <c r="L712" s="108"/>
      <c r="O712" s="86"/>
      <c r="P712" s="57"/>
      <c r="Q712" s="37"/>
      <c r="R712" s="92" t="str">
        <f t="shared" si="61"/>
        <v/>
      </c>
      <c r="S712" s="52"/>
      <c r="T712" s="87"/>
      <c r="U712" s="86"/>
      <c r="V712" s="201"/>
      <c r="W712" s="37"/>
      <c r="X712" s="52"/>
      <c r="Y712" s="87"/>
      <c r="AA712" s="86"/>
      <c r="AB712" s="57"/>
      <c r="AC712" s="37"/>
      <c r="AD712" s="52"/>
      <c r="AE712" s="87"/>
      <c r="AG712" s="86"/>
      <c r="AH712" s="37"/>
      <c r="AI712" s="52"/>
      <c r="AJ712" s="87"/>
      <c r="AL712" s="86"/>
      <c r="AM712" s="37"/>
      <c r="AN712" s="52"/>
      <c r="AO712" s="87"/>
      <c r="AQ712" s="86"/>
      <c r="AR712" s="37"/>
      <c r="AS712" s="52"/>
      <c r="AT712" s="87"/>
    </row>
    <row r="713" spans="2:46" thickBot="1">
      <c r="B713" s="113"/>
      <c r="C713" s="324"/>
      <c r="D713" s="346"/>
      <c r="E713" s="326"/>
      <c r="F713" s="321" t="str">
        <f t="shared" si="62"/>
        <v/>
      </c>
      <c r="G713" s="334"/>
      <c r="H713" s="331"/>
      <c r="I713" s="107"/>
      <c r="J713" s="108"/>
      <c r="K713" s="109"/>
      <c r="L713" s="108"/>
      <c r="O713" s="86"/>
      <c r="P713" s="57"/>
      <c r="Q713" s="37"/>
      <c r="R713" s="92" t="str">
        <f t="shared" si="61"/>
        <v/>
      </c>
      <c r="S713" s="52"/>
      <c r="T713" s="87"/>
      <c r="U713" s="86"/>
      <c r="V713" s="201"/>
      <c r="W713" s="37"/>
      <c r="X713" s="52"/>
      <c r="Y713" s="87"/>
      <c r="AA713" s="86"/>
      <c r="AB713" s="57"/>
      <c r="AC713" s="37"/>
      <c r="AD713" s="52"/>
      <c r="AE713" s="87"/>
      <c r="AG713" s="86"/>
      <c r="AH713" s="37"/>
      <c r="AI713" s="52"/>
      <c r="AJ713" s="87"/>
      <c r="AL713" s="86"/>
      <c r="AM713" s="37"/>
      <c r="AN713" s="52"/>
      <c r="AO713" s="87"/>
      <c r="AQ713" s="86"/>
      <c r="AR713" s="37"/>
      <c r="AS713" s="52"/>
      <c r="AT713" s="87"/>
    </row>
    <row r="714" spans="2:46" thickBot="1">
      <c r="B714" s="113"/>
      <c r="C714" s="324"/>
      <c r="D714" s="346"/>
      <c r="E714" s="326"/>
      <c r="F714" s="321" t="str">
        <f t="shared" si="62"/>
        <v/>
      </c>
      <c r="G714" s="334"/>
      <c r="H714" s="331"/>
      <c r="I714" s="107"/>
      <c r="J714" s="108"/>
      <c r="K714" s="109"/>
      <c r="L714" s="108"/>
      <c r="O714" s="86"/>
      <c r="P714" s="57"/>
      <c r="Q714" s="37"/>
      <c r="R714" s="92" t="str">
        <f t="shared" si="61"/>
        <v/>
      </c>
      <c r="S714" s="52"/>
      <c r="T714" s="87"/>
      <c r="U714" s="86"/>
      <c r="V714" s="201"/>
      <c r="W714" s="37"/>
      <c r="X714" s="52"/>
      <c r="Y714" s="87"/>
      <c r="AA714" s="86"/>
      <c r="AB714" s="57"/>
      <c r="AC714" s="37"/>
      <c r="AD714" s="52"/>
      <c r="AE714" s="87"/>
      <c r="AG714" s="86"/>
      <c r="AH714" s="37"/>
      <c r="AI714" s="52"/>
      <c r="AJ714" s="87"/>
      <c r="AL714" s="86"/>
      <c r="AM714" s="37"/>
      <c r="AN714" s="52"/>
      <c r="AO714" s="87"/>
      <c r="AQ714" s="86"/>
      <c r="AR714" s="37"/>
      <c r="AS714" s="52"/>
      <c r="AT714" s="87"/>
    </row>
    <row r="715" spans="2:46" thickBot="1">
      <c r="B715" s="113"/>
      <c r="C715" s="324"/>
      <c r="D715" s="346"/>
      <c r="E715" s="326"/>
      <c r="F715" s="321" t="str">
        <f t="shared" si="62"/>
        <v/>
      </c>
      <c r="G715" s="334"/>
      <c r="H715" s="331"/>
      <c r="I715" s="107"/>
      <c r="J715" s="108"/>
      <c r="K715" s="109"/>
      <c r="L715" s="108"/>
      <c r="O715" s="86"/>
      <c r="P715" s="57"/>
      <c r="Q715" s="37"/>
      <c r="R715" s="92" t="str">
        <f t="shared" si="61"/>
        <v/>
      </c>
      <c r="S715" s="52"/>
      <c r="T715" s="87"/>
      <c r="U715" s="86"/>
      <c r="V715" s="201"/>
      <c r="W715" s="37"/>
      <c r="X715" s="52"/>
      <c r="Y715" s="87"/>
      <c r="AA715" s="86"/>
      <c r="AB715" s="57"/>
      <c r="AC715" s="37"/>
      <c r="AD715" s="52"/>
      <c r="AE715" s="87"/>
      <c r="AG715" s="86"/>
      <c r="AH715" s="37"/>
      <c r="AI715" s="52"/>
      <c r="AJ715" s="87"/>
      <c r="AL715" s="86"/>
      <c r="AM715" s="37"/>
      <c r="AN715" s="52"/>
      <c r="AO715" s="87"/>
      <c r="AQ715" s="86"/>
      <c r="AR715" s="37"/>
      <c r="AS715" s="52"/>
      <c r="AT715" s="87"/>
    </row>
    <row r="716" spans="2:46" thickBot="1">
      <c r="B716" s="113"/>
      <c r="C716" s="324"/>
      <c r="D716" s="346"/>
      <c r="E716" s="326"/>
      <c r="F716" s="321" t="str">
        <f t="shared" si="62"/>
        <v/>
      </c>
      <c r="G716" s="334"/>
      <c r="H716" s="331"/>
      <c r="I716" s="107"/>
      <c r="J716" s="108"/>
      <c r="K716" s="109"/>
      <c r="L716" s="108"/>
      <c r="O716" s="86"/>
      <c r="P716" s="57"/>
      <c r="Q716" s="37"/>
      <c r="R716" s="92" t="str">
        <f t="shared" si="61"/>
        <v/>
      </c>
      <c r="S716" s="52"/>
      <c r="T716" s="87"/>
      <c r="U716" s="86"/>
      <c r="V716" s="201"/>
      <c r="W716" s="37"/>
      <c r="X716" s="52"/>
      <c r="Y716" s="87"/>
      <c r="AA716" s="86"/>
      <c r="AB716" s="57"/>
      <c r="AC716" s="37"/>
      <c r="AD716" s="52"/>
      <c r="AE716" s="87"/>
      <c r="AG716" s="86"/>
      <c r="AH716" s="37"/>
      <c r="AI716" s="52"/>
      <c r="AJ716" s="87"/>
      <c r="AL716" s="86"/>
      <c r="AM716" s="37"/>
      <c r="AN716" s="52"/>
      <c r="AO716" s="87"/>
      <c r="AQ716" s="86"/>
      <c r="AR716" s="37"/>
      <c r="AS716" s="52"/>
      <c r="AT716" s="87"/>
    </row>
    <row r="717" spans="2:46" thickBot="1">
      <c r="B717" s="113"/>
      <c r="C717" s="324"/>
      <c r="D717" s="346"/>
      <c r="E717" s="326"/>
      <c r="F717" s="321" t="str">
        <f t="shared" si="62"/>
        <v/>
      </c>
      <c r="G717" s="334"/>
      <c r="H717" s="331"/>
      <c r="I717" s="107"/>
      <c r="J717" s="108"/>
      <c r="K717" s="109"/>
      <c r="L717" s="108"/>
      <c r="O717" s="86"/>
      <c r="P717" s="57"/>
      <c r="Q717" s="37"/>
      <c r="R717" s="92" t="str">
        <f t="shared" si="61"/>
        <v/>
      </c>
      <c r="S717" s="52"/>
      <c r="T717" s="87"/>
      <c r="U717" s="86"/>
      <c r="V717" s="201"/>
      <c r="W717" s="37"/>
      <c r="X717" s="52"/>
      <c r="Y717" s="87"/>
      <c r="AA717" s="86"/>
      <c r="AB717" s="57"/>
      <c r="AC717" s="37"/>
      <c r="AD717" s="52"/>
      <c r="AE717" s="87"/>
      <c r="AG717" s="86"/>
      <c r="AH717" s="37"/>
      <c r="AI717" s="52"/>
      <c r="AJ717" s="87"/>
      <c r="AL717" s="86"/>
      <c r="AM717" s="37"/>
      <c r="AN717" s="52"/>
      <c r="AO717" s="87"/>
      <c r="AQ717" s="86"/>
      <c r="AR717" s="37"/>
      <c r="AS717" s="52"/>
      <c r="AT717" s="87"/>
    </row>
    <row r="718" spans="2:46" thickBot="1">
      <c r="B718" s="113"/>
      <c r="C718" s="324"/>
      <c r="D718" s="346"/>
      <c r="E718" s="326"/>
      <c r="F718" s="321" t="str">
        <f t="shared" si="62"/>
        <v/>
      </c>
      <c r="G718" s="334"/>
      <c r="H718" s="331"/>
      <c r="I718" s="107"/>
      <c r="J718" s="108"/>
      <c r="K718" s="109"/>
      <c r="L718" s="108"/>
      <c r="O718" s="86"/>
      <c r="P718" s="57"/>
      <c r="Q718" s="37"/>
      <c r="R718" s="92" t="str">
        <f t="shared" si="61"/>
        <v/>
      </c>
      <c r="S718" s="52"/>
      <c r="T718" s="87"/>
      <c r="U718" s="86"/>
      <c r="V718" s="201"/>
      <c r="W718" s="37"/>
      <c r="X718" s="52"/>
      <c r="Y718" s="87"/>
      <c r="AA718" s="86"/>
      <c r="AB718" s="57"/>
      <c r="AC718" s="37"/>
      <c r="AD718" s="52"/>
      <c r="AE718" s="87"/>
      <c r="AG718" s="86"/>
      <c r="AH718" s="37"/>
      <c r="AI718" s="52"/>
      <c r="AJ718" s="87"/>
      <c r="AL718" s="86"/>
      <c r="AM718" s="37"/>
      <c r="AN718" s="52"/>
      <c r="AO718" s="87"/>
      <c r="AQ718" s="86"/>
      <c r="AR718" s="37"/>
      <c r="AS718" s="52"/>
      <c r="AT718" s="87"/>
    </row>
    <row r="719" spans="2:46" thickBot="1">
      <c r="B719" s="113"/>
      <c r="C719" s="324"/>
      <c r="D719" s="346"/>
      <c r="E719" s="326"/>
      <c r="F719" s="321" t="str">
        <f t="shared" si="62"/>
        <v/>
      </c>
      <c r="G719" s="334"/>
      <c r="H719" s="331"/>
      <c r="I719" s="107"/>
      <c r="J719" s="108"/>
      <c r="K719" s="109"/>
      <c r="L719" s="108"/>
      <c r="O719" s="86"/>
      <c r="P719" s="57"/>
      <c r="Q719" s="37"/>
      <c r="R719" s="92" t="str">
        <f t="shared" si="61"/>
        <v/>
      </c>
      <c r="S719" s="52"/>
      <c r="T719" s="87"/>
      <c r="U719" s="86"/>
      <c r="V719" s="201"/>
      <c r="W719" s="37"/>
      <c r="X719" s="52"/>
      <c r="Y719" s="87"/>
      <c r="AA719" s="86"/>
      <c r="AB719" s="57"/>
      <c r="AC719" s="37"/>
      <c r="AD719" s="52"/>
      <c r="AE719" s="87"/>
      <c r="AG719" s="86"/>
      <c r="AH719" s="37"/>
      <c r="AI719" s="52"/>
      <c r="AJ719" s="87"/>
      <c r="AL719" s="86"/>
      <c r="AM719" s="37"/>
      <c r="AN719" s="52"/>
      <c r="AO719" s="87"/>
      <c r="AQ719" s="86"/>
      <c r="AR719" s="37"/>
      <c r="AS719" s="52"/>
      <c r="AT719" s="87"/>
    </row>
    <row r="720" spans="2:46" thickBot="1">
      <c r="B720" s="113"/>
      <c r="C720" s="324"/>
      <c r="D720" s="346"/>
      <c r="E720" s="326"/>
      <c r="F720" s="321" t="str">
        <f t="shared" si="62"/>
        <v/>
      </c>
      <c r="G720" s="334"/>
      <c r="H720" s="331"/>
      <c r="I720" s="107"/>
      <c r="J720" s="108"/>
      <c r="K720" s="109"/>
      <c r="L720" s="108"/>
      <c r="O720" s="86"/>
      <c r="P720" s="57"/>
      <c r="Q720" s="37"/>
      <c r="R720" s="92" t="str">
        <f t="shared" si="61"/>
        <v/>
      </c>
      <c r="S720" s="52"/>
      <c r="T720" s="87"/>
      <c r="U720" s="86"/>
      <c r="V720" s="201"/>
      <c r="W720" s="37"/>
      <c r="X720" s="52"/>
      <c r="Y720" s="87"/>
      <c r="AA720" s="86"/>
      <c r="AB720" s="57"/>
      <c r="AC720" s="37"/>
      <c r="AD720" s="52"/>
      <c r="AE720" s="87"/>
      <c r="AG720" s="86"/>
      <c r="AH720" s="37"/>
      <c r="AI720" s="52"/>
      <c r="AJ720" s="87"/>
      <c r="AL720" s="86"/>
      <c r="AM720" s="37"/>
      <c r="AN720" s="52"/>
      <c r="AO720" s="87"/>
      <c r="AQ720" s="86"/>
      <c r="AR720" s="37"/>
      <c r="AS720" s="52"/>
      <c r="AT720" s="87"/>
    </row>
    <row r="721" spans="2:46" thickBot="1">
      <c r="B721" s="113"/>
      <c r="C721" s="324"/>
      <c r="D721" s="346"/>
      <c r="E721" s="326"/>
      <c r="F721" s="321" t="str">
        <f t="shared" si="62"/>
        <v/>
      </c>
      <c r="G721" s="334"/>
      <c r="H721" s="331"/>
      <c r="I721" s="107"/>
      <c r="J721" s="108"/>
      <c r="K721" s="109"/>
      <c r="L721" s="108"/>
      <c r="O721" s="86"/>
      <c r="P721" s="57"/>
      <c r="Q721" s="37"/>
      <c r="R721" s="92" t="str">
        <f t="shared" si="61"/>
        <v/>
      </c>
      <c r="S721" s="52"/>
      <c r="T721" s="87"/>
      <c r="U721" s="86"/>
      <c r="V721" s="201"/>
      <c r="W721" s="37"/>
      <c r="X721" s="52"/>
      <c r="Y721" s="87"/>
      <c r="AA721" s="86"/>
      <c r="AB721" s="57"/>
      <c r="AC721" s="37"/>
      <c r="AD721" s="52"/>
      <c r="AE721" s="87"/>
      <c r="AG721" s="86"/>
      <c r="AH721" s="37"/>
      <c r="AI721" s="52"/>
      <c r="AJ721" s="87"/>
      <c r="AL721" s="86"/>
      <c r="AM721" s="37"/>
      <c r="AN721" s="52"/>
      <c r="AO721" s="87"/>
      <c r="AQ721" s="86"/>
      <c r="AR721" s="37"/>
      <c r="AS721" s="52"/>
      <c r="AT721" s="87"/>
    </row>
    <row r="722" spans="2:46" thickBot="1">
      <c r="B722" s="113"/>
      <c r="C722" s="324"/>
      <c r="D722" s="346"/>
      <c r="E722" s="326"/>
      <c r="F722" s="321" t="str">
        <f t="shared" si="62"/>
        <v/>
      </c>
      <c r="G722" s="334"/>
      <c r="H722" s="331"/>
      <c r="I722" s="107"/>
      <c r="J722" s="108"/>
      <c r="K722" s="109"/>
      <c r="L722" s="108"/>
      <c r="O722" s="86"/>
      <c r="P722" s="57"/>
      <c r="Q722" s="37"/>
      <c r="R722" s="92" t="str">
        <f t="shared" si="61"/>
        <v/>
      </c>
      <c r="S722" s="52"/>
      <c r="T722" s="87"/>
      <c r="U722" s="86"/>
      <c r="V722" s="201"/>
      <c r="W722" s="37"/>
      <c r="X722" s="52"/>
      <c r="Y722" s="87"/>
      <c r="AA722" s="86"/>
      <c r="AB722" s="57"/>
      <c r="AC722" s="37"/>
      <c r="AD722" s="52"/>
      <c r="AE722" s="87"/>
      <c r="AG722" s="86"/>
      <c r="AH722" s="37"/>
      <c r="AI722" s="52"/>
      <c r="AJ722" s="87"/>
      <c r="AL722" s="86"/>
      <c r="AM722" s="37"/>
      <c r="AN722" s="52"/>
      <c r="AO722" s="87"/>
      <c r="AQ722" s="86"/>
      <c r="AR722" s="37"/>
      <c r="AS722" s="52"/>
      <c r="AT722" s="87"/>
    </row>
    <row r="723" spans="2:46" thickBot="1">
      <c r="B723" s="113"/>
      <c r="C723" s="324"/>
      <c r="D723" s="346"/>
      <c r="E723" s="326"/>
      <c r="F723" s="321" t="str">
        <f t="shared" si="62"/>
        <v/>
      </c>
      <c r="G723" s="334"/>
      <c r="H723" s="331"/>
      <c r="I723" s="107"/>
      <c r="J723" s="108"/>
      <c r="K723" s="109"/>
      <c r="L723" s="108"/>
      <c r="O723" s="86"/>
      <c r="P723" s="57"/>
      <c r="Q723" s="37"/>
      <c r="R723" s="92" t="str">
        <f t="shared" si="61"/>
        <v/>
      </c>
      <c r="S723" s="52"/>
      <c r="T723" s="87"/>
      <c r="U723" s="86"/>
      <c r="V723" s="201"/>
      <c r="W723" s="37"/>
      <c r="X723" s="52"/>
      <c r="Y723" s="87"/>
      <c r="AA723" s="86"/>
      <c r="AB723" s="57"/>
      <c r="AC723" s="37"/>
      <c r="AD723" s="52"/>
      <c r="AE723" s="87"/>
      <c r="AG723" s="86"/>
      <c r="AH723" s="37"/>
      <c r="AI723" s="52"/>
      <c r="AJ723" s="87"/>
      <c r="AL723" s="86"/>
      <c r="AM723" s="37"/>
      <c r="AN723" s="52"/>
      <c r="AO723" s="87"/>
      <c r="AQ723" s="86"/>
      <c r="AR723" s="37"/>
      <c r="AS723" s="52"/>
      <c r="AT723" s="87"/>
    </row>
    <row r="724" spans="2:46" thickBot="1">
      <c r="B724" s="113"/>
      <c r="C724" s="324"/>
      <c r="D724" s="346"/>
      <c r="E724" s="326"/>
      <c r="F724" s="321" t="str">
        <f t="shared" si="62"/>
        <v/>
      </c>
      <c r="G724" s="334"/>
      <c r="H724" s="331"/>
      <c r="I724" s="107"/>
      <c r="J724" s="108"/>
      <c r="K724" s="109"/>
      <c r="L724" s="108"/>
      <c r="O724" s="86"/>
      <c r="P724" s="57"/>
      <c r="Q724" s="37"/>
      <c r="R724" s="92" t="str">
        <f t="shared" si="61"/>
        <v/>
      </c>
      <c r="S724" s="52"/>
      <c r="T724" s="87"/>
      <c r="U724" s="86"/>
      <c r="V724" s="201"/>
      <c r="W724" s="37"/>
      <c r="X724" s="52"/>
      <c r="Y724" s="87"/>
      <c r="AA724" s="86"/>
      <c r="AB724" s="57"/>
      <c r="AC724" s="37"/>
      <c r="AD724" s="52"/>
      <c r="AE724" s="87"/>
      <c r="AG724" s="86"/>
      <c r="AH724" s="37"/>
      <c r="AI724" s="52"/>
      <c r="AJ724" s="87"/>
      <c r="AL724" s="86"/>
      <c r="AM724" s="37"/>
      <c r="AN724" s="52"/>
      <c r="AO724" s="87"/>
      <c r="AQ724" s="86"/>
      <c r="AR724" s="37"/>
      <c r="AS724" s="52"/>
      <c r="AT724" s="87"/>
    </row>
    <row r="725" spans="2:46" thickBot="1">
      <c r="B725" s="113"/>
      <c r="C725" s="324"/>
      <c r="D725" s="346"/>
      <c r="E725" s="326"/>
      <c r="F725" s="321" t="str">
        <f t="shared" si="62"/>
        <v/>
      </c>
      <c r="G725" s="334"/>
      <c r="H725" s="331"/>
      <c r="I725" s="107"/>
      <c r="J725" s="108"/>
      <c r="K725" s="109"/>
      <c r="L725" s="108"/>
      <c r="O725" s="86"/>
      <c r="P725" s="57"/>
      <c r="Q725" s="37"/>
      <c r="R725" s="92" t="str">
        <f t="shared" si="61"/>
        <v/>
      </c>
      <c r="S725" s="52"/>
      <c r="T725" s="87"/>
      <c r="U725" s="86"/>
      <c r="V725" s="201"/>
      <c r="W725" s="37"/>
      <c r="X725" s="52"/>
      <c r="Y725" s="87"/>
      <c r="AA725" s="86"/>
      <c r="AB725" s="57"/>
      <c r="AC725" s="37"/>
      <c r="AD725" s="52"/>
      <c r="AE725" s="87"/>
      <c r="AG725" s="86"/>
      <c r="AH725" s="37"/>
      <c r="AI725" s="52"/>
      <c r="AJ725" s="87"/>
      <c r="AL725" s="86"/>
      <c r="AM725" s="37"/>
      <c r="AN725" s="52"/>
      <c r="AO725" s="87"/>
      <c r="AQ725" s="86"/>
      <c r="AR725" s="37"/>
      <c r="AS725" s="52"/>
      <c r="AT725" s="87"/>
    </row>
    <row r="726" spans="2:46" thickBot="1">
      <c r="B726" s="113"/>
      <c r="C726" s="324"/>
      <c r="D726" s="346"/>
      <c r="E726" s="326"/>
      <c r="F726" s="321" t="str">
        <f t="shared" si="62"/>
        <v/>
      </c>
      <c r="G726" s="334"/>
      <c r="H726" s="331"/>
      <c r="I726" s="107"/>
      <c r="J726" s="108"/>
      <c r="K726" s="109"/>
      <c r="L726" s="108"/>
      <c r="O726" s="86"/>
      <c r="P726" s="57"/>
      <c r="Q726" s="37"/>
      <c r="R726" s="92" t="str">
        <f t="shared" si="61"/>
        <v/>
      </c>
      <c r="S726" s="52"/>
      <c r="T726" s="87"/>
      <c r="U726" s="86"/>
      <c r="V726" s="201"/>
      <c r="W726" s="37"/>
      <c r="X726" s="52"/>
      <c r="Y726" s="87"/>
      <c r="AA726" s="86"/>
      <c r="AB726" s="57"/>
      <c r="AC726" s="37"/>
      <c r="AD726" s="52"/>
      <c r="AE726" s="87"/>
      <c r="AG726" s="86"/>
      <c r="AH726" s="37"/>
      <c r="AI726" s="52"/>
      <c r="AJ726" s="87"/>
      <c r="AL726" s="86"/>
      <c r="AM726" s="37"/>
      <c r="AN726" s="52"/>
      <c r="AO726" s="87"/>
      <c r="AQ726" s="86"/>
      <c r="AR726" s="37"/>
      <c r="AS726" s="52"/>
      <c r="AT726" s="87"/>
    </row>
    <row r="727" spans="2:46" thickBot="1">
      <c r="B727" s="113"/>
      <c r="C727" s="324"/>
      <c r="D727" s="346"/>
      <c r="E727" s="326"/>
      <c r="F727" s="321" t="str">
        <f t="shared" si="62"/>
        <v/>
      </c>
      <c r="G727" s="334"/>
      <c r="H727" s="331"/>
      <c r="I727" s="107"/>
      <c r="J727" s="108"/>
      <c r="K727" s="109"/>
      <c r="L727" s="108"/>
      <c r="O727" s="86"/>
      <c r="P727" s="57"/>
      <c r="Q727" s="37"/>
      <c r="R727" s="92" t="str">
        <f t="shared" si="61"/>
        <v/>
      </c>
      <c r="S727" s="52"/>
      <c r="T727" s="87"/>
      <c r="U727" s="86"/>
      <c r="V727" s="201"/>
      <c r="W727" s="37"/>
      <c r="X727" s="52"/>
      <c r="Y727" s="87"/>
      <c r="AA727" s="86"/>
      <c r="AB727" s="57"/>
      <c r="AC727" s="37"/>
      <c r="AD727" s="52"/>
      <c r="AE727" s="87"/>
      <c r="AG727" s="86"/>
      <c r="AH727" s="37"/>
      <c r="AI727" s="52"/>
      <c r="AJ727" s="87"/>
      <c r="AL727" s="86"/>
      <c r="AM727" s="37"/>
      <c r="AN727" s="52"/>
      <c r="AO727" s="87"/>
      <c r="AQ727" s="86"/>
      <c r="AR727" s="37"/>
      <c r="AS727" s="52"/>
      <c r="AT727" s="87"/>
    </row>
    <row r="728" spans="2:46" thickBot="1">
      <c r="B728" s="113"/>
      <c r="C728" s="324"/>
      <c r="D728" s="346"/>
      <c r="E728" s="326"/>
      <c r="F728" s="321" t="str">
        <f t="shared" si="62"/>
        <v/>
      </c>
      <c r="G728" s="334"/>
      <c r="H728" s="331"/>
      <c r="I728" s="107"/>
      <c r="J728" s="108"/>
      <c r="K728" s="109"/>
      <c r="L728" s="108"/>
      <c r="O728" s="86"/>
      <c r="P728" s="57"/>
      <c r="Q728" s="37"/>
      <c r="R728" s="92" t="str">
        <f t="shared" si="61"/>
        <v/>
      </c>
      <c r="S728" s="52"/>
      <c r="T728" s="87"/>
      <c r="U728" s="86"/>
      <c r="V728" s="201"/>
      <c r="W728" s="37"/>
      <c r="X728" s="52"/>
      <c r="Y728" s="87"/>
      <c r="AA728" s="86"/>
      <c r="AB728" s="57"/>
      <c r="AC728" s="37"/>
      <c r="AD728" s="52"/>
      <c r="AE728" s="87"/>
      <c r="AG728" s="86"/>
      <c r="AH728" s="37"/>
      <c r="AI728" s="52"/>
      <c r="AJ728" s="87"/>
      <c r="AL728" s="86"/>
      <c r="AM728" s="37"/>
      <c r="AN728" s="52"/>
      <c r="AO728" s="87"/>
      <c r="AQ728" s="86"/>
      <c r="AR728" s="37"/>
      <c r="AS728" s="52"/>
      <c r="AT728" s="87"/>
    </row>
    <row r="729" spans="2:46" thickBot="1">
      <c r="B729" s="113"/>
      <c r="C729" s="324"/>
      <c r="D729" s="346"/>
      <c r="E729" s="326"/>
      <c r="F729" s="321" t="str">
        <f t="shared" si="62"/>
        <v/>
      </c>
      <c r="G729" s="334"/>
      <c r="H729" s="331"/>
      <c r="I729" s="107"/>
      <c r="J729" s="108"/>
      <c r="K729" s="109"/>
      <c r="L729" s="108"/>
      <c r="O729" s="86"/>
      <c r="P729" s="57"/>
      <c r="Q729" s="37"/>
      <c r="R729" s="92" t="str">
        <f t="shared" si="61"/>
        <v/>
      </c>
      <c r="S729" s="52"/>
      <c r="T729" s="87"/>
      <c r="U729" s="86"/>
      <c r="V729" s="201"/>
      <c r="W729" s="37"/>
      <c r="X729" s="52"/>
      <c r="Y729" s="87"/>
      <c r="AA729" s="86"/>
      <c r="AB729" s="57"/>
      <c r="AC729" s="37"/>
      <c r="AD729" s="52"/>
      <c r="AE729" s="87"/>
      <c r="AG729" s="86"/>
      <c r="AH729" s="37"/>
      <c r="AI729" s="52"/>
      <c r="AJ729" s="87"/>
      <c r="AL729" s="86"/>
      <c r="AM729" s="37"/>
      <c r="AN729" s="52"/>
      <c r="AO729" s="87"/>
      <c r="AQ729" s="86"/>
      <c r="AR729" s="37"/>
      <c r="AS729" s="52"/>
      <c r="AT729" s="87"/>
    </row>
    <row r="730" spans="2:46" thickBot="1">
      <c r="B730" s="113"/>
      <c r="C730" s="324"/>
      <c r="D730" s="346"/>
      <c r="E730" s="326"/>
      <c r="F730" s="321" t="str">
        <f t="shared" si="62"/>
        <v/>
      </c>
      <c r="G730" s="334"/>
      <c r="H730" s="331"/>
      <c r="I730" s="107"/>
      <c r="J730" s="108"/>
      <c r="K730" s="109"/>
      <c r="L730" s="108"/>
      <c r="O730" s="86"/>
      <c r="P730" s="57"/>
      <c r="Q730" s="37"/>
      <c r="R730" s="92" t="str">
        <f t="shared" si="61"/>
        <v/>
      </c>
      <c r="S730" s="52"/>
      <c r="T730" s="87"/>
      <c r="U730" s="86"/>
      <c r="V730" s="201"/>
      <c r="W730" s="37"/>
      <c r="X730" s="52"/>
      <c r="Y730" s="87"/>
      <c r="AA730" s="86"/>
      <c r="AB730" s="57"/>
      <c r="AC730" s="37"/>
      <c r="AD730" s="52"/>
      <c r="AE730" s="87"/>
      <c r="AG730" s="86"/>
      <c r="AH730" s="37"/>
      <c r="AI730" s="52"/>
      <c r="AJ730" s="87"/>
      <c r="AL730" s="86"/>
      <c r="AM730" s="37"/>
      <c r="AN730" s="52"/>
      <c r="AO730" s="87"/>
      <c r="AQ730" s="86"/>
      <c r="AR730" s="37"/>
      <c r="AS730" s="52"/>
      <c r="AT730" s="87"/>
    </row>
    <row r="731" spans="2:46" thickBot="1">
      <c r="B731" s="113"/>
      <c r="C731" s="324"/>
      <c r="D731" s="346"/>
      <c r="E731" s="326"/>
      <c r="F731" s="321" t="str">
        <f t="shared" si="62"/>
        <v/>
      </c>
      <c r="G731" s="334"/>
      <c r="H731" s="331"/>
      <c r="I731" s="107"/>
      <c r="J731" s="108"/>
      <c r="K731" s="109"/>
      <c r="L731" s="108"/>
      <c r="O731" s="86"/>
      <c r="P731" s="57"/>
      <c r="Q731" s="37"/>
      <c r="R731" s="92" t="str">
        <f t="shared" si="61"/>
        <v/>
      </c>
      <c r="S731" s="52"/>
      <c r="T731" s="87"/>
      <c r="U731" s="86"/>
      <c r="V731" s="201"/>
      <c r="W731" s="37"/>
      <c r="X731" s="52"/>
      <c r="Y731" s="87"/>
      <c r="AA731" s="86"/>
      <c r="AB731" s="57"/>
      <c r="AC731" s="37"/>
      <c r="AD731" s="52"/>
      <c r="AE731" s="87"/>
      <c r="AG731" s="86"/>
      <c r="AH731" s="37"/>
      <c r="AI731" s="52"/>
      <c r="AJ731" s="87"/>
      <c r="AL731" s="86"/>
      <c r="AM731" s="37"/>
      <c r="AN731" s="52"/>
      <c r="AO731" s="87"/>
      <c r="AQ731" s="86"/>
      <c r="AR731" s="37"/>
      <c r="AS731" s="52"/>
      <c r="AT731" s="87"/>
    </row>
    <row r="732" spans="2:46" thickBot="1">
      <c r="B732" s="113"/>
      <c r="C732" s="324"/>
      <c r="D732" s="346"/>
      <c r="E732" s="326"/>
      <c r="F732" s="321" t="str">
        <f t="shared" si="62"/>
        <v/>
      </c>
      <c r="G732" s="334"/>
      <c r="H732" s="331"/>
      <c r="I732" s="107"/>
      <c r="J732" s="108"/>
      <c r="K732" s="109"/>
      <c r="L732" s="108"/>
      <c r="O732" s="86"/>
      <c r="P732" s="57"/>
      <c r="Q732" s="37"/>
      <c r="R732" s="92" t="str">
        <f t="shared" si="61"/>
        <v/>
      </c>
      <c r="S732" s="52"/>
      <c r="T732" s="87"/>
      <c r="U732" s="86"/>
      <c r="V732" s="201"/>
      <c r="W732" s="37"/>
      <c r="X732" s="52"/>
      <c r="Y732" s="87"/>
      <c r="AA732" s="86"/>
      <c r="AB732" s="57"/>
      <c r="AC732" s="37"/>
      <c r="AD732" s="52"/>
      <c r="AE732" s="87"/>
      <c r="AG732" s="86"/>
      <c r="AH732" s="37"/>
      <c r="AI732" s="52"/>
      <c r="AJ732" s="87"/>
      <c r="AL732" s="86"/>
      <c r="AM732" s="37"/>
      <c r="AN732" s="52"/>
      <c r="AO732" s="87"/>
      <c r="AQ732" s="86"/>
      <c r="AR732" s="37"/>
      <c r="AS732" s="52"/>
      <c r="AT732" s="87"/>
    </row>
    <row r="733" spans="2:46" thickBot="1">
      <c r="B733" s="113"/>
      <c r="C733" s="324"/>
      <c r="D733" s="346"/>
      <c r="E733" s="326"/>
      <c r="F733" s="321" t="str">
        <f t="shared" si="62"/>
        <v/>
      </c>
      <c r="G733" s="334"/>
      <c r="H733" s="331"/>
      <c r="I733" s="107"/>
      <c r="J733" s="108"/>
      <c r="K733" s="109"/>
      <c r="L733" s="108"/>
      <c r="O733" s="86"/>
      <c r="P733" s="57"/>
      <c r="Q733" s="37"/>
      <c r="R733" s="92" t="str">
        <f t="shared" si="61"/>
        <v/>
      </c>
      <c r="S733" s="52"/>
      <c r="T733" s="87"/>
      <c r="U733" s="86"/>
      <c r="V733" s="201"/>
      <c r="W733" s="37"/>
      <c r="X733" s="52"/>
      <c r="Y733" s="87"/>
      <c r="AA733" s="86"/>
      <c r="AB733" s="57"/>
      <c r="AC733" s="37"/>
      <c r="AD733" s="52"/>
      <c r="AE733" s="87"/>
      <c r="AG733" s="86"/>
      <c r="AH733" s="37"/>
      <c r="AI733" s="52"/>
      <c r="AJ733" s="87"/>
      <c r="AL733" s="86"/>
      <c r="AM733" s="37"/>
      <c r="AN733" s="52"/>
      <c r="AO733" s="87"/>
      <c r="AQ733" s="86"/>
      <c r="AR733" s="37"/>
      <c r="AS733" s="52"/>
      <c r="AT733" s="87"/>
    </row>
    <row r="734" spans="2:46" thickBot="1">
      <c r="B734" s="113"/>
      <c r="C734" s="324"/>
      <c r="D734" s="346"/>
      <c r="E734" s="326"/>
      <c r="F734" s="321" t="str">
        <f t="shared" si="62"/>
        <v/>
      </c>
      <c r="G734" s="334"/>
      <c r="H734" s="331"/>
      <c r="I734" s="107"/>
      <c r="J734" s="108"/>
      <c r="K734" s="109"/>
      <c r="L734" s="108"/>
      <c r="O734" s="86"/>
      <c r="P734" s="57"/>
      <c r="Q734" s="37"/>
      <c r="R734" s="92" t="str">
        <f t="shared" si="61"/>
        <v/>
      </c>
      <c r="S734" s="52"/>
      <c r="T734" s="87"/>
      <c r="U734" s="86"/>
      <c r="V734" s="201"/>
      <c r="W734" s="37"/>
      <c r="X734" s="52"/>
      <c r="Y734" s="87"/>
      <c r="AA734" s="86"/>
      <c r="AB734" s="57"/>
      <c r="AC734" s="37"/>
      <c r="AD734" s="52"/>
      <c r="AE734" s="87"/>
      <c r="AG734" s="86"/>
      <c r="AH734" s="37"/>
      <c r="AI734" s="52"/>
      <c r="AJ734" s="87"/>
      <c r="AL734" s="86"/>
      <c r="AM734" s="37"/>
      <c r="AN734" s="52"/>
      <c r="AO734" s="87"/>
      <c r="AQ734" s="86"/>
      <c r="AR734" s="37"/>
      <c r="AS734" s="52"/>
      <c r="AT734" s="87"/>
    </row>
    <row r="735" spans="2:46" thickBot="1">
      <c r="B735" s="113"/>
      <c r="C735" s="324"/>
      <c r="D735" s="346"/>
      <c r="E735" s="326"/>
      <c r="F735" s="321" t="str">
        <f t="shared" si="62"/>
        <v/>
      </c>
      <c r="G735" s="334"/>
      <c r="H735" s="331"/>
      <c r="I735" s="107"/>
      <c r="J735" s="108"/>
      <c r="K735" s="109"/>
      <c r="L735" s="108"/>
      <c r="O735" s="86"/>
      <c r="P735" s="57"/>
      <c r="Q735" s="37"/>
      <c r="R735" s="92" t="str">
        <f t="shared" si="61"/>
        <v/>
      </c>
      <c r="S735" s="52"/>
      <c r="T735" s="87"/>
      <c r="U735" s="86"/>
      <c r="V735" s="201"/>
      <c r="W735" s="37"/>
      <c r="X735" s="52"/>
      <c r="Y735" s="87"/>
      <c r="AA735" s="86"/>
      <c r="AB735" s="57"/>
      <c r="AC735" s="37"/>
      <c r="AD735" s="52"/>
      <c r="AE735" s="87"/>
      <c r="AG735" s="86"/>
      <c r="AH735" s="37"/>
      <c r="AI735" s="52"/>
      <c r="AJ735" s="87"/>
      <c r="AL735" s="86"/>
      <c r="AM735" s="37"/>
      <c r="AN735" s="52"/>
      <c r="AO735" s="87"/>
      <c r="AQ735" s="86"/>
      <c r="AR735" s="37"/>
      <c r="AS735" s="52"/>
      <c r="AT735" s="87"/>
    </row>
    <row r="736" spans="2:46" thickBot="1">
      <c r="B736" s="113"/>
      <c r="C736" s="324"/>
      <c r="D736" s="346"/>
      <c r="E736" s="326"/>
      <c r="F736" s="321" t="str">
        <f t="shared" si="62"/>
        <v/>
      </c>
      <c r="G736" s="334"/>
      <c r="H736" s="331"/>
      <c r="I736" s="107"/>
      <c r="J736" s="108"/>
      <c r="K736" s="109"/>
      <c r="L736" s="108"/>
      <c r="O736" s="86"/>
      <c r="P736" s="57"/>
      <c r="Q736" s="37"/>
      <c r="R736" s="92" t="str">
        <f t="shared" si="61"/>
        <v/>
      </c>
      <c r="S736" s="52"/>
      <c r="T736" s="87"/>
      <c r="U736" s="86"/>
      <c r="V736" s="201"/>
      <c r="W736" s="37"/>
      <c r="X736" s="52"/>
      <c r="Y736" s="87"/>
      <c r="AA736" s="86"/>
      <c r="AB736" s="57"/>
      <c r="AC736" s="37"/>
      <c r="AD736" s="52"/>
      <c r="AE736" s="87"/>
      <c r="AG736" s="86"/>
      <c r="AH736" s="37"/>
      <c r="AI736" s="52"/>
      <c r="AJ736" s="87"/>
      <c r="AL736" s="86"/>
      <c r="AM736" s="37"/>
      <c r="AN736" s="52"/>
      <c r="AO736" s="87"/>
      <c r="AQ736" s="86"/>
      <c r="AR736" s="37"/>
      <c r="AS736" s="52"/>
      <c r="AT736" s="87"/>
    </row>
    <row r="737" spans="2:46" thickBot="1">
      <c r="B737" s="113"/>
      <c r="C737" s="324"/>
      <c r="D737" s="346"/>
      <c r="E737" s="326"/>
      <c r="F737" s="321" t="str">
        <f t="shared" si="62"/>
        <v/>
      </c>
      <c r="G737" s="334"/>
      <c r="H737" s="331"/>
      <c r="I737" s="107"/>
      <c r="J737" s="108"/>
      <c r="K737" s="109"/>
      <c r="L737" s="108"/>
      <c r="O737" s="86"/>
      <c r="P737" s="57"/>
      <c r="Q737" s="37"/>
      <c r="R737" s="92" t="str">
        <f t="shared" si="61"/>
        <v/>
      </c>
      <c r="S737" s="52"/>
      <c r="T737" s="87"/>
      <c r="U737" s="86"/>
      <c r="V737" s="201"/>
      <c r="W737" s="37"/>
      <c r="X737" s="52"/>
      <c r="Y737" s="87"/>
      <c r="AA737" s="86"/>
      <c r="AB737" s="57"/>
      <c r="AC737" s="37"/>
      <c r="AD737" s="52"/>
      <c r="AE737" s="87"/>
      <c r="AG737" s="86"/>
      <c r="AH737" s="37"/>
      <c r="AI737" s="52"/>
      <c r="AJ737" s="87"/>
      <c r="AL737" s="86"/>
      <c r="AM737" s="37"/>
      <c r="AN737" s="52"/>
      <c r="AO737" s="87"/>
      <c r="AQ737" s="86"/>
      <c r="AR737" s="37"/>
      <c r="AS737" s="52"/>
      <c r="AT737" s="87"/>
    </row>
    <row r="738" spans="2:46" thickBot="1">
      <c r="B738" s="113"/>
      <c r="C738" s="324"/>
      <c r="D738" s="346"/>
      <c r="E738" s="326"/>
      <c r="F738" s="321" t="str">
        <f t="shared" si="62"/>
        <v/>
      </c>
      <c r="G738" s="334"/>
      <c r="H738" s="331"/>
      <c r="I738" s="107"/>
      <c r="J738" s="108"/>
      <c r="K738" s="109"/>
      <c r="L738" s="108"/>
      <c r="O738" s="86"/>
      <c r="P738" s="57"/>
      <c r="Q738" s="37"/>
      <c r="R738" s="92" t="str">
        <f t="shared" si="61"/>
        <v/>
      </c>
      <c r="S738" s="52"/>
      <c r="T738" s="87"/>
      <c r="U738" s="86"/>
      <c r="V738" s="201"/>
      <c r="W738" s="37"/>
      <c r="X738" s="52"/>
      <c r="Y738" s="87"/>
      <c r="AA738" s="86"/>
      <c r="AB738" s="57"/>
      <c r="AC738" s="37"/>
      <c r="AD738" s="52"/>
      <c r="AE738" s="87"/>
      <c r="AG738" s="86"/>
      <c r="AH738" s="37"/>
      <c r="AI738" s="52"/>
      <c r="AJ738" s="87"/>
      <c r="AL738" s="86"/>
      <c r="AM738" s="37"/>
      <c r="AN738" s="52"/>
      <c r="AO738" s="87"/>
      <c r="AQ738" s="86"/>
      <c r="AR738" s="37"/>
      <c r="AS738" s="52"/>
      <c r="AT738" s="87"/>
    </row>
    <row r="739" spans="2:46" thickBot="1">
      <c r="B739" s="113"/>
      <c r="C739" s="324"/>
      <c r="D739" s="346"/>
      <c r="E739" s="326"/>
      <c r="F739" s="321" t="str">
        <f t="shared" si="62"/>
        <v/>
      </c>
      <c r="G739" s="334"/>
      <c r="H739" s="331"/>
      <c r="I739" s="107"/>
      <c r="J739" s="108"/>
      <c r="K739" s="109"/>
      <c r="L739" s="108"/>
      <c r="O739" s="86"/>
      <c r="P739" s="57"/>
      <c r="Q739" s="37"/>
      <c r="R739" s="92" t="str">
        <f t="shared" si="61"/>
        <v/>
      </c>
      <c r="S739" s="52"/>
      <c r="T739" s="87"/>
      <c r="U739" s="86"/>
      <c r="V739" s="201"/>
      <c r="W739" s="37"/>
      <c r="X739" s="52"/>
      <c r="Y739" s="87"/>
      <c r="AA739" s="86"/>
      <c r="AB739" s="57"/>
      <c r="AC739" s="37"/>
      <c r="AD739" s="52"/>
      <c r="AE739" s="87"/>
      <c r="AG739" s="86"/>
      <c r="AH739" s="37"/>
      <c r="AI739" s="52"/>
      <c r="AJ739" s="87"/>
      <c r="AL739" s="86"/>
      <c r="AM739" s="37"/>
      <c r="AN739" s="52"/>
      <c r="AO739" s="87"/>
      <c r="AQ739" s="86"/>
      <c r="AR739" s="37"/>
      <c r="AS739" s="52"/>
      <c r="AT739" s="87"/>
    </row>
    <row r="740" spans="2:46" thickBot="1">
      <c r="B740" s="113"/>
      <c r="C740" s="324"/>
      <c r="D740" s="346"/>
      <c r="E740" s="326"/>
      <c r="F740" s="321" t="str">
        <f t="shared" si="62"/>
        <v/>
      </c>
      <c r="G740" s="334"/>
      <c r="H740" s="331"/>
      <c r="I740" s="107"/>
      <c r="J740" s="108"/>
      <c r="K740" s="109"/>
      <c r="L740" s="108"/>
      <c r="O740" s="86"/>
      <c r="P740" s="57"/>
      <c r="Q740" s="37"/>
      <c r="R740" s="92" t="str">
        <f t="shared" si="61"/>
        <v/>
      </c>
      <c r="S740" s="52"/>
      <c r="T740" s="87"/>
      <c r="U740" s="86"/>
      <c r="V740" s="201"/>
      <c r="W740" s="37"/>
      <c r="X740" s="52"/>
      <c r="Y740" s="87"/>
      <c r="AA740" s="86"/>
      <c r="AB740" s="57"/>
      <c r="AC740" s="37"/>
      <c r="AD740" s="52"/>
      <c r="AE740" s="87"/>
      <c r="AG740" s="86"/>
      <c r="AH740" s="37"/>
      <c r="AI740" s="52"/>
      <c r="AJ740" s="87"/>
      <c r="AL740" s="86"/>
      <c r="AM740" s="37"/>
      <c r="AN740" s="52"/>
      <c r="AO740" s="87"/>
      <c r="AQ740" s="86"/>
      <c r="AR740" s="37"/>
      <c r="AS740" s="52"/>
      <c r="AT740" s="87"/>
    </row>
    <row r="741" spans="2:46" thickBot="1">
      <c r="B741" s="113"/>
      <c r="C741" s="324"/>
      <c r="D741" s="346"/>
      <c r="E741" s="326"/>
      <c r="F741" s="321" t="str">
        <f t="shared" si="62"/>
        <v/>
      </c>
      <c r="G741" s="334"/>
      <c r="H741" s="331"/>
      <c r="I741" s="107"/>
      <c r="J741" s="108"/>
      <c r="K741" s="109"/>
      <c r="L741" s="108"/>
      <c r="O741" s="86"/>
      <c r="P741" s="57"/>
      <c r="Q741" s="37"/>
      <c r="R741" s="92" t="str">
        <f t="shared" si="61"/>
        <v/>
      </c>
      <c r="S741" s="52"/>
      <c r="T741" s="87"/>
      <c r="U741" s="86"/>
      <c r="V741" s="201"/>
      <c r="W741" s="37"/>
      <c r="X741" s="52"/>
      <c r="Y741" s="87"/>
      <c r="AA741" s="86"/>
      <c r="AB741" s="57"/>
      <c r="AC741" s="37"/>
      <c r="AD741" s="52"/>
      <c r="AE741" s="87"/>
      <c r="AG741" s="86"/>
      <c r="AH741" s="37"/>
      <c r="AI741" s="52"/>
      <c r="AJ741" s="87"/>
      <c r="AL741" s="86"/>
      <c r="AM741" s="37"/>
      <c r="AN741" s="52"/>
      <c r="AO741" s="87"/>
      <c r="AQ741" s="86"/>
      <c r="AR741" s="37"/>
      <c r="AS741" s="52"/>
      <c r="AT741" s="87"/>
    </row>
    <row r="742" spans="2:46" thickBot="1">
      <c r="B742" s="113"/>
      <c r="C742" s="324"/>
      <c r="D742" s="346"/>
      <c r="E742" s="326"/>
      <c r="F742" s="321" t="str">
        <f t="shared" si="62"/>
        <v/>
      </c>
      <c r="G742" s="334"/>
      <c r="H742" s="331"/>
      <c r="I742" s="107"/>
      <c r="J742" s="108"/>
      <c r="K742" s="109"/>
      <c r="L742" s="108"/>
      <c r="O742" s="86"/>
      <c r="P742" s="57"/>
      <c r="Q742" s="37"/>
      <c r="R742" s="92" t="str">
        <f t="shared" si="61"/>
        <v/>
      </c>
      <c r="S742" s="52"/>
      <c r="T742" s="87"/>
      <c r="U742" s="86"/>
      <c r="V742" s="201"/>
      <c r="W742" s="37"/>
      <c r="X742" s="52"/>
      <c r="Y742" s="87"/>
      <c r="AA742" s="86"/>
      <c r="AB742" s="57"/>
      <c r="AC742" s="37"/>
      <c r="AD742" s="52"/>
      <c r="AE742" s="87"/>
      <c r="AG742" s="86"/>
      <c r="AH742" s="37"/>
      <c r="AI742" s="52"/>
      <c r="AJ742" s="87"/>
      <c r="AL742" s="86"/>
      <c r="AM742" s="37"/>
      <c r="AN742" s="52"/>
      <c r="AO742" s="87"/>
      <c r="AQ742" s="86"/>
      <c r="AR742" s="37"/>
      <c r="AS742" s="52"/>
      <c r="AT742" s="87"/>
    </row>
    <row r="743" spans="2:46" thickBot="1">
      <c r="B743" s="113"/>
      <c r="C743" s="324"/>
      <c r="D743" s="346"/>
      <c r="E743" s="326"/>
      <c r="F743" s="321" t="str">
        <f t="shared" si="62"/>
        <v/>
      </c>
      <c r="G743" s="334"/>
      <c r="H743" s="331"/>
      <c r="I743" s="107"/>
      <c r="J743" s="108"/>
      <c r="K743" s="109"/>
      <c r="L743" s="108"/>
      <c r="O743" s="86"/>
      <c r="P743" s="57"/>
      <c r="Q743" s="37"/>
      <c r="R743" s="92" t="str">
        <f t="shared" si="61"/>
        <v/>
      </c>
      <c r="S743" s="52"/>
      <c r="T743" s="87"/>
      <c r="U743" s="86"/>
      <c r="V743" s="201"/>
      <c r="W743" s="37"/>
      <c r="X743" s="52"/>
      <c r="Y743" s="87"/>
      <c r="AA743" s="86"/>
      <c r="AB743" s="57"/>
      <c r="AC743" s="37"/>
      <c r="AD743" s="52"/>
      <c r="AE743" s="87"/>
      <c r="AG743" s="86"/>
      <c r="AH743" s="37"/>
      <c r="AI743" s="52"/>
      <c r="AJ743" s="87"/>
      <c r="AL743" s="86"/>
      <c r="AM743" s="37"/>
      <c r="AN743" s="52"/>
      <c r="AO743" s="87"/>
      <c r="AQ743" s="86"/>
      <c r="AR743" s="37"/>
      <c r="AS743" s="52"/>
      <c r="AT743" s="87"/>
    </row>
    <row r="744" spans="2:46" thickBot="1">
      <c r="B744" s="113"/>
      <c r="C744" s="324"/>
      <c r="D744" s="346"/>
      <c r="E744" s="326"/>
      <c r="F744" s="321" t="str">
        <f t="shared" si="62"/>
        <v/>
      </c>
      <c r="G744" s="334"/>
      <c r="H744" s="331"/>
      <c r="I744" s="107"/>
      <c r="J744" s="108"/>
      <c r="K744" s="109"/>
      <c r="L744" s="108"/>
      <c r="O744" s="86"/>
      <c r="P744" s="57"/>
      <c r="Q744" s="37"/>
      <c r="R744" s="92" t="str">
        <f t="shared" si="61"/>
        <v/>
      </c>
      <c r="S744" s="52"/>
      <c r="T744" s="87"/>
      <c r="U744" s="86"/>
      <c r="V744" s="201"/>
      <c r="W744" s="37"/>
      <c r="X744" s="52"/>
      <c r="Y744" s="87"/>
      <c r="AA744" s="86"/>
      <c r="AB744" s="57"/>
      <c r="AC744" s="37"/>
      <c r="AD744" s="52"/>
      <c r="AE744" s="87"/>
      <c r="AG744" s="86"/>
      <c r="AH744" s="37"/>
      <c r="AI744" s="52"/>
      <c r="AJ744" s="87"/>
      <c r="AL744" s="86"/>
      <c r="AM744" s="37"/>
      <c r="AN744" s="52"/>
      <c r="AO744" s="87"/>
      <c r="AQ744" s="86"/>
      <c r="AR744" s="37"/>
      <c r="AS744" s="52"/>
      <c r="AT744" s="87"/>
    </row>
    <row r="745" spans="2:46" thickBot="1">
      <c r="B745" s="113"/>
      <c r="C745" s="324"/>
      <c r="D745" s="346"/>
      <c r="E745" s="326"/>
      <c r="F745" s="321" t="str">
        <f t="shared" si="62"/>
        <v/>
      </c>
      <c r="G745" s="334"/>
      <c r="H745" s="331"/>
      <c r="I745" s="107"/>
      <c r="J745" s="108"/>
      <c r="K745" s="109"/>
      <c r="L745" s="108"/>
      <c r="O745" s="86"/>
      <c r="P745" s="57"/>
      <c r="Q745" s="37"/>
      <c r="R745" s="92" t="str">
        <f t="shared" si="61"/>
        <v/>
      </c>
      <c r="S745" s="52"/>
      <c r="T745" s="87"/>
      <c r="U745" s="86"/>
      <c r="V745" s="201"/>
      <c r="W745" s="37"/>
      <c r="X745" s="52"/>
      <c r="Y745" s="87"/>
      <c r="AA745" s="86"/>
      <c r="AB745" s="57"/>
      <c r="AC745" s="37"/>
      <c r="AD745" s="52"/>
      <c r="AE745" s="87"/>
      <c r="AG745" s="86"/>
      <c r="AH745" s="37"/>
      <c r="AI745" s="52"/>
      <c r="AJ745" s="87"/>
      <c r="AL745" s="86"/>
      <c r="AM745" s="37"/>
      <c r="AN745" s="52"/>
      <c r="AO745" s="87"/>
      <c r="AQ745" s="86"/>
      <c r="AR745" s="37"/>
      <c r="AS745" s="52"/>
      <c r="AT745" s="87"/>
    </row>
    <row r="746" spans="2:46" thickBot="1">
      <c r="B746" s="113"/>
      <c r="C746" s="324"/>
      <c r="D746" s="346"/>
      <c r="E746" s="326"/>
      <c r="F746" s="321" t="str">
        <f t="shared" si="62"/>
        <v/>
      </c>
      <c r="G746" s="334"/>
      <c r="H746" s="331"/>
      <c r="I746" s="107"/>
      <c r="J746" s="108"/>
      <c r="K746" s="109"/>
      <c r="L746" s="108"/>
      <c r="O746" s="86"/>
      <c r="P746" s="57"/>
      <c r="Q746" s="37"/>
      <c r="R746" s="92" t="str">
        <f t="shared" si="61"/>
        <v/>
      </c>
      <c r="S746" s="52"/>
      <c r="T746" s="87"/>
      <c r="U746" s="86"/>
      <c r="V746" s="201"/>
      <c r="W746" s="37"/>
      <c r="X746" s="52"/>
      <c r="Y746" s="87"/>
      <c r="AA746" s="86"/>
      <c r="AB746" s="57"/>
      <c r="AC746" s="37"/>
      <c r="AD746" s="52"/>
      <c r="AE746" s="87"/>
      <c r="AG746" s="86"/>
      <c r="AH746" s="37"/>
      <c r="AI746" s="52"/>
      <c r="AJ746" s="87"/>
      <c r="AL746" s="86"/>
      <c r="AM746" s="37"/>
      <c r="AN746" s="52"/>
      <c r="AO746" s="87"/>
      <c r="AQ746" s="86"/>
      <c r="AR746" s="37"/>
      <c r="AS746" s="52"/>
      <c r="AT746" s="87"/>
    </row>
    <row r="747" spans="2:46" thickBot="1">
      <c r="B747" s="113"/>
      <c r="C747" s="324"/>
      <c r="D747" s="346"/>
      <c r="E747" s="326"/>
      <c r="F747" s="321" t="str">
        <f t="shared" si="62"/>
        <v/>
      </c>
      <c r="G747" s="334"/>
      <c r="H747" s="331"/>
      <c r="I747" s="107"/>
      <c r="J747" s="108"/>
      <c r="K747" s="109"/>
      <c r="L747" s="108"/>
      <c r="O747" s="86"/>
      <c r="P747" s="57"/>
      <c r="Q747" s="37"/>
      <c r="R747" s="92" t="str">
        <f t="shared" ref="R747:R810" si="63">IF(Q747="","",ROUND(S747*(1+$F$2),2))</f>
        <v/>
      </c>
      <c r="S747" s="52"/>
      <c r="T747" s="87"/>
      <c r="U747" s="86"/>
      <c r="V747" s="201"/>
      <c r="W747" s="37"/>
      <c r="X747" s="52"/>
      <c r="Y747" s="87"/>
      <c r="AA747" s="86"/>
      <c r="AB747" s="57"/>
      <c r="AC747" s="37"/>
      <c r="AD747" s="52"/>
      <c r="AE747" s="87"/>
      <c r="AG747" s="86"/>
      <c r="AH747" s="37"/>
      <c r="AI747" s="52"/>
      <c r="AJ747" s="87"/>
      <c r="AL747" s="86"/>
      <c r="AM747" s="37"/>
      <c r="AN747" s="52"/>
      <c r="AO747" s="87"/>
      <c r="AQ747" s="86"/>
      <c r="AR747" s="37"/>
      <c r="AS747" s="52"/>
      <c r="AT747" s="87"/>
    </row>
    <row r="748" spans="2:46" thickBot="1">
      <c r="B748" s="113"/>
      <c r="C748" s="324"/>
      <c r="D748" s="346"/>
      <c r="E748" s="326"/>
      <c r="F748" s="321" t="str">
        <f t="shared" si="62"/>
        <v/>
      </c>
      <c r="G748" s="334"/>
      <c r="H748" s="331"/>
      <c r="I748" s="107"/>
      <c r="J748" s="108"/>
      <c r="K748" s="109"/>
      <c r="L748" s="108"/>
      <c r="O748" s="86"/>
      <c r="P748" s="57"/>
      <c r="Q748" s="37"/>
      <c r="R748" s="92" t="str">
        <f t="shared" si="63"/>
        <v/>
      </c>
      <c r="S748" s="52"/>
      <c r="T748" s="87"/>
      <c r="U748" s="86"/>
      <c r="V748" s="201"/>
      <c r="W748" s="37"/>
      <c r="X748" s="52"/>
      <c r="Y748" s="87"/>
      <c r="AA748" s="86"/>
      <c r="AB748" s="57"/>
      <c r="AC748" s="37"/>
      <c r="AD748" s="52"/>
      <c r="AE748" s="87"/>
      <c r="AG748" s="86"/>
      <c r="AH748" s="37"/>
      <c r="AI748" s="52"/>
      <c r="AJ748" s="87"/>
      <c r="AL748" s="86"/>
      <c r="AM748" s="37"/>
      <c r="AN748" s="52"/>
      <c r="AO748" s="87"/>
      <c r="AQ748" s="86"/>
      <c r="AR748" s="37"/>
      <c r="AS748" s="52"/>
      <c r="AT748" s="87"/>
    </row>
    <row r="749" spans="2:46" thickBot="1">
      <c r="B749" s="113"/>
      <c r="C749" s="324"/>
      <c r="D749" s="346"/>
      <c r="E749" s="326"/>
      <c r="F749" s="321" t="str">
        <f t="shared" si="62"/>
        <v/>
      </c>
      <c r="G749" s="334"/>
      <c r="H749" s="331"/>
      <c r="I749" s="107"/>
      <c r="J749" s="108"/>
      <c r="K749" s="109"/>
      <c r="L749" s="108"/>
      <c r="O749" s="86"/>
      <c r="P749" s="57"/>
      <c r="Q749" s="37"/>
      <c r="R749" s="92" t="str">
        <f t="shared" si="63"/>
        <v/>
      </c>
      <c r="S749" s="52"/>
      <c r="T749" s="87"/>
      <c r="U749" s="86"/>
      <c r="V749" s="201"/>
      <c r="W749" s="37"/>
      <c r="X749" s="52"/>
      <c r="Y749" s="87"/>
      <c r="AA749" s="86"/>
      <c r="AB749" s="57"/>
      <c r="AC749" s="37"/>
      <c r="AD749" s="52"/>
      <c r="AE749" s="87"/>
      <c r="AG749" s="86"/>
      <c r="AH749" s="37"/>
      <c r="AI749" s="52"/>
      <c r="AJ749" s="87"/>
      <c r="AL749" s="86"/>
      <c r="AM749" s="37"/>
      <c r="AN749" s="52"/>
      <c r="AO749" s="87"/>
      <c r="AQ749" s="86"/>
      <c r="AR749" s="37"/>
      <c r="AS749" s="52"/>
      <c r="AT749" s="87"/>
    </row>
    <row r="750" spans="2:46" thickBot="1">
      <c r="B750" s="113"/>
      <c r="C750" s="324"/>
      <c r="D750" s="346"/>
      <c r="E750" s="326"/>
      <c r="F750" s="321" t="str">
        <f t="shared" si="62"/>
        <v/>
      </c>
      <c r="G750" s="334"/>
      <c r="H750" s="331"/>
      <c r="I750" s="107"/>
      <c r="J750" s="108"/>
      <c r="K750" s="109"/>
      <c r="L750" s="108"/>
      <c r="O750" s="86"/>
      <c r="P750" s="57"/>
      <c r="Q750" s="37"/>
      <c r="R750" s="92" t="str">
        <f t="shared" si="63"/>
        <v/>
      </c>
      <c r="S750" s="52"/>
      <c r="T750" s="87"/>
      <c r="U750" s="86"/>
      <c r="V750" s="201"/>
      <c r="W750" s="37"/>
      <c r="X750" s="52"/>
      <c r="Y750" s="87"/>
      <c r="AA750" s="86"/>
      <c r="AB750" s="57"/>
      <c r="AC750" s="37"/>
      <c r="AD750" s="52"/>
      <c r="AE750" s="87"/>
      <c r="AG750" s="86"/>
      <c r="AH750" s="37"/>
      <c r="AI750" s="52"/>
      <c r="AJ750" s="87"/>
      <c r="AL750" s="86"/>
      <c r="AM750" s="37"/>
      <c r="AN750" s="52"/>
      <c r="AO750" s="87"/>
      <c r="AQ750" s="86"/>
      <c r="AR750" s="37"/>
      <c r="AS750" s="52"/>
      <c r="AT750" s="87"/>
    </row>
    <row r="751" spans="2:46" thickBot="1">
      <c r="B751" s="113"/>
      <c r="C751" s="324"/>
      <c r="D751" s="346"/>
      <c r="E751" s="326"/>
      <c r="F751" s="321" t="str">
        <f t="shared" si="62"/>
        <v/>
      </c>
      <c r="G751" s="334"/>
      <c r="H751" s="331"/>
      <c r="I751" s="107"/>
      <c r="J751" s="108"/>
      <c r="K751" s="109"/>
      <c r="L751" s="108"/>
      <c r="O751" s="86"/>
      <c r="P751" s="57"/>
      <c r="Q751" s="37"/>
      <c r="R751" s="92" t="str">
        <f t="shared" si="63"/>
        <v/>
      </c>
      <c r="S751" s="52"/>
      <c r="T751" s="87"/>
      <c r="U751" s="86"/>
      <c r="V751" s="201"/>
      <c r="W751" s="37"/>
      <c r="X751" s="52"/>
      <c r="Y751" s="87"/>
      <c r="AA751" s="86"/>
      <c r="AB751" s="57"/>
      <c r="AC751" s="37"/>
      <c r="AD751" s="52"/>
      <c r="AE751" s="87"/>
      <c r="AG751" s="86"/>
      <c r="AH751" s="37"/>
      <c r="AI751" s="52"/>
      <c r="AJ751" s="87"/>
      <c r="AL751" s="86"/>
      <c r="AM751" s="37"/>
      <c r="AN751" s="52"/>
      <c r="AO751" s="87"/>
      <c r="AQ751" s="86"/>
      <c r="AR751" s="37"/>
      <c r="AS751" s="52"/>
      <c r="AT751" s="87"/>
    </row>
    <row r="752" spans="2:46" thickBot="1">
      <c r="B752" s="113"/>
      <c r="C752" s="324"/>
      <c r="D752" s="346"/>
      <c r="E752" s="326"/>
      <c r="F752" s="321" t="str">
        <f t="shared" si="62"/>
        <v/>
      </c>
      <c r="G752" s="334"/>
      <c r="H752" s="331"/>
      <c r="I752" s="107"/>
      <c r="J752" s="108"/>
      <c r="K752" s="109"/>
      <c r="L752" s="108"/>
      <c r="O752" s="86"/>
      <c r="P752" s="57"/>
      <c r="Q752" s="37"/>
      <c r="R752" s="92" t="str">
        <f t="shared" si="63"/>
        <v/>
      </c>
      <c r="S752" s="52"/>
      <c r="T752" s="87"/>
      <c r="U752" s="86"/>
      <c r="V752" s="201"/>
      <c r="W752" s="37"/>
      <c r="X752" s="52"/>
      <c r="Y752" s="87"/>
      <c r="AA752" s="86"/>
      <c r="AB752" s="57"/>
      <c r="AC752" s="37"/>
      <c r="AD752" s="52"/>
      <c r="AE752" s="87"/>
      <c r="AG752" s="86"/>
      <c r="AH752" s="37"/>
      <c r="AI752" s="52"/>
      <c r="AJ752" s="87"/>
      <c r="AL752" s="86"/>
      <c r="AM752" s="37"/>
      <c r="AN752" s="52"/>
      <c r="AO752" s="87"/>
      <c r="AQ752" s="86"/>
      <c r="AR752" s="37"/>
      <c r="AS752" s="52"/>
      <c r="AT752" s="87"/>
    </row>
    <row r="753" spans="2:46" thickBot="1">
      <c r="B753" s="113"/>
      <c r="C753" s="324"/>
      <c r="D753" s="346"/>
      <c r="E753" s="326"/>
      <c r="F753" s="321" t="str">
        <f t="shared" si="62"/>
        <v/>
      </c>
      <c r="G753" s="334"/>
      <c r="H753" s="331"/>
      <c r="I753" s="107"/>
      <c r="J753" s="108"/>
      <c r="K753" s="109"/>
      <c r="L753" s="108"/>
      <c r="O753" s="86"/>
      <c r="P753" s="57"/>
      <c r="Q753" s="37"/>
      <c r="R753" s="92" t="str">
        <f t="shared" si="63"/>
        <v/>
      </c>
      <c r="S753" s="52"/>
      <c r="T753" s="87"/>
      <c r="U753" s="86"/>
      <c r="V753" s="201"/>
      <c r="W753" s="37"/>
      <c r="X753" s="52"/>
      <c r="Y753" s="87"/>
      <c r="AA753" s="86"/>
      <c r="AB753" s="57"/>
      <c r="AC753" s="37"/>
      <c r="AD753" s="52"/>
      <c r="AE753" s="87"/>
      <c r="AG753" s="86"/>
      <c r="AH753" s="37"/>
      <c r="AI753" s="52"/>
      <c r="AJ753" s="87"/>
      <c r="AL753" s="86"/>
      <c r="AM753" s="37"/>
      <c r="AN753" s="52"/>
      <c r="AO753" s="87"/>
      <c r="AQ753" s="86"/>
      <c r="AR753" s="37"/>
      <c r="AS753" s="52"/>
      <c r="AT753" s="87"/>
    </row>
    <row r="754" spans="2:46" thickBot="1">
      <c r="B754" s="113"/>
      <c r="C754" s="324"/>
      <c r="D754" s="346"/>
      <c r="E754" s="326"/>
      <c r="F754" s="321" t="str">
        <f t="shared" si="62"/>
        <v/>
      </c>
      <c r="G754" s="334"/>
      <c r="H754" s="331"/>
      <c r="I754" s="107"/>
      <c r="J754" s="108"/>
      <c r="K754" s="109"/>
      <c r="L754" s="108"/>
      <c r="O754" s="86"/>
      <c r="P754" s="57"/>
      <c r="Q754" s="37"/>
      <c r="R754" s="92" t="str">
        <f t="shared" si="63"/>
        <v/>
      </c>
      <c r="S754" s="52"/>
      <c r="T754" s="87"/>
      <c r="U754" s="86"/>
      <c r="V754" s="201"/>
      <c r="W754" s="37"/>
      <c r="X754" s="52"/>
      <c r="Y754" s="87"/>
      <c r="AA754" s="86"/>
      <c r="AB754" s="57"/>
      <c r="AC754" s="37"/>
      <c r="AD754" s="52"/>
      <c r="AE754" s="87"/>
      <c r="AG754" s="86"/>
      <c r="AH754" s="37"/>
      <c r="AI754" s="52"/>
      <c r="AJ754" s="87"/>
      <c r="AL754" s="86"/>
      <c r="AM754" s="37"/>
      <c r="AN754" s="52"/>
      <c r="AO754" s="87"/>
      <c r="AQ754" s="86"/>
      <c r="AR754" s="37"/>
      <c r="AS754" s="52"/>
      <c r="AT754" s="87"/>
    </row>
    <row r="755" spans="2:46" thickBot="1">
      <c r="B755" s="113"/>
      <c r="C755" s="324"/>
      <c r="D755" s="346"/>
      <c r="E755" s="326"/>
      <c r="F755" s="321" t="str">
        <f t="shared" si="62"/>
        <v/>
      </c>
      <c r="G755" s="334"/>
      <c r="H755" s="331"/>
      <c r="I755" s="107"/>
      <c r="J755" s="108"/>
      <c r="K755" s="109"/>
      <c r="L755" s="108"/>
      <c r="O755" s="86"/>
      <c r="P755" s="57"/>
      <c r="Q755" s="37"/>
      <c r="R755" s="92" t="str">
        <f t="shared" si="63"/>
        <v/>
      </c>
      <c r="S755" s="52"/>
      <c r="T755" s="87"/>
      <c r="U755" s="86"/>
      <c r="V755" s="201"/>
      <c r="W755" s="37"/>
      <c r="X755" s="52"/>
      <c r="Y755" s="87"/>
      <c r="AA755" s="86"/>
      <c r="AB755" s="57"/>
      <c r="AC755" s="37"/>
      <c r="AD755" s="52"/>
      <c r="AE755" s="87"/>
      <c r="AG755" s="86"/>
      <c r="AH755" s="37"/>
      <c r="AI755" s="52"/>
      <c r="AJ755" s="87"/>
      <c r="AL755" s="86"/>
      <c r="AM755" s="37"/>
      <c r="AN755" s="52"/>
      <c r="AO755" s="87"/>
      <c r="AQ755" s="86"/>
      <c r="AR755" s="37"/>
      <c r="AS755" s="52"/>
      <c r="AT755" s="87"/>
    </row>
    <row r="756" spans="2:46" thickBot="1">
      <c r="B756" s="113"/>
      <c r="C756" s="324"/>
      <c r="D756" s="346"/>
      <c r="E756" s="326"/>
      <c r="F756" s="321" t="str">
        <f t="shared" si="62"/>
        <v/>
      </c>
      <c r="G756" s="334"/>
      <c r="H756" s="331"/>
      <c r="I756" s="107"/>
      <c r="J756" s="108"/>
      <c r="K756" s="109"/>
      <c r="L756" s="108"/>
      <c r="O756" s="86"/>
      <c r="P756" s="57"/>
      <c r="Q756" s="37"/>
      <c r="R756" s="92" t="str">
        <f t="shared" si="63"/>
        <v/>
      </c>
      <c r="S756" s="52"/>
      <c r="T756" s="87"/>
      <c r="U756" s="86"/>
      <c r="V756" s="201"/>
      <c r="W756" s="37"/>
      <c r="X756" s="52"/>
      <c r="Y756" s="87"/>
      <c r="AA756" s="86"/>
      <c r="AB756" s="57"/>
      <c r="AC756" s="37"/>
      <c r="AD756" s="52"/>
      <c r="AE756" s="87"/>
      <c r="AG756" s="86"/>
      <c r="AH756" s="37"/>
      <c r="AI756" s="52"/>
      <c r="AJ756" s="87"/>
      <c r="AL756" s="86"/>
      <c r="AM756" s="37"/>
      <c r="AN756" s="52"/>
      <c r="AO756" s="87"/>
      <c r="AQ756" s="86"/>
      <c r="AR756" s="37"/>
      <c r="AS756" s="52"/>
      <c r="AT756" s="87"/>
    </row>
    <row r="757" spans="2:46" thickBot="1">
      <c r="B757" s="113"/>
      <c r="C757" s="324"/>
      <c r="D757" s="346"/>
      <c r="E757" s="326"/>
      <c r="F757" s="321" t="str">
        <f t="shared" si="62"/>
        <v/>
      </c>
      <c r="G757" s="334"/>
      <c r="H757" s="331"/>
      <c r="I757" s="107"/>
      <c r="J757" s="108"/>
      <c r="K757" s="109"/>
      <c r="L757" s="108"/>
      <c r="O757" s="86"/>
      <c r="P757" s="57"/>
      <c r="Q757" s="37"/>
      <c r="R757" s="92" t="str">
        <f t="shared" si="63"/>
        <v/>
      </c>
      <c r="S757" s="52"/>
      <c r="T757" s="87"/>
      <c r="U757" s="86"/>
      <c r="V757" s="201"/>
      <c r="W757" s="37"/>
      <c r="X757" s="52"/>
      <c r="Y757" s="87"/>
      <c r="AA757" s="86"/>
      <c r="AB757" s="57"/>
      <c r="AC757" s="37"/>
      <c r="AD757" s="52"/>
      <c r="AE757" s="87"/>
      <c r="AG757" s="86"/>
      <c r="AH757" s="37"/>
      <c r="AI757" s="52"/>
      <c r="AJ757" s="87"/>
      <c r="AL757" s="86"/>
      <c r="AM757" s="37"/>
      <c r="AN757" s="52"/>
      <c r="AO757" s="87"/>
      <c r="AQ757" s="86"/>
      <c r="AR757" s="37"/>
      <c r="AS757" s="52"/>
      <c r="AT757" s="87"/>
    </row>
    <row r="758" spans="2:46" thickBot="1">
      <c r="B758" s="113"/>
      <c r="C758" s="324"/>
      <c r="D758" s="346"/>
      <c r="E758" s="326"/>
      <c r="F758" s="321" t="str">
        <f t="shared" si="62"/>
        <v/>
      </c>
      <c r="G758" s="334"/>
      <c r="H758" s="331"/>
      <c r="I758" s="107"/>
      <c r="J758" s="108"/>
      <c r="K758" s="109"/>
      <c r="L758" s="108"/>
      <c r="O758" s="86"/>
      <c r="P758" s="57"/>
      <c r="Q758" s="37"/>
      <c r="R758" s="92" t="str">
        <f t="shared" si="63"/>
        <v/>
      </c>
      <c r="S758" s="52"/>
      <c r="T758" s="87"/>
      <c r="U758" s="86"/>
      <c r="V758" s="201"/>
      <c r="W758" s="37"/>
      <c r="X758" s="52"/>
      <c r="Y758" s="87"/>
      <c r="AA758" s="86"/>
      <c r="AB758" s="57"/>
      <c r="AC758" s="37"/>
      <c r="AD758" s="52"/>
      <c r="AE758" s="87"/>
      <c r="AG758" s="86"/>
      <c r="AH758" s="37"/>
      <c r="AI758" s="52"/>
      <c r="AJ758" s="87"/>
      <c r="AL758" s="86"/>
      <c r="AM758" s="37"/>
      <c r="AN758" s="52"/>
      <c r="AO758" s="87"/>
      <c r="AQ758" s="86"/>
      <c r="AR758" s="37"/>
      <c r="AS758" s="52"/>
      <c r="AT758" s="87"/>
    </row>
    <row r="759" spans="2:46" thickBot="1">
      <c r="B759" s="113"/>
      <c r="C759" s="324"/>
      <c r="D759" s="346"/>
      <c r="E759" s="326"/>
      <c r="F759" s="321" t="str">
        <f t="shared" si="62"/>
        <v/>
      </c>
      <c r="G759" s="334"/>
      <c r="H759" s="331"/>
      <c r="I759" s="107"/>
      <c r="J759" s="108"/>
      <c r="K759" s="109"/>
      <c r="L759" s="108"/>
      <c r="O759" s="86"/>
      <c r="P759" s="57"/>
      <c r="Q759" s="37"/>
      <c r="R759" s="92" t="str">
        <f t="shared" si="63"/>
        <v/>
      </c>
      <c r="S759" s="52"/>
      <c r="T759" s="87"/>
      <c r="U759" s="86"/>
      <c r="V759" s="201"/>
      <c r="W759" s="37"/>
      <c r="X759" s="52"/>
      <c r="Y759" s="87"/>
      <c r="AA759" s="86"/>
      <c r="AB759" s="57"/>
      <c r="AC759" s="37"/>
      <c r="AD759" s="52"/>
      <c r="AE759" s="87"/>
      <c r="AG759" s="86"/>
      <c r="AH759" s="37"/>
      <c r="AI759" s="52"/>
      <c r="AJ759" s="87"/>
      <c r="AL759" s="86"/>
      <c r="AM759" s="37"/>
      <c r="AN759" s="52"/>
      <c r="AO759" s="87"/>
      <c r="AQ759" s="86"/>
      <c r="AR759" s="37"/>
      <c r="AS759" s="52"/>
      <c r="AT759" s="87"/>
    </row>
    <row r="760" spans="2:46" thickBot="1">
      <c r="B760" s="113"/>
      <c r="C760" s="324"/>
      <c r="D760" s="346"/>
      <c r="E760" s="326"/>
      <c r="F760" s="321" t="str">
        <f t="shared" si="62"/>
        <v/>
      </c>
      <c r="G760" s="334"/>
      <c r="H760" s="331"/>
      <c r="I760" s="107"/>
      <c r="J760" s="108"/>
      <c r="K760" s="109"/>
      <c r="L760" s="108"/>
      <c r="O760" s="86"/>
      <c r="P760" s="57"/>
      <c r="Q760" s="37"/>
      <c r="R760" s="92" t="str">
        <f t="shared" si="63"/>
        <v/>
      </c>
      <c r="S760" s="52"/>
      <c r="T760" s="87"/>
      <c r="U760" s="86"/>
      <c r="V760" s="201"/>
      <c r="W760" s="37"/>
      <c r="X760" s="52"/>
      <c r="Y760" s="87"/>
      <c r="AA760" s="86"/>
      <c r="AB760" s="57"/>
      <c r="AC760" s="37"/>
      <c r="AD760" s="52"/>
      <c r="AE760" s="87"/>
      <c r="AG760" s="86"/>
      <c r="AH760" s="37"/>
      <c r="AI760" s="52"/>
      <c r="AJ760" s="87"/>
      <c r="AL760" s="86"/>
      <c r="AM760" s="37"/>
      <c r="AN760" s="52"/>
      <c r="AO760" s="87"/>
      <c r="AQ760" s="86"/>
      <c r="AR760" s="37"/>
      <c r="AS760" s="52"/>
      <c r="AT760" s="87"/>
    </row>
    <row r="761" spans="2:46" thickBot="1">
      <c r="B761" s="113"/>
      <c r="C761" s="324"/>
      <c r="D761" s="346"/>
      <c r="E761" s="326"/>
      <c r="F761" s="321" t="str">
        <f t="shared" si="62"/>
        <v/>
      </c>
      <c r="G761" s="334"/>
      <c r="H761" s="331"/>
      <c r="I761" s="107"/>
      <c r="J761" s="108"/>
      <c r="K761" s="109"/>
      <c r="L761" s="108"/>
      <c r="O761" s="86"/>
      <c r="P761" s="57"/>
      <c r="Q761" s="37"/>
      <c r="R761" s="92" t="str">
        <f t="shared" si="63"/>
        <v/>
      </c>
      <c r="S761" s="52"/>
      <c r="T761" s="87"/>
      <c r="U761" s="86"/>
      <c r="V761" s="201"/>
      <c r="W761" s="37"/>
      <c r="X761" s="52"/>
      <c r="Y761" s="87"/>
      <c r="AA761" s="86"/>
      <c r="AB761" s="57"/>
      <c r="AC761" s="37"/>
      <c r="AD761" s="52"/>
      <c r="AE761" s="87"/>
      <c r="AG761" s="86"/>
      <c r="AH761" s="37"/>
      <c r="AI761" s="52"/>
      <c r="AJ761" s="87"/>
      <c r="AL761" s="86"/>
      <c r="AM761" s="37"/>
      <c r="AN761" s="52"/>
      <c r="AO761" s="87"/>
      <c r="AQ761" s="86"/>
      <c r="AR761" s="37"/>
      <c r="AS761" s="52"/>
      <c r="AT761" s="87"/>
    </row>
    <row r="762" spans="2:46" thickBot="1">
      <c r="B762" s="113"/>
      <c r="C762" s="324"/>
      <c r="D762" s="346"/>
      <c r="E762" s="326"/>
      <c r="F762" s="321" t="str">
        <f t="shared" si="62"/>
        <v/>
      </c>
      <c r="G762" s="334"/>
      <c r="H762" s="331"/>
      <c r="I762" s="107"/>
      <c r="J762" s="108"/>
      <c r="K762" s="109"/>
      <c r="L762" s="108"/>
      <c r="O762" s="86"/>
      <c r="P762" s="57"/>
      <c r="Q762" s="37"/>
      <c r="R762" s="92" t="str">
        <f t="shared" si="63"/>
        <v/>
      </c>
      <c r="S762" s="52"/>
      <c r="T762" s="87"/>
      <c r="U762" s="86"/>
      <c r="V762" s="201"/>
      <c r="W762" s="37"/>
      <c r="X762" s="52"/>
      <c r="Y762" s="87"/>
      <c r="AA762" s="86"/>
      <c r="AB762" s="57"/>
      <c r="AC762" s="37"/>
      <c r="AD762" s="52"/>
      <c r="AE762" s="87"/>
      <c r="AG762" s="86"/>
      <c r="AH762" s="37"/>
      <c r="AI762" s="52"/>
      <c r="AJ762" s="87"/>
      <c r="AL762" s="86"/>
      <c r="AM762" s="37"/>
      <c r="AN762" s="52"/>
      <c r="AO762" s="87"/>
      <c r="AQ762" s="86"/>
      <c r="AR762" s="37"/>
      <c r="AS762" s="52"/>
      <c r="AT762" s="87"/>
    </row>
    <row r="763" spans="2:46" thickBot="1">
      <c r="B763" s="113"/>
      <c r="C763" s="324"/>
      <c r="D763" s="346"/>
      <c r="E763" s="326"/>
      <c r="F763" s="321" t="str">
        <f t="shared" si="62"/>
        <v/>
      </c>
      <c r="G763" s="334"/>
      <c r="H763" s="331"/>
      <c r="I763" s="107"/>
      <c r="J763" s="108"/>
      <c r="K763" s="109"/>
      <c r="L763" s="108"/>
      <c r="O763" s="86"/>
      <c r="P763" s="57"/>
      <c r="Q763" s="37"/>
      <c r="R763" s="92" t="str">
        <f t="shared" si="63"/>
        <v/>
      </c>
      <c r="S763" s="52"/>
      <c r="T763" s="87"/>
      <c r="U763" s="86"/>
      <c r="V763" s="201"/>
      <c r="W763" s="37"/>
      <c r="X763" s="52"/>
      <c r="Y763" s="87"/>
      <c r="AA763" s="86"/>
      <c r="AB763" s="57"/>
      <c r="AC763" s="37"/>
      <c r="AD763" s="52"/>
      <c r="AE763" s="87"/>
      <c r="AG763" s="86"/>
      <c r="AH763" s="37"/>
      <c r="AI763" s="52"/>
      <c r="AJ763" s="87"/>
      <c r="AL763" s="86"/>
      <c r="AM763" s="37"/>
      <c r="AN763" s="52"/>
      <c r="AO763" s="87"/>
      <c r="AQ763" s="86"/>
      <c r="AR763" s="37"/>
      <c r="AS763" s="52"/>
      <c r="AT763" s="87"/>
    </row>
    <row r="764" spans="2:46" thickBot="1">
      <c r="B764" s="113"/>
      <c r="C764" s="324"/>
      <c r="D764" s="346"/>
      <c r="E764" s="326"/>
      <c r="F764" s="321" t="str">
        <f t="shared" si="62"/>
        <v/>
      </c>
      <c r="G764" s="334"/>
      <c r="H764" s="331"/>
      <c r="I764" s="107"/>
      <c r="J764" s="108"/>
      <c r="K764" s="109"/>
      <c r="L764" s="108"/>
      <c r="O764" s="86"/>
      <c r="P764" s="57"/>
      <c r="Q764" s="37"/>
      <c r="R764" s="92" t="str">
        <f t="shared" si="63"/>
        <v/>
      </c>
      <c r="S764" s="52"/>
      <c r="T764" s="87"/>
      <c r="U764" s="86"/>
      <c r="V764" s="201"/>
      <c r="W764" s="37"/>
      <c r="X764" s="52"/>
      <c r="Y764" s="87"/>
      <c r="AA764" s="86"/>
      <c r="AB764" s="57"/>
      <c r="AC764" s="37"/>
      <c r="AD764" s="52"/>
      <c r="AE764" s="87"/>
      <c r="AG764" s="86"/>
      <c r="AH764" s="37"/>
      <c r="AI764" s="52"/>
      <c r="AJ764" s="87"/>
      <c r="AL764" s="86"/>
      <c r="AM764" s="37"/>
      <c r="AN764" s="52"/>
      <c r="AO764" s="87"/>
      <c r="AQ764" s="86"/>
      <c r="AR764" s="37"/>
      <c r="AS764" s="52"/>
      <c r="AT764" s="87"/>
    </row>
    <row r="765" spans="2:46" thickBot="1">
      <c r="B765" s="113"/>
      <c r="C765" s="324"/>
      <c r="D765" s="346"/>
      <c r="E765" s="326"/>
      <c r="F765" s="321" t="str">
        <f t="shared" si="62"/>
        <v/>
      </c>
      <c r="G765" s="334"/>
      <c r="H765" s="331"/>
      <c r="I765" s="107"/>
      <c r="J765" s="108"/>
      <c r="K765" s="109"/>
      <c r="L765" s="108"/>
      <c r="O765" s="86"/>
      <c r="P765" s="57"/>
      <c r="Q765" s="37"/>
      <c r="R765" s="92" t="str">
        <f t="shared" si="63"/>
        <v/>
      </c>
      <c r="S765" s="52"/>
      <c r="T765" s="87"/>
      <c r="U765" s="86"/>
      <c r="V765" s="201"/>
      <c r="W765" s="37"/>
      <c r="X765" s="52"/>
      <c r="Y765" s="87"/>
      <c r="AA765" s="86"/>
      <c r="AB765" s="57"/>
      <c r="AC765" s="37"/>
      <c r="AD765" s="52"/>
      <c r="AE765" s="87"/>
      <c r="AG765" s="86"/>
      <c r="AH765" s="37"/>
      <c r="AI765" s="52"/>
      <c r="AJ765" s="87"/>
      <c r="AL765" s="86"/>
      <c r="AM765" s="37"/>
      <c r="AN765" s="52"/>
      <c r="AO765" s="87"/>
      <c r="AQ765" s="86"/>
      <c r="AR765" s="37"/>
      <c r="AS765" s="52"/>
      <c r="AT765" s="87"/>
    </row>
    <row r="766" spans="2:46" thickBot="1">
      <c r="B766" s="113"/>
      <c r="C766" s="324"/>
      <c r="D766" s="346"/>
      <c r="E766" s="326"/>
      <c r="F766" s="321" t="str">
        <f t="shared" si="62"/>
        <v/>
      </c>
      <c r="G766" s="334"/>
      <c r="H766" s="331"/>
      <c r="I766" s="107"/>
      <c r="J766" s="108"/>
      <c r="K766" s="109"/>
      <c r="L766" s="108"/>
      <c r="O766" s="86"/>
      <c r="P766" s="57"/>
      <c r="Q766" s="37"/>
      <c r="R766" s="92" t="str">
        <f t="shared" si="63"/>
        <v/>
      </c>
      <c r="S766" s="52"/>
      <c r="T766" s="87"/>
      <c r="U766" s="86"/>
      <c r="V766" s="201"/>
      <c r="W766" s="37"/>
      <c r="X766" s="52"/>
      <c r="Y766" s="87"/>
      <c r="AA766" s="86"/>
      <c r="AB766" s="57"/>
      <c r="AC766" s="37"/>
      <c r="AD766" s="52"/>
      <c r="AE766" s="87"/>
      <c r="AG766" s="86"/>
      <c r="AH766" s="37"/>
      <c r="AI766" s="52"/>
      <c r="AJ766" s="87"/>
      <c r="AL766" s="86"/>
      <c r="AM766" s="37"/>
      <c r="AN766" s="52"/>
      <c r="AO766" s="87"/>
      <c r="AQ766" s="86"/>
      <c r="AR766" s="37"/>
      <c r="AS766" s="52"/>
      <c r="AT766" s="87"/>
    </row>
    <row r="767" spans="2:46" thickBot="1">
      <c r="B767" s="113"/>
      <c r="C767" s="324"/>
      <c r="D767" s="346"/>
      <c r="E767" s="326"/>
      <c r="F767" s="321" t="str">
        <f t="shared" si="62"/>
        <v/>
      </c>
      <c r="G767" s="334"/>
      <c r="H767" s="331"/>
      <c r="I767" s="107"/>
      <c r="J767" s="108"/>
      <c r="K767" s="109"/>
      <c r="L767" s="108"/>
      <c r="O767" s="86"/>
      <c r="P767" s="57"/>
      <c r="Q767" s="37"/>
      <c r="R767" s="92" t="str">
        <f t="shared" si="63"/>
        <v/>
      </c>
      <c r="S767" s="52"/>
      <c r="T767" s="87"/>
      <c r="U767" s="86"/>
      <c r="V767" s="201"/>
      <c r="W767" s="37"/>
      <c r="X767" s="52"/>
      <c r="Y767" s="87"/>
      <c r="AA767" s="86"/>
      <c r="AB767" s="57"/>
      <c r="AC767" s="37"/>
      <c r="AD767" s="52"/>
      <c r="AE767" s="87"/>
      <c r="AG767" s="86"/>
      <c r="AH767" s="37"/>
      <c r="AI767" s="52"/>
      <c r="AJ767" s="87"/>
      <c r="AL767" s="86"/>
      <c r="AM767" s="37"/>
      <c r="AN767" s="52"/>
      <c r="AO767" s="87"/>
      <c r="AQ767" s="86"/>
      <c r="AR767" s="37"/>
      <c r="AS767" s="52"/>
      <c r="AT767" s="87"/>
    </row>
    <row r="768" spans="2:46" thickBot="1">
      <c r="B768" s="113"/>
      <c r="C768" s="324"/>
      <c r="D768" s="346"/>
      <c r="E768" s="326"/>
      <c r="F768" s="321" t="str">
        <f t="shared" si="62"/>
        <v/>
      </c>
      <c r="G768" s="334"/>
      <c r="H768" s="331"/>
      <c r="I768" s="107"/>
      <c r="J768" s="108"/>
      <c r="K768" s="109"/>
      <c r="L768" s="108"/>
      <c r="O768" s="86"/>
      <c r="P768" s="57"/>
      <c r="Q768" s="37"/>
      <c r="R768" s="92" t="str">
        <f t="shared" si="63"/>
        <v/>
      </c>
      <c r="S768" s="52"/>
      <c r="T768" s="87"/>
      <c r="U768" s="86"/>
      <c r="V768" s="201"/>
      <c r="W768" s="37"/>
      <c r="X768" s="52"/>
      <c r="Y768" s="87"/>
      <c r="AA768" s="86"/>
      <c r="AB768" s="57"/>
      <c r="AC768" s="37"/>
      <c r="AD768" s="52"/>
      <c r="AE768" s="87"/>
      <c r="AG768" s="86"/>
      <c r="AH768" s="37"/>
      <c r="AI768" s="52"/>
      <c r="AJ768" s="87"/>
      <c r="AL768" s="86"/>
      <c r="AM768" s="37"/>
      <c r="AN768" s="52"/>
      <c r="AO768" s="87"/>
      <c r="AQ768" s="86"/>
      <c r="AR768" s="37"/>
      <c r="AS768" s="52"/>
      <c r="AT768" s="87"/>
    </row>
    <row r="769" spans="2:46" thickBot="1">
      <c r="B769" s="113"/>
      <c r="C769" s="324"/>
      <c r="D769" s="346"/>
      <c r="E769" s="326"/>
      <c r="F769" s="321" t="str">
        <f t="shared" si="62"/>
        <v/>
      </c>
      <c r="G769" s="334"/>
      <c r="H769" s="331"/>
      <c r="I769" s="107"/>
      <c r="J769" s="108"/>
      <c r="K769" s="109"/>
      <c r="L769" s="108"/>
      <c r="O769" s="86"/>
      <c r="P769" s="57"/>
      <c r="Q769" s="37"/>
      <c r="R769" s="92" t="str">
        <f t="shared" si="63"/>
        <v/>
      </c>
      <c r="S769" s="52"/>
      <c r="T769" s="87"/>
      <c r="U769" s="86"/>
      <c r="V769" s="201"/>
      <c r="W769" s="37"/>
      <c r="X769" s="52"/>
      <c r="Y769" s="87"/>
      <c r="AA769" s="86"/>
      <c r="AB769" s="57"/>
      <c r="AC769" s="37"/>
      <c r="AD769" s="52"/>
      <c r="AE769" s="87"/>
      <c r="AG769" s="86"/>
      <c r="AH769" s="37"/>
      <c r="AI769" s="52"/>
      <c r="AJ769" s="87"/>
      <c r="AL769" s="86"/>
      <c r="AM769" s="37"/>
      <c r="AN769" s="52"/>
      <c r="AO769" s="87"/>
      <c r="AQ769" s="86"/>
      <c r="AR769" s="37"/>
      <c r="AS769" s="52"/>
      <c r="AT769" s="87"/>
    </row>
    <row r="770" spans="2:46" thickBot="1">
      <c r="B770" s="113"/>
      <c r="C770" s="324"/>
      <c r="D770" s="346"/>
      <c r="E770" s="326"/>
      <c r="F770" s="321" t="str">
        <f t="shared" si="62"/>
        <v/>
      </c>
      <c r="G770" s="334"/>
      <c r="H770" s="331"/>
      <c r="I770" s="107"/>
      <c r="J770" s="108"/>
      <c r="K770" s="109"/>
      <c r="L770" s="108"/>
      <c r="O770" s="86"/>
      <c r="P770" s="57"/>
      <c r="Q770" s="37"/>
      <c r="R770" s="92" t="str">
        <f t="shared" si="63"/>
        <v/>
      </c>
      <c r="S770" s="52"/>
      <c r="T770" s="87"/>
      <c r="U770" s="86"/>
      <c r="V770" s="201"/>
      <c r="W770" s="37"/>
      <c r="X770" s="52"/>
      <c r="Y770" s="87"/>
      <c r="AA770" s="86"/>
      <c r="AB770" s="57"/>
      <c r="AC770" s="37"/>
      <c r="AD770" s="52"/>
      <c r="AE770" s="87"/>
      <c r="AG770" s="86"/>
      <c r="AH770" s="37"/>
      <c r="AI770" s="52"/>
      <c r="AJ770" s="87"/>
      <c r="AL770" s="86"/>
      <c r="AM770" s="37"/>
      <c r="AN770" s="52"/>
      <c r="AO770" s="87"/>
      <c r="AQ770" s="86"/>
      <c r="AR770" s="37"/>
      <c r="AS770" s="52"/>
      <c r="AT770" s="87"/>
    </row>
    <row r="771" spans="2:46" thickBot="1">
      <c r="B771" s="113"/>
      <c r="C771" s="324"/>
      <c r="D771" s="346"/>
      <c r="E771" s="326"/>
      <c r="F771" s="321" t="str">
        <f t="shared" si="62"/>
        <v/>
      </c>
      <c r="G771" s="334"/>
      <c r="H771" s="331"/>
      <c r="I771" s="107"/>
      <c r="J771" s="108"/>
      <c r="K771" s="109"/>
      <c r="L771" s="108"/>
      <c r="O771" s="86"/>
      <c r="P771" s="57"/>
      <c r="Q771" s="37"/>
      <c r="R771" s="92" t="str">
        <f t="shared" si="63"/>
        <v/>
      </c>
      <c r="S771" s="52"/>
      <c r="T771" s="87"/>
      <c r="U771" s="86"/>
      <c r="V771" s="201"/>
      <c r="W771" s="37"/>
      <c r="X771" s="52"/>
      <c r="Y771" s="87"/>
      <c r="AA771" s="86"/>
      <c r="AB771" s="57"/>
      <c r="AC771" s="37"/>
      <c r="AD771" s="52"/>
      <c r="AE771" s="87"/>
      <c r="AG771" s="86"/>
      <c r="AH771" s="37"/>
      <c r="AI771" s="52"/>
      <c r="AJ771" s="87"/>
      <c r="AL771" s="86"/>
      <c r="AM771" s="37"/>
      <c r="AN771" s="52"/>
      <c r="AO771" s="87"/>
      <c r="AQ771" s="86"/>
      <c r="AR771" s="37"/>
      <c r="AS771" s="52"/>
      <c r="AT771" s="87"/>
    </row>
    <row r="772" spans="2:46" thickBot="1">
      <c r="B772" s="113"/>
      <c r="C772" s="324"/>
      <c r="D772" s="346"/>
      <c r="E772" s="326"/>
      <c r="F772" s="321" t="str">
        <f t="shared" si="62"/>
        <v/>
      </c>
      <c r="G772" s="334"/>
      <c r="H772" s="331"/>
      <c r="I772" s="107"/>
      <c r="J772" s="108"/>
      <c r="K772" s="109"/>
      <c r="L772" s="108"/>
      <c r="O772" s="86"/>
      <c r="P772" s="57"/>
      <c r="Q772" s="37"/>
      <c r="R772" s="92" t="str">
        <f t="shared" si="63"/>
        <v/>
      </c>
      <c r="S772" s="52"/>
      <c r="T772" s="87"/>
      <c r="U772" s="86"/>
      <c r="V772" s="201"/>
      <c r="W772" s="37"/>
      <c r="X772" s="52"/>
      <c r="Y772" s="87"/>
      <c r="AA772" s="86"/>
      <c r="AB772" s="57"/>
      <c r="AC772" s="37"/>
      <c r="AD772" s="52"/>
      <c r="AE772" s="87"/>
      <c r="AG772" s="86"/>
      <c r="AH772" s="37"/>
      <c r="AI772" s="52"/>
      <c r="AJ772" s="87"/>
      <c r="AL772" s="86"/>
      <c r="AM772" s="37"/>
      <c r="AN772" s="52"/>
      <c r="AO772" s="87"/>
      <c r="AQ772" s="86"/>
      <c r="AR772" s="37"/>
      <c r="AS772" s="52"/>
      <c r="AT772" s="87"/>
    </row>
    <row r="773" spans="2:46" thickBot="1">
      <c r="B773" s="113"/>
      <c r="C773" s="324"/>
      <c r="D773" s="346"/>
      <c r="E773" s="326"/>
      <c r="F773" s="321" t="str">
        <f t="shared" si="62"/>
        <v/>
      </c>
      <c r="G773" s="334"/>
      <c r="H773" s="331"/>
      <c r="I773" s="107"/>
      <c r="J773" s="108"/>
      <c r="K773" s="109"/>
      <c r="L773" s="108"/>
      <c r="O773" s="86"/>
      <c r="P773" s="57"/>
      <c r="Q773" s="37"/>
      <c r="R773" s="92" t="str">
        <f t="shared" si="63"/>
        <v/>
      </c>
      <c r="S773" s="52"/>
      <c r="T773" s="87"/>
      <c r="U773" s="86"/>
      <c r="V773" s="201"/>
      <c r="W773" s="37"/>
      <c r="X773" s="52"/>
      <c r="Y773" s="87"/>
      <c r="AA773" s="86"/>
      <c r="AB773" s="57"/>
      <c r="AC773" s="37"/>
      <c r="AD773" s="52"/>
      <c r="AE773" s="87"/>
      <c r="AG773" s="86"/>
      <c r="AH773" s="37"/>
      <c r="AI773" s="52"/>
      <c r="AJ773" s="87"/>
      <c r="AL773" s="86"/>
      <c r="AM773" s="37"/>
      <c r="AN773" s="52"/>
      <c r="AO773" s="87"/>
      <c r="AQ773" s="86"/>
      <c r="AR773" s="37"/>
      <c r="AS773" s="52"/>
      <c r="AT773" s="87"/>
    </row>
    <row r="774" spans="2:46" thickBot="1">
      <c r="B774" s="113"/>
      <c r="C774" s="324"/>
      <c r="D774" s="346"/>
      <c r="E774" s="326"/>
      <c r="F774" s="321" t="str">
        <f t="shared" ref="F774:F837" si="64">IF(E774="","",ROUND(G774*(1+$F$2),2))</f>
        <v/>
      </c>
      <c r="G774" s="334"/>
      <c r="H774" s="331"/>
      <c r="I774" s="107"/>
      <c r="J774" s="108"/>
      <c r="K774" s="109"/>
      <c r="L774" s="108"/>
      <c r="O774" s="86"/>
      <c r="P774" s="57"/>
      <c r="Q774" s="37"/>
      <c r="R774" s="92" t="str">
        <f t="shared" si="63"/>
        <v/>
      </c>
      <c r="S774" s="52"/>
      <c r="T774" s="87"/>
      <c r="U774" s="86"/>
      <c r="V774" s="201"/>
      <c r="W774" s="37"/>
      <c r="X774" s="52"/>
      <c r="Y774" s="87"/>
      <c r="AA774" s="86"/>
      <c r="AB774" s="57"/>
      <c r="AC774" s="37"/>
      <c r="AD774" s="52"/>
      <c r="AE774" s="87"/>
      <c r="AG774" s="86"/>
      <c r="AH774" s="37"/>
      <c r="AI774" s="52"/>
      <c r="AJ774" s="87"/>
      <c r="AL774" s="86"/>
      <c r="AM774" s="37"/>
      <c r="AN774" s="52"/>
      <c r="AO774" s="87"/>
      <c r="AQ774" s="86"/>
      <c r="AR774" s="37"/>
      <c r="AS774" s="52"/>
      <c r="AT774" s="87"/>
    </row>
    <row r="775" spans="2:46" thickBot="1">
      <c r="B775" s="113"/>
      <c r="C775" s="324"/>
      <c r="D775" s="346"/>
      <c r="E775" s="326"/>
      <c r="F775" s="321" t="str">
        <f t="shared" si="64"/>
        <v/>
      </c>
      <c r="G775" s="334"/>
      <c r="H775" s="331"/>
      <c r="I775" s="107"/>
      <c r="J775" s="108"/>
      <c r="K775" s="109"/>
      <c r="L775" s="108"/>
      <c r="O775" s="86"/>
      <c r="P775" s="57"/>
      <c r="Q775" s="37"/>
      <c r="R775" s="92" t="str">
        <f t="shared" si="63"/>
        <v/>
      </c>
      <c r="S775" s="52"/>
      <c r="T775" s="87"/>
      <c r="U775" s="86"/>
      <c r="V775" s="201"/>
      <c r="W775" s="37"/>
      <c r="X775" s="52"/>
      <c r="Y775" s="87"/>
      <c r="AA775" s="86"/>
      <c r="AB775" s="57"/>
      <c r="AC775" s="37"/>
      <c r="AD775" s="52"/>
      <c r="AE775" s="87"/>
      <c r="AG775" s="86"/>
      <c r="AH775" s="37"/>
      <c r="AI775" s="52"/>
      <c r="AJ775" s="87"/>
      <c r="AL775" s="86"/>
      <c r="AM775" s="37"/>
      <c r="AN775" s="52"/>
      <c r="AO775" s="87"/>
      <c r="AQ775" s="86"/>
      <c r="AR775" s="37"/>
      <c r="AS775" s="52"/>
      <c r="AT775" s="87"/>
    </row>
    <row r="776" spans="2:46" thickBot="1">
      <c r="B776" s="113"/>
      <c r="C776" s="324"/>
      <c r="D776" s="346"/>
      <c r="E776" s="326"/>
      <c r="F776" s="321" t="str">
        <f t="shared" si="64"/>
        <v/>
      </c>
      <c r="G776" s="334"/>
      <c r="H776" s="331"/>
      <c r="I776" s="107"/>
      <c r="J776" s="108"/>
      <c r="K776" s="109"/>
      <c r="L776" s="108"/>
      <c r="O776" s="86"/>
      <c r="P776" s="57"/>
      <c r="Q776" s="37"/>
      <c r="R776" s="92" t="str">
        <f t="shared" si="63"/>
        <v/>
      </c>
      <c r="S776" s="52"/>
      <c r="T776" s="87"/>
      <c r="U776" s="86"/>
      <c r="V776" s="201"/>
      <c r="W776" s="37"/>
      <c r="X776" s="52"/>
      <c r="Y776" s="87"/>
      <c r="AA776" s="86"/>
      <c r="AB776" s="57"/>
      <c r="AC776" s="37"/>
      <c r="AD776" s="52"/>
      <c r="AE776" s="87"/>
      <c r="AG776" s="86"/>
      <c r="AH776" s="37"/>
      <c r="AI776" s="52"/>
      <c r="AJ776" s="87"/>
      <c r="AL776" s="86"/>
      <c r="AM776" s="37"/>
      <c r="AN776" s="52"/>
      <c r="AO776" s="87"/>
      <c r="AQ776" s="86"/>
      <c r="AR776" s="37"/>
      <c r="AS776" s="52"/>
      <c r="AT776" s="87"/>
    </row>
    <row r="777" spans="2:46" thickBot="1">
      <c r="B777" s="113"/>
      <c r="C777" s="324"/>
      <c r="D777" s="346"/>
      <c r="E777" s="326"/>
      <c r="F777" s="321" t="str">
        <f t="shared" si="64"/>
        <v/>
      </c>
      <c r="G777" s="334"/>
      <c r="H777" s="331"/>
      <c r="I777" s="107"/>
      <c r="J777" s="108"/>
      <c r="K777" s="109"/>
      <c r="L777" s="108"/>
      <c r="O777" s="86"/>
      <c r="P777" s="57"/>
      <c r="Q777" s="37"/>
      <c r="R777" s="92" t="str">
        <f t="shared" si="63"/>
        <v/>
      </c>
      <c r="S777" s="52"/>
      <c r="T777" s="87"/>
      <c r="U777" s="86"/>
      <c r="V777" s="201"/>
      <c r="W777" s="37"/>
      <c r="X777" s="52"/>
      <c r="Y777" s="87"/>
      <c r="AA777" s="86"/>
      <c r="AB777" s="57"/>
      <c r="AC777" s="37"/>
      <c r="AD777" s="52"/>
      <c r="AE777" s="87"/>
      <c r="AG777" s="86"/>
      <c r="AH777" s="37"/>
      <c r="AI777" s="52"/>
      <c r="AJ777" s="87"/>
      <c r="AL777" s="86"/>
      <c r="AM777" s="37"/>
      <c r="AN777" s="52"/>
      <c r="AO777" s="87"/>
      <c r="AQ777" s="86"/>
      <c r="AR777" s="37"/>
      <c r="AS777" s="52"/>
      <c r="AT777" s="87"/>
    </row>
    <row r="778" spans="2:46" thickBot="1">
      <c r="B778" s="113"/>
      <c r="C778" s="324"/>
      <c r="D778" s="346"/>
      <c r="E778" s="326"/>
      <c r="F778" s="321" t="str">
        <f t="shared" si="64"/>
        <v/>
      </c>
      <c r="G778" s="334"/>
      <c r="H778" s="331"/>
      <c r="I778" s="107"/>
      <c r="J778" s="108"/>
      <c r="K778" s="109"/>
      <c r="L778" s="108"/>
      <c r="O778" s="86"/>
      <c r="P778" s="57"/>
      <c r="Q778" s="37"/>
      <c r="R778" s="92" t="str">
        <f t="shared" si="63"/>
        <v/>
      </c>
      <c r="S778" s="52"/>
      <c r="T778" s="87"/>
      <c r="U778" s="86"/>
      <c r="V778" s="201"/>
      <c r="W778" s="37"/>
      <c r="X778" s="52"/>
      <c r="Y778" s="87"/>
      <c r="AA778" s="86"/>
      <c r="AB778" s="57"/>
      <c r="AC778" s="37"/>
      <c r="AD778" s="52"/>
      <c r="AE778" s="87"/>
      <c r="AG778" s="86"/>
      <c r="AH778" s="37"/>
      <c r="AI778" s="52"/>
      <c r="AJ778" s="87"/>
      <c r="AL778" s="86"/>
      <c r="AM778" s="37"/>
      <c r="AN778" s="52"/>
      <c r="AO778" s="87"/>
      <c r="AQ778" s="86"/>
      <c r="AR778" s="37"/>
      <c r="AS778" s="52"/>
      <c r="AT778" s="87"/>
    </row>
    <row r="779" spans="2:46" thickBot="1">
      <c r="B779" s="113"/>
      <c r="C779" s="324"/>
      <c r="D779" s="346"/>
      <c r="E779" s="326"/>
      <c r="F779" s="321" t="str">
        <f t="shared" si="64"/>
        <v/>
      </c>
      <c r="G779" s="334"/>
      <c r="H779" s="331"/>
      <c r="I779" s="107"/>
      <c r="J779" s="108"/>
      <c r="K779" s="109"/>
      <c r="L779" s="108"/>
      <c r="O779" s="86"/>
      <c r="P779" s="57"/>
      <c r="Q779" s="37"/>
      <c r="R779" s="92" t="str">
        <f t="shared" si="63"/>
        <v/>
      </c>
      <c r="S779" s="52"/>
      <c r="T779" s="87"/>
      <c r="U779" s="86"/>
      <c r="V779" s="201"/>
      <c r="W779" s="37"/>
      <c r="X779" s="52"/>
      <c r="Y779" s="87"/>
      <c r="AA779" s="86"/>
      <c r="AB779" s="57"/>
      <c r="AC779" s="37"/>
      <c r="AD779" s="52"/>
      <c r="AE779" s="87"/>
      <c r="AG779" s="86"/>
      <c r="AH779" s="37"/>
      <c r="AI779" s="52"/>
      <c r="AJ779" s="87"/>
      <c r="AL779" s="86"/>
      <c r="AM779" s="37"/>
      <c r="AN779" s="52"/>
      <c r="AO779" s="87"/>
      <c r="AQ779" s="86"/>
      <c r="AR779" s="37"/>
      <c r="AS779" s="52"/>
      <c r="AT779" s="87"/>
    </row>
    <row r="780" spans="2:46" thickBot="1">
      <c r="B780" s="113"/>
      <c r="C780" s="324"/>
      <c r="D780" s="346"/>
      <c r="E780" s="326"/>
      <c r="F780" s="321" t="str">
        <f t="shared" si="64"/>
        <v/>
      </c>
      <c r="G780" s="334"/>
      <c r="H780" s="331"/>
      <c r="I780" s="107"/>
      <c r="J780" s="108"/>
      <c r="K780" s="109"/>
      <c r="L780" s="108"/>
      <c r="O780" s="86"/>
      <c r="P780" s="57"/>
      <c r="Q780" s="37"/>
      <c r="R780" s="92" t="str">
        <f t="shared" si="63"/>
        <v/>
      </c>
      <c r="S780" s="52"/>
      <c r="T780" s="87"/>
      <c r="U780" s="86"/>
      <c r="V780" s="201"/>
      <c r="W780" s="37"/>
      <c r="X780" s="52"/>
      <c r="Y780" s="87"/>
      <c r="AA780" s="86"/>
      <c r="AB780" s="57"/>
      <c r="AC780" s="37"/>
      <c r="AD780" s="52"/>
      <c r="AE780" s="87"/>
      <c r="AG780" s="86"/>
      <c r="AH780" s="37"/>
      <c r="AI780" s="52"/>
      <c r="AJ780" s="87"/>
      <c r="AL780" s="86"/>
      <c r="AM780" s="37"/>
      <c r="AN780" s="52"/>
      <c r="AO780" s="87"/>
      <c r="AQ780" s="86"/>
      <c r="AR780" s="37"/>
      <c r="AS780" s="52"/>
      <c r="AT780" s="87"/>
    </row>
    <row r="781" spans="2:46" thickBot="1">
      <c r="B781" s="113"/>
      <c r="C781" s="324"/>
      <c r="D781" s="346"/>
      <c r="E781" s="326"/>
      <c r="F781" s="321" t="str">
        <f t="shared" si="64"/>
        <v/>
      </c>
      <c r="G781" s="334"/>
      <c r="H781" s="331"/>
      <c r="I781" s="107"/>
      <c r="J781" s="108"/>
      <c r="K781" s="109"/>
      <c r="L781" s="108"/>
      <c r="O781" s="86"/>
      <c r="P781" s="57"/>
      <c r="Q781" s="37"/>
      <c r="R781" s="92" t="str">
        <f t="shared" si="63"/>
        <v/>
      </c>
      <c r="S781" s="52"/>
      <c r="T781" s="87"/>
      <c r="U781" s="86"/>
      <c r="V781" s="201"/>
      <c r="W781" s="37"/>
      <c r="X781" s="52"/>
      <c r="Y781" s="87"/>
      <c r="AA781" s="86"/>
      <c r="AB781" s="57"/>
      <c r="AC781" s="37"/>
      <c r="AD781" s="52"/>
      <c r="AE781" s="87"/>
      <c r="AG781" s="86"/>
      <c r="AH781" s="37"/>
      <c r="AI781" s="52"/>
      <c r="AJ781" s="87"/>
      <c r="AL781" s="86"/>
      <c r="AM781" s="37"/>
      <c r="AN781" s="52"/>
      <c r="AO781" s="87"/>
      <c r="AQ781" s="86"/>
      <c r="AR781" s="37"/>
      <c r="AS781" s="52"/>
      <c r="AT781" s="87"/>
    </row>
    <row r="782" spans="2:46" thickBot="1">
      <c r="B782" s="113"/>
      <c r="C782" s="324"/>
      <c r="D782" s="346"/>
      <c r="E782" s="326"/>
      <c r="F782" s="321" t="str">
        <f t="shared" si="64"/>
        <v/>
      </c>
      <c r="G782" s="334"/>
      <c r="H782" s="331"/>
      <c r="I782" s="107"/>
      <c r="J782" s="108"/>
      <c r="K782" s="109"/>
      <c r="L782" s="108"/>
      <c r="O782" s="86"/>
      <c r="P782" s="57"/>
      <c r="Q782" s="37"/>
      <c r="R782" s="92" t="str">
        <f t="shared" si="63"/>
        <v/>
      </c>
      <c r="S782" s="52"/>
      <c r="T782" s="87"/>
      <c r="U782" s="86"/>
      <c r="V782" s="201"/>
      <c r="W782" s="37"/>
      <c r="X782" s="52"/>
      <c r="Y782" s="87"/>
      <c r="AA782" s="86"/>
      <c r="AB782" s="57"/>
      <c r="AC782" s="37"/>
      <c r="AD782" s="52"/>
      <c r="AE782" s="87"/>
      <c r="AG782" s="86"/>
      <c r="AH782" s="37"/>
      <c r="AI782" s="52"/>
      <c r="AJ782" s="87"/>
      <c r="AL782" s="86"/>
      <c r="AM782" s="37"/>
      <c r="AN782" s="52"/>
      <c r="AO782" s="87"/>
      <c r="AQ782" s="86"/>
      <c r="AR782" s="37"/>
      <c r="AS782" s="52"/>
      <c r="AT782" s="87"/>
    </row>
    <row r="783" spans="2:46" thickBot="1">
      <c r="B783" s="113"/>
      <c r="C783" s="324"/>
      <c r="D783" s="346"/>
      <c r="E783" s="326"/>
      <c r="F783" s="321" t="str">
        <f t="shared" si="64"/>
        <v/>
      </c>
      <c r="G783" s="334"/>
      <c r="H783" s="331"/>
      <c r="I783" s="107"/>
      <c r="J783" s="108"/>
      <c r="K783" s="109"/>
      <c r="L783" s="108"/>
      <c r="O783" s="86"/>
      <c r="P783" s="57"/>
      <c r="Q783" s="37"/>
      <c r="R783" s="92" t="str">
        <f t="shared" si="63"/>
        <v/>
      </c>
      <c r="S783" s="52"/>
      <c r="T783" s="87"/>
      <c r="U783" s="86"/>
      <c r="V783" s="201"/>
      <c r="W783" s="37"/>
      <c r="X783" s="52"/>
      <c r="Y783" s="87"/>
      <c r="AA783" s="86"/>
      <c r="AB783" s="57"/>
      <c r="AC783" s="37"/>
      <c r="AD783" s="52"/>
      <c r="AE783" s="87"/>
      <c r="AG783" s="86"/>
      <c r="AH783" s="37"/>
      <c r="AI783" s="52"/>
      <c r="AJ783" s="87"/>
      <c r="AL783" s="86"/>
      <c r="AM783" s="37"/>
      <c r="AN783" s="52"/>
      <c r="AO783" s="87"/>
      <c r="AQ783" s="86"/>
      <c r="AR783" s="37"/>
      <c r="AS783" s="52"/>
      <c r="AT783" s="87"/>
    </row>
    <row r="784" spans="2:46" thickBot="1">
      <c r="B784" s="113"/>
      <c r="C784" s="324"/>
      <c r="D784" s="346"/>
      <c r="E784" s="326"/>
      <c r="F784" s="321" t="str">
        <f t="shared" si="64"/>
        <v/>
      </c>
      <c r="G784" s="334"/>
      <c r="H784" s="331"/>
      <c r="I784" s="107"/>
      <c r="J784" s="108"/>
      <c r="K784" s="109"/>
      <c r="L784" s="108"/>
      <c r="O784" s="86"/>
      <c r="P784" s="57"/>
      <c r="Q784" s="37"/>
      <c r="R784" s="92" t="str">
        <f t="shared" si="63"/>
        <v/>
      </c>
      <c r="S784" s="52"/>
      <c r="T784" s="87"/>
      <c r="U784" s="86"/>
      <c r="V784" s="201"/>
      <c r="W784" s="37"/>
      <c r="X784" s="52"/>
      <c r="Y784" s="87"/>
      <c r="AA784" s="86"/>
      <c r="AB784" s="57"/>
      <c r="AC784" s="37"/>
      <c r="AD784" s="52"/>
      <c r="AE784" s="87"/>
      <c r="AG784" s="86"/>
      <c r="AH784" s="37"/>
      <c r="AI784" s="52"/>
      <c r="AJ784" s="87"/>
      <c r="AL784" s="86"/>
      <c r="AM784" s="37"/>
      <c r="AN784" s="52"/>
      <c r="AO784" s="87"/>
      <c r="AQ784" s="86"/>
      <c r="AR784" s="37"/>
      <c r="AS784" s="52"/>
      <c r="AT784" s="87"/>
    </row>
    <row r="785" spans="2:46" thickBot="1">
      <c r="B785" s="113"/>
      <c r="C785" s="324"/>
      <c r="D785" s="346"/>
      <c r="E785" s="326"/>
      <c r="F785" s="321" t="str">
        <f t="shared" si="64"/>
        <v/>
      </c>
      <c r="G785" s="334"/>
      <c r="H785" s="331"/>
      <c r="I785" s="107"/>
      <c r="J785" s="108"/>
      <c r="K785" s="109"/>
      <c r="L785" s="108"/>
      <c r="O785" s="86"/>
      <c r="P785" s="57"/>
      <c r="Q785" s="37"/>
      <c r="R785" s="92" t="str">
        <f t="shared" si="63"/>
        <v/>
      </c>
      <c r="S785" s="52"/>
      <c r="T785" s="87"/>
      <c r="U785" s="86"/>
      <c r="V785" s="201"/>
      <c r="W785" s="37"/>
      <c r="X785" s="52"/>
      <c r="Y785" s="87"/>
      <c r="AA785" s="86"/>
      <c r="AB785" s="57"/>
      <c r="AC785" s="37"/>
      <c r="AD785" s="52"/>
      <c r="AE785" s="87"/>
      <c r="AG785" s="86"/>
      <c r="AH785" s="37"/>
      <c r="AI785" s="52"/>
      <c r="AJ785" s="87"/>
      <c r="AL785" s="86"/>
      <c r="AM785" s="37"/>
      <c r="AN785" s="52"/>
      <c r="AO785" s="87"/>
      <c r="AQ785" s="86"/>
      <c r="AR785" s="37"/>
      <c r="AS785" s="52"/>
      <c r="AT785" s="87"/>
    </row>
    <row r="786" spans="2:46" thickBot="1">
      <c r="B786" s="113"/>
      <c r="C786" s="324"/>
      <c r="D786" s="346"/>
      <c r="E786" s="326"/>
      <c r="F786" s="321" t="str">
        <f t="shared" si="64"/>
        <v/>
      </c>
      <c r="G786" s="334"/>
      <c r="H786" s="331"/>
      <c r="I786" s="107"/>
      <c r="J786" s="108"/>
      <c r="K786" s="109"/>
      <c r="L786" s="108"/>
      <c r="O786" s="86"/>
      <c r="P786" s="57"/>
      <c r="Q786" s="37"/>
      <c r="R786" s="92" t="str">
        <f t="shared" si="63"/>
        <v/>
      </c>
      <c r="S786" s="52"/>
      <c r="T786" s="87"/>
      <c r="U786" s="86"/>
      <c r="V786" s="201"/>
      <c r="W786" s="37"/>
      <c r="X786" s="52"/>
      <c r="Y786" s="87"/>
      <c r="AA786" s="86"/>
      <c r="AB786" s="57"/>
      <c r="AC786" s="37"/>
      <c r="AD786" s="52"/>
      <c r="AE786" s="87"/>
      <c r="AG786" s="86"/>
      <c r="AH786" s="37"/>
      <c r="AI786" s="52"/>
      <c r="AJ786" s="87"/>
      <c r="AL786" s="86"/>
      <c r="AM786" s="37"/>
      <c r="AN786" s="52"/>
      <c r="AO786" s="87"/>
      <c r="AQ786" s="86"/>
      <c r="AR786" s="37"/>
      <c r="AS786" s="52"/>
      <c r="AT786" s="87"/>
    </row>
    <row r="787" spans="2:46" thickBot="1">
      <c r="B787" s="113"/>
      <c r="C787" s="324"/>
      <c r="D787" s="346"/>
      <c r="E787" s="326"/>
      <c r="F787" s="321" t="str">
        <f t="shared" si="64"/>
        <v/>
      </c>
      <c r="G787" s="334"/>
      <c r="H787" s="331"/>
      <c r="I787" s="107"/>
      <c r="J787" s="108"/>
      <c r="K787" s="109"/>
      <c r="L787" s="108"/>
      <c r="O787" s="86"/>
      <c r="P787" s="57"/>
      <c r="Q787" s="37"/>
      <c r="R787" s="92" t="str">
        <f t="shared" si="63"/>
        <v/>
      </c>
      <c r="S787" s="52"/>
      <c r="T787" s="87"/>
      <c r="U787" s="86"/>
      <c r="V787" s="201"/>
      <c r="W787" s="37"/>
      <c r="X787" s="52"/>
      <c r="Y787" s="87"/>
      <c r="AA787" s="86"/>
      <c r="AB787" s="57"/>
      <c r="AC787" s="37"/>
      <c r="AD787" s="52"/>
      <c r="AE787" s="87"/>
      <c r="AG787" s="86"/>
      <c r="AH787" s="37"/>
      <c r="AI787" s="52"/>
      <c r="AJ787" s="87"/>
      <c r="AL787" s="86"/>
      <c r="AM787" s="37"/>
      <c r="AN787" s="52"/>
      <c r="AO787" s="87"/>
      <c r="AQ787" s="86"/>
      <c r="AR787" s="37"/>
      <c r="AS787" s="52"/>
      <c r="AT787" s="87"/>
    </row>
    <row r="788" spans="2:46" thickBot="1">
      <c r="B788" s="113"/>
      <c r="C788" s="324"/>
      <c r="D788" s="346"/>
      <c r="E788" s="326"/>
      <c r="F788" s="321" t="str">
        <f t="shared" si="64"/>
        <v/>
      </c>
      <c r="G788" s="334"/>
      <c r="H788" s="331"/>
      <c r="I788" s="107"/>
      <c r="J788" s="108"/>
      <c r="K788" s="109"/>
      <c r="L788" s="108"/>
      <c r="O788" s="86"/>
      <c r="P788" s="57"/>
      <c r="Q788" s="37"/>
      <c r="R788" s="92" t="str">
        <f t="shared" si="63"/>
        <v/>
      </c>
      <c r="S788" s="52"/>
      <c r="T788" s="87"/>
      <c r="U788" s="86"/>
      <c r="V788" s="201"/>
      <c r="W788" s="37"/>
      <c r="X788" s="52"/>
      <c r="Y788" s="87"/>
      <c r="AA788" s="86"/>
      <c r="AB788" s="57"/>
      <c r="AC788" s="37"/>
      <c r="AD788" s="52"/>
      <c r="AE788" s="87"/>
      <c r="AG788" s="86"/>
      <c r="AH788" s="37"/>
      <c r="AI788" s="52"/>
      <c r="AJ788" s="87"/>
      <c r="AL788" s="86"/>
      <c r="AM788" s="37"/>
      <c r="AN788" s="52"/>
      <c r="AO788" s="87"/>
      <c r="AQ788" s="86"/>
      <c r="AR788" s="37"/>
      <c r="AS788" s="52"/>
      <c r="AT788" s="87"/>
    </row>
    <row r="789" spans="2:46" thickBot="1">
      <c r="B789" s="113"/>
      <c r="C789" s="324"/>
      <c r="D789" s="346"/>
      <c r="E789" s="326"/>
      <c r="F789" s="321" t="str">
        <f t="shared" si="64"/>
        <v/>
      </c>
      <c r="G789" s="334"/>
      <c r="H789" s="331"/>
      <c r="I789" s="107"/>
      <c r="J789" s="108"/>
      <c r="K789" s="109"/>
      <c r="L789" s="108"/>
      <c r="O789" s="86"/>
      <c r="P789" s="57"/>
      <c r="Q789" s="37"/>
      <c r="R789" s="92" t="str">
        <f t="shared" si="63"/>
        <v/>
      </c>
      <c r="S789" s="52"/>
      <c r="T789" s="87"/>
      <c r="U789" s="86"/>
      <c r="V789" s="201"/>
      <c r="W789" s="37"/>
      <c r="X789" s="52"/>
      <c r="Y789" s="87"/>
      <c r="AA789" s="86"/>
      <c r="AB789" s="57"/>
      <c r="AC789" s="37"/>
      <c r="AD789" s="52"/>
      <c r="AE789" s="87"/>
      <c r="AG789" s="86"/>
      <c r="AH789" s="37"/>
      <c r="AI789" s="52"/>
      <c r="AJ789" s="87"/>
      <c r="AL789" s="86"/>
      <c r="AM789" s="37"/>
      <c r="AN789" s="52"/>
      <c r="AO789" s="87"/>
      <c r="AQ789" s="86"/>
      <c r="AR789" s="37"/>
      <c r="AS789" s="52"/>
      <c r="AT789" s="87"/>
    </row>
    <row r="790" spans="2:46" thickBot="1">
      <c r="B790" s="113"/>
      <c r="C790" s="324"/>
      <c r="D790" s="346"/>
      <c r="E790" s="326"/>
      <c r="F790" s="321" t="str">
        <f t="shared" si="64"/>
        <v/>
      </c>
      <c r="G790" s="334"/>
      <c r="H790" s="331"/>
      <c r="I790" s="107"/>
      <c r="J790" s="108"/>
      <c r="K790" s="109"/>
      <c r="L790" s="108"/>
      <c r="O790" s="86"/>
      <c r="P790" s="57"/>
      <c r="Q790" s="37"/>
      <c r="R790" s="92" t="str">
        <f t="shared" si="63"/>
        <v/>
      </c>
      <c r="S790" s="52"/>
      <c r="T790" s="87"/>
      <c r="U790" s="86"/>
      <c r="V790" s="201"/>
      <c r="W790" s="37"/>
      <c r="X790" s="52"/>
      <c r="Y790" s="87"/>
      <c r="AA790" s="86"/>
      <c r="AB790" s="57"/>
      <c r="AC790" s="37"/>
      <c r="AD790" s="52"/>
      <c r="AE790" s="87"/>
      <c r="AG790" s="86"/>
      <c r="AH790" s="37"/>
      <c r="AI790" s="52"/>
      <c r="AJ790" s="87"/>
      <c r="AL790" s="86"/>
      <c r="AM790" s="37"/>
      <c r="AN790" s="52"/>
      <c r="AO790" s="87"/>
      <c r="AQ790" s="86"/>
      <c r="AR790" s="37"/>
      <c r="AS790" s="52"/>
      <c r="AT790" s="87"/>
    </row>
    <row r="791" spans="2:46" thickBot="1">
      <c r="B791" s="113"/>
      <c r="C791" s="324"/>
      <c r="D791" s="346"/>
      <c r="E791" s="326"/>
      <c r="F791" s="321" t="str">
        <f t="shared" si="64"/>
        <v/>
      </c>
      <c r="G791" s="334"/>
      <c r="H791" s="331"/>
      <c r="I791" s="107"/>
      <c r="J791" s="108"/>
      <c r="K791" s="109"/>
      <c r="L791" s="108"/>
      <c r="O791" s="86"/>
      <c r="P791" s="57"/>
      <c r="Q791" s="37"/>
      <c r="R791" s="92" t="str">
        <f t="shared" si="63"/>
        <v/>
      </c>
      <c r="S791" s="52"/>
      <c r="T791" s="87"/>
      <c r="U791" s="86"/>
      <c r="V791" s="201"/>
      <c r="W791" s="37"/>
      <c r="X791" s="52"/>
      <c r="Y791" s="87"/>
      <c r="AA791" s="86"/>
      <c r="AB791" s="57"/>
      <c r="AC791" s="37"/>
      <c r="AD791" s="52"/>
      <c r="AE791" s="87"/>
      <c r="AG791" s="86"/>
      <c r="AH791" s="37"/>
      <c r="AI791" s="52"/>
      <c r="AJ791" s="87"/>
      <c r="AL791" s="86"/>
      <c r="AM791" s="37"/>
      <c r="AN791" s="52"/>
      <c r="AO791" s="87"/>
      <c r="AQ791" s="86"/>
      <c r="AR791" s="37"/>
      <c r="AS791" s="52"/>
      <c r="AT791" s="87"/>
    </row>
    <row r="792" spans="2:46" thickBot="1">
      <c r="B792" s="113"/>
      <c r="C792" s="324"/>
      <c r="D792" s="346"/>
      <c r="E792" s="326"/>
      <c r="F792" s="321" t="str">
        <f t="shared" si="64"/>
        <v/>
      </c>
      <c r="G792" s="334"/>
      <c r="H792" s="331"/>
      <c r="I792" s="107"/>
      <c r="J792" s="108"/>
      <c r="K792" s="109"/>
      <c r="L792" s="108"/>
      <c r="O792" s="86"/>
      <c r="P792" s="57"/>
      <c r="Q792" s="37"/>
      <c r="R792" s="92" t="str">
        <f t="shared" si="63"/>
        <v/>
      </c>
      <c r="S792" s="52"/>
      <c r="T792" s="87"/>
      <c r="U792" s="86"/>
      <c r="V792" s="201"/>
      <c r="W792" s="37"/>
      <c r="X792" s="52"/>
      <c r="Y792" s="87"/>
      <c r="AA792" s="86"/>
      <c r="AB792" s="57"/>
      <c r="AC792" s="37"/>
      <c r="AD792" s="52"/>
      <c r="AE792" s="87"/>
      <c r="AG792" s="86"/>
      <c r="AH792" s="37"/>
      <c r="AI792" s="52"/>
      <c r="AJ792" s="87"/>
      <c r="AL792" s="86"/>
      <c r="AM792" s="37"/>
      <c r="AN792" s="52"/>
      <c r="AO792" s="87"/>
      <c r="AQ792" s="86"/>
      <c r="AR792" s="37"/>
      <c r="AS792" s="52"/>
      <c r="AT792" s="87"/>
    </row>
    <row r="793" spans="2:46" thickBot="1">
      <c r="B793" s="113"/>
      <c r="C793" s="324"/>
      <c r="D793" s="346"/>
      <c r="E793" s="326"/>
      <c r="F793" s="321" t="str">
        <f t="shared" si="64"/>
        <v/>
      </c>
      <c r="G793" s="334"/>
      <c r="H793" s="331"/>
      <c r="I793" s="107"/>
      <c r="J793" s="108"/>
      <c r="K793" s="109"/>
      <c r="L793" s="108"/>
      <c r="O793" s="86"/>
      <c r="P793" s="57"/>
      <c r="Q793" s="37"/>
      <c r="R793" s="92" t="str">
        <f t="shared" si="63"/>
        <v/>
      </c>
      <c r="S793" s="52"/>
      <c r="T793" s="87"/>
      <c r="U793" s="86"/>
      <c r="V793" s="201"/>
      <c r="W793" s="37"/>
      <c r="X793" s="52"/>
      <c r="Y793" s="87"/>
      <c r="AA793" s="86"/>
      <c r="AB793" s="57"/>
      <c r="AC793" s="37"/>
      <c r="AD793" s="52"/>
      <c r="AE793" s="87"/>
      <c r="AG793" s="86"/>
      <c r="AH793" s="37"/>
      <c r="AI793" s="52"/>
      <c r="AJ793" s="87"/>
      <c r="AL793" s="86"/>
      <c r="AM793" s="37"/>
      <c r="AN793" s="52"/>
      <c r="AO793" s="87"/>
      <c r="AQ793" s="86"/>
      <c r="AR793" s="37"/>
      <c r="AS793" s="52"/>
      <c r="AT793" s="87"/>
    </row>
    <row r="794" spans="2:46" thickBot="1">
      <c r="B794" s="113"/>
      <c r="C794" s="324"/>
      <c r="D794" s="346"/>
      <c r="E794" s="326"/>
      <c r="F794" s="321" t="str">
        <f t="shared" si="64"/>
        <v/>
      </c>
      <c r="G794" s="334"/>
      <c r="H794" s="331"/>
      <c r="I794" s="107"/>
      <c r="J794" s="108"/>
      <c r="K794" s="109"/>
      <c r="L794" s="108"/>
      <c r="O794" s="86"/>
      <c r="P794" s="57"/>
      <c r="Q794" s="37"/>
      <c r="R794" s="92" t="str">
        <f t="shared" si="63"/>
        <v/>
      </c>
      <c r="S794" s="52"/>
      <c r="T794" s="87"/>
      <c r="U794" s="86"/>
      <c r="V794" s="201"/>
      <c r="W794" s="37"/>
      <c r="X794" s="52"/>
      <c r="Y794" s="87"/>
      <c r="AA794" s="86"/>
      <c r="AB794" s="57"/>
      <c r="AC794" s="37"/>
      <c r="AD794" s="52"/>
      <c r="AE794" s="87"/>
      <c r="AG794" s="86"/>
      <c r="AH794" s="37"/>
      <c r="AI794" s="52"/>
      <c r="AJ794" s="87"/>
      <c r="AL794" s="86"/>
      <c r="AM794" s="37"/>
      <c r="AN794" s="52"/>
      <c r="AO794" s="87"/>
      <c r="AQ794" s="86"/>
      <c r="AR794" s="37"/>
      <c r="AS794" s="52"/>
      <c r="AT794" s="87"/>
    </row>
    <row r="795" spans="2:46" thickBot="1">
      <c r="B795" s="113"/>
      <c r="C795" s="324"/>
      <c r="D795" s="346"/>
      <c r="E795" s="326"/>
      <c r="F795" s="321" t="str">
        <f t="shared" si="64"/>
        <v/>
      </c>
      <c r="G795" s="334"/>
      <c r="H795" s="331"/>
      <c r="I795" s="107"/>
      <c r="J795" s="108"/>
      <c r="K795" s="109"/>
      <c r="L795" s="108"/>
      <c r="O795" s="86"/>
      <c r="P795" s="57"/>
      <c r="Q795" s="37"/>
      <c r="R795" s="92" t="str">
        <f t="shared" si="63"/>
        <v/>
      </c>
      <c r="S795" s="52"/>
      <c r="T795" s="87"/>
      <c r="U795" s="86"/>
      <c r="V795" s="201"/>
      <c r="W795" s="37"/>
      <c r="X795" s="52"/>
      <c r="Y795" s="87"/>
      <c r="AA795" s="86"/>
      <c r="AB795" s="57"/>
      <c r="AC795" s="37"/>
      <c r="AD795" s="52"/>
      <c r="AE795" s="87"/>
      <c r="AG795" s="86"/>
      <c r="AH795" s="37"/>
      <c r="AI795" s="52"/>
      <c r="AJ795" s="87"/>
      <c r="AL795" s="86"/>
      <c r="AM795" s="37"/>
      <c r="AN795" s="52"/>
      <c r="AO795" s="87"/>
      <c r="AQ795" s="86"/>
      <c r="AR795" s="37"/>
      <c r="AS795" s="52"/>
      <c r="AT795" s="87"/>
    </row>
    <row r="796" spans="2:46" thickBot="1">
      <c r="B796" s="113"/>
      <c r="C796" s="324"/>
      <c r="D796" s="346"/>
      <c r="E796" s="326"/>
      <c r="F796" s="321" t="str">
        <f t="shared" si="64"/>
        <v/>
      </c>
      <c r="G796" s="334"/>
      <c r="H796" s="331"/>
      <c r="I796" s="107"/>
      <c r="J796" s="108"/>
      <c r="K796" s="109"/>
      <c r="L796" s="108"/>
      <c r="O796" s="86"/>
      <c r="P796" s="57"/>
      <c r="Q796" s="37"/>
      <c r="R796" s="92" t="str">
        <f t="shared" si="63"/>
        <v/>
      </c>
      <c r="S796" s="52"/>
      <c r="T796" s="87"/>
      <c r="U796" s="86"/>
      <c r="V796" s="201"/>
      <c r="W796" s="37"/>
      <c r="X796" s="52"/>
      <c r="Y796" s="87"/>
      <c r="AA796" s="86"/>
      <c r="AB796" s="57"/>
      <c r="AC796" s="37"/>
      <c r="AD796" s="52"/>
      <c r="AE796" s="87"/>
      <c r="AG796" s="86"/>
      <c r="AH796" s="37"/>
      <c r="AI796" s="52"/>
      <c r="AJ796" s="87"/>
      <c r="AL796" s="86"/>
      <c r="AM796" s="37"/>
      <c r="AN796" s="52"/>
      <c r="AO796" s="87"/>
      <c r="AQ796" s="86"/>
      <c r="AR796" s="37"/>
      <c r="AS796" s="52"/>
      <c r="AT796" s="87"/>
    </row>
    <row r="797" spans="2:46" thickBot="1">
      <c r="B797" s="113"/>
      <c r="C797" s="324"/>
      <c r="D797" s="346"/>
      <c r="E797" s="326"/>
      <c r="F797" s="321" t="str">
        <f t="shared" si="64"/>
        <v/>
      </c>
      <c r="G797" s="334"/>
      <c r="H797" s="331"/>
      <c r="I797" s="107"/>
      <c r="J797" s="108"/>
      <c r="K797" s="109"/>
      <c r="L797" s="108"/>
      <c r="O797" s="86"/>
      <c r="P797" s="57"/>
      <c r="Q797" s="37"/>
      <c r="R797" s="92" t="str">
        <f t="shared" si="63"/>
        <v/>
      </c>
      <c r="S797" s="52"/>
      <c r="T797" s="87"/>
      <c r="U797" s="86"/>
      <c r="V797" s="201"/>
      <c r="W797" s="37"/>
      <c r="X797" s="52"/>
      <c r="Y797" s="87"/>
      <c r="AA797" s="86"/>
      <c r="AB797" s="57"/>
      <c r="AC797" s="37"/>
      <c r="AD797" s="52"/>
      <c r="AE797" s="87"/>
      <c r="AG797" s="86"/>
      <c r="AH797" s="37"/>
      <c r="AI797" s="52"/>
      <c r="AJ797" s="87"/>
      <c r="AL797" s="86"/>
      <c r="AM797" s="37"/>
      <c r="AN797" s="52"/>
      <c r="AO797" s="87"/>
      <c r="AQ797" s="86"/>
      <c r="AR797" s="37"/>
      <c r="AS797" s="52"/>
      <c r="AT797" s="87"/>
    </row>
    <row r="798" spans="2:46" thickBot="1">
      <c r="B798" s="113"/>
      <c r="C798" s="324"/>
      <c r="D798" s="346"/>
      <c r="E798" s="326"/>
      <c r="F798" s="321" t="str">
        <f t="shared" si="64"/>
        <v/>
      </c>
      <c r="G798" s="334"/>
      <c r="H798" s="331"/>
      <c r="I798" s="107"/>
      <c r="J798" s="108"/>
      <c r="K798" s="109"/>
      <c r="L798" s="108"/>
      <c r="O798" s="86"/>
      <c r="P798" s="57"/>
      <c r="Q798" s="37"/>
      <c r="R798" s="92" t="str">
        <f t="shared" si="63"/>
        <v/>
      </c>
      <c r="S798" s="52"/>
      <c r="T798" s="87"/>
      <c r="U798" s="86"/>
      <c r="V798" s="201"/>
      <c r="W798" s="37"/>
      <c r="X798" s="52"/>
      <c r="Y798" s="87"/>
      <c r="AA798" s="86"/>
      <c r="AB798" s="57"/>
      <c r="AC798" s="37"/>
      <c r="AD798" s="52"/>
      <c r="AE798" s="87"/>
      <c r="AG798" s="86"/>
      <c r="AH798" s="37"/>
      <c r="AI798" s="52"/>
      <c r="AJ798" s="87"/>
      <c r="AL798" s="86"/>
      <c r="AM798" s="37"/>
      <c r="AN798" s="52"/>
      <c r="AO798" s="87"/>
      <c r="AQ798" s="86"/>
      <c r="AR798" s="37"/>
      <c r="AS798" s="52"/>
      <c r="AT798" s="87"/>
    </row>
    <row r="799" spans="2:46" thickBot="1">
      <c r="B799" s="113"/>
      <c r="C799" s="324"/>
      <c r="D799" s="346"/>
      <c r="E799" s="326"/>
      <c r="F799" s="321" t="str">
        <f t="shared" si="64"/>
        <v/>
      </c>
      <c r="G799" s="334"/>
      <c r="H799" s="331"/>
      <c r="I799" s="107"/>
      <c r="J799" s="108"/>
      <c r="K799" s="109"/>
      <c r="L799" s="108"/>
      <c r="O799" s="86"/>
      <c r="P799" s="57"/>
      <c r="Q799" s="37"/>
      <c r="R799" s="92" t="str">
        <f t="shared" si="63"/>
        <v/>
      </c>
      <c r="S799" s="52"/>
      <c r="T799" s="87"/>
      <c r="U799" s="86"/>
      <c r="V799" s="201"/>
      <c r="W799" s="37"/>
      <c r="X799" s="52"/>
      <c r="Y799" s="87"/>
      <c r="AA799" s="86"/>
      <c r="AB799" s="57"/>
      <c r="AC799" s="37"/>
      <c r="AD799" s="52"/>
      <c r="AE799" s="87"/>
      <c r="AG799" s="86"/>
      <c r="AH799" s="37"/>
      <c r="AI799" s="52"/>
      <c r="AJ799" s="87"/>
      <c r="AL799" s="86"/>
      <c r="AM799" s="37"/>
      <c r="AN799" s="52"/>
      <c r="AO799" s="87"/>
      <c r="AQ799" s="86"/>
      <c r="AR799" s="37"/>
      <c r="AS799" s="52"/>
      <c r="AT799" s="87"/>
    </row>
    <row r="800" spans="2:46" thickBot="1">
      <c r="B800" s="113"/>
      <c r="C800" s="324"/>
      <c r="D800" s="346"/>
      <c r="E800" s="326"/>
      <c r="F800" s="321" t="str">
        <f t="shared" si="64"/>
        <v/>
      </c>
      <c r="G800" s="334"/>
      <c r="H800" s="331"/>
      <c r="I800" s="107"/>
      <c r="J800" s="108"/>
      <c r="K800" s="109"/>
      <c r="L800" s="108"/>
      <c r="O800" s="86"/>
      <c r="P800" s="57"/>
      <c r="Q800" s="37"/>
      <c r="R800" s="92" t="str">
        <f t="shared" si="63"/>
        <v/>
      </c>
      <c r="S800" s="52"/>
      <c r="T800" s="87"/>
      <c r="U800" s="86"/>
      <c r="V800" s="201"/>
      <c r="W800" s="37"/>
      <c r="X800" s="52"/>
      <c r="Y800" s="87"/>
      <c r="AA800" s="86"/>
      <c r="AB800" s="57"/>
      <c r="AC800" s="37"/>
      <c r="AD800" s="52"/>
      <c r="AE800" s="87"/>
      <c r="AG800" s="86"/>
      <c r="AH800" s="37"/>
      <c r="AI800" s="52"/>
      <c r="AJ800" s="87"/>
      <c r="AL800" s="86"/>
      <c r="AM800" s="37"/>
      <c r="AN800" s="52"/>
      <c r="AO800" s="87"/>
      <c r="AQ800" s="86"/>
      <c r="AR800" s="37"/>
      <c r="AS800" s="52"/>
      <c r="AT800" s="87"/>
    </row>
    <row r="801" spans="2:46" thickBot="1">
      <c r="B801" s="113"/>
      <c r="C801" s="324"/>
      <c r="D801" s="346"/>
      <c r="E801" s="326"/>
      <c r="F801" s="321" t="str">
        <f t="shared" si="64"/>
        <v/>
      </c>
      <c r="G801" s="334"/>
      <c r="H801" s="331"/>
      <c r="I801" s="107"/>
      <c r="J801" s="108"/>
      <c r="K801" s="109"/>
      <c r="L801" s="108"/>
      <c r="O801" s="86"/>
      <c r="P801" s="57"/>
      <c r="Q801" s="37"/>
      <c r="R801" s="92" t="str">
        <f t="shared" si="63"/>
        <v/>
      </c>
      <c r="S801" s="52"/>
      <c r="T801" s="87"/>
      <c r="U801" s="86"/>
      <c r="V801" s="201"/>
      <c r="W801" s="37"/>
      <c r="X801" s="52"/>
      <c r="Y801" s="87"/>
      <c r="AA801" s="86"/>
      <c r="AB801" s="57"/>
      <c r="AC801" s="37"/>
      <c r="AD801" s="52"/>
      <c r="AE801" s="87"/>
      <c r="AG801" s="86"/>
      <c r="AH801" s="37"/>
      <c r="AI801" s="52"/>
      <c r="AJ801" s="87"/>
      <c r="AL801" s="86"/>
      <c r="AM801" s="37"/>
      <c r="AN801" s="52"/>
      <c r="AO801" s="87"/>
      <c r="AQ801" s="86"/>
      <c r="AR801" s="37"/>
      <c r="AS801" s="52"/>
      <c r="AT801" s="87"/>
    </row>
    <row r="802" spans="2:46" thickBot="1">
      <c r="B802" s="113"/>
      <c r="C802" s="324"/>
      <c r="D802" s="346"/>
      <c r="E802" s="326"/>
      <c r="F802" s="321" t="str">
        <f t="shared" si="64"/>
        <v/>
      </c>
      <c r="G802" s="334"/>
      <c r="H802" s="331"/>
      <c r="I802" s="107"/>
      <c r="J802" s="108"/>
      <c r="K802" s="109"/>
      <c r="L802" s="108"/>
      <c r="O802" s="86"/>
      <c r="P802" s="57"/>
      <c r="Q802" s="37"/>
      <c r="R802" s="92" t="str">
        <f t="shared" si="63"/>
        <v/>
      </c>
      <c r="S802" s="52"/>
      <c r="T802" s="87"/>
      <c r="U802" s="86"/>
      <c r="V802" s="201"/>
      <c r="W802" s="37"/>
      <c r="X802" s="52"/>
      <c r="Y802" s="87"/>
      <c r="AA802" s="86"/>
      <c r="AB802" s="57"/>
      <c r="AC802" s="37"/>
      <c r="AD802" s="52"/>
      <c r="AE802" s="87"/>
      <c r="AG802" s="86"/>
      <c r="AH802" s="37"/>
      <c r="AI802" s="52"/>
      <c r="AJ802" s="87"/>
      <c r="AL802" s="86"/>
      <c r="AM802" s="37"/>
      <c r="AN802" s="52"/>
      <c r="AO802" s="87"/>
      <c r="AQ802" s="86"/>
      <c r="AR802" s="37"/>
      <c r="AS802" s="52"/>
      <c r="AT802" s="87"/>
    </row>
    <row r="803" spans="2:46" thickBot="1">
      <c r="B803" s="113"/>
      <c r="C803" s="324"/>
      <c r="D803" s="346"/>
      <c r="E803" s="326"/>
      <c r="F803" s="321" t="str">
        <f t="shared" si="64"/>
        <v/>
      </c>
      <c r="G803" s="334"/>
      <c r="H803" s="331"/>
      <c r="I803" s="107"/>
      <c r="J803" s="108"/>
      <c r="K803" s="109"/>
      <c r="L803" s="108"/>
      <c r="O803" s="86"/>
      <c r="P803" s="57"/>
      <c r="Q803" s="37"/>
      <c r="R803" s="92" t="str">
        <f t="shared" si="63"/>
        <v/>
      </c>
      <c r="S803" s="52"/>
      <c r="T803" s="87"/>
      <c r="U803" s="86"/>
      <c r="V803" s="201"/>
      <c r="W803" s="37"/>
      <c r="X803" s="52"/>
      <c r="Y803" s="87"/>
      <c r="AA803" s="86"/>
      <c r="AB803" s="57"/>
      <c r="AC803" s="37"/>
      <c r="AD803" s="52"/>
      <c r="AE803" s="87"/>
      <c r="AG803" s="86"/>
      <c r="AH803" s="37"/>
      <c r="AI803" s="52"/>
      <c r="AJ803" s="87"/>
      <c r="AL803" s="86"/>
      <c r="AM803" s="37"/>
      <c r="AN803" s="52"/>
      <c r="AO803" s="87"/>
      <c r="AQ803" s="86"/>
      <c r="AR803" s="37"/>
      <c r="AS803" s="52"/>
      <c r="AT803" s="87"/>
    </row>
    <row r="804" spans="2:46" thickBot="1">
      <c r="B804" s="113"/>
      <c r="C804" s="324"/>
      <c r="D804" s="346"/>
      <c r="E804" s="326"/>
      <c r="F804" s="321" t="str">
        <f t="shared" si="64"/>
        <v/>
      </c>
      <c r="G804" s="334"/>
      <c r="H804" s="331"/>
      <c r="I804" s="107"/>
      <c r="J804" s="108"/>
      <c r="K804" s="109"/>
      <c r="L804" s="108"/>
      <c r="O804" s="86"/>
      <c r="P804" s="57"/>
      <c r="Q804" s="37"/>
      <c r="R804" s="92" t="str">
        <f t="shared" si="63"/>
        <v/>
      </c>
      <c r="S804" s="52"/>
      <c r="T804" s="87"/>
      <c r="U804" s="86"/>
      <c r="V804" s="201"/>
      <c r="W804" s="37"/>
      <c r="X804" s="52"/>
      <c r="Y804" s="87"/>
      <c r="AA804" s="86"/>
      <c r="AB804" s="57"/>
      <c r="AC804" s="37"/>
      <c r="AD804" s="52"/>
      <c r="AE804" s="87"/>
      <c r="AG804" s="86"/>
      <c r="AH804" s="37"/>
      <c r="AI804" s="52"/>
      <c r="AJ804" s="87"/>
      <c r="AL804" s="86"/>
      <c r="AM804" s="37"/>
      <c r="AN804" s="52"/>
      <c r="AO804" s="87"/>
      <c r="AQ804" s="86"/>
      <c r="AR804" s="37"/>
      <c r="AS804" s="52"/>
      <c r="AT804" s="87"/>
    </row>
    <row r="805" spans="2:46" thickBot="1">
      <c r="B805" s="113"/>
      <c r="C805" s="324"/>
      <c r="D805" s="346"/>
      <c r="E805" s="326"/>
      <c r="F805" s="321" t="str">
        <f t="shared" si="64"/>
        <v/>
      </c>
      <c r="G805" s="334"/>
      <c r="H805" s="331"/>
      <c r="I805" s="107"/>
      <c r="J805" s="108"/>
      <c r="K805" s="109"/>
      <c r="L805" s="108"/>
      <c r="O805" s="86"/>
      <c r="P805" s="57"/>
      <c r="Q805" s="37"/>
      <c r="R805" s="92" t="str">
        <f t="shared" si="63"/>
        <v/>
      </c>
      <c r="S805" s="52"/>
      <c r="T805" s="87"/>
      <c r="U805" s="86"/>
      <c r="V805" s="201"/>
      <c r="W805" s="37"/>
      <c r="X805" s="52"/>
      <c r="Y805" s="87"/>
      <c r="AA805" s="86"/>
      <c r="AB805" s="57"/>
      <c r="AC805" s="37"/>
      <c r="AD805" s="52"/>
      <c r="AE805" s="87"/>
      <c r="AG805" s="86"/>
      <c r="AH805" s="37"/>
      <c r="AI805" s="52"/>
      <c r="AJ805" s="87"/>
      <c r="AL805" s="86"/>
      <c r="AM805" s="37"/>
      <c r="AN805" s="52"/>
      <c r="AO805" s="87"/>
      <c r="AQ805" s="86"/>
      <c r="AR805" s="37"/>
      <c r="AS805" s="52"/>
      <c r="AT805" s="87"/>
    </row>
    <row r="806" spans="2:46" thickBot="1">
      <c r="B806" s="113"/>
      <c r="C806" s="324"/>
      <c r="D806" s="346"/>
      <c r="E806" s="326"/>
      <c r="F806" s="321" t="str">
        <f t="shared" si="64"/>
        <v/>
      </c>
      <c r="G806" s="334"/>
      <c r="H806" s="331"/>
      <c r="I806" s="107"/>
      <c r="J806" s="108"/>
      <c r="K806" s="109"/>
      <c r="L806" s="108"/>
      <c r="O806" s="86"/>
      <c r="P806" s="57"/>
      <c r="Q806" s="37"/>
      <c r="R806" s="92" t="str">
        <f t="shared" si="63"/>
        <v/>
      </c>
      <c r="S806" s="52"/>
      <c r="T806" s="87"/>
      <c r="U806" s="86"/>
      <c r="V806" s="201"/>
      <c r="W806" s="37"/>
      <c r="X806" s="52"/>
      <c r="Y806" s="87"/>
      <c r="AA806" s="86"/>
      <c r="AB806" s="57"/>
      <c r="AC806" s="37"/>
      <c r="AD806" s="52"/>
      <c r="AE806" s="87"/>
      <c r="AG806" s="86"/>
      <c r="AH806" s="37"/>
      <c r="AI806" s="52"/>
      <c r="AJ806" s="87"/>
      <c r="AL806" s="86"/>
      <c r="AM806" s="37"/>
      <c r="AN806" s="52"/>
      <c r="AO806" s="87"/>
      <c r="AQ806" s="86"/>
      <c r="AR806" s="37"/>
      <c r="AS806" s="52"/>
      <c r="AT806" s="87"/>
    </row>
    <row r="807" spans="2:46" thickBot="1">
      <c r="B807" s="113"/>
      <c r="C807" s="324"/>
      <c r="D807" s="346"/>
      <c r="E807" s="326"/>
      <c r="F807" s="321" t="str">
        <f t="shared" si="64"/>
        <v/>
      </c>
      <c r="G807" s="334"/>
      <c r="H807" s="331"/>
      <c r="I807" s="107"/>
      <c r="J807" s="108"/>
      <c r="K807" s="109"/>
      <c r="L807" s="108"/>
      <c r="O807" s="86"/>
      <c r="P807" s="57"/>
      <c r="Q807" s="37"/>
      <c r="R807" s="92" t="str">
        <f t="shared" si="63"/>
        <v/>
      </c>
      <c r="S807" s="52"/>
      <c r="T807" s="87"/>
      <c r="U807" s="86"/>
      <c r="V807" s="201"/>
      <c r="W807" s="37"/>
      <c r="X807" s="52"/>
      <c r="Y807" s="87"/>
      <c r="AA807" s="86"/>
      <c r="AB807" s="57"/>
      <c r="AC807" s="37"/>
      <c r="AD807" s="52"/>
      <c r="AE807" s="87"/>
      <c r="AG807" s="86"/>
      <c r="AH807" s="37"/>
      <c r="AI807" s="52"/>
      <c r="AJ807" s="87"/>
      <c r="AL807" s="86"/>
      <c r="AM807" s="37"/>
      <c r="AN807" s="52"/>
      <c r="AO807" s="87"/>
      <c r="AQ807" s="86"/>
      <c r="AR807" s="37"/>
      <c r="AS807" s="52"/>
      <c r="AT807" s="87"/>
    </row>
    <row r="808" spans="2:46" thickBot="1">
      <c r="B808" s="113"/>
      <c r="C808" s="324"/>
      <c r="D808" s="346"/>
      <c r="E808" s="326"/>
      <c r="F808" s="321" t="str">
        <f t="shared" si="64"/>
        <v/>
      </c>
      <c r="G808" s="334"/>
      <c r="H808" s="331"/>
      <c r="I808" s="107"/>
      <c r="J808" s="108"/>
      <c r="K808" s="109"/>
      <c r="L808" s="108"/>
      <c r="O808" s="86"/>
      <c r="P808" s="57"/>
      <c r="Q808" s="37"/>
      <c r="R808" s="92" t="str">
        <f t="shared" si="63"/>
        <v/>
      </c>
      <c r="S808" s="52"/>
      <c r="T808" s="87"/>
      <c r="U808" s="86"/>
      <c r="V808" s="201"/>
      <c r="W808" s="37"/>
      <c r="X808" s="52"/>
      <c r="Y808" s="87"/>
      <c r="AA808" s="86"/>
      <c r="AB808" s="57"/>
      <c r="AC808" s="37"/>
      <c r="AD808" s="52"/>
      <c r="AE808" s="87"/>
      <c r="AG808" s="86"/>
      <c r="AH808" s="37"/>
      <c r="AI808" s="52"/>
      <c r="AJ808" s="87"/>
      <c r="AL808" s="86"/>
      <c r="AM808" s="37"/>
      <c r="AN808" s="52"/>
      <c r="AO808" s="87"/>
      <c r="AQ808" s="86"/>
      <c r="AR808" s="37"/>
      <c r="AS808" s="52"/>
      <c r="AT808" s="87"/>
    </row>
    <row r="809" spans="2:46" thickBot="1">
      <c r="B809" s="113"/>
      <c r="C809" s="324"/>
      <c r="D809" s="346"/>
      <c r="E809" s="326"/>
      <c r="F809" s="321" t="str">
        <f t="shared" si="64"/>
        <v/>
      </c>
      <c r="G809" s="334"/>
      <c r="H809" s="331"/>
      <c r="I809" s="107"/>
      <c r="J809" s="108"/>
      <c r="K809" s="109"/>
      <c r="L809" s="108"/>
      <c r="O809" s="86"/>
      <c r="P809" s="57"/>
      <c r="Q809" s="37"/>
      <c r="R809" s="92" t="str">
        <f t="shared" si="63"/>
        <v/>
      </c>
      <c r="S809" s="52"/>
      <c r="T809" s="87"/>
      <c r="U809" s="86"/>
      <c r="V809" s="201"/>
      <c r="W809" s="37"/>
      <c r="X809" s="52"/>
      <c r="Y809" s="87"/>
      <c r="AA809" s="86"/>
      <c r="AB809" s="57"/>
      <c r="AC809" s="37"/>
      <c r="AD809" s="52"/>
      <c r="AE809" s="87"/>
      <c r="AG809" s="86"/>
      <c r="AH809" s="37"/>
      <c r="AI809" s="52"/>
      <c r="AJ809" s="87"/>
      <c r="AL809" s="86"/>
      <c r="AM809" s="37"/>
      <c r="AN809" s="52"/>
      <c r="AO809" s="87"/>
      <c r="AQ809" s="86"/>
      <c r="AR809" s="37"/>
      <c r="AS809" s="52"/>
      <c r="AT809" s="87"/>
    </row>
    <row r="810" spans="2:46" thickBot="1">
      <c r="B810" s="113"/>
      <c r="C810" s="324"/>
      <c r="D810" s="346"/>
      <c r="E810" s="326"/>
      <c r="F810" s="321" t="str">
        <f t="shared" si="64"/>
        <v/>
      </c>
      <c r="G810" s="334"/>
      <c r="H810" s="331"/>
      <c r="I810" s="107"/>
      <c r="J810" s="108"/>
      <c r="K810" s="109"/>
      <c r="L810" s="108"/>
      <c r="O810" s="86"/>
      <c r="P810" s="57"/>
      <c r="Q810" s="37"/>
      <c r="R810" s="92" t="str">
        <f t="shared" si="63"/>
        <v/>
      </c>
      <c r="S810" s="52"/>
      <c r="T810" s="87"/>
      <c r="U810" s="86"/>
      <c r="V810" s="201"/>
      <c r="W810" s="37"/>
      <c r="X810" s="52"/>
      <c r="Y810" s="87"/>
      <c r="AA810" s="86"/>
      <c r="AB810" s="57"/>
      <c r="AC810" s="37"/>
      <c r="AD810" s="52"/>
      <c r="AE810" s="87"/>
      <c r="AG810" s="86"/>
      <c r="AH810" s="37"/>
      <c r="AI810" s="52"/>
      <c r="AJ810" s="87"/>
      <c r="AL810" s="86"/>
      <c r="AM810" s="37"/>
      <c r="AN810" s="52"/>
      <c r="AO810" s="87"/>
      <c r="AQ810" s="86"/>
      <c r="AR810" s="37"/>
      <c r="AS810" s="52"/>
      <c r="AT810" s="87"/>
    </row>
    <row r="811" spans="2:46" thickBot="1">
      <c r="B811" s="113"/>
      <c r="C811" s="324"/>
      <c r="D811" s="346"/>
      <c r="E811" s="326"/>
      <c r="F811" s="321" t="str">
        <f t="shared" si="64"/>
        <v/>
      </c>
      <c r="G811" s="334"/>
      <c r="H811" s="331"/>
      <c r="I811" s="107"/>
      <c r="J811" s="108"/>
      <c r="K811" s="109"/>
      <c r="L811" s="108"/>
      <c r="O811" s="86"/>
      <c r="P811" s="57"/>
      <c r="Q811" s="37"/>
      <c r="R811" s="92" t="str">
        <f t="shared" ref="R811:R874" si="65">IF(Q811="","",ROUND(S811*(1+$F$2),2))</f>
        <v/>
      </c>
      <c r="S811" s="52"/>
      <c r="T811" s="87"/>
      <c r="U811" s="86"/>
      <c r="V811" s="201"/>
      <c r="W811" s="37"/>
      <c r="X811" s="52"/>
      <c r="Y811" s="87"/>
      <c r="AA811" s="86"/>
      <c r="AB811" s="57"/>
      <c r="AC811" s="37"/>
      <c r="AD811" s="52"/>
      <c r="AE811" s="87"/>
      <c r="AG811" s="86"/>
      <c r="AH811" s="37"/>
      <c r="AI811" s="52"/>
      <c r="AJ811" s="87"/>
      <c r="AL811" s="86"/>
      <c r="AM811" s="37"/>
      <c r="AN811" s="52"/>
      <c r="AO811" s="87"/>
      <c r="AQ811" s="86"/>
      <c r="AR811" s="37"/>
      <c r="AS811" s="52"/>
      <c r="AT811" s="87"/>
    </row>
    <row r="812" spans="2:46" thickBot="1">
      <c r="B812" s="113"/>
      <c r="C812" s="324"/>
      <c r="D812" s="346"/>
      <c r="E812" s="326"/>
      <c r="F812" s="321" t="str">
        <f t="shared" si="64"/>
        <v/>
      </c>
      <c r="G812" s="334"/>
      <c r="H812" s="331"/>
      <c r="I812" s="107"/>
      <c r="J812" s="108"/>
      <c r="K812" s="109"/>
      <c r="L812" s="108"/>
      <c r="O812" s="86"/>
      <c r="P812" s="57"/>
      <c r="Q812" s="37"/>
      <c r="R812" s="92" t="str">
        <f t="shared" si="65"/>
        <v/>
      </c>
      <c r="S812" s="52"/>
      <c r="T812" s="87"/>
      <c r="U812" s="86"/>
      <c r="V812" s="201"/>
      <c r="W812" s="37"/>
      <c r="X812" s="52"/>
      <c r="Y812" s="87"/>
      <c r="AA812" s="86"/>
      <c r="AB812" s="57"/>
      <c r="AC812" s="37"/>
      <c r="AD812" s="52"/>
      <c r="AE812" s="87"/>
      <c r="AG812" s="86"/>
      <c r="AH812" s="37"/>
      <c r="AI812" s="52"/>
      <c r="AJ812" s="87"/>
      <c r="AL812" s="86"/>
      <c r="AM812" s="37"/>
      <c r="AN812" s="52"/>
      <c r="AO812" s="87"/>
      <c r="AQ812" s="86"/>
      <c r="AR812" s="37"/>
      <c r="AS812" s="52"/>
      <c r="AT812" s="87"/>
    </row>
    <row r="813" spans="2:46" thickBot="1">
      <c r="B813" s="113"/>
      <c r="C813" s="324"/>
      <c r="D813" s="346"/>
      <c r="E813" s="326"/>
      <c r="F813" s="321" t="str">
        <f t="shared" si="64"/>
        <v/>
      </c>
      <c r="G813" s="334"/>
      <c r="H813" s="331"/>
      <c r="I813" s="107"/>
      <c r="J813" s="108"/>
      <c r="K813" s="109"/>
      <c r="L813" s="108"/>
      <c r="O813" s="86"/>
      <c r="P813" s="57"/>
      <c r="Q813" s="37"/>
      <c r="R813" s="92" t="str">
        <f t="shared" si="65"/>
        <v/>
      </c>
      <c r="S813" s="52"/>
      <c r="T813" s="87"/>
      <c r="U813" s="86"/>
      <c r="V813" s="201"/>
      <c r="W813" s="37"/>
      <c r="X813" s="52"/>
      <c r="Y813" s="87"/>
      <c r="AA813" s="86"/>
      <c r="AB813" s="57"/>
      <c r="AC813" s="37"/>
      <c r="AD813" s="52"/>
      <c r="AE813" s="87"/>
      <c r="AG813" s="86"/>
      <c r="AH813" s="37"/>
      <c r="AI813" s="52"/>
      <c r="AJ813" s="87"/>
      <c r="AL813" s="86"/>
      <c r="AM813" s="37"/>
      <c r="AN813" s="52"/>
      <c r="AO813" s="87"/>
      <c r="AQ813" s="86"/>
      <c r="AR813" s="37"/>
      <c r="AS813" s="52"/>
      <c r="AT813" s="87"/>
    </row>
    <row r="814" spans="2:46" thickBot="1">
      <c r="B814" s="113"/>
      <c r="C814" s="324"/>
      <c r="D814" s="346"/>
      <c r="E814" s="326"/>
      <c r="F814" s="321" t="str">
        <f t="shared" si="64"/>
        <v/>
      </c>
      <c r="G814" s="334"/>
      <c r="H814" s="331"/>
      <c r="I814" s="107"/>
      <c r="J814" s="108"/>
      <c r="K814" s="109"/>
      <c r="L814" s="108"/>
      <c r="O814" s="86"/>
      <c r="P814" s="57"/>
      <c r="Q814" s="37"/>
      <c r="R814" s="92" t="str">
        <f t="shared" si="65"/>
        <v/>
      </c>
      <c r="S814" s="52"/>
      <c r="T814" s="87"/>
      <c r="U814" s="86"/>
      <c r="V814" s="201"/>
      <c r="W814" s="37"/>
      <c r="X814" s="52"/>
      <c r="Y814" s="87"/>
      <c r="AA814" s="86"/>
      <c r="AB814" s="57"/>
      <c r="AC814" s="37"/>
      <c r="AD814" s="52"/>
      <c r="AE814" s="87"/>
      <c r="AG814" s="86"/>
      <c r="AH814" s="37"/>
      <c r="AI814" s="52"/>
      <c r="AJ814" s="87"/>
      <c r="AL814" s="86"/>
      <c r="AM814" s="37"/>
      <c r="AN814" s="52"/>
      <c r="AO814" s="87"/>
      <c r="AQ814" s="86"/>
      <c r="AR814" s="37"/>
      <c r="AS814" s="52"/>
      <c r="AT814" s="87"/>
    </row>
    <row r="815" spans="2:46" thickBot="1">
      <c r="B815" s="113"/>
      <c r="C815" s="324"/>
      <c r="D815" s="346"/>
      <c r="E815" s="326"/>
      <c r="F815" s="321" t="str">
        <f t="shared" si="64"/>
        <v/>
      </c>
      <c r="G815" s="334"/>
      <c r="H815" s="331"/>
      <c r="I815" s="107"/>
      <c r="J815" s="108"/>
      <c r="K815" s="109"/>
      <c r="L815" s="108"/>
      <c r="O815" s="86"/>
      <c r="P815" s="57"/>
      <c r="Q815" s="37"/>
      <c r="R815" s="92" t="str">
        <f t="shared" si="65"/>
        <v/>
      </c>
      <c r="S815" s="52"/>
      <c r="T815" s="87"/>
      <c r="U815" s="86"/>
      <c r="V815" s="201"/>
      <c r="W815" s="37"/>
      <c r="X815" s="52"/>
      <c r="Y815" s="87"/>
      <c r="AA815" s="86"/>
      <c r="AB815" s="57"/>
      <c r="AC815" s="37"/>
      <c r="AD815" s="52"/>
      <c r="AE815" s="87"/>
      <c r="AG815" s="86"/>
      <c r="AH815" s="37"/>
      <c r="AI815" s="52"/>
      <c r="AJ815" s="87"/>
      <c r="AL815" s="86"/>
      <c r="AM815" s="37"/>
      <c r="AN815" s="52"/>
      <c r="AO815" s="87"/>
      <c r="AQ815" s="86"/>
      <c r="AR815" s="37"/>
      <c r="AS815" s="52"/>
      <c r="AT815" s="87"/>
    </row>
    <row r="816" spans="2:46" thickBot="1">
      <c r="B816" s="113"/>
      <c r="C816" s="324"/>
      <c r="D816" s="346"/>
      <c r="E816" s="326"/>
      <c r="F816" s="321" t="str">
        <f t="shared" si="64"/>
        <v/>
      </c>
      <c r="G816" s="334"/>
      <c r="H816" s="331"/>
      <c r="I816" s="107"/>
      <c r="J816" s="108"/>
      <c r="K816" s="109"/>
      <c r="L816" s="108"/>
      <c r="O816" s="86"/>
      <c r="P816" s="57"/>
      <c r="Q816" s="37"/>
      <c r="R816" s="92" t="str">
        <f t="shared" si="65"/>
        <v/>
      </c>
      <c r="S816" s="52"/>
      <c r="T816" s="87"/>
      <c r="U816" s="86"/>
      <c r="V816" s="201"/>
      <c r="W816" s="37"/>
      <c r="X816" s="52"/>
      <c r="Y816" s="87"/>
      <c r="AA816" s="86"/>
      <c r="AB816" s="57"/>
      <c r="AC816" s="37"/>
      <c r="AD816" s="52"/>
      <c r="AE816" s="87"/>
      <c r="AG816" s="86"/>
      <c r="AH816" s="37"/>
      <c r="AI816" s="52"/>
      <c r="AJ816" s="87"/>
      <c r="AL816" s="86"/>
      <c r="AM816" s="37"/>
      <c r="AN816" s="52"/>
      <c r="AO816" s="87"/>
      <c r="AQ816" s="86"/>
      <c r="AR816" s="37"/>
      <c r="AS816" s="52"/>
      <c r="AT816" s="87"/>
    </row>
    <row r="817" spans="2:46" thickBot="1">
      <c r="B817" s="113"/>
      <c r="C817" s="324"/>
      <c r="D817" s="346"/>
      <c r="E817" s="326"/>
      <c r="F817" s="321" t="str">
        <f t="shared" si="64"/>
        <v/>
      </c>
      <c r="G817" s="334"/>
      <c r="H817" s="331"/>
      <c r="I817" s="107"/>
      <c r="J817" s="108"/>
      <c r="K817" s="109"/>
      <c r="L817" s="108"/>
      <c r="O817" s="86"/>
      <c r="P817" s="57"/>
      <c r="Q817" s="37"/>
      <c r="R817" s="92" t="str">
        <f t="shared" si="65"/>
        <v/>
      </c>
      <c r="S817" s="52"/>
      <c r="T817" s="87"/>
      <c r="U817" s="86"/>
      <c r="V817" s="201"/>
      <c r="W817" s="37"/>
      <c r="X817" s="52"/>
      <c r="Y817" s="87"/>
      <c r="AA817" s="86"/>
      <c r="AB817" s="57"/>
      <c r="AC817" s="37"/>
      <c r="AD817" s="52"/>
      <c r="AE817" s="87"/>
      <c r="AG817" s="86"/>
      <c r="AH817" s="37"/>
      <c r="AI817" s="52"/>
      <c r="AJ817" s="87"/>
      <c r="AL817" s="86"/>
      <c r="AM817" s="37"/>
      <c r="AN817" s="52"/>
      <c r="AO817" s="87"/>
      <c r="AQ817" s="86"/>
      <c r="AR817" s="37"/>
      <c r="AS817" s="52"/>
      <c r="AT817" s="87"/>
    </row>
    <row r="818" spans="2:46" thickBot="1">
      <c r="B818" s="113"/>
      <c r="C818" s="324"/>
      <c r="D818" s="346"/>
      <c r="E818" s="326"/>
      <c r="F818" s="321" t="str">
        <f t="shared" si="64"/>
        <v/>
      </c>
      <c r="G818" s="334"/>
      <c r="H818" s="331"/>
      <c r="I818" s="107"/>
      <c r="J818" s="108"/>
      <c r="K818" s="109"/>
      <c r="L818" s="108"/>
      <c r="O818" s="86"/>
      <c r="P818" s="57"/>
      <c r="Q818" s="37"/>
      <c r="R818" s="92" t="str">
        <f t="shared" si="65"/>
        <v/>
      </c>
      <c r="S818" s="52"/>
      <c r="T818" s="87"/>
      <c r="U818" s="86"/>
      <c r="V818" s="201"/>
      <c r="W818" s="37"/>
      <c r="X818" s="52"/>
      <c r="Y818" s="87"/>
      <c r="AA818" s="86"/>
      <c r="AB818" s="57"/>
      <c r="AC818" s="37"/>
      <c r="AD818" s="52"/>
      <c r="AE818" s="87"/>
      <c r="AG818" s="86"/>
      <c r="AH818" s="37"/>
      <c r="AI818" s="52"/>
      <c r="AJ818" s="87"/>
      <c r="AL818" s="86"/>
      <c r="AM818" s="37"/>
      <c r="AN818" s="52"/>
      <c r="AO818" s="87"/>
      <c r="AQ818" s="86"/>
      <c r="AR818" s="37"/>
      <c r="AS818" s="52"/>
      <c r="AT818" s="87"/>
    </row>
    <row r="819" spans="2:46" thickBot="1">
      <c r="B819" s="113"/>
      <c r="C819" s="324"/>
      <c r="D819" s="346"/>
      <c r="E819" s="326"/>
      <c r="F819" s="321" t="str">
        <f t="shared" si="64"/>
        <v/>
      </c>
      <c r="G819" s="334"/>
      <c r="H819" s="331"/>
      <c r="I819" s="107"/>
      <c r="J819" s="108"/>
      <c r="K819" s="109"/>
      <c r="L819" s="108"/>
      <c r="O819" s="86"/>
      <c r="P819" s="57"/>
      <c r="Q819" s="37"/>
      <c r="R819" s="92" t="str">
        <f t="shared" si="65"/>
        <v/>
      </c>
      <c r="S819" s="52"/>
      <c r="T819" s="87"/>
      <c r="U819" s="86"/>
      <c r="V819" s="201"/>
      <c r="W819" s="37"/>
      <c r="X819" s="52"/>
      <c r="Y819" s="87"/>
      <c r="AA819" s="86"/>
      <c r="AB819" s="57"/>
      <c r="AC819" s="37"/>
      <c r="AD819" s="52"/>
      <c r="AE819" s="87"/>
      <c r="AG819" s="86"/>
      <c r="AH819" s="37"/>
      <c r="AI819" s="52"/>
      <c r="AJ819" s="87"/>
      <c r="AL819" s="86"/>
      <c r="AM819" s="37"/>
      <c r="AN819" s="52"/>
      <c r="AO819" s="87"/>
      <c r="AQ819" s="86"/>
      <c r="AR819" s="37"/>
      <c r="AS819" s="52"/>
      <c r="AT819" s="87"/>
    </row>
    <row r="820" spans="2:46" thickBot="1">
      <c r="B820" s="113"/>
      <c r="C820" s="324"/>
      <c r="D820" s="346"/>
      <c r="E820" s="326"/>
      <c r="F820" s="321" t="str">
        <f t="shared" si="64"/>
        <v/>
      </c>
      <c r="G820" s="334"/>
      <c r="H820" s="331"/>
      <c r="I820" s="107"/>
      <c r="J820" s="108"/>
      <c r="K820" s="109"/>
      <c r="L820" s="108"/>
      <c r="O820" s="86"/>
      <c r="P820" s="57"/>
      <c r="Q820" s="37"/>
      <c r="R820" s="92" t="str">
        <f t="shared" si="65"/>
        <v/>
      </c>
      <c r="S820" s="52"/>
      <c r="T820" s="87"/>
      <c r="U820" s="86"/>
      <c r="V820" s="201"/>
      <c r="W820" s="37"/>
      <c r="X820" s="52"/>
      <c r="Y820" s="87"/>
      <c r="AA820" s="86"/>
      <c r="AB820" s="57"/>
      <c r="AC820" s="37"/>
      <c r="AD820" s="52"/>
      <c r="AE820" s="87"/>
      <c r="AG820" s="86"/>
      <c r="AH820" s="37"/>
      <c r="AI820" s="52"/>
      <c r="AJ820" s="87"/>
      <c r="AL820" s="86"/>
      <c r="AM820" s="37"/>
      <c r="AN820" s="52"/>
      <c r="AO820" s="87"/>
      <c r="AQ820" s="86"/>
      <c r="AR820" s="37"/>
      <c r="AS820" s="52"/>
      <c r="AT820" s="87"/>
    </row>
    <row r="821" spans="2:46" thickBot="1">
      <c r="B821" s="113"/>
      <c r="C821" s="324"/>
      <c r="D821" s="346"/>
      <c r="E821" s="326"/>
      <c r="F821" s="321" t="str">
        <f t="shared" si="64"/>
        <v/>
      </c>
      <c r="G821" s="334"/>
      <c r="H821" s="331"/>
      <c r="I821" s="107"/>
      <c r="J821" s="108"/>
      <c r="K821" s="109"/>
      <c r="L821" s="108"/>
      <c r="O821" s="86"/>
      <c r="P821" s="57"/>
      <c r="Q821" s="37"/>
      <c r="R821" s="92" t="str">
        <f t="shared" si="65"/>
        <v/>
      </c>
      <c r="S821" s="52"/>
      <c r="T821" s="87"/>
      <c r="U821" s="86"/>
      <c r="V821" s="201"/>
      <c r="W821" s="37"/>
      <c r="X821" s="52"/>
      <c r="Y821" s="87"/>
      <c r="AA821" s="86"/>
      <c r="AB821" s="57"/>
      <c r="AC821" s="37"/>
      <c r="AD821" s="52"/>
      <c r="AE821" s="87"/>
      <c r="AG821" s="86"/>
      <c r="AH821" s="37"/>
      <c r="AI821" s="52"/>
      <c r="AJ821" s="87"/>
      <c r="AL821" s="86"/>
      <c r="AM821" s="37"/>
      <c r="AN821" s="52"/>
      <c r="AO821" s="87"/>
      <c r="AQ821" s="86"/>
      <c r="AR821" s="37"/>
      <c r="AS821" s="52"/>
      <c r="AT821" s="87"/>
    </row>
    <row r="822" spans="2:46" thickBot="1">
      <c r="B822" s="113"/>
      <c r="C822" s="324"/>
      <c r="D822" s="346"/>
      <c r="E822" s="326"/>
      <c r="F822" s="321" t="str">
        <f t="shared" si="64"/>
        <v/>
      </c>
      <c r="G822" s="334"/>
      <c r="H822" s="331"/>
      <c r="I822" s="107"/>
      <c r="J822" s="108"/>
      <c r="K822" s="109"/>
      <c r="L822" s="108"/>
      <c r="O822" s="86"/>
      <c r="P822" s="57"/>
      <c r="Q822" s="37"/>
      <c r="R822" s="92" t="str">
        <f t="shared" si="65"/>
        <v/>
      </c>
      <c r="S822" s="52"/>
      <c r="T822" s="87"/>
      <c r="U822" s="86"/>
      <c r="V822" s="201"/>
      <c r="W822" s="37"/>
      <c r="X822" s="52"/>
      <c r="Y822" s="87"/>
      <c r="AA822" s="86"/>
      <c r="AB822" s="57"/>
      <c r="AC822" s="37"/>
      <c r="AD822" s="52"/>
      <c r="AE822" s="87"/>
      <c r="AG822" s="86"/>
      <c r="AH822" s="37"/>
      <c r="AI822" s="52"/>
      <c r="AJ822" s="87"/>
      <c r="AL822" s="86"/>
      <c r="AM822" s="37"/>
      <c r="AN822" s="52"/>
      <c r="AO822" s="87"/>
      <c r="AQ822" s="86"/>
      <c r="AR822" s="37"/>
      <c r="AS822" s="52"/>
      <c r="AT822" s="87"/>
    </row>
    <row r="823" spans="2:46" thickBot="1">
      <c r="B823" s="113"/>
      <c r="C823" s="324"/>
      <c r="D823" s="346"/>
      <c r="E823" s="326"/>
      <c r="F823" s="321" t="str">
        <f t="shared" si="64"/>
        <v/>
      </c>
      <c r="G823" s="334"/>
      <c r="H823" s="331"/>
      <c r="I823" s="107"/>
      <c r="J823" s="108"/>
      <c r="K823" s="109"/>
      <c r="L823" s="108"/>
      <c r="O823" s="86"/>
      <c r="P823" s="57"/>
      <c r="Q823" s="37"/>
      <c r="R823" s="92" t="str">
        <f t="shared" si="65"/>
        <v/>
      </c>
      <c r="S823" s="52"/>
      <c r="T823" s="87"/>
      <c r="U823" s="86"/>
      <c r="V823" s="201"/>
      <c r="W823" s="37"/>
      <c r="X823" s="52"/>
      <c r="Y823" s="87"/>
      <c r="AA823" s="86"/>
      <c r="AB823" s="57"/>
      <c r="AC823" s="37"/>
      <c r="AD823" s="52"/>
      <c r="AE823" s="87"/>
      <c r="AG823" s="86"/>
      <c r="AH823" s="37"/>
      <c r="AI823" s="52"/>
      <c r="AJ823" s="87"/>
      <c r="AL823" s="86"/>
      <c r="AM823" s="37"/>
      <c r="AN823" s="52"/>
      <c r="AO823" s="87"/>
      <c r="AQ823" s="86"/>
      <c r="AR823" s="37"/>
      <c r="AS823" s="52"/>
      <c r="AT823" s="87"/>
    </row>
    <row r="824" spans="2:46" thickBot="1">
      <c r="B824" s="113"/>
      <c r="C824" s="324"/>
      <c r="D824" s="346"/>
      <c r="E824" s="326"/>
      <c r="F824" s="321" t="str">
        <f t="shared" si="64"/>
        <v/>
      </c>
      <c r="G824" s="334"/>
      <c r="H824" s="331"/>
      <c r="I824" s="107"/>
      <c r="J824" s="108"/>
      <c r="K824" s="109"/>
      <c r="L824" s="108"/>
      <c r="O824" s="86"/>
      <c r="P824" s="57"/>
      <c r="Q824" s="37"/>
      <c r="R824" s="92" t="str">
        <f t="shared" si="65"/>
        <v/>
      </c>
      <c r="S824" s="52"/>
      <c r="T824" s="87"/>
      <c r="U824" s="86"/>
      <c r="V824" s="201"/>
      <c r="W824" s="37"/>
      <c r="X824" s="52"/>
      <c r="Y824" s="87"/>
      <c r="AA824" s="86"/>
      <c r="AB824" s="57"/>
      <c r="AC824" s="37"/>
      <c r="AD824" s="52"/>
      <c r="AE824" s="87"/>
      <c r="AG824" s="86"/>
      <c r="AH824" s="37"/>
      <c r="AI824" s="52"/>
      <c r="AJ824" s="87"/>
      <c r="AL824" s="86"/>
      <c r="AM824" s="37"/>
      <c r="AN824" s="52"/>
      <c r="AO824" s="87"/>
      <c r="AQ824" s="86"/>
      <c r="AR824" s="37"/>
      <c r="AS824" s="52"/>
      <c r="AT824" s="87"/>
    </row>
    <row r="825" spans="2:46" thickBot="1">
      <c r="B825" s="113"/>
      <c r="C825" s="324"/>
      <c r="D825" s="346"/>
      <c r="E825" s="326"/>
      <c r="F825" s="321" t="str">
        <f t="shared" si="64"/>
        <v/>
      </c>
      <c r="G825" s="334"/>
      <c r="H825" s="331"/>
      <c r="I825" s="107"/>
      <c r="J825" s="108"/>
      <c r="K825" s="109"/>
      <c r="L825" s="108"/>
      <c r="O825" s="86"/>
      <c r="P825" s="57"/>
      <c r="Q825" s="37"/>
      <c r="R825" s="92" t="str">
        <f t="shared" si="65"/>
        <v/>
      </c>
      <c r="S825" s="52"/>
      <c r="T825" s="87"/>
      <c r="U825" s="86"/>
      <c r="V825" s="201"/>
      <c r="W825" s="37"/>
      <c r="X825" s="52"/>
      <c r="Y825" s="87"/>
      <c r="AA825" s="86"/>
      <c r="AB825" s="57"/>
      <c r="AC825" s="37"/>
      <c r="AD825" s="52"/>
      <c r="AE825" s="87"/>
      <c r="AG825" s="86"/>
      <c r="AH825" s="37"/>
      <c r="AI825" s="52"/>
      <c r="AJ825" s="87"/>
      <c r="AL825" s="86"/>
      <c r="AM825" s="37"/>
      <c r="AN825" s="52"/>
      <c r="AO825" s="87"/>
      <c r="AQ825" s="86"/>
      <c r="AR825" s="37"/>
      <c r="AS825" s="52"/>
      <c r="AT825" s="87"/>
    </row>
    <row r="826" spans="2:46" thickBot="1">
      <c r="B826" s="113"/>
      <c r="C826" s="324"/>
      <c r="D826" s="346"/>
      <c r="E826" s="326"/>
      <c r="F826" s="321" t="str">
        <f t="shared" si="64"/>
        <v/>
      </c>
      <c r="G826" s="334"/>
      <c r="H826" s="331"/>
      <c r="I826" s="107"/>
      <c r="J826" s="108"/>
      <c r="K826" s="109"/>
      <c r="L826" s="108"/>
      <c r="O826" s="86"/>
      <c r="P826" s="57"/>
      <c r="Q826" s="37"/>
      <c r="R826" s="92" t="str">
        <f t="shared" si="65"/>
        <v/>
      </c>
      <c r="S826" s="52"/>
      <c r="T826" s="87"/>
      <c r="U826" s="86"/>
      <c r="V826" s="201"/>
      <c r="W826" s="37"/>
      <c r="X826" s="52"/>
      <c r="Y826" s="87"/>
      <c r="AA826" s="86"/>
      <c r="AB826" s="57"/>
      <c r="AC826" s="37"/>
      <c r="AD826" s="52"/>
      <c r="AE826" s="87"/>
      <c r="AG826" s="86"/>
      <c r="AH826" s="37"/>
      <c r="AI826" s="52"/>
      <c r="AJ826" s="87"/>
      <c r="AL826" s="86"/>
      <c r="AM826" s="37"/>
      <c r="AN826" s="52"/>
      <c r="AO826" s="87"/>
      <c r="AQ826" s="86"/>
      <c r="AR826" s="37"/>
      <c r="AS826" s="52"/>
      <c r="AT826" s="87"/>
    </row>
    <row r="827" spans="2:46" thickBot="1">
      <c r="B827" s="113"/>
      <c r="C827" s="324"/>
      <c r="D827" s="346"/>
      <c r="E827" s="326"/>
      <c r="F827" s="321" t="str">
        <f t="shared" si="64"/>
        <v/>
      </c>
      <c r="G827" s="334"/>
      <c r="H827" s="331"/>
      <c r="I827" s="107"/>
      <c r="J827" s="108"/>
      <c r="K827" s="109"/>
      <c r="L827" s="108"/>
      <c r="O827" s="86"/>
      <c r="P827" s="57"/>
      <c r="Q827" s="37"/>
      <c r="R827" s="92" t="str">
        <f t="shared" si="65"/>
        <v/>
      </c>
      <c r="S827" s="52"/>
      <c r="T827" s="87"/>
      <c r="U827" s="86"/>
      <c r="V827" s="201"/>
      <c r="W827" s="37"/>
      <c r="X827" s="52"/>
      <c r="Y827" s="87"/>
      <c r="AA827" s="86"/>
      <c r="AB827" s="57"/>
      <c r="AC827" s="37"/>
      <c r="AD827" s="52"/>
      <c r="AE827" s="87"/>
      <c r="AG827" s="86"/>
      <c r="AH827" s="37"/>
      <c r="AI827" s="52"/>
      <c r="AJ827" s="87"/>
      <c r="AL827" s="86"/>
      <c r="AM827" s="37"/>
      <c r="AN827" s="52"/>
      <c r="AO827" s="87"/>
      <c r="AQ827" s="86"/>
      <c r="AR827" s="37"/>
      <c r="AS827" s="52"/>
      <c r="AT827" s="87"/>
    </row>
    <row r="828" spans="2:46" thickBot="1">
      <c r="B828" s="113"/>
      <c r="C828" s="324"/>
      <c r="D828" s="346"/>
      <c r="E828" s="326"/>
      <c r="F828" s="321" t="str">
        <f t="shared" si="64"/>
        <v/>
      </c>
      <c r="G828" s="334"/>
      <c r="H828" s="331"/>
      <c r="I828" s="107"/>
      <c r="J828" s="108"/>
      <c r="K828" s="109"/>
      <c r="L828" s="108"/>
      <c r="O828" s="86"/>
      <c r="P828" s="57"/>
      <c r="Q828" s="37"/>
      <c r="R828" s="92" t="str">
        <f t="shared" si="65"/>
        <v/>
      </c>
      <c r="S828" s="52"/>
      <c r="T828" s="87"/>
      <c r="U828" s="86"/>
      <c r="V828" s="201"/>
      <c r="W828" s="37"/>
      <c r="X828" s="52"/>
      <c r="Y828" s="87"/>
      <c r="AA828" s="86"/>
      <c r="AB828" s="57"/>
      <c r="AC828" s="37"/>
      <c r="AD828" s="52"/>
      <c r="AE828" s="87"/>
      <c r="AG828" s="86"/>
      <c r="AH828" s="37"/>
      <c r="AI828" s="52"/>
      <c r="AJ828" s="87"/>
      <c r="AL828" s="86"/>
      <c r="AM828" s="37"/>
      <c r="AN828" s="52"/>
      <c r="AO828" s="87"/>
      <c r="AQ828" s="86"/>
      <c r="AR828" s="37"/>
      <c r="AS828" s="52"/>
      <c r="AT828" s="87"/>
    </row>
    <row r="829" spans="2:46" thickBot="1">
      <c r="B829" s="113"/>
      <c r="C829" s="324"/>
      <c r="D829" s="346"/>
      <c r="E829" s="326"/>
      <c r="F829" s="321" t="str">
        <f t="shared" si="64"/>
        <v/>
      </c>
      <c r="G829" s="334"/>
      <c r="H829" s="331"/>
      <c r="I829" s="107"/>
      <c r="J829" s="108"/>
      <c r="K829" s="109"/>
      <c r="L829" s="108"/>
      <c r="O829" s="86"/>
      <c r="P829" s="57"/>
      <c r="Q829" s="37"/>
      <c r="R829" s="92" t="str">
        <f t="shared" si="65"/>
        <v/>
      </c>
      <c r="S829" s="52"/>
      <c r="T829" s="87"/>
      <c r="U829" s="86"/>
      <c r="V829" s="201"/>
      <c r="W829" s="37"/>
      <c r="X829" s="52"/>
      <c r="Y829" s="87"/>
      <c r="AA829" s="86"/>
      <c r="AB829" s="57"/>
      <c r="AC829" s="37"/>
      <c r="AD829" s="52"/>
      <c r="AE829" s="87"/>
      <c r="AG829" s="86"/>
      <c r="AH829" s="37"/>
      <c r="AI829" s="52"/>
      <c r="AJ829" s="87"/>
      <c r="AL829" s="86"/>
      <c r="AM829" s="37"/>
      <c r="AN829" s="52"/>
      <c r="AO829" s="87"/>
      <c r="AQ829" s="86"/>
      <c r="AR829" s="37"/>
      <c r="AS829" s="52"/>
      <c r="AT829" s="87"/>
    </row>
    <row r="830" spans="2:46" thickBot="1">
      <c r="B830" s="113"/>
      <c r="C830" s="324"/>
      <c r="D830" s="346"/>
      <c r="E830" s="326"/>
      <c r="F830" s="321" t="str">
        <f t="shared" si="64"/>
        <v/>
      </c>
      <c r="G830" s="334"/>
      <c r="H830" s="331"/>
      <c r="I830" s="107"/>
      <c r="J830" s="108"/>
      <c r="K830" s="109"/>
      <c r="L830" s="108"/>
      <c r="O830" s="86"/>
      <c r="P830" s="57"/>
      <c r="Q830" s="37"/>
      <c r="R830" s="92" t="str">
        <f t="shared" si="65"/>
        <v/>
      </c>
      <c r="S830" s="52"/>
      <c r="T830" s="87"/>
      <c r="U830" s="86"/>
      <c r="V830" s="201"/>
      <c r="W830" s="37"/>
      <c r="X830" s="52"/>
      <c r="Y830" s="87"/>
      <c r="AA830" s="86"/>
      <c r="AB830" s="57"/>
      <c r="AC830" s="37"/>
      <c r="AD830" s="52"/>
      <c r="AE830" s="87"/>
      <c r="AG830" s="86"/>
      <c r="AH830" s="37"/>
      <c r="AI830" s="52"/>
      <c r="AJ830" s="87"/>
      <c r="AL830" s="86"/>
      <c r="AM830" s="37"/>
      <c r="AN830" s="52"/>
      <c r="AO830" s="87"/>
      <c r="AQ830" s="86"/>
      <c r="AR830" s="37"/>
      <c r="AS830" s="52"/>
      <c r="AT830" s="87"/>
    </row>
    <row r="831" spans="2:46" thickBot="1">
      <c r="B831" s="113"/>
      <c r="C831" s="324"/>
      <c r="D831" s="346"/>
      <c r="E831" s="326"/>
      <c r="F831" s="321" t="str">
        <f t="shared" si="64"/>
        <v/>
      </c>
      <c r="G831" s="334"/>
      <c r="H831" s="331"/>
      <c r="I831" s="107"/>
      <c r="J831" s="108"/>
      <c r="K831" s="109"/>
      <c r="L831" s="108"/>
      <c r="O831" s="86"/>
      <c r="P831" s="57"/>
      <c r="Q831" s="37"/>
      <c r="R831" s="92" t="str">
        <f t="shared" si="65"/>
        <v/>
      </c>
      <c r="S831" s="52"/>
      <c r="T831" s="87"/>
      <c r="U831" s="86"/>
      <c r="V831" s="201"/>
      <c r="W831" s="37"/>
      <c r="X831" s="52"/>
      <c r="Y831" s="87"/>
      <c r="AA831" s="86"/>
      <c r="AB831" s="57"/>
      <c r="AC831" s="37"/>
      <c r="AD831" s="52"/>
      <c r="AE831" s="87"/>
      <c r="AG831" s="86"/>
      <c r="AH831" s="37"/>
      <c r="AI831" s="52"/>
      <c r="AJ831" s="87"/>
      <c r="AL831" s="86"/>
      <c r="AM831" s="37"/>
      <c r="AN831" s="52"/>
      <c r="AO831" s="87"/>
      <c r="AQ831" s="86"/>
      <c r="AR831" s="37"/>
      <c r="AS831" s="52"/>
      <c r="AT831" s="87"/>
    </row>
    <row r="832" spans="2:46" thickBot="1">
      <c r="B832" s="113"/>
      <c r="C832" s="324"/>
      <c r="D832" s="346"/>
      <c r="E832" s="326"/>
      <c r="F832" s="321" t="str">
        <f t="shared" si="64"/>
        <v/>
      </c>
      <c r="G832" s="334"/>
      <c r="H832" s="331"/>
      <c r="I832" s="107"/>
      <c r="J832" s="108"/>
      <c r="K832" s="109"/>
      <c r="L832" s="108"/>
      <c r="O832" s="86"/>
      <c r="P832" s="57"/>
      <c r="Q832" s="37"/>
      <c r="R832" s="92" t="str">
        <f t="shared" si="65"/>
        <v/>
      </c>
      <c r="S832" s="52"/>
      <c r="T832" s="87"/>
      <c r="U832" s="86"/>
      <c r="V832" s="201"/>
      <c r="W832" s="37"/>
      <c r="X832" s="52"/>
      <c r="Y832" s="87"/>
      <c r="AA832" s="86"/>
      <c r="AB832" s="57"/>
      <c r="AC832" s="37"/>
      <c r="AD832" s="52"/>
      <c r="AE832" s="87"/>
      <c r="AG832" s="86"/>
      <c r="AH832" s="37"/>
      <c r="AI832" s="52"/>
      <c r="AJ832" s="87"/>
      <c r="AL832" s="86"/>
      <c r="AM832" s="37"/>
      <c r="AN832" s="52"/>
      <c r="AO832" s="87"/>
      <c r="AQ832" s="86"/>
      <c r="AR832" s="37"/>
      <c r="AS832" s="52"/>
      <c r="AT832" s="87"/>
    </row>
    <row r="833" spans="2:46" thickBot="1">
      <c r="B833" s="113"/>
      <c r="C833" s="324"/>
      <c r="D833" s="346"/>
      <c r="E833" s="326"/>
      <c r="F833" s="321" t="str">
        <f t="shared" si="64"/>
        <v/>
      </c>
      <c r="G833" s="334"/>
      <c r="H833" s="331"/>
      <c r="I833" s="107"/>
      <c r="J833" s="108"/>
      <c r="K833" s="109"/>
      <c r="L833" s="108"/>
      <c r="O833" s="86"/>
      <c r="P833" s="57"/>
      <c r="Q833" s="37"/>
      <c r="R833" s="92" t="str">
        <f t="shared" si="65"/>
        <v/>
      </c>
      <c r="S833" s="52"/>
      <c r="T833" s="87"/>
      <c r="U833" s="86"/>
      <c r="V833" s="201"/>
      <c r="W833" s="37"/>
      <c r="X833" s="52"/>
      <c r="Y833" s="87"/>
      <c r="AA833" s="86"/>
      <c r="AB833" s="57"/>
      <c r="AC833" s="37"/>
      <c r="AD833" s="52"/>
      <c r="AE833" s="87"/>
      <c r="AG833" s="86"/>
      <c r="AH833" s="37"/>
      <c r="AI833" s="52"/>
      <c r="AJ833" s="87"/>
      <c r="AL833" s="86"/>
      <c r="AM833" s="37"/>
      <c r="AN833" s="52"/>
      <c r="AO833" s="87"/>
      <c r="AQ833" s="86"/>
      <c r="AR833" s="37"/>
      <c r="AS833" s="52"/>
      <c r="AT833" s="87"/>
    </row>
    <row r="834" spans="2:46" thickBot="1">
      <c r="B834" s="113"/>
      <c r="C834" s="324"/>
      <c r="D834" s="346"/>
      <c r="E834" s="326"/>
      <c r="F834" s="321" t="str">
        <f t="shared" si="64"/>
        <v/>
      </c>
      <c r="G834" s="334"/>
      <c r="H834" s="331"/>
      <c r="I834" s="107"/>
      <c r="J834" s="108"/>
      <c r="K834" s="109"/>
      <c r="L834" s="108"/>
      <c r="O834" s="86"/>
      <c r="P834" s="57"/>
      <c r="Q834" s="37"/>
      <c r="R834" s="92" t="str">
        <f t="shared" si="65"/>
        <v/>
      </c>
      <c r="S834" s="52"/>
      <c r="T834" s="87"/>
      <c r="U834" s="86"/>
      <c r="V834" s="201"/>
      <c r="W834" s="37"/>
      <c r="X834" s="52"/>
      <c r="Y834" s="87"/>
      <c r="AA834" s="86"/>
      <c r="AB834" s="57"/>
      <c r="AC834" s="37"/>
      <c r="AD834" s="52"/>
      <c r="AE834" s="87"/>
      <c r="AG834" s="86"/>
      <c r="AH834" s="37"/>
      <c r="AI834" s="52"/>
      <c r="AJ834" s="87"/>
      <c r="AL834" s="86"/>
      <c r="AM834" s="37"/>
      <c r="AN834" s="52"/>
      <c r="AO834" s="87"/>
      <c r="AQ834" s="86"/>
      <c r="AR834" s="37"/>
      <c r="AS834" s="52"/>
      <c r="AT834" s="87"/>
    </row>
    <row r="835" spans="2:46" thickBot="1">
      <c r="B835" s="113"/>
      <c r="C835" s="324"/>
      <c r="D835" s="346"/>
      <c r="E835" s="326"/>
      <c r="F835" s="321" t="str">
        <f t="shared" si="64"/>
        <v/>
      </c>
      <c r="G835" s="334"/>
      <c r="H835" s="331"/>
      <c r="I835" s="107"/>
      <c r="J835" s="108"/>
      <c r="K835" s="109"/>
      <c r="L835" s="108"/>
      <c r="O835" s="86"/>
      <c r="P835" s="57"/>
      <c r="Q835" s="37"/>
      <c r="R835" s="92" t="str">
        <f t="shared" si="65"/>
        <v/>
      </c>
      <c r="S835" s="52"/>
      <c r="T835" s="87"/>
      <c r="U835" s="86"/>
      <c r="V835" s="201"/>
      <c r="W835" s="37"/>
      <c r="X835" s="52"/>
      <c r="Y835" s="87"/>
      <c r="AA835" s="86"/>
      <c r="AB835" s="57"/>
      <c r="AC835" s="37"/>
      <c r="AD835" s="52"/>
      <c r="AE835" s="87"/>
      <c r="AG835" s="86"/>
      <c r="AH835" s="37"/>
      <c r="AI835" s="52"/>
      <c r="AJ835" s="87"/>
      <c r="AL835" s="86"/>
      <c r="AM835" s="37"/>
      <c r="AN835" s="52"/>
      <c r="AO835" s="87"/>
      <c r="AQ835" s="86"/>
      <c r="AR835" s="37"/>
      <c r="AS835" s="52"/>
      <c r="AT835" s="87"/>
    </row>
    <row r="836" spans="2:46" thickBot="1">
      <c r="B836" s="113"/>
      <c r="C836" s="324"/>
      <c r="D836" s="346"/>
      <c r="E836" s="326"/>
      <c r="F836" s="321" t="str">
        <f t="shared" si="64"/>
        <v/>
      </c>
      <c r="G836" s="334"/>
      <c r="H836" s="331"/>
      <c r="I836" s="107"/>
      <c r="J836" s="108"/>
      <c r="K836" s="109"/>
      <c r="L836" s="108"/>
      <c r="O836" s="86"/>
      <c r="P836" s="57"/>
      <c r="Q836" s="37"/>
      <c r="R836" s="92" t="str">
        <f t="shared" si="65"/>
        <v/>
      </c>
      <c r="S836" s="52"/>
      <c r="T836" s="87"/>
      <c r="U836" s="86"/>
      <c r="V836" s="201"/>
      <c r="W836" s="37"/>
      <c r="X836" s="52"/>
      <c r="Y836" s="87"/>
      <c r="AA836" s="86"/>
      <c r="AB836" s="57"/>
      <c r="AC836" s="37"/>
      <c r="AD836" s="52"/>
      <c r="AE836" s="87"/>
      <c r="AG836" s="86"/>
      <c r="AH836" s="37"/>
      <c r="AI836" s="52"/>
      <c r="AJ836" s="87"/>
      <c r="AL836" s="86"/>
      <c r="AM836" s="37"/>
      <c r="AN836" s="52"/>
      <c r="AO836" s="87"/>
      <c r="AQ836" s="86"/>
      <c r="AR836" s="37"/>
      <c r="AS836" s="52"/>
      <c r="AT836" s="87"/>
    </row>
    <row r="837" spans="2:46" thickBot="1">
      <c r="B837" s="113"/>
      <c r="C837" s="324"/>
      <c r="D837" s="346"/>
      <c r="E837" s="326"/>
      <c r="F837" s="321" t="str">
        <f t="shared" si="64"/>
        <v/>
      </c>
      <c r="G837" s="334"/>
      <c r="H837" s="331"/>
      <c r="I837" s="107"/>
      <c r="J837" s="108"/>
      <c r="K837" s="109"/>
      <c r="L837" s="108"/>
      <c r="O837" s="86"/>
      <c r="P837" s="57"/>
      <c r="Q837" s="37"/>
      <c r="R837" s="92" t="str">
        <f t="shared" si="65"/>
        <v/>
      </c>
      <c r="S837" s="52"/>
      <c r="T837" s="87"/>
      <c r="U837" s="86"/>
      <c r="V837" s="201"/>
      <c r="W837" s="37"/>
      <c r="X837" s="52"/>
      <c r="Y837" s="87"/>
      <c r="AA837" s="86"/>
      <c r="AB837" s="57"/>
      <c r="AC837" s="37"/>
      <c r="AD837" s="52"/>
      <c r="AE837" s="87"/>
      <c r="AG837" s="86"/>
      <c r="AH837" s="37"/>
      <c r="AI837" s="52"/>
      <c r="AJ837" s="87"/>
      <c r="AL837" s="86"/>
      <c r="AM837" s="37"/>
      <c r="AN837" s="52"/>
      <c r="AO837" s="87"/>
      <c r="AQ837" s="86"/>
      <c r="AR837" s="37"/>
      <c r="AS837" s="52"/>
      <c r="AT837" s="87"/>
    </row>
    <row r="838" spans="2:46" thickBot="1">
      <c r="B838" s="113"/>
      <c r="C838" s="324"/>
      <c r="D838" s="346"/>
      <c r="E838" s="326"/>
      <c r="F838" s="321" t="str">
        <f t="shared" ref="F838:F901" si="66">IF(E838="","",ROUND(G838*(1+$F$2),2))</f>
        <v/>
      </c>
      <c r="G838" s="334"/>
      <c r="H838" s="331"/>
      <c r="I838" s="107"/>
      <c r="J838" s="108"/>
      <c r="K838" s="109"/>
      <c r="L838" s="108"/>
      <c r="O838" s="86"/>
      <c r="P838" s="57"/>
      <c r="Q838" s="37"/>
      <c r="R838" s="92" t="str">
        <f t="shared" si="65"/>
        <v/>
      </c>
      <c r="S838" s="52"/>
      <c r="T838" s="87"/>
      <c r="U838" s="86"/>
      <c r="V838" s="201"/>
      <c r="W838" s="37"/>
      <c r="X838" s="52"/>
      <c r="Y838" s="87"/>
      <c r="AA838" s="86"/>
      <c r="AB838" s="57"/>
      <c r="AC838" s="37"/>
      <c r="AD838" s="52"/>
      <c r="AE838" s="87"/>
      <c r="AG838" s="86"/>
      <c r="AH838" s="37"/>
      <c r="AI838" s="52"/>
      <c r="AJ838" s="87"/>
      <c r="AL838" s="86"/>
      <c r="AM838" s="37"/>
      <c r="AN838" s="52"/>
      <c r="AO838" s="87"/>
      <c r="AQ838" s="86"/>
      <c r="AR838" s="37"/>
      <c r="AS838" s="52"/>
      <c r="AT838" s="87"/>
    </row>
    <row r="839" spans="2:46" thickBot="1">
      <c r="B839" s="113"/>
      <c r="C839" s="324"/>
      <c r="D839" s="346"/>
      <c r="E839" s="326"/>
      <c r="F839" s="321" t="str">
        <f t="shared" si="66"/>
        <v/>
      </c>
      <c r="G839" s="334"/>
      <c r="H839" s="331"/>
      <c r="I839" s="107"/>
      <c r="J839" s="108"/>
      <c r="K839" s="109"/>
      <c r="L839" s="108"/>
      <c r="O839" s="86"/>
      <c r="P839" s="57"/>
      <c r="Q839" s="37"/>
      <c r="R839" s="92" t="str">
        <f t="shared" si="65"/>
        <v/>
      </c>
      <c r="S839" s="52"/>
      <c r="T839" s="87"/>
      <c r="U839" s="86"/>
      <c r="V839" s="201"/>
      <c r="W839" s="37"/>
      <c r="X839" s="52"/>
      <c r="Y839" s="87"/>
      <c r="AA839" s="86"/>
      <c r="AB839" s="57"/>
      <c r="AC839" s="37"/>
      <c r="AD839" s="52"/>
      <c r="AE839" s="87"/>
      <c r="AG839" s="86"/>
      <c r="AH839" s="37"/>
      <c r="AI839" s="52"/>
      <c r="AJ839" s="87"/>
      <c r="AL839" s="86"/>
      <c r="AM839" s="37"/>
      <c r="AN839" s="52"/>
      <c r="AO839" s="87"/>
      <c r="AQ839" s="86"/>
      <c r="AR839" s="37"/>
      <c r="AS839" s="52"/>
      <c r="AT839" s="87"/>
    </row>
    <row r="840" spans="2:46" thickBot="1">
      <c r="B840" s="113"/>
      <c r="C840" s="324"/>
      <c r="D840" s="346"/>
      <c r="E840" s="326"/>
      <c r="F840" s="321" t="str">
        <f t="shared" si="66"/>
        <v/>
      </c>
      <c r="G840" s="334"/>
      <c r="H840" s="331"/>
      <c r="I840" s="107"/>
      <c r="J840" s="108"/>
      <c r="K840" s="109"/>
      <c r="L840" s="108"/>
      <c r="O840" s="86"/>
      <c r="P840" s="57"/>
      <c r="Q840" s="37"/>
      <c r="R840" s="92" t="str">
        <f t="shared" si="65"/>
        <v/>
      </c>
      <c r="S840" s="52"/>
      <c r="T840" s="87"/>
      <c r="U840" s="86"/>
      <c r="V840" s="201"/>
      <c r="W840" s="37"/>
      <c r="X840" s="52"/>
      <c r="Y840" s="87"/>
      <c r="AA840" s="86"/>
      <c r="AB840" s="57"/>
      <c r="AC840" s="37"/>
      <c r="AD840" s="52"/>
      <c r="AE840" s="87"/>
      <c r="AG840" s="86"/>
      <c r="AH840" s="37"/>
      <c r="AI840" s="52"/>
      <c r="AJ840" s="87"/>
      <c r="AL840" s="86"/>
      <c r="AM840" s="37"/>
      <c r="AN840" s="52"/>
      <c r="AO840" s="87"/>
      <c r="AQ840" s="86"/>
      <c r="AR840" s="37"/>
      <c r="AS840" s="52"/>
      <c r="AT840" s="87"/>
    </row>
    <row r="841" spans="2:46" thickBot="1">
      <c r="B841" s="113"/>
      <c r="C841" s="324"/>
      <c r="D841" s="346"/>
      <c r="E841" s="326"/>
      <c r="F841" s="321" t="str">
        <f t="shared" si="66"/>
        <v/>
      </c>
      <c r="G841" s="334"/>
      <c r="H841" s="331"/>
      <c r="I841" s="107"/>
      <c r="J841" s="108"/>
      <c r="K841" s="109"/>
      <c r="L841" s="108"/>
      <c r="O841" s="86"/>
      <c r="P841" s="57"/>
      <c r="Q841" s="37"/>
      <c r="R841" s="92" t="str">
        <f t="shared" si="65"/>
        <v/>
      </c>
      <c r="S841" s="52"/>
      <c r="T841" s="87"/>
      <c r="U841" s="86"/>
      <c r="V841" s="201"/>
      <c r="W841" s="37"/>
      <c r="X841" s="52"/>
      <c r="Y841" s="87"/>
      <c r="AA841" s="86"/>
      <c r="AB841" s="57"/>
      <c r="AC841" s="37"/>
      <c r="AD841" s="52"/>
      <c r="AE841" s="87"/>
      <c r="AG841" s="86"/>
      <c r="AH841" s="37"/>
      <c r="AI841" s="52"/>
      <c r="AJ841" s="87"/>
      <c r="AL841" s="86"/>
      <c r="AM841" s="37"/>
      <c r="AN841" s="52"/>
      <c r="AO841" s="87"/>
      <c r="AQ841" s="86"/>
      <c r="AR841" s="37"/>
      <c r="AS841" s="52"/>
      <c r="AT841" s="87"/>
    </row>
    <row r="842" spans="2:46" thickBot="1">
      <c r="B842" s="113"/>
      <c r="C842" s="324"/>
      <c r="D842" s="346"/>
      <c r="E842" s="326"/>
      <c r="F842" s="321" t="str">
        <f t="shared" si="66"/>
        <v/>
      </c>
      <c r="G842" s="334"/>
      <c r="H842" s="331"/>
      <c r="I842" s="107"/>
      <c r="J842" s="108"/>
      <c r="K842" s="109"/>
      <c r="L842" s="108"/>
      <c r="O842" s="86"/>
      <c r="P842" s="57"/>
      <c r="Q842" s="37"/>
      <c r="R842" s="92" t="str">
        <f t="shared" si="65"/>
        <v/>
      </c>
      <c r="S842" s="52"/>
      <c r="T842" s="87"/>
      <c r="U842" s="86"/>
      <c r="V842" s="201"/>
      <c r="W842" s="37"/>
      <c r="X842" s="52"/>
      <c r="Y842" s="87"/>
      <c r="AA842" s="86"/>
      <c r="AB842" s="57"/>
      <c r="AC842" s="37"/>
      <c r="AD842" s="52"/>
      <c r="AE842" s="87"/>
      <c r="AG842" s="86"/>
      <c r="AH842" s="37"/>
      <c r="AI842" s="52"/>
      <c r="AJ842" s="87"/>
      <c r="AL842" s="86"/>
      <c r="AM842" s="37"/>
      <c r="AN842" s="52"/>
      <c r="AO842" s="87"/>
      <c r="AQ842" s="86"/>
      <c r="AR842" s="37"/>
      <c r="AS842" s="52"/>
      <c r="AT842" s="87"/>
    </row>
    <row r="843" spans="2:46" thickBot="1">
      <c r="B843" s="113"/>
      <c r="C843" s="324"/>
      <c r="D843" s="346"/>
      <c r="E843" s="326"/>
      <c r="F843" s="321" t="str">
        <f t="shared" si="66"/>
        <v/>
      </c>
      <c r="G843" s="334"/>
      <c r="H843" s="331"/>
      <c r="I843" s="107"/>
      <c r="J843" s="108"/>
      <c r="K843" s="109"/>
      <c r="L843" s="108"/>
      <c r="O843" s="86"/>
      <c r="P843" s="57"/>
      <c r="Q843" s="37"/>
      <c r="R843" s="92" t="str">
        <f t="shared" si="65"/>
        <v/>
      </c>
      <c r="S843" s="52"/>
      <c r="T843" s="87"/>
      <c r="U843" s="86"/>
      <c r="V843" s="201"/>
      <c r="W843" s="37"/>
      <c r="X843" s="52"/>
      <c r="Y843" s="87"/>
      <c r="AA843" s="86"/>
      <c r="AB843" s="57"/>
      <c r="AC843" s="37"/>
      <c r="AD843" s="52"/>
      <c r="AE843" s="87"/>
      <c r="AG843" s="86"/>
      <c r="AH843" s="37"/>
      <c r="AI843" s="52"/>
      <c r="AJ843" s="87"/>
      <c r="AL843" s="86"/>
      <c r="AM843" s="37"/>
      <c r="AN843" s="52"/>
      <c r="AO843" s="87"/>
      <c r="AQ843" s="86"/>
      <c r="AR843" s="37"/>
      <c r="AS843" s="52"/>
      <c r="AT843" s="87"/>
    </row>
    <row r="844" spans="2:46" thickBot="1">
      <c r="B844" s="113"/>
      <c r="C844" s="324"/>
      <c r="D844" s="346"/>
      <c r="E844" s="326"/>
      <c r="F844" s="321" t="str">
        <f t="shared" si="66"/>
        <v/>
      </c>
      <c r="G844" s="334"/>
      <c r="H844" s="331"/>
      <c r="I844" s="107"/>
      <c r="J844" s="108"/>
      <c r="K844" s="109"/>
      <c r="L844" s="108"/>
      <c r="O844" s="86"/>
      <c r="P844" s="57"/>
      <c r="Q844" s="37"/>
      <c r="R844" s="92" t="str">
        <f t="shared" si="65"/>
        <v/>
      </c>
      <c r="S844" s="52"/>
      <c r="T844" s="87"/>
      <c r="U844" s="86"/>
      <c r="V844" s="201"/>
      <c r="W844" s="37"/>
      <c r="X844" s="52"/>
      <c r="Y844" s="87"/>
      <c r="AA844" s="86"/>
      <c r="AB844" s="57"/>
      <c r="AC844" s="37"/>
      <c r="AD844" s="52"/>
      <c r="AE844" s="87"/>
      <c r="AG844" s="86"/>
      <c r="AH844" s="37"/>
      <c r="AI844" s="52"/>
      <c r="AJ844" s="87"/>
      <c r="AL844" s="86"/>
      <c r="AM844" s="37"/>
      <c r="AN844" s="52"/>
      <c r="AO844" s="87"/>
      <c r="AQ844" s="86"/>
      <c r="AR844" s="37"/>
      <c r="AS844" s="52"/>
      <c r="AT844" s="87"/>
    </row>
    <row r="845" spans="2:46" thickBot="1">
      <c r="B845" s="113"/>
      <c r="C845" s="324"/>
      <c r="D845" s="346"/>
      <c r="E845" s="326"/>
      <c r="F845" s="321" t="str">
        <f t="shared" si="66"/>
        <v/>
      </c>
      <c r="G845" s="334"/>
      <c r="H845" s="331"/>
      <c r="I845" s="107"/>
      <c r="J845" s="108"/>
      <c r="K845" s="109"/>
      <c r="L845" s="108"/>
      <c r="O845" s="86"/>
      <c r="P845" s="57"/>
      <c r="Q845" s="37"/>
      <c r="R845" s="92" t="str">
        <f t="shared" si="65"/>
        <v/>
      </c>
      <c r="S845" s="52"/>
      <c r="T845" s="87"/>
      <c r="U845" s="86"/>
      <c r="V845" s="201"/>
      <c r="W845" s="37"/>
      <c r="X845" s="52"/>
      <c r="Y845" s="87"/>
      <c r="AA845" s="86"/>
      <c r="AB845" s="57"/>
      <c r="AC845" s="37"/>
      <c r="AD845" s="52"/>
      <c r="AE845" s="87"/>
      <c r="AG845" s="86"/>
      <c r="AH845" s="37"/>
      <c r="AI845" s="52"/>
      <c r="AJ845" s="87"/>
      <c r="AL845" s="86"/>
      <c r="AM845" s="37"/>
      <c r="AN845" s="52"/>
      <c r="AO845" s="87"/>
      <c r="AQ845" s="86"/>
      <c r="AR845" s="37"/>
      <c r="AS845" s="52"/>
      <c r="AT845" s="87"/>
    </row>
    <row r="846" spans="2:46" thickBot="1">
      <c r="B846" s="113"/>
      <c r="C846" s="324"/>
      <c r="D846" s="346"/>
      <c r="E846" s="326"/>
      <c r="F846" s="321" t="str">
        <f t="shared" si="66"/>
        <v/>
      </c>
      <c r="G846" s="334"/>
      <c r="H846" s="331"/>
      <c r="I846" s="107"/>
      <c r="J846" s="108"/>
      <c r="K846" s="109"/>
      <c r="L846" s="108"/>
      <c r="O846" s="86"/>
      <c r="P846" s="57"/>
      <c r="Q846" s="37"/>
      <c r="R846" s="92" t="str">
        <f t="shared" si="65"/>
        <v/>
      </c>
      <c r="S846" s="52"/>
      <c r="T846" s="87"/>
      <c r="U846" s="86"/>
      <c r="V846" s="201"/>
      <c r="W846" s="37"/>
      <c r="X846" s="52"/>
      <c r="Y846" s="87"/>
      <c r="AA846" s="86"/>
      <c r="AB846" s="57"/>
      <c r="AC846" s="37"/>
      <c r="AD846" s="52"/>
      <c r="AE846" s="87"/>
      <c r="AG846" s="86"/>
      <c r="AH846" s="37"/>
      <c r="AI846" s="52"/>
      <c r="AJ846" s="87"/>
      <c r="AL846" s="86"/>
      <c r="AM846" s="37"/>
      <c r="AN846" s="52"/>
      <c r="AO846" s="87"/>
      <c r="AQ846" s="86"/>
      <c r="AR846" s="37"/>
      <c r="AS846" s="52"/>
      <c r="AT846" s="87"/>
    </row>
    <row r="847" spans="2:46" thickBot="1">
      <c r="B847" s="113"/>
      <c r="C847" s="324"/>
      <c r="D847" s="346"/>
      <c r="E847" s="326"/>
      <c r="F847" s="321" t="str">
        <f t="shared" si="66"/>
        <v/>
      </c>
      <c r="G847" s="334"/>
      <c r="H847" s="331"/>
      <c r="I847" s="107"/>
      <c r="J847" s="108"/>
      <c r="K847" s="109"/>
      <c r="L847" s="108"/>
      <c r="O847" s="86"/>
      <c r="P847" s="57"/>
      <c r="Q847" s="37"/>
      <c r="R847" s="92" t="str">
        <f t="shared" si="65"/>
        <v/>
      </c>
      <c r="S847" s="52"/>
      <c r="T847" s="87"/>
      <c r="U847" s="86"/>
      <c r="V847" s="201"/>
      <c r="W847" s="37"/>
      <c r="X847" s="52"/>
      <c r="Y847" s="87"/>
      <c r="AA847" s="86"/>
      <c r="AB847" s="57"/>
      <c r="AC847" s="37"/>
      <c r="AD847" s="52"/>
      <c r="AE847" s="87"/>
      <c r="AG847" s="86"/>
      <c r="AH847" s="37"/>
      <c r="AI847" s="52"/>
      <c r="AJ847" s="87"/>
      <c r="AL847" s="86"/>
      <c r="AM847" s="37"/>
      <c r="AN847" s="52"/>
      <c r="AO847" s="87"/>
      <c r="AQ847" s="86"/>
      <c r="AR847" s="37"/>
      <c r="AS847" s="52"/>
      <c r="AT847" s="87"/>
    </row>
    <row r="848" spans="2:46" thickBot="1">
      <c r="B848" s="113"/>
      <c r="C848" s="324"/>
      <c r="D848" s="346"/>
      <c r="E848" s="326"/>
      <c r="F848" s="321" t="str">
        <f t="shared" si="66"/>
        <v/>
      </c>
      <c r="G848" s="334"/>
      <c r="H848" s="331"/>
      <c r="I848" s="107"/>
      <c r="J848" s="108"/>
      <c r="K848" s="109"/>
      <c r="L848" s="108"/>
      <c r="O848" s="86"/>
      <c r="P848" s="57"/>
      <c r="Q848" s="37"/>
      <c r="R848" s="92" t="str">
        <f t="shared" si="65"/>
        <v/>
      </c>
      <c r="S848" s="52"/>
      <c r="T848" s="87"/>
      <c r="U848" s="86"/>
      <c r="V848" s="201"/>
      <c r="W848" s="37"/>
      <c r="X848" s="52"/>
      <c r="Y848" s="87"/>
      <c r="AA848" s="86"/>
      <c r="AB848" s="57"/>
      <c r="AC848" s="37"/>
      <c r="AD848" s="52"/>
      <c r="AE848" s="87"/>
      <c r="AG848" s="86"/>
      <c r="AH848" s="37"/>
      <c r="AI848" s="52"/>
      <c r="AJ848" s="87"/>
      <c r="AL848" s="86"/>
      <c r="AM848" s="37"/>
      <c r="AN848" s="52"/>
      <c r="AO848" s="87"/>
      <c r="AQ848" s="86"/>
      <c r="AR848" s="37"/>
      <c r="AS848" s="52"/>
      <c r="AT848" s="87"/>
    </row>
    <row r="849" spans="2:46" thickBot="1">
      <c r="B849" s="113"/>
      <c r="C849" s="324"/>
      <c r="D849" s="346"/>
      <c r="E849" s="326"/>
      <c r="F849" s="321" t="str">
        <f t="shared" si="66"/>
        <v/>
      </c>
      <c r="G849" s="334"/>
      <c r="H849" s="331"/>
      <c r="I849" s="107"/>
      <c r="J849" s="108"/>
      <c r="K849" s="109"/>
      <c r="L849" s="108"/>
      <c r="O849" s="86"/>
      <c r="P849" s="57"/>
      <c r="Q849" s="37"/>
      <c r="R849" s="92" t="str">
        <f t="shared" si="65"/>
        <v/>
      </c>
      <c r="S849" s="52"/>
      <c r="T849" s="87"/>
      <c r="U849" s="86"/>
      <c r="V849" s="201"/>
      <c r="W849" s="37"/>
      <c r="X849" s="52"/>
      <c r="Y849" s="87"/>
      <c r="AA849" s="86"/>
      <c r="AB849" s="57"/>
      <c r="AC849" s="37"/>
      <c r="AD849" s="52"/>
      <c r="AE849" s="87"/>
      <c r="AG849" s="86"/>
      <c r="AH849" s="37"/>
      <c r="AI849" s="52"/>
      <c r="AJ849" s="87"/>
      <c r="AL849" s="86"/>
      <c r="AM849" s="37"/>
      <c r="AN849" s="52"/>
      <c r="AO849" s="87"/>
      <c r="AQ849" s="86"/>
      <c r="AR849" s="37"/>
      <c r="AS849" s="52"/>
      <c r="AT849" s="87"/>
    </row>
    <row r="850" spans="2:46" thickBot="1">
      <c r="B850" s="113"/>
      <c r="C850" s="324"/>
      <c r="D850" s="346"/>
      <c r="E850" s="326"/>
      <c r="F850" s="321" t="str">
        <f t="shared" si="66"/>
        <v/>
      </c>
      <c r="G850" s="334"/>
      <c r="H850" s="331"/>
      <c r="I850" s="107"/>
      <c r="J850" s="108"/>
      <c r="K850" s="109"/>
      <c r="L850" s="108"/>
      <c r="O850" s="86"/>
      <c r="P850" s="57"/>
      <c r="Q850" s="37"/>
      <c r="R850" s="92" t="str">
        <f t="shared" si="65"/>
        <v/>
      </c>
      <c r="S850" s="52"/>
      <c r="T850" s="87"/>
      <c r="U850" s="86"/>
      <c r="V850" s="201"/>
      <c r="W850" s="37"/>
      <c r="X850" s="52"/>
      <c r="Y850" s="87"/>
      <c r="AA850" s="86"/>
      <c r="AB850" s="57"/>
      <c r="AC850" s="37"/>
      <c r="AD850" s="52"/>
      <c r="AE850" s="87"/>
      <c r="AG850" s="86"/>
      <c r="AH850" s="37"/>
      <c r="AI850" s="52"/>
      <c r="AJ850" s="87"/>
      <c r="AL850" s="86"/>
      <c r="AM850" s="37"/>
      <c r="AN850" s="52"/>
      <c r="AO850" s="87"/>
      <c r="AQ850" s="86"/>
      <c r="AR850" s="37"/>
      <c r="AS850" s="52"/>
      <c r="AT850" s="87"/>
    </row>
    <row r="851" spans="2:46" thickBot="1">
      <c r="B851" s="113"/>
      <c r="C851" s="324"/>
      <c r="D851" s="346"/>
      <c r="E851" s="326"/>
      <c r="F851" s="321" t="str">
        <f t="shared" si="66"/>
        <v/>
      </c>
      <c r="G851" s="334"/>
      <c r="H851" s="331"/>
      <c r="I851" s="107"/>
      <c r="J851" s="108"/>
      <c r="K851" s="109"/>
      <c r="L851" s="108"/>
      <c r="O851" s="86"/>
      <c r="P851" s="57"/>
      <c r="Q851" s="37"/>
      <c r="R851" s="92" t="str">
        <f t="shared" si="65"/>
        <v/>
      </c>
      <c r="S851" s="52"/>
      <c r="T851" s="87"/>
      <c r="U851" s="86"/>
      <c r="V851" s="201"/>
      <c r="W851" s="37"/>
      <c r="X851" s="52"/>
      <c r="Y851" s="87"/>
      <c r="AA851" s="86"/>
      <c r="AB851" s="57"/>
      <c r="AC851" s="37"/>
      <c r="AD851" s="52"/>
      <c r="AE851" s="87"/>
      <c r="AG851" s="86"/>
      <c r="AH851" s="37"/>
      <c r="AI851" s="52"/>
      <c r="AJ851" s="87"/>
      <c r="AL851" s="86"/>
      <c r="AM851" s="37"/>
      <c r="AN851" s="52"/>
      <c r="AO851" s="87"/>
      <c r="AQ851" s="86"/>
      <c r="AR851" s="37"/>
      <c r="AS851" s="52"/>
      <c r="AT851" s="87"/>
    </row>
    <row r="852" spans="2:46" thickBot="1">
      <c r="B852" s="113"/>
      <c r="C852" s="324"/>
      <c r="D852" s="346"/>
      <c r="E852" s="326"/>
      <c r="F852" s="321" t="str">
        <f t="shared" si="66"/>
        <v/>
      </c>
      <c r="G852" s="334"/>
      <c r="H852" s="331"/>
      <c r="I852" s="107"/>
      <c r="J852" s="108"/>
      <c r="K852" s="109"/>
      <c r="L852" s="108"/>
      <c r="O852" s="86"/>
      <c r="P852" s="57"/>
      <c r="Q852" s="37"/>
      <c r="R852" s="92" t="str">
        <f t="shared" si="65"/>
        <v/>
      </c>
      <c r="S852" s="52"/>
      <c r="T852" s="87"/>
      <c r="U852" s="86"/>
      <c r="V852" s="201"/>
      <c r="W852" s="37"/>
      <c r="X852" s="52"/>
      <c r="Y852" s="87"/>
      <c r="AA852" s="86"/>
      <c r="AB852" s="57"/>
      <c r="AC852" s="37"/>
      <c r="AD852" s="52"/>
      <c r="AE852" s="87"/>
      <c r="AG852" s="86"/>
      <c r="AH852" s="37"/>
      <c r="AI852" s="52"/>
      <c r="AJ852" s="87"/>
      <c r="AL852" s="86"/>
      <c r="AM852" s="37"/>
      <c r="AN852" s="52"/>
      <c r="AO852" s="87"/>
      <c r="AQ852" s="86"/>
      <c r="AR852" s="37"/>
      <c r="AS852" s="52"/>
      <c r="AT852" s="87"/>
    </row>
    <row r="853" spans="2:46" thickBot="1">
      <c r="B853" s="113"/>
      <c r="C853" s="324"/>
      <c r="D853" s="346"/>
      <c r="E853" s="326"/>
      <c r="F853" s="321" t="str">
        <f t="shared" si="66"/>
        <v/>
      </c>
      <c r="G853" s="334"/>
      <c r="H853" s="331"/>
      <c r="I853" s="107"/>
      <c r="J853" s="108"/>
      <c r="K853" s="109"/>
      <c r="L853" s="108"/>
      <c r="O853" s="86"/>
      <c r="P853" s="57"/>
      <c r="Q853" s="37"/>
      <c r="R853" s="92" t="str">
        <f t="shared" si="65"/>
        <v/>
      </c>
      <c r="S853" s="52"/>
      <c r="T853" s="87"/>
      <c r="U853" s="86"/>
      <c r="V853" s="201"/>
      <c r="W853" s="37"/>
      <c r="X853" s="52"/>
      <c r="Y853" s="87"/>
      <c r="AA853" s="86"/>
      <c r="AB853" s="57"/>
      <c r="AC853" s="37"/>
      <c r="AD853" s="52"/>
      <c r="AE853" s="87"/>
      <c r="AG853" s="86"/>
      <c r="AH853" s="37"/>
      <c r="AI853" s="52"/>
      <c r="AJ853" s="87"/>
      <c r="AL853" s="86"/>
      <c r="AM853" s="37"/>
      <c r="AN853" s="52"/>
      <c r="AO853" s="87"/>
      <c r="AQ853" s="86"/>
      <c r="AR853" s="37"/>
      <c r="AS853" s="52"/>
      <c r="AT853" s="87"/>
    </row>
    <row r="854" spans="2:46" thickBot="1">
      <c r="B854" s="113"/>
      <c r="C854" s="324"/>
      <c r="D854" s="346"/>
      <c r="E854" s="326"/>
      <c r="F854" s="321" t="str">
        <f t="shared" si="66"/>
        <v/>
      </c>
      <c r="G854" s="334"/>
      <c r="H854" s="331"/>
      <c r="I854" s="107"/>
      <c r="J854" s="108"/>
      <c r="K854" s="109"/>
      <c r="L854" s="108"/>
      <c r="O854" s="86"/>
      <c r="P854" s="57"/>
      <c r="Q854" s="37"/>
      <c r="R854" s="92" t="str">
        <f t="shared" si="65"/>
        <v/>
      </c>
      <c r="S854" s="52"/>
      <c r="T854" s="87"/>
      <c r="U854" s="86"/>
      <c r="V854" s="201"/>
      <c r="W854" s="37"/>
      <c r="X854" s="52"/>
      <c r="Y854" s="87"/>
      <c r="AA854" s="86"/>
      <c r="AB854" s="57"/>
      <c r="AC854" s="37"/>
      <c r="AD854" s="52"/>
      <c r="AE854" s="87"/>
      <c r="AG854" s="86"/>
      <c r="AH854" s="37"/>
      <c r="AI854" s="52"/>
      <c r="AJ854" s="87"/>
      <c r="AL854" s="86"/>
      <c r="AM854" s="37"/>
      <c r="AN854" s="52"/>
      <c r="AO854" s="87"/>
      <c r="AQ854" s="86"/>
      <c r="AR854" s="37"/>
      <c r="AS854" s="52"/>
      <c r="AT854" s="87"/>
    </row>
    <row r="855" spans="2:46" thickBot="1">
      <c r="B855" s="113"/>
      <c r="C855" s="324"/>
      <c r="D855" s="346"/>
      <c r="E855" s="326"/>
      <c r="F855" s="321" t="str">
        <f t="shared" si="66"/>
        <v/>
      </c>
      <c r="G855" s="334"/>
      <c r="H855" s="331"/>
      <c r="I855" s="107"/>
      <c r="J855" s="108"/>
      <c r="K855" s="109"/>
      <c r="L855" s="108"/>
      <c r="O855" s="86"/>
      <c r="P855" s="57"/>
      <c r="Q855" s="37"/>
      <c r="R855" s="92" t="str">
        <f t="shared" si="65"/>
        <v/>
      </c>
      <c r="S855" s="52"/>
      <c r="T855" s="87"/>
      <c r="U855" s="86"/>
      <c r="V855" s="201"/>
      <c r="W855" s="37"/>
      <c r="X855" s="52"/>
      <c r="Y855" s="87"/>
      <c r="AA855" s="86"/>
      <c r="AB855" s="57"/>
      <c r="AC855" s="37"/>
      <c r="AD855" s="52"/>
      <c r="AE855" s="87"/>
      <c r="AG855" s="86"/>
      <c r="AH855" s="37"/>
      <c r="AI855" s="52"/>
      <c r="AJ855" s="87"/>
      <c r="AL855" s="86"/>
      <c r="AM855" s="37"/>
      <c r="AN855" s="52"/>
      <c r="AO855" s="87"/>
      <c r="AQ855" s="86"/>
      <c r="AR855" s="37"/>
      <c r="AS855" s="52"/>
      <c r="AT855" s="87"/>
    </row>
    <row r="856" spans="2:46" thickBot="1">
      <c r="B856" s="113"/>
      <c r="C856" s="324"/>
      <c r="D856" s="346"/>
      <c r="E856" s="326"/>
      <c r="F856" s="321" t="str">
        <f t="shared" si="66"/>
        <v/>
      </c>
      <c r="G856" s="334"/>
      <c r="H856" s="331"/>
      <c r="I856" s="107"/>
      <c r="J856" s="108"/>
      <c r="K856" s="109"/>
      <c r="L856" s="108"/>
      <c r="O856" s="86"/>
      <c r="P856" s="57"/>
      <c r="Q856" s="37"/>
      <c r="R856" s="92" t="str">
        <f t="shared" si="65"/>
        <v/>
      </c>
      <c r="S856" s="52"/>
      <c r="T856" s="87"/>
      <c r="U856" s="86"/>
      <c r="V856" s="201"/>
      <c r="W856" s="37"/>
      <c r="X856" s="52"/>
      <c r="Y856" s="87"/>
      <c r="AA856" s="86"/>
      <c r="AB856" s="57"/>
      <c r="AC856" s="37"/>
      <c r="AD856" s="52"/>
      <c r="AE856" s="87"/>
      <c r="AG856" s="86"/>
      <c r="AH856" s="37"/>
      <c r="AI856" s="52"/>
      <c r="AJ856" s="87"/>
      <c r="AL856" s="86"/>
      <c r="AM856" s="37"/>
      <c r="AN856" s="52"/>
      <c r="AO856" s="87"/>
      <c r="AQ856" s="86"/>
      <c r="AR856" s="37"/>
      <c r="AS856" s="52"/>
      <c r="AT856" s="87"/>
    </row>
    <row r="857" spans="2:46" thickBot="1">
      <c r="B857" s="113"/>
      <c r="C857" s="324"/>
      <c r="D857" s="346"/>
      <c r="E857" s="326"/>
      <c r="F857" s="321" t="str">
        <f t="shared" si="66"/>
        <v/>
      </c>
      <c r="G857" s="334"/>
      <c r="H857" s="331"/>
      <c r="I857" s="107"/>
      <c r="J857" s="108"/>
      <c r="K857" s="109"/>
      <c r="L857" s="108"/>
      <c r="O857" s="86"/>
      <c r="P857" s="57"/>
      <c r="Q857" s="37"/>
      <c r="R857" s="92" t="str">
        <f t="shared" si="65"/>
        <v/>
      </c>
      <c r="S857" s="52"/>
      <c r="T857" s="87"/>
      <c r="U857" s="86"/>
      <c r="V857" s="201"/>
      <c r="W857" s="37"/>
      <c r="X857" s="52"/>
      <c r="Y857" s="87"/>
      <c r="AA857" s="86"/>
      <c r="AB857" s="57"/>
      <c r="AC857" s="37"/>
      <c r="AD857" s="52"/>
      <c r="AE857" s="87"/>
      <c r="AG857" s="86"/>
      <c r="AH857" s="37"/>
      <c r="AI857" s="52"/>
      <c r="AJ857" s="87"/>
      <c r="AL857" s="86"/>
      <c r="AM857" s="37"/>
      <c r="AN857" s="52"/>
      <c r="AO857" s="87"/>
      <c r="AQ857" s="86"/>
      <c r="AR857" s="37"/>
      <c r="AS857" s="52"/>
      <c r="AT857" s="87"/>
    </row>
    <row r="858" spans="2:46" thickBot="1">
      <c r="B858" s="113"/>
      <c r="C858" s="324"/>
      <c r="D858" s="346"/>
      <c r="E858" s="326"/>
      <c r="F858" s="321" t="str">
        <f t="shared" si="66"/>
        <v/>
      </c>
      <c r="G858" s="334"/>
      <c r="H858" s="331"/>
      <c r="I858" s="107"/>
      <c r="J858" s="108"/>
      <c r="K858" s="109"/>
      <c r="L858" s="108"/>
      <c r="O858" s="86"/>
      <c r="P858" s="57"/>
      <c r="Q858" s="37"/>
      <c r="R858" s="92" t="str">
        <f t="shared" si="65"/>
        <v/>
      </c>
      <c r="S858" s="52"/>
      <c r="T858" s="87"/>
      <c r="U858" s="86"/>
      <c r="V858" s="201"/>
      <c r="W858" s="37"/>
      <c r="X858" s="52"/>
      <c r="Y858" s="87"/>
      <c r="AA858" s="86"/>
      <c r="AB858" s="57"/>
      <c r="AC858" s="37"/>
      <c r="AD858" s="52"/>
      <c r="AE858" s="87"/>
      <c r="AG858" s="86"/>
      <c r="AH858" s="37"/>
      <c r="AI858" s="52"/>
      <c r="AJ858" s="87"/>
      <c r="AL858" s="86"/>
      <c r="AM858" s="37"/>
      <c r="AN858" s="52"/>
      <c r="AO858" s="87"/>
      <c r="AQ858" s="86"/>
      <c r="AR858" s="37"/>
      <c r="AS858" s="52"/>
      <c r="AT858" s="87"/>
    </row>
    <row r="859" spans="2:46" thickBot="1">
      <c r="B859" s="113"/>
      <c r="C859" s="324"/>
      <c r="D859" s="346"/>
      <c r="E859" s="326"/>
      <c r="F859" s="321" t="str">
        <f t="shared" si="66"/>
        <v/>
      </c>
      <c r="G859" s="334"/>
      <c r="H859" s="331"/>
      <c r="I859" s="107"/>
      <c r="J859" s="108"/>
      <c r="K859" s="109"/>
      <c r="L859" s="108"/>
      <c r="O859" s="86"/>
      <c r="P859" s="57"/>
      <c r="Q859" s="37"/>
      <c r="R859" s="92" t="str">
        <f t="shared" si="65"/>
        <v/>
      </c>
      <c r="S859" s="52"/>
      <c r="T859" s="87"/>
      <c r="U859" s="86"/>
      <c r="V859" s="201"/>
      <c r="W859" s="37"/>
      <c r="X859" s="52"/>
      <c r="Y859" s="87"/>
      <c r="AA859" s="86"/>
      <c r="AB859" s="57"/>
      <c r="AC859" s="37"/>
      <c r="AD859" s="52"/>
      <c r="AE859" s="87"/>
      <c r="AG859" s="86"/>
      <c r="AH859" s="37"/>
      <c r="AI859" s="52"/>
      <c r="AJ859" s="87"/>
      <c r="AL859" s="86"/>
      <c r="AM859" s="37"/>
      <c r="AN859" s="52"/>
      <c r="AO859" s="87"/>
      <c r="AQ859" s="86"/>
      <c r="AR859" s="37"/>
      <c r="AS859" s="52"/>
      <c r="AT859" s="87"/>
    </row>
    <row r="860" spans="2:46" thickBot="1">
      <c r="B860" s="113"/>
      <c r="C860" s="324"/>
      <c r="D860" s="346"/>
      <c r="E860" s="326"/>
      <c r="F860" s="321" t="str">
        <f t="shared" si="66"/>
        <v/>
      </c>
      <c r="G860" s="334"/>
      <c r="H860" s="331"/>
      <c r="I860" s="107"/>
      <c r="J860" s="108"/>
      <c r="K860" s="109"/>
      <c r="L860" s="108"/>
      <c r="O860" s="86"/>
      <c r="P860" s="57"/>
      <c r="Q860" s="37"/>
      <c r="R860" s="92" t="str">
        <f t="shared" si="65"/>
        <v/>
      </c>
      <c r="S860" s="52"/>
      <c r="T860" s="87"/>
      <c r="U860" s="86"/>
      <c r="V860" s="201"/>
      <c r="W860" s="37"/>
      <c r="X860" s="52"/>
      <c r="Y860" s="87"/>
      <c r="AA860" s="86"/>
      <c r="AB860" s="57"/>
      <c r="AC860" s="37"/>
      <c r="AD860" s="52"/>
      <c r="AE860" s="87"/>
      <c r="AG860" s="86"/>
      <c r="AH860" s="37"/>
      <c r="AI860" s="52"/>
      <c r="AJ860" s="87"/>
      <c r="AL860" s="86"/>
      <c r="AM860" s="37"/>
      <c r="AN860" s="52"/>
      <c r="AO860" s="87"/>
      <c r="AQ860" s="86"/>
      <c r="AR860" s="37"/>
      <c r="AS860" s="52"/>
      <c r="AT860" s="87"/>
    </row>
    <row r="861" spans="2:46" thickBot="1">
      <c r="B861" s="113"/>
      <c r="C861" s="324"/>
      <c r="D861" s="346"/>
      <c r="E861" s="326"/>
      <c r="F861" s="321" t="str">
        <f t="shared" si="66"/>
        <v/>
      </c>
      <c r="G861" s="334"/>
      <c r="H861" s="331"/>
      <c r="I861" s="107"/>
      <c r="J861" s="108"/>
      <c r="K861" s="109"/>
      <c r="L861" s="108"/>
      <c r="O861" s="86"/>
      <c r="P861" s="57"/>
      <c r="Q861" s="37"/>
      <c r="R861" s="92" t="str">
        <f t="shared" si="65"/>
        <v/>
      </c>
      <c r="S861" s="52"/>
      <c r="T861" s="87"/>
      <c r="U861" s="86"/>
      <c r="V861" s="201"/>
      <c r="W861" s="37"/>
      <c r="X861" s="52"/>
      <c r="Y861" s="87"/>
      <c r="AA861" s="86"/>
      <c r="AB861" s="57"/>
      <c r="AC861" s="37"/>
      <c r="AD861" s="52"/>
      <c r="AE861" s="87"/>
      <c r="AG861" s="86"/>
      <c r="AH861" s="37"/>
      <c r="AI861" s="52"/>
      <c r="AJ861" s="87"/>
      <c r="AL861" s="86"/>
      <c r="AM861" s="37"/>
      <c r="AN861" s="52"/>
      <c r="AO861" s="87"/>
      <c r="AQ861" s="86"/>
      <c r="AR861" s="37"/>
      <c r="AS861" s="52"/>
      <c r="AT861" s="87"/>
    </row>
    <row r="862" spans="2:46" thickBot="1">
      <c r="B862" s="113"/>
      <c r="C862" s="324"/>
      <c r="D862" s="346"/>
      <c r="E862" s="326"/>
      <c r="F862" s="321" t="str">
        <f t="shared" si="66"/>
        <v/>
      </c>
      <c r="G862" s="334"/>
      <c r="H862" s="331"/>
      <c r="I862" s="107"/>
      <c r="J862" s="108"/>
      <c r="K862" s="109"/>
      <c r="L862" s="108"/>
      <c r="O862" s="86"/>
      <c r="P862" s="57"/>
      <c r="Q862" s="37"/>
      <c r="R862" s="92" t="str">
        <f t="shared" si="65"/>
        <v/>
      </c>
      <c r="S862" s="52"/>
      <c r="T862" s="87"/>
      <c r="U862" s="86"/>
      <c r="V862" s="201"/>
      <c r="W862" s="37"/>
      <c r="X862" s="52"/>
      <c r="Y862" s="87"/>
      <c r="AA862" s="86"/>
      <c r="AB862" s="57"/>
      <c r="AC862" s="37"/>
      <c r="AD862" s="52"/>
      <c r="AE862" s="87"/>
      <c r="AG862" s="86"/>
      <c r="AH862" s="37"/>
      <c r="AI862" s="52"/>
      <c r="AJ862" s="87"/>
      <c r="AL862" s="86"/>
      <c r="AM862" s="37"/>
      <c r="AN862" s="52"/>
      <c r="AO862" s="87"/>
      <c r="AQ862" s="86"/>
      <c r="AR862" s="37"/>
      <c r="AS862" s="52"/>
      <c r="AT862" s="87"/>
    </row>
    <row r="863" spans="2:46" thickBot="1">
      <c r="B863" s="113"/>
      <c r="C863" s="324"/>
      <c r="D863" s="346"/>
      <c r="E863" s="326"/>
      <c r="F863" s="321" t="str">
        <f t="shared" si="66"/>
        <v/>
      </c>
      <c r="G863" s="334"/>
      <c r="H863" s="331"/>
      <c r="I863" s="107"/>
      <c r="J863" s="108"/>
      <c r="K863" s="109"/>
      <c r="L863" s="108"/>
      <c r="O863" s="86"/>
      <c r="P863" s="57"/>
      <c r="Q863" s="37"/>
      <c r="R863" s="92" t="str">
        <f t="shared" si="65"/>
        <v/>
      </c>
      <c r="S863" s="52"/>
      <c r="T863" s="87"/>
      <c r="U863" s="86"/>
      <c r="V863" s="201"/>
      <c r="W863" s="37"/>
      <c r="X863" s="52"/>
      <c r="Y863" s="87"/>
      <c r="AA863" s="86"/>
      <c r="AB863" s="57"/>
      <c r="AC863" s="37"/>
      <c r="AD863" s="52"/>
      <c r="AE863" s="87"/>
      <c r="AG863" s="86"/>
      <c r="AH863" s="37"/>
      <c r="AI863" s="52"/>
      <c r="AJ863" s="87"/>
      <c r="AL863" s="86"/>
      <c r="AM863" s="37"/>
      <c r="AN863" s="52"/>
      <c r="AO863" s="87"/>
      <c r="AQ863" s="86"/>
      <c r="AR863" s="37"/>
      <c r="AS863" s="52"/>
      <c r="AT863" s="87"/>
    </row>
    <row r="864" spans="2:46" thickBot="1">
      <c r="B864" s="113"/>
      <c r="C864" s="324"/>
      <c r="D864" s="346"/>
      <c r="E864" s="326"/>
      <c r="F864" s="321" t="str">
        <f t="shared" si="66"/>
        <v/>
      </c>
      <c r="G864" s="334"/>
      <c r="H864" s="331"/>
      <c r="I864" s="107"/>
      <c r="J864" s="108"/>
      <c r="K864" s="109"/>
      <c r="L864" s="108"/>
      <c r="O864" s="86"/>
      <c r="P864" s="57"/>
      <c r="Q864" s="37"/>
      <c r="R864" s="92" t="str">
        <f t="shared" si="65"/>
        <v/>
      </c>
      <c r="S864" s="52"/>
      <c r="T864" s="87"/>
      <c r="U864" s="86"/>
      <c r="V864" s="201"/>
      <c r="W864" s="37"/>
      <c r="X864" s="52"/>
      <c r="Y864" s="87"/>
      <c r="AA864" s="86"/>
      <c r="AB864" s="57"/>
      <c r="AC864" s="37"/>
      <c r="AD864" s="52"/>
      <c r="AE864" s="87"/>
      <c r="AG864" s="86"/>
      <c r="AH864" s="37"/>
      <c r="AI864" s="52"/>
      <c r="AJ864" s="87"/>
      <c r="AL864" s="86"/>
      <c r="AM864" s="37"/>
      <c r="AN864" s="52"/>
      <c r="AO864" s="87"/>
      <c r="AQ864" s="86"/>
      <c r="AR864" s="37"/>
      <c r="AS864" s="52"/>
      <c r="AT864" s="87"/>
    </row>
    <row r="865" spans="2:46" thickBot="1">
      <c r="B865" s="113"/>
      <c r="C865" s="324"/>
      <c r="D865" s="346"/>
      <c r="E865" s="326"/>
      <c r="F865" s="321" t="str">
        <f t="shared" si="66"/>
        <v/>
      </c>
      <c r="G865" s="334"/>
      <c r="H865" s="331"/>
      <c r="I865" s="107"/>
      <c r="J865" s="108"/>
      <c r="K865" s="109"/>
      <c r="L865" s="108"/>
      <c r="O865" s="86"/>
      <c r="P865" s="57"/>
      <c r="Q865" s="37"/>
      <c r="R865" s="92" t="str">
        <f t="shared" si="65"/>
        <v/>
      </c>
      <c r="S865" s="52"/>
      <c r="T865" s="87"/>
      <c r="U865" s="86"/>
      <c r="V865" s="201"/>
      <c r="W865" s="37"/>
      <c r="X865" s="52"/>
      <c r="Y865" s="87"/>
      <c r="AA865" s="86"/>
      <c r="AB865" s="57"/>
      <c r="AC865" s="37"/>
      <c r="AD865" s="52"/>
      <c r="AE865" s="87"/>
      <c r="AG865" s="86"/>
      <c r="AH865" s="37"/>
      <c r="AI865" s="52"/>
      <c r="AJ865" s="87"/>
      <c r="AL865" s="86"/>
      <c r="AM865" s="37"/>
      <c r="AN865" s="52"/>
      <c r="AO865" s="87"/>
      <c r="AQ865" s="86"/>
      <c r="AR865" s="37"/>
      <c r="AS865" s="52"/>
      <c r="AT865" s="87"/>
    </row>
    <row r="866" spans="2:46" thickBot="1">
      <c r="B866" s="113"/>
      <c r="C866" s="324"/>
      <c r="D866" s="346"/>
      <c r="E866" s="326"/>
      <c r="F866" s="321" t="str">
        <f t="shared" si="66"/>
        <v/>
      </c>
      <c r="G866" s="334"/>
      <c r="H866" s="331"/>
      <c r="I866" s="107"/>
      <c r="J866" s="108"/>
      <c r="K866" s="109"/>
      <c r="L866" s="108"/>
      <c r="O866" s="86"/>
      <c r="P866" s="57"/>
      <c r="Q866" s="37"/>
      <c r="R866" s="92" t="str">
        <f t="shared" si="65"/>
        <v/>
      </c>
      <c r="S866" s="52"/>
      <c r="T866" s="87"/>
      <c r="U866" s="86"/>
      <c r="V866" s="201"/>
      <c r="W866" s="37"/>
      <c r="X866" s="52"/>
      <c r="Y866" s="87"/>
      <c r="AA866" s="86"/>
      <c r="AB866" s="57"/>
      <c r="AC866" s="37"/>
      <c r="AD866" s="52"/>
      <c r="AE866" s="87"/>
      <c r="AG866" s="86"/>
      <c r="AH866" s="37"/>
      <c r="AI866" s="52"/>
      <c r="AJ866" s="87"/>
      <c r="AL866" s="86"/>
      <c r="AM866" s="37"/>
      <c r="AN866" s="52"/>
      <c r="AO866" s="87"/>
      <c r="AQ866" s="86"/>
      <c r="AR866" s="37"/>
      <c r="AS866" s="52"/>
      <c r="AT866" s="87"/>
    </row>
    <row r="867" spans="2:46" thickBot="1">
      <c r="B867" s="113"/>
      <c r="C867" s="324"/>
      <c r="D867" s="346"/>
      <c r="E867" s="326"/>
      <c r="F867" s="321" t="str">
        <f t="shared" si="66"/>
        <v/>
      </c>
      <c r="G867" s="334"/>
      <c r="H867" s="331"/>
      <c r="I867" s="107"/>
      <c r="J867" s="108"/>
      <c r="K867" s="109"/>
      <c r="L867" s="108"/>
      <c r="O867" s="86"/>
      <c r="P867" s="57"/>
      <c r="Q867" s="37"/>
      <c r="R867" s="92" t="str">
        <f t="shared" si="65"/>
        <v/>
      </c>
      <c r="S867" s="52"/>
      <c r="T867" s="87"/>
      <c r="U867" s="86"/>
      <c r="V867" s="201"/>
      <c r="W867" s="37"/>
      <c r="X867" s="52"/>
      <c r="Y867" s="87"/>
      <c r="AA867" s="86"/>
      <c r="AB867" s="57"/>
      <c r="AC867" s="37"/>
      <c r="AD867" s="52"/>
      <c r="AE867" s="87"/>
      <c r="AG867" s="86"/>
      <c r="AH867" s="37"/>
      <c r="AI867" s="52"/>
      <c r="AJ867" s="87"/>
      <c r="AL867" s="86"/>
      <c r="AM867" s="37"/>
      <c r="AN867" s="52"/>
      <c r="AO867" s="87"/>
      <c r="AQ867" s="86"/>
      <c r="AR867" s="37"/>
      <c r="AS867" s="52"/>
      <c r="AT867" s="87"/>
    </row>
    <row r="868" spans="2:46" thickBot="1">
      <c r="B868" s="113"/>
      <c r="C868" s="324"/>
      <c r="D868" s="346"/>
      <c r="E868" s="326"/>
      <c r="F868" s="321" t="str">
        <f t="shared" si="66"/>
        <v/>
      </c>
      <c r="G868" s="334"/>
      <c r="H868" s="331"/>
      <c r="I868" s="107"/>
      <c r="J868" s="108"/>
      <c r="K868" s="109"/>
      <c r="L868" s="108"/>
      <c r="O868" s="86"/>
      <c r="P868" s="57"/>
      <c r="Q868" s="37"/>
      <c r="R868" s="92" t="str">
        <f t="shared" si="65"/>
        <v/>
      </c>
      <c r="S868" s="52"/>
      <c r="T868" s="87"/>
      <c r="U868" s="86"/>
      <c r="V868" s="201"/>
      <c r="W868" s="37"/>
      <c r="X868" s="52"/>
      <c r="Y868" s="87"/>
      <c r="AA868" s="86"/>
      <c r="AB868" s="57"/>
      <c r="AC868" s="37"/>
      <c r="AD868" s="52"/>
      <c r="AE868" s="87"/>
      <c r="AG868" s="86"/>
      <c r="AH868" s="37"/>
      <c r="AI868" s="52"/>
      <c r="AJ868" s="87"/>
      <c r="AL868" s="86"/>
      <c r="AM868" s="37"/>
      <c r="AN868" s="52"/>
      <c r="AO868" s="87"/>
      <c r="AQ868" s="86"/>
      <c r="AR868" s="37"/>
      <c r="AS868" s="52"/>
      <c r="AT868" s="87"/>
    </row>
    <row r="869" spans="2:46" thickBot="1">
      <c r="B869" s="113"/>
      <c r="C869" s="324"/>
      <c r="D869" s="346"/>
      <c r="E869" s="326"/>
      <c r="F869" s="321" t="str">
        <f t="shared" si="66"/>
        <v/>
      </c>
      <c r="G869" s="334"/>
      <c r="H869" s="331"/>
      <c r="I869" s="107"/>
      <c r="J869" s="108"/>
      <c r="K869" s="109"/>
      <c r="L869" s="108"/>
      <c r="O869" s="86"/>
      <c r="P869" s="57"/>
      <c r="Q869" s="37"/>
      <c r="R869" s="92" t="str">
        <f t="shared" si="65"/>
        <v/>
      </c>
      <c r="S869" s="52"/>
      <c r="T869" s="87"/>
      <c r="U869" s="86"/>
      <c r="V869" s="201"/>
      <c r="W869" s="37"/>
      <c r="X869" s="52"/>
      <c r="Y869" s="87"/>
      <c r="AA869" s="86"/>
      <c r="AB869" s="57"/>
      <c r="AC869" s="37"/>
      <c r="AD869" s="52"/>
      <c r="AE869" s="87"/>
      <c r="AG869" s="86"/>
      <c r="AH869" s="37"/>
      <c r="AI869" s="52"/>
      <c r="AJ869" s="87"/>
      <c r="AL869" s="86"/>
      <c r="AM869" s="37"/>
      <c r="AN869" s="52"/>
      <c r="AO869" s="87"/>
      <c r="AQ869" s="86"/>
      <c r="AR869" s="37"/>
      <c r="AS869" s="52"/>
      <c r="AT869" s="87"/>
    </row>
    <row r="870" spans="2:46" thickBot="1">
      <c r="B870" s="113"/>
      <c r="C870" s="324"/>
      <c r="D870" s="346"/>
      <c r="E870" s="326"/>
      <c r="F870" s="321" t="str">
        <f t="shared" si="66"/>
        <v/>
      </c>
      <c r="G870" s="334"/>
      <c r="H870" s="331"/>
      <c r="I870" s="107"/>
      <c r="J870" s="108"/>
      <c r="K870" s="109"/>
      <c r="L870" s="108"/>
      <c r="O870" s="86"/>
      <c r="P870" s="57"/>
      <c r="Q870" s="37"/>
      <c r="R870" s="92" t="str">
        <f t="shared" si="65"/>
        <v/>
      </c>
      <c r="S870" s="52"/>
      <c r="T870" s="87"/>
      <c r="U870" s="86"/>
      <c r="V870" s="201"/>
      <c r="W870" s="37"/>
      <c r="X870" s="52"/>
      <c r="Y870" s="87"/>
      <c r="AA870" s="86"/>
      <c r="AB870" s="57"/>
      <c r="AC870" s="37"/>
      <c r="AD870" s="52"/>
      <c r="AE870" s="87"/>
      <c r="AG870" s="86"/>
      <c r="AH870" s="37"/>
      <c r="AI870" s="52"/>
      <c r="AJ870" s="87"/>
      <c r="AL870" s="86"/>
      <c r="AM870" s="37"/>
      <c r="AN870" s="52"/>
      <c r="AO870" s="87"/>
      <c r="AQ870" s="86"/>
      <c r="AR870" s="37"/>
      <c r="AS870" s="52"/>
      <c r="AT870" s="87"/>
    </row>
    <row r="871" spans="2:46" thickBot="1">
      <c r="B871" s="113"/>
      <c r="C871" s="324"/>
      <c r="D871" s="346"/>
      <c r="E871" s="326"/>
      <c r="F871" s="321" t="str">
        <f t="shared" si="66"/>
        <v/>
      </c>
      <c r="G871" s="334"/>
      <c r="H871" s="331"/>
      <c r="I871" s="107"/>
      <c r="J871" s="108"/>
      <c r="K871" s="109"/>
      <c r="L871" s="108"/>
      <c r="O871" s="86"/>
      <c r="P871" s="57"/>
      <c r="Q871" s="37"/>
      <c r="R871" s="92" t="str">
        <f t="shared" si="65"/>
        <v/>
      </c>
      <c r="S871" s="52"/>
      <c r="T871" s="87"/>
      <c r="U871" s="86"/>
      <c r="V871" s="201"/>
      <c r="W871" s="37"/>
      <c r="X871" s="52"/>
      <c r="Y871" s="87"/>
      <c r="AA871" s="86"/>
      <c r="AB871" s="57"/>
      <c r="AC871" s="37"/>
      <c r="AD871" s="52"/>
      <c r="AE871" s="87"/>
      <c r="AG871" s="86"/>
      <c r="AH871" s="37"/>
      <c r="AI871" s="52"/>
      <c r="AJ871" s="87"/>
      <c r="AL871" s="86"/>
      <c r="AM871" s="37"/>
      <c r="AN871" s="52"/>
      <c r="AO871" s="87"/>
      <c r="AQ871" s="86"/>
      <c r="AR871" s="37"/>
      <c r="AS871" s="52"/>
      <c r="AT871" s="87"/>
    </row>
    <row r="872" spans="2:46" thickBot="1">
      <c r="B872" s="113"/>
      <c r="C872" s="324"/>
      <c r="D872" s="346"/>
      <c r="E872" s="326"/>
      <c r="F872" s="321" t="str">
        <f t="shared" si="66"/>
        <v/>
      </c>
      <c r="G872" s="334"/>
      <c r="H872" s="331"/>
      <c r="I872" s="107"/>
      <c r="J872" s="108"/>
      <c r="K872" s="109"/>
      <c r="L872" s="108"/>
      <c r="O872" s="86"/>
      <c r="P872" s="57"/>
      <c r="Q872" s="37"/>
      <c r="R872" s="92" t="str">
        <f t="shared" si="65"/>
        <v/>
      </c>
      <c r="S872" s="52"/>
      <c r="T872" s="87"/>
      <c r="U872" s="86"/>
      <c r="V872" s="201"/>
      <c r="W872" s="37"/>
      <c r="X872" s="52"/>
      <c r="Y872" s="87"/>
      <c r="AA872" s="86"/>
      <c r="AB872" s="57"/>
      <c r="AC872" s="37"/>
      <c r="AD872" s="52"/>
      <c r="AE872" s="87"/>
      <c r="AG872" s="86"/>
      <c r="AH872" s="37"/>
      <c r="AI872" s="52"/>
      <c r="AJ872" s="87"/>
      <c r="AL872" s="86"/>
      <c r="AM872" s="37"/>
      <c r="AN872" s="52"/>
      <c r="AO872" s="87"/>
      <c r="AQ872" s="86"/>
      <c r="AR872" s="37"/>
      <c r="AS872" s="52"/>
      <c r="AT872" s="87"/>
    </row>
    <row r="873" spans="2:46" thickBot="1">
      <c r="B873" s="113"/>
      <c r="C873" s="324"/>
      <c r="D873" s="346"/>
      <c r="E873" s="326"/>
      <c r="F873" s="321" t="str">
        <f t="shared" si="66"/>
        <v/>
      </c>
      <c r="G873" s="334"/>
      <c r="H873" s="331"/>
      <c r="I873" s="107"/>
      <c r="J873" s="108"/>
      <c r="K873" s="109"/>
      <c r="L873" s="108"/>
      <c r="O873" s="86"/>
      <c r="P873" s="57"/>
      <c r="Q873" s="37"/>
      <c r="R873" s="92" t="str">
        <f t="shared" si="65"/>
        <v/>
      </c>
      <c r="S873" s="52"/>
      <c r="T873" s="87"/>
      <c r="U873" s="86"/>
      <c r="V873" s="201"/>
      <c r="W873" s="37"/>
      <c r="X873" s="52"/>
      <c r="Y873" s="87"/>
      <c r="AA873" s="86"/>
      <c r="AB873" s="57"/>
      <c r="AC873" s="37"/>
      <c r="AD873" s="52"/>
      <c r="AE873" s="87"/>
      <c r="AG873" s="86"/>
      <c r="AH873" s="37"/>
      <c r="AI873" s="52"/>
      <c r="AJ873" s="87"/>
      <c r="AL873" s="86"/>
      <c r="AM873" s="37"/>
      <c r="AN873" s="52"/>
      <c r="AO873" s="87"/>
      <c r="AQ873" s="86"/>
      <c r="AR873" s="37"/>
      <c r="AS873" s="52"/>
      <c r="AT873" s="87"/>
    </row>
    <row r="874" spans="2:46" thickBot="1">
      <c r="B874" s="113"/>
      <c r="C874" s="324"/>
      <c r="D874" s="346"/>
      <c r="E874" s="326"/>
      <c r="F874" s="321" t="str">
        <f t="shared" si="66"/>
        <v/>
      </c>
      <c r="G874" s="334"/>
      <c r="H874" s="331"/>
      <c r="I874" s="107"/>
      <c r="J874" s="108"/>
      <c r="K874" s="109"/>
      <c r="L874" s="108"/>
      <c r="O874" s="86"/>
      <c r="P874" s="57"/>
      <c r="Q874" s="37"/>
      <c r="R874" s="92" t="str">
        <f t="shared" si="65"/>
        <v/>
      </c>
      <c r="S874" s="52"/>
      <c r="T874" s="87"/>
      <c r="U874" s="86"/>
      <c r="V874" s="201"/>
      <c r="W874" s="37"/>
      <c r="X874" s="52"/>
      <c r="Y874" s="87"/>
      <c r="AA874" s="86"/>
      <c r="AB874" s="57"/>
      <c r="AC874" s="37"/>
      <c r="AD874" s="52"/>
      <c r="AE874" s="87"/>
      <c r="AG874" s="86"/>
      <c r="AH874" s="37"/>
      <c r="AI874" s="52"/>
      <c r="AJ874" s="87"/>
      <c r="AL874" s="86"/>
      <c r="AM874" s="37"/>
      <c r="AN874" s="52"/>
      <c r="AO874" s="87"/>
      <c r="AQ874" s="86"/>
      <c r="AR874" s="37"/>
      <c r="AS874" s="52"/>
      <c r="AT874" s="87"/>
    </row>
    <row r="875" spans="2:46" thickBot="1">
      <c r="B875" s="113"/>
      <c r="C875" s="324"/>
      <c r="D875" s="346"/>
      <c r="E875" s="326"/>
      <c r="F875" s="321" t="str">
        <f t="shared" si="66"/>
        <v/>
      </c>
      <c r="G875" s="334"/>
      <c r="H875" s="331"/>
      <c r="I875" s="107"/>
      <c r="J875" s="108"/>
      <c r="K875" s="109"/>
      <c r="L875" s="108"/>
      <c r="O875" s="86"/>
      <c r="P875" s="57"/>
      <c r="Q875" s="37"/>
      <c r="R875" s="92" t="str">
        <f t="shared" ref="R875:R938" si="67">IF(Q875="","",ROUND(S875*(1+$F$2),2))</f>
        <v/>
      </c>
      <c r="S875" s="52"/>
      <c r="T875" s="87"/>
      <c r="U875" s="86"/>
      <c r="V875" s="201"/>
      <c r="W875" s="37"/>
      <c r="X875" s="52"/>
      <c r="Y875" s="87"/>
      <c r="AA875" s="86"/>
      <c r="AB875" s="57"/>
      <c r="AC875" s="37"/>
      <c r="AD875" s="52"/>
      <c r="AE875" s="87"/>
      <c r="AG875" s="86"/>
      <c r="AH875" s="37"/>
      <c r="AI875" s="52"/>
      <c r="AJ875" s="87"/>
      <c r="AL875" s="86"/>
      <c r="AM875" s="37"/>
      <c r="AN875" s="52"/>
      <c r="AO875" s="87"/>
      <c r="AQ875" s="86"/>
      <c r="AR875" s="37"/>
      <c r="AS875" s="52"/>
      <c r="AT875" s="87"/>
    </row>
    <row r="876" spans="2:46" thickBot="1">
      <c r="B876" s="113"/>
      <c r="C876" s="324"/>
      <c r="D876" s="346"/>
      <c r="E876" s="326"/>
      <c r="F876" s="321" t="str">
        <f t="shared" si="66"/>
        <v/>
      </c>
      <c r="G876" s="334"/>
      <c r="H876" s="331"/>
      <c r="I876" s="107"/>
      <c r="J876" s="108"/>
      <c r="K876" s="109"/>
      <c r="L876" s="108"/>
      <c r="O876" s="86"/>
      <c r="P876" s="57"/>
      <c r="Q876" s="37"/>
      <c r="R876" s="92" t="str">
        <f t="shared" si="67"/>
        <v/>
      </c>
      <c r="S876" s="52"/>
      <c r="T876" s="87"/>
      <c r="U876" s="86"/>
      <c r="V876" s="201"/>
      <c r="W876" s="37"/>
      <c r="X876" s="52"/>
      <c r="Y876" s="87"/>
      <c r="AA876" s="86"/>
      <c r="AB876" s="57"/>
      <c r="AC876" s="37"/>
      <c r="AD876" s="52"/>
      <c r="AE876" s="87"/>
      <c r="AG876" s="86"/>
      <c r="AH876" s="37"/>
      <c r="AI876" s="52"/>
      <c r="AJ876" s="87"/>
      <c r="AL876" s="86"/>
      <c r="AM876" s="37"/>
      <c r="AN876" s="52"/>
      <c r="AO876" s="87"/>
      <c r="AQ876" s="86"/>
      <c r="AR876" s="37"/>
      <c r="AS876" s="52"/>
      <c r="AT876" s="87"/>
    </row>
    <row r="877" spans="2:46" thickBot="1">
      <c r="B877" s="113"/>
      <c r="C877" s="324"/>
      <c r="D877" s="346"/>
      <c r="E877" s="326"/>
      <c r="F877" s="321" t="str">
        <f t="shared" si="66"/>
        <v/>
      </c>
      <c r="G877" s="334"/>
      <c r="H877" s="331"/>
      <c r="I877" s="107"/>
      <c r="J877" s="108"/>
      <c r="K877" s="109"/>
      <c r="L877" s="108"/>
      <c r="O877" s="86"/>
      <c r="P877" s="57"/>
      <c r="Q877" s="37"/>
      <c r="R877" s="92" t="str">
        <f t="shared" si="67"/>
        <v/>
      </c>
      <c r="S877" s="52"/>
      <c r="T877" s="87"/>
      <c r="U877" s="86"/>
      <c r="V877" s="201"/>
      <c r="W877" s="37"/>
      <c r="X877" s="52"/>
      <c r="Y877" s="87"/>
      <c r="AA877" s="86"/>
      <c r="AB877" s="57"/>
      <c r="AC877" s="37"/>
      <c r="AD877" s="52"/>
      <c r="AE877" s="87"/>
      <c r="AG877" s="86"/>
      <c r="AH877" s="37"/>
      <c r="AI877" s="52"/>
      <c r="AJ877" s="87"/>
      <c r="AL877" s="86"/>
      <c r="AM877" s="37"/>
      <c r="AN877" s="52"/>
      <c r="AO877" s="87"/>
      <c r="AQ877" s="86"/>
      <c r="AR877" s="37"/>
      <c r="AS877" s="52"/>
      <c r="AT877" s="87"/>
    </row>
    <row r="878" spans="2:46" thickBot="1">
      <c r="B878" s="113"/>
      <c r="C878" s="324"/>
      <c r="D878" s="346"/>
      <c r="E878" s="326"/>
      <c r="F878" s="321" t="str">
        <f t="shared" si="66"/>
        <v/>
      </c>
      <c r="G878" s="334"/>
      <c r="H878" s="331"/>
      <c r="I878" s="107"/>
      <c r="J878" s="108"/>
      <c r="K878" s="109"/>
      <c r="L878" s="108"/>
      <c r="O878" s="86"/>
      <c r="P878" s="57"/>
      <c r="Q878" s="37"/>
      <c r="R878" s="92" t="str">
        <f t="shared" si="67"/>
        <v/>
      </c>
      <c r="S878" s="52"/>
      <c r="T878" s="87"/>
      <c r="U878" s="86"/>
      <c r="V878" s="201"/>
      <c r="W878" s="37"/>
      <c r="X878" s="52"/>
      <c r="Y878" s="87"/>
      <c r="AA878" s="86"/>
      <c r="AB878" s="57"/>
      <c r="AC878" s="37"/>
      <c r="AD878" s="52"/>
      <c r="AE878" s="87"/>
      <c r="AG878" s="86"/>
      <c r="AH878" s="37"/>
      <c r="AI878" s="52"/>
      <c r="AJ878" s="87"/>
      <c r="AL878" s="86"/>
      <c r="AM878" s="37"/>
      <c r="AN878" s="52"/>
      <c r="AO878" s="87"/>
      <c r="AQ878" s="86"/>
      <c r="AR878" s="37"/>
      <c r="AS878" s="52"/>
      <c r="AT878" s="87"/>
    </row>
    <row r="879" spans="2:46" thickBot="1">
      <c r="B879" s="113"/>
      <c r="C879" s="324"/>
      <c r="D879" s="346"/>
      <c r="E879" s="326"/>
      <c r="F879" s="321" t="str">
        <f t="shared" si="66"/>
        <v/>
      </c>
      <c r="G879" s="334"/>
      <c r="H879" s="331"/>
      <c r="I879" s="107"/>
      <c r="J879" s="108"/>
      <c r="K879" s="109"/>
      <c r="L879" s="108"/>
      <c r="O879" s="86"/>
      <c r="P879" s="57"/>
      <c r="Q879" s="37"/>
      <c r="R879" s="92" t="str">
        <f t="shared" si="67"/>
        <v/>
      </c>
      <c r="S879" s="52"/>
      <c r="T879" s="87"/>
      <c r="U879" s="86"/>
      <c r="V879" s="201"/>
      <c r="W879" s="37"/>
      <c r="X879" s="52"/>
      <c r="Y879" s="87"/>
      <c r="AA879" s="86"/>
      <c r="AB879" s="57"/>
      <c r="AC879" s="37"/>
      <c r="AD879" s="52"/>
      <c r="AE879" s="87"/>
      <c r="AG879" s="86"/>
      <c r="AH879" s="37"/>
      <c r="AI879" s="52"/>
      <c r="AJ879" s="87"/>
      <c r="AL879" s="86"/>
      <c r="AM879" s="37"/>
      <c r="AN879" s="52"/>
      <c r="AO879" s="87"/>
      <c r="AQ879" s="86"/>
      <c r="AR879" s="37"/>
      <c r="AS879" s="52"/>
      <c r="AT879" s="87"/>
    </row>
    <row r="880" spans="2:46" thickBot="1">
      <c r="B880" s="113"/>
      <c r="C880" s="324"/>
      <c r="D880" s="346"/>
      <c r="E880" s="326"/>
      <c r="F880" s="321" t="str">
        <f t="shared" si="66"/>
        <v/>
      </c>
      <c r="G880" s="334"/>
      <c r="H880" s="331"/>
      <c r="I880" s="107"/>
      <c r="J880" s="108"/>
      <c r="K880" s="109"/>
      <c r="L880" s="108"/>
      <c r="O880" s="86"/>
      <c r="P880" s="57"/>
      <c r="Q880" s="37"/>
      <c r="R880" s="92" t="str">
        <f t="shared" si="67"/>
        <v/>
      </c>
      <c r="S880" s="52"/>
      <c r="T880" s="87"/>
      <c r="U880" s="86"/>
      <c r="V880" s="201"/>
      <c r="W880" s="37"/>
      <c r="X880" s="52"/>
      <c r="Y880" s="87"/>
      <c r="AA880" s="86"/>
      <c r="AB880" s="57"/>
      <c r="AC880" s="37"/>
      <c r="AD880" s="52"/>
      <c r="AE880" s="87"/>
      <c r="AG880" s="86"/>
      <c r="AH880" s="37"/>
      <c r="AI880" s="52"/>
      <c r="AJ880" s="87"/>
      <c r="AL880" s="86"/>
      <c r="AM880" s="37"/>
      <c r="AN880" s="52"/>
      <c r="AO880" s="87"/>
      <c r="AQ880" s="86"/>
      <c r="AR880" s="37"/>
      <c r="AS880" s="52"/>
      <c r="AT880" s="87"/>
    </row>
    <row r="881" spans="2:46" thickBot="1">
      <c r="B881" s="113"/>
      <c r="C881" s="324"/>
      <c r="D881" s="346"/>
      <c r="E881" s="326"/>
      <c r="F881" s="321" t="str">
        <f t="shared" si="66"/>
        <v/>
      </c>
      <c r="G881" s="334"/>
      <c r="H881" s="331"/>
      <c r="I881" s="107"/>
      <c r="J881" s="108"/>
      <c r="K881" s="109"/>
      <c r="L881" s="108"/>
      <c r="O881" s="86"/>
      <c r="P881" s="57"/>
      <c r="Q881" s="37"/>
      <c r="R881" s="92" t="str">
        <f t="shared" si="67"/>
        <v/>
      </c>
      <c r="S881" s="52"/>
      <c r="T881" s="87"/>
      <c r="U881" s="86"/>
      <c r="V881" s="201"/>
      <c r="W881" s="37"/>
      <c r="X881" s="52"/>
      <c r="Y881" s="87"/>
      <c r="AA881" s="86"/>
      <c r="AB881" s="57"/>
      <c r="AC881" s="37"/>
      <c r="AD881" s="52"/>
      <c r="AE881" s="87"/>
      <c r="AG881" s="86"/>
      <c r="AH881" s="37"/>
      <c r="AI881" s="52"/>
      <c r="AJ881" s="87"/>
      <c r="AL881" s="86"/>
      <c r="AM881" s="37"/>
      <c r="AN881" s="52"/>
      <c r="AO881" s="87"/>
      <c r="AQ881" s="86"/>
      <c r="AR881" s="37"/>
      <c r="AS881" s="52"/>
      <c r="AT881" s="87"/>
    </row>
    <row r="882" spans="2:46" thickBot="1">
      <c r="B882" s="113"/>
      <c r="C882" s="324"/>
      <c r="D882" s="346"/>
      <c r="E882" s="326"/>
      <c r="F882" s="321" t="str">
        <f t="shared" si="66"/>
        <v/>
      </c>
      <c r="G882" s="334"/>
      <c r="H882" s="331"/>
      <c r="I882" s="107"/>
      <c r="J882" s="108"/>
      <c r="K882" s="109"/>
      <c r="L882" s="108"/>
      <c r="O882" s="86"/>
      <c r="P882" s="57"/>
      <c r="Q882" s="37"/>
      <c r="R882" s="92" t="str">
        <f t="shared" si="67"/>
        <v/>
      </c>
      <c r="S882" s="52"/>
      <c r="T882" s="87"/>
      <c r="U882" s="86"/>
      <c r="V882" s="201"/>
      <c r="W882" s="37"/>
      <c r="X882" s="52"/>
      <c r="Y882" s="87"/>
      <c r="AA882" s="86"/>
      <c r="AB882" s="57"/>
      <c r="AC882" s="37"/>
      <c r="AD882" s="52"/>
      <c r="AE882" s="87"/>
      <c r="AG882" s="86"/>
      <c r="AH882" s="37"/>
      <c r="AI882" s="52"/>
      <c r="AJ882" s="87"/>
      <c r="AL882" s="86"/>
      <c r="AM882" s="37"/>
      <c r="AN882" s="52"/>
      <c r="AO882" s="87"/>
      <c r="AQ882" s="86"/>
      <c r="AR882" s="37"/>
      <c r="AS882" s="52"/>
      <c r="AT882" s="87"/>
    </row>
    <row r="883" spans="2:46" thickBot="1">
      <c r="B883" s="113"/>
      <c r="C883" s="324"/>
      <c r="D883" s="346"/>
      <c r="E883" s="326"/>
      <c r="F883" s="321" t="str">
        <f t="shared" si="66"/>
        <v/>
      </c>
      <c r="G883" s="334"/>
      <c r="H883" s="331"/>
      <c r="I883" s="107"/>
      <c r="J883" s="108"/>
      <c r="K883" s="109"/>
      <c r="L883" s="108"/>
      <c r="O883" s="86"/>
      <c r="P883" s="57"/>
      <c r="Q883" s="37"/>
      <c r="R883" s="92" t="str">
        <f t="shared" si="67"/>
        <v/>
      </c>
      <c r="S883" s="52"/>
      <c r="T883" s="87"/>
      <c r="U883" s="86"/>
      <c r="V883" s="201"/>
      <c r="W883" s="37"/>
      <c r="X883" s="52"/>
      <c r="Y883" s="87"/>
      <c r="AA883" s="86"/>
      <c r="AB883" s="57"/>
      <c r="AC883" s="37"/>
      <c r="AD883" s="52"/>
      <c r="AE883" s="87"/>
      <c r="AG883" s="86"/>
      <c r="AH883" s="37"/>
      <c r="AI883" s="52"/>
      <c r="AJ883" s="87"/>
      <c r="AL883" s="86"/>
      <c r="AM883" s="37"/>
      <c r="AN883" s="52"/>
      <c r="AO883" s="87"/>
      <c r="AQ883" s="86"/>
      <c r="AR883" s="37"/>
      <c r="AS883" s="52"/>
      <c r="AT883" s="87"/>
    </row>
    <row r="884" spans="2:46" thickBot="1">
      <c r="B884" s="113"/>
      <c r="C884" s="324"/>
      <c r="D884" s="346"/>
      <c r="E884" s="326"/>
      <c r="F884" s="321" t="str">
        <f t="shared" si="66"/>
        <v/>
      </c>
      <c r="G884" s="334"/>
      <c r="H884" s="331"/>
      <c r="I884" s="107"/>
      <c r="J884" s="108"/>
      <c r="K884" s="109"/>
      <c r="L884" s="108"/>
      <c r="O884" s="86"/>
      <c r="P884" s="57"/>
      <c r="Q884" s="37"/>
      <c r="R884" s="92" t="str">
        <f t="shared" si="67"/>
        <v/>
      </c>
      <c r="S884" s="52"/>
      <c r="T884" s="87"/>
      <c r="U884" s="86"/>
      <c r="V884" s="201"/>
      <c r="W884" s="37"/>
      <c r="X884" s="52"/>
      <c r="Y884" s="87"/>
      <c r="AA884" s="86"/>
      <c r="AB884" s="57"/>
      <c r="AC884" s="37"/>
      <c r="AD884" s="52"/>
      <c r="AE884" s="87"/>
      <c r="AG884" s="86"/>
      <c r="AH884" s="37"/>
      <c r="AI884" s="52"/>
      <c r="AJ884" s="87"/>
      <c r="AL884" s="86"/>
      <c r="AM884" s="37"/>
      <c r="AN884" s="52"/>
      <c r="AO884" s="87"/>
      <c r="AQ884" s="86"/>
      <c r="AR884" s="37"/>
      <c r="AS884" s="52"/>
      <c r="AT884" s="87"/>
    </row>
    <row r="885" spans="2:46" thickBot="1">
      <c r="B885" s="113"/>
      <c r="C885" s="324"/>
      <c r="D885" s="346"/>
      <c r="E885" s="326"/>
      <c r="F885" s="321" t="str">
        <f t="shared" si="66"/>
        <v/>
      </c>
      <c r="G885" s="334"/>
      <c r="H885" s="331"/>
      <c r="I885" s="107"/>
      <c r="J885" s="108"/>
      <c r="K885" s="109"/>
      <c r="L885" s="108"/>
      <c r="O885" s="86"/>
      <c r="P885" s="57"/>
      <c r="Q885" s="37"/>
      <c r="R885" s="92" t="str">
        <f t="shared" si="67"/>
        <v/>
      </c>
      <c r="S885" s="52"/>
      <c r="T885" s="87"/>
      <c r="U885" s="86"/>
      <c r="V885" s="201"/>
      <c r="W885" s="37"/>
      <c r="X885" s="52"/>
      <c r="Y885" s="87"/>
      <c r="AA885" s="86"/>
      <c r="AB885" s="57"/>
      <c r="AC885" s="37"/>
      <c r="AD885" s="52"/>
      <c r="AE885" s="87"/>
      <c r="AG885" s="86"/>
      <c r="AH885" s="37"/>
      <c r="AI885" s="52"/>
      <c r="AJ885" s="87"/>
      <c r="AL885" s="86"/>
      <c r="AM885" s="37"/>
      <c r="AN885" s="52"/>
      <c r="AO885" s="87"/>
      <c r="AQ885" s="86"/>
      <c r="AR885" s="37"/>
      <c r="AS885" s="52"/>
      <c r="AT885" s="87"/>
    </row>
    <row r="886" spans="2:46" thickBot="1">
      <c r="B886" s="113"/>
      <c r="C886" s="324"/>
      <c r="D886" s="346"/>
      <c r="E886" s="326"/>
      <c r="F886" s="321" t="str">
        <f t="shared" si="66"/>
        <v/>
      </c>
      <c r="G886" s="334"/>
      <c r="H886" s="331"/>
      <c r="I886" s="107"/>
      <c r="J886" s="108"/>
      <c r="K886" s="109"/>
      <c r="L886" s="108"/>
      <c r="O886" s="86"/>
      <c r="P886" s="57"/>
      <c r="Q886" s="37"/>
      <c r="R886" s="92" t="str">
        <f t="shared" si="67"/>
        <v/>
      </c>
      <c r="S886" s="52"/>
      <c r="T886" s="87"/>
      <c r="U886" s="86"/>
      <c r="V886" s="201"/>
      <c r="W886" s="37"/>
      <c r="X886" s="52"/>
      <c r="Y886" s="87"/>
      <c r="AA886" s="86"/>
      <c r="AB886" s="57"/>
      <c r="AC886" s="37"/>
      <c r="AD886" s="52"/>
      <c r="AE886" s="87"/>
      <c r="AG886" s="86"/>
      <c r="AH886" s="37"/>
      <c r="AI886" s="52"/>
      <c r="AJ886" s="87"/>
      <c r="AL886" s="86"/>
      <c r="AM886" s="37"/>
      <c r="AN886" s="52"/>
      <c r="AO886" s="87"/>
      <c r="AQ886" s="86"/>
      <c r="AR886" s="37"/>
      <c r="AS886" s="52"/>
      <c r="AT886" s="87"/>
    </row>
    <row r="887" spans="2:46" thickBot="1">
      <c r="B887" s="113"/>
      <c r="C887" s="324"/>
      <c r="D887" s="346"/>
      <c r="E887" s="326"/>
      <c r="F887" s="321" t="str">
        <f t="shared" si="66"/>
        <v/>
      </c>
      <c r="G887" s="334"/>
      <c r="H887" s="331"/>
      <c r="I887" s="107"/>
      <c r="J887" s="108"/>
      <c r="K887" s="109"/>
      <c r="L887" s="108"/>
      <c r="O887" s="86"/>
      <c r="P887" s="57"/>
      <c r="Q887" s="37"/>
      <c r="R887" s="92" t="str">
        <f t="shared" si="67"/>
        <v/>
      </c>
      <c r="S887" s="52"/>
      <c r="T887" s="87"/>
      <c r="U887" s="86"/>
      <c r="V887" s="201"/>
      <c r="W887" s="37"/>
      <c r="X887" s="52"/>
      <c r="Y887" s="87"/>
      <c r="AA887" s="86"/>
      <c r="AB887" s="57"/>
      <c r="AC887" s="37"/>
      <c r="AD887" s="52"/>
      <c r="AE887" s="87"/>
      <c r="AG887" s="86"/>
      <c r="AH887" s="37"/>
      <c r="AI887" s="52"/>
      <c r="AJ887" s="87"/>
      <c r="AL887" s="86"/>
      <c r="AM887" s="37"/>
      <c r="AN887" s="52"/>
      <c r="AO887" s="87"/>
      <c r="AQ887" s="86"/>
      <c r="AR887" s="37"/>
      <c r="AS887" s="52"/>
      <c r="AT887" s="87"/>
    </row>
    <row r="888" spans="2:46" thickBot="1">
      <c r="B888" s="113"/>
      <c r="C888" s="324"/>
      <c r="D888" s="346"/>
      <c r="E888" s="326"/>
      <c r="F888" s="321" t="str">
        <f t="shared" si="66"/>
        <v/>
      </c>
      <c r="G888" s="334"/>
      <c r="H888" s="331"/>
      <c r="I888" s="107"/>
      <c r="J888" s="108"/>
      <c r="K888" s="109"/>
      <c r="L888" s="108"/>
      <c r="O888" s="86"/>
      <c r="P888" s="57"/>
      <c r="Q888" s="37"/>
      <c r="R888" s="92" t="str">
        <f t="shared" si="67"/>
        <v/>
      </c>
      <c r="S888" s="52"/>
      <c r="T888" s="87"/>
      <c r="U888" s="86"/>
      <c r="V888" s="201"/>
      <c r="W888" s="37"/>
      <c r="X888" s="52"/>
      <c r="Y888" s="87"/>
      <c r="AA888" s="86"/>
      <c r="AB888" s="57"/>
      <c r="AC888" s="37"/>
      <c r="AD888" s="52"/>
      <c r="AE888" s="87"/>
      <c r="AG888" s="86"/>
      <c r="AH888" s="37"/>
      <c r="AI888" s="52"/>
      <c r="AJ888" s="87"/>
      <c r="AL888" s="86"/>
      <c r="AM888" s="37"/>
      <c r="AN888" s="52"/>
      <c r="AO888" s="87"/>
      <c r="AQ888" s="86"/>
      <c r="AR888" s="37"/>
      <c r="AS888" s="52"/>
      <c r="AT888" s="87"/>
    </row>
    <row r="889" spans="2:46" thickBot="1">
      <c r="B889" s="113"/>
      <c r="C889" s="324"/>
      <c r="D889" s="346"/>
      <c r="E889" s="326"/>
      <c r="F889" s="321" t="str">
        <f t="shared" si="66"/>
        <v/>
      </c>
      <c r="G889" s="334"/>
      <c r="H889" s="331"/>
      <c r="I889" s="107"/>
      <c r="J889" s="108"/>
      <c r="K889" s="109"/>
      <c r="L889" s="108"/>
      <c r="O889" s="86"/>
      <c r="P889" s="57"/>
      <c r="Q889" s="37"/>
      <c r="R889" s="92" t="str">
        <f t="shared" si="67"/>
        <v/>
      </c>
      <c r="S889" s="52"/>
      <c r="T889" s="87"/>
      <c r="U889" s="86"/>
      <c r="V889" s="201"/>
      <c r="W889" s="37"/>
      <c r="X889" s="52"/>
      <c r="Y889" s="87"/>
      <c r="AA889" s="86"/>
      <c r="AB889" s="57"/>
      <c r="AC889" s="37"/>
      <c r="AD889" s="52"/>
      <c r="AE889" s="87"/>
      <c r="AG889" s="86"/>
      <c r="AH889" s="37"/>
      <c r="AI889" s="52"/>
      <c r="AJ889" s="87"/>
      <c r="AL889" s="86"/>
      <c r="AM889" s="37"/>
      <c r="AN889" s="52"/>
      <c r="AO889" s="87"/>
      <c r="AQ889" s="86"/>
      <c r="AR889" s="37"/>
      <c r="AS889" s="52"/>
      <c r="AT889" s="87"/>
    </row>
    <row r="890" spans="2:46" thickBot="1">
      <c r="B890" s="113"/>
      <c r="C890" s="324"/>
      <c r="D890" s="346"/>
      <c r="E890" s="326"/>
      <c r="F890" s="321" t="str">
        <f t="shared" si="66"/>
        <v/>
      </c>
      <c r="G890" s="334"/>
      <c r="H890" s="331"/>
      <c r="I890" s="107"/>
      <c r="J890" s="108"/>
      <c r="K890" s="109"/>
      <c r="L890" s="108"/>
      <c r="O890" s="86"/>
      <c r="P890" s="57"/>
      <c r="Q890" s="37"/>
      <c r="R890" s="92" t="str">
        <f t="shared" si="67"/>
        <v/>
      </c>
      <c r="S890" s="52"/>
      <c r="T890" s="87"/>
      <c r="U890" s="86"/>
      <c r="V890" s="201"/>
      <c r="W890" s="37"/>
      <c r="X890" s="52"/>
      <c r="Y890" s="87"/>
      <c r="AA890" s="86"/>
      <c r="AB890" s="57"/>
      <c r="AC890" s="37"/>
      <c r="AD890" s="52"/>
      <c r="AE890" s="87"/>
      <c r="AG890" s="86"/>
      <c r="AH890" s="37"/>
      <c r="AI890" s="52"/>
      <c r="AJ890" s="87"/>
      <c r="AL890" s="86"/>
      <c r="AM890" s="37"/>
      <c r="AN890" s="52"/>
      <c r="AO890" s="87"/>
      <c r="AQ890" s="86"/>
      <c r="AR890" s="37"/>
      <c r="AS890" s="52"/>
      <c r="AT890" s="87"/>
    </row>
    <row r="891" spans="2:46" thickBot="1">
      <c r="B891" s="113"/>
      <c r="C891" s="324"/>
      <c r="D891" s="346"/>
      <c r="E891" s="326"/>
      <c r="F891" s="321" t="str">
        <f t="shared" si="66"/>
        <v/>
      </c>
      <c r="G891" s="334"/>
      <c r="H891" s="331"/>
      <c r="I891" s="107"/>
      <c r="J891" s="108"/>
      <c r="K891" s="109"/>
      <c r="L891" s="108"/>
      <c r="O891" s="86"/>
      <c r="P891" s="57"/>
      <c r="Q891" s="37"/>
      <c r="R891" s="92" t="str">
        <f t="shared" si="67"/>
        <v/>
      </c>
      <c r="S891" s="52"/>
      <c r="T891" s="87"/>
      <c r="U891" s="86"/>
      <c r="V891" s="201"/>
      <c r="W891" s="37"/>
      <c r="X891" s="52"/>
      <c r="Y891" s="87"/>
      <c r="AA891" s="86"/>
      <c r="AB891" s="57"/>
      <c r="AC891" s="37"/>
      <c r="AD891" s="52"/>
      <c r="AE891" s="87"/>
      <c r="AG891" s="86"/>
      <c r="AH891" s="37"/>
      <c r="AI891" s="52"/>
      <c r="AJ891" s="87"/>
      <c r="AL891" s="86"/>
      <c r="AM891" s="37"/>
      <c r="AN891" s="52"/>
      <c r="AO891" s="87"/>
      <c r="AQ891" s="86"/>
      <c r="AR891" s="37"/>
      <c r="AS891" s="52"/>
      <c r="AT891" s="87"/>
    </row>
    <row r="892" spans="2:46" thickBot="1">
      <c r="B892" s="113"/>
      <c r="C892" s="324"/>
      <c r="D892" s="346"/>
      <c r="E892" s="326"/>
      <c r="F892" s="321" t="str">
        <f t="shared" si="66"/>
        <v/>
      </c>
      <c r="G892" s="334"/>
      <c r="H892" s="331"/>
      <c r="I892" s="107"/>
      <c r="J892" s="108"/>
      <c r="K892" s="109"/>
      <c r="L892" s="108"/>
      <c r="O892" s="86"/>
      <c r="P892" s="57"/>
      <c r="Q892" s="37"/>
      <c r="R892" s="92" t="str">
        <f t="shared" si="67"/>
        <v/>
      </c>
      <c r="S892" s="52"/>
      <c r="T892" s="87"/>
      <c r="U892" s="86"/>
      <c r="V892" s="201"/>
      <c r="W892" s="37"/>
      <c r="X892" s="52"/>
      <c r="Y892" s="87"/>
      <c r="AA892" s="86"/>
      <c r="AB892" s="57"/>
      <c r="AC892" s="37"/>
      <c r="AD892" s="52"/>
      <c r="AE892" s="87"/>
      <c r="AG892" s="86"/>
      <c r="AH892" s="37"/>
      <c r="AI892" s="52"/>
      <c r="AJ892" s="87"/>
      <c r="AL892" s="86"/>
      <c r="AM892" s="37"/>
      <c r="AN892" s="52"/>
      <c r="AO892" s="87"/>
      <c r="AQ892" s="86"/>
      <c r="AR892" s="37"/>
      <c r="AS892" s="52"/>
      <c r="AT892" s="87"/>
    </row>
    <row r="893" spans="2:46" thickBot="1">
      <c r="B893" s="113"/>
      <c r="C893" s="324"/>
      <c r="D893" s="346"/>
      <c r="E893" s="326"/>
      <c r="F893" s="321" t="str">
        <f t="shared" si="66"/>
        <v/>
      </c>
      <c r="G893" s="334"/>
      <c r="H893" s="331"/>
      <c r="I893" s="107"/>
      <c r="J893" s="108"/>
      <c r="K893" s="109"/>
      <c r="L893" s="108"/>
      <c r="O893" s="86"/>
      <c r="P893" s="57"/>
      <c r="Q893" s="37"/>
      <c r="R893" s="92" t="str">
        <f t="shared" si="67"/>
        <v/>
      </c>
      <c r="S893" s="52"/>
      <c r="T893" s="87"/>
      <c r="U893" s="86"/>
      <c r="V893" s="201"/>
      <c r="W893" s="37"/>
      <c r="X893" s="52"/>
      <c r="Y893" s="87"/>
      <c r="AA893" s="86"/>
      <c r="AB893" s="57"/>
      <c r="AC893" s="37"/>
      <c r="AD893" s="52"/>
      <c r="AE893" s="87"/>
      <c r="AG893" s="86"/>
      <c r="AH893" s="37"/>
      <c r="AI893" s="52"/>
      <c r="AJ893" s="87"/>
      <c r="AL893" s="86"/>
      <c r="AM893" s="37"/>
      <c r="AN893" s="52"/>
      <c r="AO893" s="87"/>
      <c r="AQ893" s="86"/>
      <c r="AR893" s="37"/>
      <c r="AS893" s="52"/>
      <c r="AT893" s="87"/>
    </row>
    <row r="894" spans="2:46" thickBot="1">
      <c r="B894" s="113"/>
      <c r="C894" s="324"/>
      <c r="D894" s="346"/>
      <c r="E894" s="326"/>
      <c r="F894" s="321" t="str">
        <f t="shared" si="66"/>
        <v/>
      </c>
      <c r="G894" s="334"/>
      <c r="H894" s="331"/>
      <c r="I894" s="107"/>
      <c r="J894" s="108"/>
      <c r="K894" s="109"/>
      <c r="L894" s="108"/>
      <c r="O894" s="86"/>
      <c r="P894" s="57"/>
      <c r="Q894" s="37"/>
      <c r="R894" s="92" t="str">
        <f t="shared" si="67"/>
        <v/>
      </c>
      <c r="S894" s="52"/>
      <c r="T894" s="87"/>
      <c r="U894" s="86"/>
      <c r="V894" s="201"/>
      <c r="W894" s="37"/>
      <c r="X894" s="52"/>
      <c r="Y894" s="87"/>
      <c r="AA894" s="86"/>
      <c r="AB894" s="57"/>
      <c r="AC894" s="37"/>
      <c r="AD894" s="52"/>
      <c r="AE894" s="87"/>
      <c r="AG894" s="86"/>
      <c r="AH894" s="37"/>
      <c r="AI894" s="52"/>
      <c r="AJ894" s="87"/>
      <c r="AL894" s="86"/>
      <c r="AM894" s="37"/>
      <c r="AN894" s="52"/>
      <c r="AO894" s="87"/>
      <c r="AQ894" s="86"/>
      <c r="AR894" s="37"/>
      <c r="AS894" s="52"/>
      <c r="AT894" s="87"/>
    </row>
    <row r="895" spans="2:46" thickBot="1">
      <c r="B895" s="113"/>
      <c r="C895" s="324"/>
      <c r="D895" s="346"/>
      <c r="E895" s="326"/>
      <c r="F895" s="321" t="str">
        <f t="shared" si="66"/>
        <v/>
      </c>
      <c r="G895" s="334"/>
      <c r="H895" s="331"/>
      <c r="I895" s="107"/>
      <c r="J895" s="108"/>
      <c r="K895" s="109"/>
      <c r="L895" s="108"/>
      <c r="O895" s="86"/>
      <c r="P895" s="57"/>
      <c r="Q895" s="37"/>
      <c r="R895" s="92" t="str">
        <f t="shared" si="67"/>
        <v/>
      </c>
      <c r="S895" s="52"/>
      <c r="T895" s="87"/>
      <c r="U895" s="86"/>
      <c r="V895" s="201"/>
      <c r="W895" s="37"/>
      <c r="X895" s="52"/>
      <c r="Y895" s="87"/>
      <c r="AA895" s="86"/>
      <c r="AB895" s="57"/>
      <c r="AC895" s="37"/>
      <c r="AD895" s="52"/>
      <c r="AE895" s="87"/>
      <c r="AG895" s="86"/>
      <c r="AH895" s="37"/>
      <c r="AI895" s="52"/>
      <c r="AJ895" s="87"/>
      <c r="AL895" s="86"/>
      <c r="AM895" s="37"/>
      <c r="AN895" s="52"/>
      <c r="AO895" s="87"/>
      <c r="AQ895" s="86"/>
      <c r="AR895" s="37"/>
      <c r="AS895" s="52"/>
      <c r="AT895" s="87"/>
    </row>
    <row r="896" spans="2:46" thickBot="1">
      <c r="B896" s="113"/>
      <c r="C896" s="324"/>
      <c r="D896" s="346"/>
      <c r="E896" s="326"/>
      <c r="F896" s="321" t="str">
        <f t="shared" si="66"/>
        <v/>
      </c>
      <c r="G896" s="334"/>
      <c r="H896" s="331"/>
      <c r="I896" s="107"/>
      <c r="J896" s="108"/>
      <c r="K896" s="109"/>
      <c r="L896" s="108"/>
      <c r="O896" s="86"/>
      <c r="P896" s="57"/>
      <c r="Q896" s="37"/>
      <c r="R896" s="92" t="str">
        <f t="shared" si="67"/>
        <v/>
      </c>
      <c r="S896" s="52"/>
      <c r="T896" s="87"/>
      <c r="U896" s="86"/>
      <c r="V896" s="201"/>
      <c r="W896" s="37"/>
      <c r="X896" s="52"/>
      <c r="Y896" s="87"/>
      <c r="AA896" s="86"/>
      <c r="AB896" s="57"/>
      <c r="AC896" s="37"/>
      <c r="AD896" s="52"/>
      <c r="AE896" s="87"/>
      <c r="AG896" s="86"/>
      <c r="AH896" s="37"/>
      <c r="AI896" s="52"/>
      <c r="AJ896" s="87"/>
      <c r="AL896" s="86"/>
      <c r="AM896" s="37"/>
      <c r="AN896" s="52"/>
      <c r="AO896" s="87"/>
      <c r="AQ896" s="86"/>
      <c r="AR896" s="37"/>
      <c r="AS896" s="52"/>
      <c r="AT896" s="87"/>
    </row>
    <row r="897" spans="2:46" thickBot="1">
      <c r="B897" s="113"/>
      <c r="C897" s="324"/>
      <c r="D897" s="346"/>
      <c r="E897" s="326"/>
      <c r="F897" s="321" t="str">
        <f t="shared" si="66"/>
        <v/>
      </c>
      <c r="G897" s="334"/>
      <c r="H897" s="331"/>
      <c r="I897" s="107"/>
      <c r="J897" s="108"/>
      <c r="K897" s="109"/>
      <c r="L897" s="108"/>
      <c r="O897" s="86"/>
      <c r="P897" s="57"/>
      <c r="Q897" s="37"/>
      <c r="R897" s="92" t="str">
        <f t="shared" si="67"/>
        <v/>
      </c>
      <c r="S897" s="52"/>
      <c r="T897" s="87"/>
      <c r="U897" s="86"/>
      <c r="V897" s="201"/>
      <c r="W897" s="37"/>
      <c r="X897" s="52"/>
      <c r="Y897" s="87"/>
      <c r="AA897" s="86"/>
      <c r="AB897" s="57"/>
      <c r="AC897" s="37"/>
      <c r="AD897" s="52"/>
      <c r="AE897" s="87"/>
      <c r="AG897" s="86"/>
      <c r="AH897" s="37"/>
      <c r="AI897" s="52"/>
      <c r="AJ897" s="87"/>
      <c r="AL897" s="86"/>
      <c r="AM897" s="37"/>
      <c r="AN897" s="52"/>
      <c r="AO897" s="87"/>
      <c r="AQ897" s="86"/>
      <c r="AR897" s="37"/>
      <c r="AS897" s="52"/>
      <c r="AT897" s="87"/>
    </row>
    <row r="898" spans="2:46" thickBot="1">
      <c r="B898" s="113"/>
      <c r="C898" s="324"/>
      <c r="D898" s="346"/>
      <c r="E898" s="326"/>
      <c r="F898" s="321" t="str">
        <f t="shared" si="66"/>
        <v/>
      </c>
      <c r="G898" s="334"/>
      <c r="H898" s="331"/>
      <c r="I898" s="107"/>
      <c r="J898" s="108"/>
      <c r="K898" s="109"/>
      <c r="L898" s="108"/>
      <c r="O898" s="86"/>
      <c r="P898" s="57"/>
      <c r="Q898" s="37"/>
      <c r="R898" s="92" t="str">
        <f t="shared" si="67"/>
        <v/>
      </c>
      <c r="S898" s="52"/>
      <c r="T898" s="87"/>
      <c r="U898" s="86"/>
      <c r="V898" s="201"/>
      <c r="W898" s="37"/>
      <c r="X898" s="52"/>
      <c r="Y898" s="87"/>
      <c r="AA898" s="86"/>
      <c r="AB898" s="57"/>
      <c r="AC898" s="37"/>
      <c r="AD898" s="52"/>
      <c r="AE898" s="87"/>
      <c r="AG898" s="86"/>
      <c r="AH898" s="37"/>
      <c r="AI898" s="52"/>
      <c r="AJ898" s="87"/>
      <c r="AL898" s="86"/>
      <c r="AM898" s="37"/>
      <c r="AN898" s="52"/>
      <c r="AO898" s="87"/>
      <c r="AQ898" s="86"/>
      <c r="AR898" s="37"/>
      <c r="AS898" s="52"/>
      <c r="AT898" s="87"/>
    </row>
    <row r="899" spans="2:46" thickBot="1">
      <c r="B899" s="113"/>
      <c r="C899" s="324"/>
      <c r="D899" s="346"/>
      <c r="E899" s="326"/>
      <c r="F899" s="321" t="str">
        <f t="shared" si="66"/>
        <v/>
      </c>
      <c r="G899" s="334"/>
      <c r="H899" s="331"/>
      <c r="I899" s="107"/>
      <c r="J899" s="108"/>
      <c r="K899" s="109"/>
      <c r="L899" s="108"/>
      <c r="O899" s="86"/>
      <c r="P899" s="57"/>
      <c r="Q899" s="37"/>
      <c r="R899" s="92" t="str">
        <f t="shared" si="67"/>
        <v/>
      </c>
      <c r="S899" s="52"/>
      <c r="T899" s="87"/>
      <c r="U899" s="86"/>
      <c r="V899" s="201"/>
      <c r="W899" s="37"/>
      <c r="X899" s="52"/>
      <c r="Y899" s="87"/>
      <c r="AA899" s="86"/>
      <c r="AB899" s="57"/>
      <c r="AC899" s="37"/>
      <c r="AD899" s="52"/>
      <c r="AE899" s="87"/>
      <c r="AG899" s="86"/>
      <c r="AH899" s="37"/>
      <c r="AI899" s="52"/>
      <c r="AJ899" s="87"/>
      <c r="AL899" s="86"/>
      <c r="AM899" s="37"/>
      <c r="AN899" s="52"/>
      <c r="AO899" s="87"/>
      <c r="AQ899" s="86"/>
      <c r="AR899" s="37"/>
      <c r="AS899" s="52"/>
      <c r="AT899" s="87"/>
    </row>
    <row r="900" spans="2:46" thickBot="1">
      <c r="B900" s="113"/>
      <c r="C900" s="324"/>
      <c r="D900" s="346"/>
      <c r="E900" s="326"/>
      <c r="F900" s="321" t="str">
        <f t="shared" si="66"/>
        <v/>
      </c>
      <c r="G900" s="334"/>
      <c r="H900" s="331"/>
      <c r="I900" s="107"/>
      <c r="J900" s="108"/>
      <c r="K900" s="109"/>
      <c r="L900" s="108"/>
      <c r="O900" s="86"/>
      <c r="P900" s="57"/>
      <c r="Q900" s="37"/>
      <c r="R900" s="92" t="str">
        <f t="shared" si="67"/>
        <v/>
      </c>
      <c r="S900" s="52"/>
      <c r="T900" s="87"/>
      <c r="U900" s="86"/>
      <c r="V900" s="201"/>
      <c r="W900" s="37"/>
      <c r="X900" s="52"/>
      <c r="Y900" s="87"/>
      <c r="AA900" s="86"/>
      <c r="AB900" s="57"/>
      <c r="AC900" s="37"/>
      <c r="AD900" s="52"/>
      <c r="AE900" s="87"/>
      <c r="AG900" s="86"/>
      <c r="AH900" s="37"/>
      <c r="AI900" s="52"/>
      <c r="AJ900" s="87"/>
      <c r="AL900" s="86"/>
      <c r="AM900" s="37"/>
      <c r="AN900" s="52"/>
      <c r="AO900" s="87"/>
      <c r="AQ900" s="86"/>
      <c r="AR900" s="37"/>
      <c r="AS900" s="52"/>
      <c r="AT900" s="87"/>
    </row>
    <row r="901" spans="2:46" thickBot="1">
      <c r="B901" s="113"/>
      <c r="C901" s="324"/>
      <c r="D901" s="346"/>
      <c r="E901" s="326"/>
      <c r="F901" s="321" t="str">
        <f t="shared" si="66"/>
        <v/>
      </c>
      <c r="G901" s="334"/>
      <c r="H901" s="331"/>
      <c r="I901" s="107"/>
      <c r="J901" s="108"/>
      <c r="K901" s="109"/>
      <c r="L901" s="108"/>
      <c r="O901" s="86"/>
      <c r="P901" s="57"/>
      <c r="Q901" s="37"/>
      <c r="R901" s="92" t="str">
        <f t="shared" si="67"/>
        <v/>
      </c>
      <c r="S901" s="52"/>
      <c r="T901" s="87"/>
      <c r="U901" s="86"/>
      <c r="V901" s="201"/>
      <c r="W901" s="37"/>
      <c r="X901" s="52"/>
      <c r="Y901" s="87"/>
      <c r="AA901" s="86"/>
      <c r="AB901" s="57"/>
      <c r="AC901" s="37"/>
      <c r="AD901" s="52"/>
      <c r="AE901" s="87"/>
      <c r="AG901" s="86"/>
      <c r="AH901" s="37"/>
      <c r="AI901" s="52"/>
      <c r="AJ901" s="87"/>
      <c r="AL901" s="86"/>
      <c r="AM901" s="37"/>
      <c r="AN901" s="52"/>
      <c r="AO901" s="87"/>
      <c r="AQ901" s="86"/>
      <c r="AR901" s="37"/>
      <c r="AS901" s="52"/>
      <c r="AT901" s="87"/>
    </row>
    <row r="902" spans="2:46" thickBot="1">
      <c r="B902" s="113"/>
      <c r="C902" s="324"/>
      <c r="D902" s="346"/>
      <c r="E902" s="326"/>
      <c r="F902" s="321" t="str">
        <f t="shared" ref="F902:F965" si="68">IF(E902="","",ROUND(G902*(1+$F$2),2))</f>
        <v/>
      </c>
      <c r="G902" s="334"/>
      <c r="H902" s="331"/>
      <c r="I902" s="107"/>
      <c r="J902" s="108"/>
      <c r="K902" s="109"/>
      <c r="L902" s="108"/>
      <c r="O902" s="86"/>
      <c r="P902" s="57"/>
      <c r="Q902" s="37"/>
      <c r="R902" s="92" t="str">
        <f t="shared" si="67"/>
        <v/>
      </c>
      <c r="S902" s="52"/>
      <c r="T902" s="87"/>
      <c r="U902" s="86"/>
      <c r="V902" s="201"/>
      <c r="W902" s="37"/>
      <c r="X902" s="52"/>
      <c r="Y902" s="87"/>
      <c r="AA902" s="86"/>
      <c r="AB902" s="57"/>
      <c r="AC902" s="37"/>
      <c r="AD902" s="52"/>
      <c r="AE902" s="87"/>
      <c r="AG902" s="86"/>
      <c r="AH902" s="37"/>
      <c r="AI902" s="52"/>
      <c r="AJ902" s="87"/>
      <c r="AL902" s="86"/>
      <c r="AM902" s="37"/>
      <c r="AN902" s="52"/>
      <c r="AO902" s="87"/>
      <c r="AQ902" s="86"/>
      <c r="AR902" s="37"/>
      <c r="AS902" s="52"/>
      <c r="AT902" s="87"/>
    </row>
    <row r="903" spans="2:46" thickBot="1">
      <c r="B903" s="113"/>
      <c r="C903" s="324"/>
      <c r="D903" s="346"/>
      <c r="E903" s="326"/>
      <c r="F903" s="321" t="str">
        <f t="shared" si="68"/>
        <v/>
      </c>
      <c r="G903" s="334"/>
      <c r="H903" s="331"/>
      <c r="I903" s="107"/>
      <c r="J903" s="108"/>
      <c r="K903" s="109"/>
      <c r="L903" s="108"/>
      <c r="O903" s="86"/>
      <c r="P903" s="57"/>
      <c r="Q903" s="37"/>
      <c r="R903" s="92" t="str">
        <f t="shared" si="67"/>
        <v/>
      </c>
      <c r="S903" s="52"/>
      <c r="T903" s="87"/>
      <c r="U903" s="86"/>
      <c r="V903" s="201"/>
      <c r="W903" s="37"/>
      <c r="X903" s="52"/>
      <c r="Y903" s="87"/>
      <c r="AA903" s="86"/>
      <c r="AB903" s="57"/>
      <c r="AC903" s="37"/>
      <c r="AD903" s="52"/>
      <c r="AE903" s="87"/>
      <c r="AG903" s="86"/>
      <c r="AH903" s="37"/>
      <c r="AI903" s="52"/>
      <c r="AJ903" s="87"/>
      <c r="AL903" s="86"/>
      <c r="AM903" s="37"/>
      <c r="AN903" s="52"/>
      <c r="AO903" s="87"/>
      <c r="AQ903" s="86"/>
      <c r="AR903" s="37"/>
      <c r="AS903" s="52"/>
      <c r="AT903" s="87"/>
    </row>
    <row r="904" spans="2:46" thickBot="1">
      <c r="B904" s="113"/>
      <c r="C904" s="324"/>
      <c r="D904" s="346"/>
      <c r="E904" s="326"/>
      <c r="F904" s="321" t="str">
        <f t="shared" si="68"/>
        <v/>
      </c>
      <c r="G904" s="334"/>
      <c r="H904" s="331"/>
      <c r="I904" s="107"/>
      <c r="J904" s="108"/>
      <c r="K904" s="109"/>
      <c r="L904" s="108"/>
      <c r="O904" s="86"/>
      <c r="P904" s="57"/>
      <c r="Q904" s="37"/>
      <c r="R904" s="92" t="str">
        <f t="shared" si="67"/>
        <v/>
      </c>
      <c r="S904" s="52"/>
      <c r="T904" s="87"/>
      <c r="U904" s="86"/>
      <c r="V904" s="201"/>
      <c r="W904" s="37"/>
      <c r="X904" s="52"/>
      <c r="Y904" s="87"/>
      <c r="AA904" s="86"/>
      <c r="AB904" s="57"/>
      <c r="AC904" s="37"/>
      <c r="AD904" s="52"/>
      <c r="AE904" s="87"/>
      <c r="AG904" s="86"/>
      <c r="AH904" s="37"/>
      <c r="AI904" s="52"/>
      <c r="AJ904" s="87"/>
      <c r="AL904" s="86"/>
      <c r="AM904" s="37"/>
      <c r="AN904" s="52"/>
      <c r="AO904" s="87"/>
      <c r="AQ904" s="86"/>
      <c r="AR904" s="37"/>
      <c r="AS904" s="52"/>
      <c r="AT904" s="87"/>
    </row>
    <row r="905" spans="2:46" thickBot="1">
      <c r="B905" s="113"/>
      <c r="C905" s="324"/>
      <c r="D905" s="346"/>
      <c r="E905" s="326"/>
      <c r="F905" s="321" t="str">
        <f t="shared" si="68"/>
        <v/>
      </c>
      <c r="G905" s="334"/>
      <c r="H905" s="331"/>
      <c r="I905" s="107"/>
      <c r="J905" s="108"/>
      <c r="K905" s="109"/>
      <c r="L905" s="108"/>
      <c r="O905" s="86"/>
      <c r="P905" s="57"/>
      <c r="Q905" s="37"/>
      <c r="R905" s="92" t="str">
        <f t="shared" si="67"/>
        <v/>
      </c>
      <c r="S905" s="52"/>
      <c r="T905" s="87"/>
      <c r="U905" s="86"/>
      <c r="V905" s="201"/>
      <c r="W905" s="37"/>
      <c r="X905" s="52"/>
      <c r="Y905" s="87"/>
      <c r="AA905" s="86"/>
      <c r="AB905" s="57"/>
      <c r="AC905" s="37"/>
      <c r="AD905" s="52"/>
      <c r="AE905" s="87"/>
      <c r="AG905" s="86"/>
      <c r="AH905" s="37"/>
      <c r="AI905" s="52"/>
      <c r="AJ905" s="87"/>
      <c r="AL905" s="86"/>
      <c r="AM905" s="37"/>
      <c r="AN905" s="52"/>
      <c r="AO905" s="87"/>
      <c r="AQ905" s="86"/>
      <c r="AR905" s="37"/>
      <c r="AS905" s="52"/>
      <c r="AT905" s="87"/>
    </row>
    <row r="906" spans="2:46" thickBot="1">
      <c r="B906" s="113"/>
      <c r="C906" s="324"/>
      <c r="D906" s="346"/>
      <c r="E906" s="326"/>
      <c r="F906" s="321" t="str">
        <f t="shared" si="68"/>
        <v/>
      </c>
      <c r="G906" s="334"/>
      <c r="H906" s="331"/>
      <c r="I906" s="107"/>
      <c r="J906" s="108"/>
      <c r="K906" s="109"/>
      <c r="L906" s="108"/>
      <c r="O906" s="86"/>
      <c r="P906" s="57"/>
      <c r="Q906" s="37"/>
      <c r="R906" s="92" t="str">
        <f t="shared" si="67"/>
        <v/>
      </c>
      <c r="S906" s="52"/>
      <c r="T906" s="87"/>
      <c r="U906" s="86"/>
      <c r="V906" s="201"/>
      <c r="W906" s="37"/>
      <c r="X906" s="52"/>
      <c r="Y906" s="87"/>
      <c r="AA906" s="86"/>
      <c r="AB906" s="57"/>
      <c r="AC906" s="37"/>
      <c r="AD906" s="52"/>
      <c r="AE906" s="87"/>
      <c r="AG906" s="86"/>
      <c r="AH906" s="37"/>
      <c r="AI906" s="52"/>
      <c r="AJ906" s="87"/>
      <c r="AL906" s="86"/>
      <c r="AM906" s="37"/>
      <c r="AN906" s="52"/>
      <c r="AO906" s="87"/>
      <c r="AQ906" s="86"/>
      <c r="AR906" s="37"/>
      <c r="AS906" s="52"/>
      <c r="AT906" s="87"/>
    </row>
    <row r="907" spans="2:46" thickBot="1">
      <c r="B907" s="113"/>
      <c r="C907" s="324"/>
      <c r="D907" s="346"/>
      <c r="E907" s="326"/>
      <c r="F907" s="321" t="str">
        <f t="shared" si="68"/>
        <v/>
      </c>
      <c r="G907" s="334"/>
      <c r="H907" s="331"/>
      <c r="I907" s="107"/>
      <c r="J907" s="108"/>
      <c r="K907" s="109"/>
      <c r="L907" s="108"/>
      <c r="O907" s="86"/>
      <c r="P907" s="57"/>
      <c r="Q907" s="37"/>
      <c r="R907" s="92" t="str">
        <f t="shared" si="67"/>
        <v/>
      </c>
      <c r="S907" s="52"/>
      <c r="T907" s="87"/>
      <c r="U907" s="86"/>
      <c r="V907" s="201"/>
      <c r="W907" s="37"/>
      <c r="X907" s="52"/>
      <c r="Y907" s="87"/>
      <c r="AA907" s="86"/>
      <c r="AB907" s="57"/>
      <c r="AC907" s="37"/>
      <c r="AD907" s="52"/>
      <c r="AE907" s="87"/>
      <c r="AG907" s="86"/>
      <c r="AH907" s="37"/>
      <c r="AI907" s="52"/>
      <c r="AJ907" s="87"/>
      <c r="AL907" s="86"/>
      <c r="AM907" s="37"/>
      <c r="AN907" s="52"/>
      <c r="AO907" s="87"/>
      <c r="AQ907" s="86"/>
      <c r="AR907" s="37"/>
      <c r="AS907" s="52"/>
      <c r="AT907" s="87"/>
    </row>
    <row r="908" spans="2:46" thickBot="1">
      <c r="B908" s="113"/>
      <c r="C908" s="324"/>
      <c r="D908" s="346"/>
      <c r="E908" s="326"/>
      <c r="F908" s="321" t="str">
        <f t="shared" si="68"/>
        <v/>
      </c>
      <c r="G908" s="334"/>
      <c r="H908" s="331"/>
      <c r="I908" s="107"/>
      <c r="J908" s="108"/>
      <c r="K908" s="109"/>
      <c r="L908" s="108"/>
      <c r="O908" s="86"/>
      <c r="P908" s="57"/>
      <c r="Q908" s="37"/>
      <c r="R908" s="92" t="str">
        <f t="shared" si="67"/>
        <v/>
      </c>
      <c r="S908" s="52"/>
      <c r="T908" s="87"/>
      <c r="U908" s="86"/>
      <c r="V908" s="201"/>
      <c r="W908" s="37"/>
      <c r="X908" s="52"/>
      <c r="Y908" s="87"/>
      <c r="AA908" s="86"/>
      <c r="AB908" s="57"/>
      <c r="AC908" s="37"/>
      <c r="AD908" s="52"/>
      <c r="AE908" s="87"/>
      <c r="AG908" s="86"/>
      <c r="AH908" s="37"/>
      <c r="AI908" s="52"/>
      <c r="AJ908" s="87"/>
      <c r="AL908" s="86"/>
      <c r="AM908" s="37"/>
      <c r="AN908" s="52"/>
      <c r="AO908" s="87"/>
      <c r="AQ908" s="86"/>
      <c r="AR908" s="37"/>
      <c r="AS908" s="52"/>
      <c r="AT908" s="87"/>
    </row>
    <row r="909" spans="2:46" thickBot="1">
      <c r="B909" s="113"/>
      <c r="C909" s="324"/>
      <c r="D909" s="346"/>
      <c r="E909" s="326"/>
      <c r="F909" s="321" t="str">
        <f t="shared" si="68"/>
        <v/>
      </c>
      <c r="G909" s="334"/>
      <c r="H909" s="331"/>
      <c r="I909" s="107"/>
      <c r="J909" s="108"/>
      <c r="K909" s="109"/>
      <c r="L909" s="108"/>
      <c r="O909" s="86"/>
      <c r="P909" s="57"/>
      <c r="Q909" s="37"/>
      <c r="R909" s="92" t="str">
        <f t="shared" si="67"/>
        <v/>
      </c>
      <c r="S909" s="52"/>
      <c r="T909" s="87"/>
      <c r="U909" s="86"/>
      <c r="V909" s="201"/>
      <c r="W909" s="37"/>
      <c r="X909" s="52"/>
      <c r="Y909" s="87"/>
      <c r="AA909" s="86"/>
      <c r="AB909" s="57"/>
      <c r="AC909" s="37"/>
      <c r="AD909" s="52"/>
      <c r="AE909" s="87"/>
      <c r="AG909" s="86"/>
      <c r="AH909" s="37"/>
      <c r="AI909" s="52"/>
      <c r="AJ909" s="87"/>
      <c r="AL909" s="86"/>
      <c r="AM909" s="37"/>
      <c r="AN909" s="52"/>
      <c r="AO909" s="87"/>
      <c r="AQ909" s="86"/>
      <c r="AR909" s="37"/>
      <c r="AS909" s="52"/>
      <c r="AT909" s="87"/>
    </row>
    <row r="910" spans="2:46" thickBot="1">
      <c r="B910" s="113"/>
      <c r="C910" s="324"/>
      <c r="D910" s="346"/>
      <c r="E910" s="326"/>
      <c r="F910" s="321" t="str">
        <f t="shared" si="68"/>
        <v/>
      </c>
      <c r="G910" s="334"/>
      <c r="H910" s="331"/>
      <c r="I910" s="107"/>
      <c r="J910" s="108"/>
      <c r="K910" s="109"/>
      <c r="L910" s="108"/>
      <c r="O910" s="86"/>
      <c r="P910" s="57"/>
      <c r="Q910" s="37"/>
      <c r="R910" s="92" t="str">
        <f t="shared" si="67"/>
        <v/>
      </c>
      <c r="S910" s="52"/>
      <c r="T910" s="87"/>
      <c r="U910" s="86"/>
      <c r="V910" s="201"/>
      <c r="W910" s="37"/>
      <c r="X910" s="52"/>
      <c r="Y910" s="87"/>
      <c r="AA910" s="86"/>
      <c r="AB910" s="57"/>
      <c r="AC910" s="37"/>
      <c r="AD910" s="52"/>
      <c r="AE910" s="87"/>
      <c r="AG910" s="86"/>
      <c r="AH910" s="37"/>
      <c r="AI910" s="52"/>
      <c r="AJ910" s="87"/>
      <c r="AL910" s="86"/>
      <c r="AM910" s="37"/>
      <c r="AN910" s="52"/>
      <c r="AO910" s="87"/>
      <c r="AQ910" s="86"/>
      <c r="AR910" s="37"/>
      <c r="AS910" s="52"/>
      <c r="AT910" s="87"/>
    </row>
    <row r="911" spans="2:46" thickBot="1">
      <c r="B911" s="113"/>
      <c r="C911" s="324"/>
      <c r="D911" s="346"/>
      <c r="E911" s="326"/>
      <c r="F911" s="321" t="str">
        <f t="shared" si="68"/>
        <v/>
      </c>
      <c r="G911" s="334"/>
      <c r="H911" s="331"/>
      <c r="I911" s="107"/>
      <c r="J911" s="108"/>
      <c r="K911" s="109"/>
      <c r="L911" s="108"/>
      <c r="O911" s="86"/>
      <c r="P911" s="57"/>
      <c r="Q911" s="37"/>
      <c r="R911" s="92" t="str">
        <f t="shared" si="67"/>
        <v/>
      </c>
      <c r="S911" s="52"/>
      <c r="T911" s="87"/>
      <c r="U911" s="86"/>
      <c r="V911" s="201"/>
      <c r="W911" s="37"/>
      <c r="X911" s="52"/>
      <c r="Y911" s="87"/>
      <c r="AA911" s="86"/>
      <c r="AB911" s="57"/>
      <c r="AC911" s="37"/>
      <c r="AD911" s="52"/>
      <c r="AE911" s="87"/>
      <c r="AG911" s="86"/>
      <c r="AH911" s="37"/>
      <c r="AI911" s="52"/>
      <c r="AJ911" s="87"/>
      <c r="AL911" s="86"/>
      <c r="AM911" s="37"/>
      <c r="AN911" s="52"/>
      <c r="AO911" s="87"/>
      <c r="AQ911" s="86"/>
      <c r="AR911" s="37"/>
      <c r="AS911" s="52"/>
      <c r="AT911" s="87"/>
    </row>
    <row r="912" spans="2:46" thickBot="1">
      <c r="B912" s="113"/>
      <c r="C912" s="324"/>
      <c r="D912" s="346"/>
      <c r="E912" s="326"/>
      <c r="F912" s="321" t="str">
        <f t="shared" si="68"/>
        <v/>
      </c>
      <c r="G912" s="334"/>
      <c r="H912" s="331"/>
      <c r="I912" s="107"/>
      <c r="J912" s="108"/>
      <c r="K912" s="109"/>
      <c r="L912" s="108"/>
      <c r="O912" s="86"/>
      <c r="P912" s="57"/>
      <c r="Q912" s="37"/>
      <c r="R912" s="92" t="str">
        <f t="shared" si="67"/>
        <v/>
      </c>
      <c r="S912" s="52"/>
      <c r="T912" s="87"/>
      <c r="U912" s="86"/>
      <c r="V912" s="201"/>
      <c r="W912" s="37"/>
      <c r="X912" s="52"/>
      <c r="Y912" s="87"/>
      <c r="AA912" s="86"/>
      <c r="AB912" s="57"/>
      <c r="AC912" s="37"/>
      <c r="AD912" s="52"/>
      <c r="AE912" s="87"/>
      <c r="AG912" s="86"/>
      <c r="AH912" s="37"/>
      <c r="AI912" s="52"/>
      <c r="AJ912" s="87"/>
      <c r="AL912" s="86"/>
      <c r="AM912" s="37"/>
      <c r="AN912" s="52"/>
      <c r="AO912" s="87"/>
      <c r="AQ912" s="86"/>
      <c r="AR912" s="37"/>
      <c r="AS912" s="52"/>
      <c r="AT912" s="87"/>
    </row>
    <row r="913" spans="2:46" thickBot="1">
      <c r="B913" s="113"/>
      <c r="C913" s="324"/>
      <c r="D913" s="346"/>
      <c r="E913" s="326"/>
      <c r="F913" s="321" t="str">
        <f t="shared" si="68"/>
        <v/>
      </c>
      <c r="G913" s="334"/>
      <c r="H913" s="331"/>
      <c r="I913" s="107"/>
      <c r="J913" s="108"/>
      <c r="K913" s="109"/>
      <c r="L913" s="108"/>
      <c r="O913" s="86"/>
      <c r="P913" s="57"/>
      <c r="Q913" s="37"/>
      <c r="R913" s="92" t="str">
        <f t="shared" si="67"/>
        <v/>
      </c>
      <c r="S913" s="52"/>
      <c r="T913" s="87"/>
      <c r="U913" s="86"/>
      <c r="V913" s="201"/>
      <c r="W913" s="37"/>
      <c r="X913" s="52"/>
      <c r="Y913" s="87"/>
      <c r="AA913" s="86"/>
      <c r="AB913" s="57"/>
      <c r="AC913" s="37"/>
      <c r="AD913" s="52"/>
      <c r="AE913" s="87"/>
      <c r="AG913" s="86"/>
      <c r="AH913" s="37"/>
      <c r="AI913" s="52"/>
      <c r="AJ913" s="87"/>
      <c r="AL913" s="86"/>
      <c r="AM913" s="37"/>
      <c r="AN913" s="52"/>
      <c r="AO913" s="87"/>
      <c r="AQ913" s="86"/>
      <c r="AR913" s="37"/>
      <c r="AS913" s="52"/>
      <c r="AT913" s="87"/>
    </row>
    <row r="914" spans="2:46" thickBot="1">
      <c r="B914" s="113"/>
      <c r="C914" s="324"/>
      <c r="D914" s="346"/>
      <c r="E914" s="326"/>
      <c r="F914" s="321" t="str">
        <f t="shared" si="68"/>
        <v/>
      </c>
      <c r="G914" s="334"/>
      <c r="H914" s="331"/>
      <c r="I914" s="107"/>
      <c r="J914" s="108"/>
      <c r="K914" s="109"/>
      <c r="L914" s="108"/>
      <c r="O914" s="86"/>
      <c r="P914" s="57"/>
      <c r="Q914" s="37"/>
      <c r="R914" s="92" t="str">
        <f t="shared" si="67"/>
        <v/>
      </c>
      <c r="S914" s="52"/>
      <c r="T914" s="87"/>
      <c r="U914" s="86"/>
      <c r="V914" s="201"/>
      <c r="W914" s="37"/>
      <c r="X914" s="52"/>
      <c r="Y914" s="87"/>
      <c r="AA914" s="86"/>
      <c r="AB914" s="57"/>
      <c r="AC914" s="37"/>
      <c r="AD914" s="52"/>
      <c r="AE914" s="87"/>
      <c r="AG914" s="86"/>
      <c r="AH914" s="37"/>
      <c r="AI914" s="52"/>
      <c r="AJ914" s="87"/>
      <c r="AL914" s="86"/>
      <c r="AM914" s="37"/>
      <c r="AN914" s="52"/>
      <c r="AO914" s="87"/>
      <c r="AQ914" s="86"/>
      <c r="AR914" s="37"/>
      <c r="AS914" s="52"/>
      <c r="AT914" s="87"/>
    </row>
    <row r="915" spans="2:46" thickBot="1">
      <c r="B915" s="113"/>
      <c r="C915" s="324"/>
      <c r="D915" s="346"/>
      <c r="E915" s="326"/>
      <c r="F915" s="321" t="str">
        <f t="shared" si="68"/>
        <v/>
      </c>
      <c r="G915" s="334"/>
      <c r="H915" s="331"/>
      <c r="I915" s="107"/>
      <c r="J915" s="108"/>
      <c r="K915" s="109"/>
      <c r="L915" s="108"/>
      <c r="O915" s="86"/>
      <c r="P915" s="57"/>
      <c r="Q915" s="37"/>
      <c r="R915" s="92" t="str">
        <f t="shared" si="67"/>
        <v/>
      </c>
      <c r="S915" s="52"/>
      <c r="T915" s="87"/>
      <c r="U915" s="86"/>
      <c r="V915" s="201"/>
      <c r="W915" s="37"/>
      <c r="X915" s="52"/>
      <c r="Y915" s="87"/>
      <c r="AA915" s="86"/>
      <c r="AB915" s="57"/>
      <c r="AC915" s="37"/>
      <c r="AD915" s="52"/>
      <c r="AE915" s="87"/>
      <c r="AG915" s="86"/>
      <c r="AH915" s="37"/>
      <c r="AI915" s="52"/>
      <c r="AJ915" s="87"/>
      <c r="AL915" s="86"/>
      <c r="AM915" s="37"/>
      <c r="AN915" s="52"/>
      <c r="AO915" s="87"/>
      <c r="AQ915" s="86"/>
      <c r="AR915" s="37"/>
      <c r="AS915" s="52"/>
      <c r="AT915" s="87"/>
    </row>
    <row r="916" spans="2:46" thickBot="1">
      <c r="B916" s="113"/>
      <c r="C916" s="324"/>
      <c r="D916" s="346"/>
      <c r="E916" s="326"/>
      <c r="F916" s="321" t="str">
        <f t="shared" si="68"/>
        <v/>
      </c>
      <c r="G916" s="334"/>
      <c r="H916" s="331"/>
      <c r="I916" s="107"/>
      <c r="J916" s="108"/>
      <c r="K916" s="109"/>
      <c r="L916" s="108"/>
      <c r="O916" s="86"/>
      <c r="P916" s="57"/>
      <c r="Q916" s="37"/>
      <c r="R916" s="92" t="str">
        <f t="shared" si="67"/>
        <v/>
      </c>
      <c r="S916" s="52"/>
      <c r="T916" s="87"/>
      <c r="U916" s="86"/>
      <c r="V916" s="201"/>
      <c r="W916" s="37"/>
      <c r="X916" s="52"/>
      <c r="Y916" s="87"/>
      <c r="AA916" s="86"/>
      <c r="AB916" s="57"/>
      <c r="AC916" s="37"/>
      <c r="AD916" s="52"/>
      <c r="AE916" s="87"/>
      <c r="AG916" s="86"/>
      <c r="AH916" s="37"/>
      <c r="AI916" s="52"/>
      <c r="AJ916" s="87"/>
      <c r="AL916" s="86"/>
      <c r="AM916" s="37"/>
      <c r="AN916" s="52"/>
      <c r="AO916" s="87"/>
      <c r="AQ916" s="86"/>
      <c r="AR916" s="37"/>
      <c r="AS916" s="52"/>
      <c r="AT916" s="87"/>
    </row>
    <row r="917" spans="2:46" thickBot="1">
      <c r="B917" s="113"/>
      <c r="C917" s="324"/>
      <c r="D917" s="346"/>
      <c r="E917" s="326"/>
      <c r="F917" s="321" t="str">
        <f t="shared" si="68"/>
        <v/>
      </c>
      <c r="G917" s="334"/>
      <c r="H917" s="331"/>
      <c r="I917" s="107"/>
      <c r="J917" s="108"/>
      <c r="K917" s="109"/>
      <c r="L917" s="108"/>
      <c r="O917" s="86"/>
      <c r="P917" s="57"/>
      <c r="Q917" s="37"/>
      <c r="R917" s="92" t="str">
        <f t="shared" si="67"/>
        <v/>
      </c>
      <c r="S917" s="52"/>
      <c r="T917" s="87"/>
      <c r="U917" s="86"/>
      <c r="V917" s="201"/>
      <c r="W917" s="37"/>
      <c r="X917" s="52"/>
      <c r="Y917" s="87"/>
      <c r="AA917" s="86"/>
      <c r="AB917" s="57"/>
      <c r="AC917" s="37"/>
      <c r="AD917" s="52"/>
      <c r="AE917" s="87"/>
      <c r="AG917" s="86"/>
      <c r="AH917" s="37"/>
      <c r="AI917" s="52"/>
      <c r="AJ917" s="87"/>
      <c r="AL917" s="86"/>
      <c r="AM917" s="37"/>
      <c r="AN917" s="52"/>
      <c r="AO917" s="87"/>
      <c r="AQ917" s="86"/>
      <c r="AR917" s="37"/>
      <c r="AS917" s="52"/>
      <c r="AT917" s="87"/>
    </row>
    <row r="918" spans="2:46" thickBot="1">
      <c r="B918" s="113"/>
      <c r="C918" s="324"/>
      <c r="D918" s="346"/>
      <c r="E918" s="326"/>
      <c r="F918" s="321" t="str">
        <f t="shared" si="68"/>
        <v/>
      </c>
      <c r="G918" s="334"/>
      <c r="H918" s="331"/>
      <c r="I918" s="107"/>
      <c r="J918" s="108"/>
      <c r="K918" s="109"/>
      <c r="L918" s="108"/>
      <c r="O918" s="86"/>
      <c r="P918" s="57"/>
      <c r="Q918" s="37"/>
      <c r="R918" s="92" t="str">
        <f t="shared" si="67"/>
        <v/>
      </c>
      <c r="S918" s="52"/>
      <c r="T918" s="87"/>
      <c r="U918" s="86"/>
      <c r="V918" s="201"/>
      <c r="W918" s="37"/>
      <c r="X918" s="52"/>
      <c r="Y918" s="87"/>
      <c r="AA918" s="86"/>
      <c r="AB918" s="57"/>
      <c r="AC918" s="37"/>
      <c r="AD918" s="52"/>
      <c r="AE918" s="87"/>
      <c r="AG918" s="86"/>
      <c r="AH918" s="37"/>
      <c r="AI918" s="52"/>
      <c r="AJ918" s="87"/>
      <c r="AL918" s="86"/>
      <c r="AM918" s="37"/>
      <c r="AN918" s="52"/>
      <c r="AO918" s="87"/>
      <c r="AQ918" s="86"/>
      <c r="AR918" s="37"/>
      <c r="AS918" s="52"/>
      <c r="AT918" s="87"/>
    </row>
    <row r="919" spans="2:46" thickBot="1">
      <c r="B919" s="113"/>
      <c r="C919" s="324"/>
      <c r="D919" s="346"/>
      <c r="E919" s="326"/>
      <c r="F919" s="321" t="str">
        <f t="shared" si="68"/>
        <v/>
      </c>
      <c r="G919" s="334"/>
      <c r="H919" s="331"/>
      <c r="I919" s="107"/>
      <c r="J919" s="108"/>
      <c r="K919" s="109"/>
      <c r="L919" s="108"/>
      <c r="O919" s="86"/>
      <c r="P919" s="57"/>
      <c r="Q919" s="37"/>
      <c r="R919" s="92" t="str">
        <f t="shared" si="67"/>
        <v/>
      </c>
      <c r="S919" s="52"/>
      <c r="T919" s="87"/>
      <c r="U919" s="86"/>
      <c r="V919" s="201"/>
      <c r="W919" s="37"/>
      <c r="X919" s="52"/>
      <c r="Y919" s="87"/>
      <c r="AA919" s="86"/>
      <c r="AB919" s="57"/>
      <c r="AC919" s="37"/>
      <c r="AD919" s="52"/>
      <c r="AE919" s="87"/>
      <c r="AG919" s="86"/>
      <c r="AH919" s="37"/>
      <c r="AI919" s="52"/>
      <c r="AJ919" s="87"/>
      <c r="AL919" s="86"/>
      <c r="AM919" s="37"/>
      <c r="AN919" s="52"/>
      <c r="AO919" s="87"/>
      <c r="AQ919" s="86"/>
      <c r="AR919" s="37"/>
      <c r="AS919" s="52"/>
      <c r="AT919" s="87"/>
    </row>
    <row r="920" spans="2:46" thickBot="1">
      <c r="B920" s="113"/>
      <c r="C920" s="324"/>
      <c r="D920" s="346"/>
      <c r="E920" s="326"/>
      <c r="F920" s="321" t="str">
        <f t="shared" si="68"/>
        <v/>
      </c>
      <c r="G920" s="334"/>
      <c r="H920" s="331"/>
      <c r="I920" s="107"/>
      <c r="J920" s="108"/>
      <c r="K920" s="109"/>
      <c r="L920" s="108"/>
      <c r="O920" s="86"/>
      <c r="P920" s="57"/>
      <c r="Q920" s="37"/>
      <c r="R920" s="92" t="str">
        <f t="shared" si="67"/>
        <v/>
      </c>
      <c r="S920" s="52"/>
      <c r="T920" s="87"/>
      <c r="U920" s="86"/>
      <c r="V920" s="201"/>
      <c r="W920" s="37"/>
      <c r="X920" s="52"/>
      <c r="Y920" s="87"/>
      <c r="AA920" s="86"/>
      <c r="AB920" s="57"/>
      <c r="AC920" s="37"/>
      <c r="AD920" s="52"/>
      <c r="AE920" s="87"/>
      <c r="AG920" s="86"/>
      <c r="AH920" s="37"/>
      <c r="AI920" s="52"/>
      <c r="AJ920" s="87"/>
      <c r="AL920" s="86"/>
      <c r="AM920" s="37"/>
      <c r="AN920" s="52"/>
      <c r="AO920" s="87"/>
      <c r="AQ920" s="86"/>
      <c r="AR920" s="37"/>
      <c r="AS920" s="52"/>
      <c r="AT920" s="87"/>
    </row>
    <row r="921" spans="2:46" thickBot="1">
      <c r="B921" s="113"/>
      <c r="C921" s="324"/>
      <c r="D921" s="346"/>
      <c r="E921" s="326"/>
      <c r="F921" s="321" t="str">
        <f t="shared" si="68"/>
        <v/>
      </c>
      <c r="G921" s="334"/>
      <c r="H921" s="331"/>
      <c r="I921" s="107"/>
      <c r="J921" s="108"/>
      <c r="K921" s="109"/>
      <c r="L921" s="108"/>
      <c r="O921" s="86"/>
      <c r="P921" s="57"/>
      <c r="Q921" s="37"/>
      <c r="R921" s="92" t="str">
        <f t="shared" si="67"/>
        <v/>
      </c>
      <c r="S921" s="52"/>
      <c r="T921" s="87"/>
      <c r="U921" s="86"/>
      <c r="V921" s="201"/>
      <c r="W921" s="37"/>
      <c r="X921" s="52"/>
      <c r="Y921" s="87"/>
      <c r="AA921" s="86"/>
      <c r="AB921" s="57"/>
      <c r="AC921" s="37"/>
      <c r="AD921" s="52"/>
      <c r="AE921" s="87"/>
      <c r="AG921" s="86"/>
      <c r="AH921" s="37"/>
      <c r="AI921" s="52"/>
      <c r="AJ921" s="87"/>
      <c r="AL921" s="86"/>
      <c r="AM921" s="37"/>
      <c r="AN921" s="52"/>
      <c r="AO921" s="87"/>
      <c r="AQ921" s="86"/>
      <c r="AR921" s="37"/>
      <c r="AS921" s="52"/>
      <c r="AT921" s="87"/>
    </row>
    <row r="922" spans="2:46" thickBot="1">
      <c r="B922" s="113"/>
      <c r="C922" s="324"/>
      <c r="D922" s="346"/>
      <c r="E922" s="326"/>
      <c r="F922" s="321" t="str">
        <f t="shared" si="68"/>
        <v/>
      </c>
      <c r="G922" s="334"/>
      <c r="H922" s="331"/>
      <c r="I922" s="107"/>
      <c r="J922" s="108"/>
      <c r="K922" s="109"/>
      <c r="L922" s="108"/>
      <c r="O922" s="86"/>
      <c r="P922" s="57"/>
      <c r="Q922" s="37"/>
      <c r="R922" s="92" t="str">
        <f t="shared" si="67"/>
        <v/>
      </c>
      <c r="S922" s="52"/>
      <c r="T922" s="87"/>
      <c r="U922" s="86"/>
      <c r="V922" s="201"/>
      <c r="W922" s="37"/>
      <c r="X922" s="52"/>
      <c r="Y922" s="87"/>
      <c r="AA922" s="86"/>
      <c r="AB922" s="57"/>
      <c r="AC922" s="37"/>
      <c r="AD922" s="52"/>
      <c r="AE922" s="87"/>
      <c r="AG922" s="86"/>
      <c r="AH922" s="37"/>
      <c r="AI922" s="52"/>
      <c r="AJ922" s="87"/>
      <c r="AL922" s="86"/>
      <c r="AM922" s="37"/>
      <c r="AN922" s="52"/>
      <c r="AO922" s="87"/>
      <c r="AQ922" s="86"/>
      <c r="AR922" s="37"/>
      <c r="AS922" s="52"/>
      <c r="AT922" s="87"/>
    </row>
    <row r="923" spans="2:46" thickBot="1">
      <c r="B923" s="113"/>
      <c r="C923" s="324"/>
      <c r="D923" s="346"/>
      <c r="E923" s="326"/>
      <c r="F923" s="321" t="str">
        <f t="shared" si="68"/>
        <v/>
      </c>
      <c r="G923" s="334"/>
      <c r="H923" s="331"/>
      <c r="I923" s="107"/>
      <c r="J923" s="108"/>
      <c r="K923" s="109"/>
      <c r="L923" s="108"/>
      <c r="O923" s="86"/>
      <c r="P923" s="57"/>
      <c r="Q923" s="37"/>
      <c r="R923" s="92" t="str">
        <f t="shared" si="67"/>
        <v/>
      </c>
      <c r="S923" s="52"/>
      <c r="T923" s="87"/>
      <c r="U923" s="86"/>
      <c r="V923" s="201"/>
      <c r="W923" s="37"/>
      <c r="X923" s="52"/>
      <c r="Y923" s="87"/>
      <c r="AA923" s="86"/>
      <c r="AB923" s="57"/>
      <c r="AC923" s="37"/>
      <c r="AD923" s="52"/>
      <c r="AE923" s="87"/>
      <c r="AG923" s="86"/>
      <c r="AH923" s="37"/>
      <c r="AI923" s="52"/>
      <c r="AJ923" s="87"/>
      <c r="AL923" s="86"/>
      <c r="AM923" s="37"/>
      <c r="AN923" s="52"/>
      <c r="AO923" s="87"/>
      <c r="AQ923" s="86"/>
      <c r="AR923" s="37"/>
      <c r="AS923" s="52"/>
      <c r="AT923" s="87"/>
    </row>
    <row r="924" spans="2:46" thickBot="1">
      <c r="B924" s="113"/>
      <c r="C924" s="324"/>
      <c r="D924" s="346"/>
      <c r="E924" s="326"/>
      <c r="F924" s="321" t="str">
        <f t="shared" si="68"/>
        <v/>
      </c>
      <c r="G924" s="334"/>
      <c r="H924" s="331"/>
      <c r="I924" s="107"/>
      <c r="J924" s="108"/>
      <c r="K924" s="109"/>
      <c r="L924" s="108"/>
      <c r="O924" s="86"/>
      <c r="P924" s="57"/>
      <c r="Q924" s="37"/>
      <c r="R924" s="92" t="str">
        <f t="shared" si="67"/>
        <v/>
      </c>
      <c r="S924" s="52"/>
      <c r="T924" s="87"/>
      <c r="U924" s="86"/>
      <c r="V924" s="201"/>
      <c r="W924" s="37"/>
      <c r="X924" s="52"/>
      <c r="Y924" s="87"/>
      <c r="AA924" s="86"/>
      <c r="AB924" s="57"/>
      <c r="AC924" s="37"/>
      <c r="AD924" s="52"/>
      <c r="AE924" s="87"/>
      <c r="AG924" s="86"/>
      <c r="AH924" s="37"/>
      <c r="AI924" s="52"/>
      <c r="AJ924" s="87"/>
      <c r="AL924" s="86"/>
      <c r="AM924" s="37"/>
      <c r="AN924" s="52"/>
      <c r="AO924" s="87"/>
      <c r="AQ924" s="86"/>
      <c r="AR924" s="37"/>
      <c r="AS924" s="52"/>
      <c r="AT924" s="87"/>
    </row>
    <row r="925" spans="2:46" thickBot="1">
      <c r="B925" s="113"/>
      <c r="C925" s="324"/>
      <c r="D925" s="346"/>
      <c r="E925" s="326"/>
      <c r="F925" s="321" t="str">
        <f t="shared" si="68"/>
        <v/>
      </c>
      <c r="G925" s="334"/>
      <c r="H925" s="331"/>
      <c r="I925" s="107"/>
      <c r="J925" s="108"/>
      <c r="K925" s="109"/>
      <c r="L925" s="108"/>
      <c r="O925" s="86"/>
      <c r="P925" s="57"/>
      <c r="Q925" s="37"/>
      <c r="R925" s="92" t="str">
        <f t="shared" si="67"/>
        <v/>
      </c>
      <c r="S925" s="52"/>
      <c r="T925" s="87"/>
      <c r="U925" s="86"/>
      <c r="V925" s="201"/>
      <c r="W925" s="37"/>
      <c r="X925" s="52"/>
      <c r="Y925" s="87"/>
      <c r="AA925" s="86"/>
      <c r="AB925" s="57"/>
      <c r="AC925" s="37"/>
      <c r="AD925" s="52"/>
      <c r="AE925" s="87"/>
      <c r="AG925" s="86"/>
      <c r="AH925" s="37"/>
      <c r="AI925" s="52"/>
      <c r="AJ925" s="87"/>
      <c r="AL925" s="86"/>
      <c r="AM925" s="37"/>
      <c r="AN925" s="52"/>
      <c r="AO925" s="87"/>
      <c r="AQ925" s="86"/>
      <c r="AR925" s="37"/>
      <c r="AS925" s="52"/>
      <c r="AT925" s="87"/>
    </row>
    <row r="926" spans="2:46" thickBot="1">
      <c r="B926" s="113"/>
      <c r="C926" s="324"/>
      <c r="D926" s="346"/>
      <c r="E926" s="326"/>
      <c r="F926" s="321" t="str">
        <f t="shared" si="68"/>
        <v/>
      </c>
      <c r="G926" s="334"/>
      <c r="H926" s="331"/>
      <c r="I926" s="107"/>
      <c r="J926" s="108"/>
      <c r="K926" s="109"/>
      <c r="L926" s="108"/>
      <c r="O926" s="86"/>
      <c r="P926" s="57"/>
      <c r="Q926" s="37"/>
      <c r="R926" s="92" t="str">
        <f t="shared" si="67"/>
        <v/>
      </c>
      <c r="S926" s="52"/>
      <c r="T926" s="87"/>
      <c r="U926" s="86"/>
      <c r="V926" s="201"/>
      <c r="W926" s="37"/>
      <c r="X926" s="52"/>
      <c r="Y926" s="87"/>
      <c r="AA926" s="86"/>
      <c r="AB926" s="57"/>
      <c r="AC926" s="37"/>
      <c r="AD926" s="52"/>
      <c r="AE926" s="87"/>
      <c r="AG926" s="86"/>
      <c r="AH926" s="37"/>
      <c r="AI926" s="52"/>
      <c r="AJ926" s="87"/>
      <c r="AL926" s="86"/>
      <c r="AM926" s="37"/>
      <c r="AN926" s="52"/>
      <c r="AO926" s="87"/>
      <c r="AQ926" s="86"/>
      <c r="AR926" s="37"/>
      <c r="AS926" s="52"/>
      <c r="AT926" s="87"/>
    </row>
    <row r="927" spans="2:46" thickBot="1">
      <c r="B927" s="113"/>
      <c r="C927" s="324"/>
      <c r="D927" s="346"/>
      <c r="E927" s="326"/>
      <c r="F927" s="321" t="str">
        <f t="shared" si="68"/>
        <v/>
      </c>
      <c r="G927" s="334"/>
      <c r="H927" s="331"/>
      <c r="I927" s="107"/>
      <c r="J927" s="108"/>
      <c r="K927" s="109"/>
      <c r="L927" s="108"/>
      <c r="O927" s="86"/>
      <c r="P927" s="57"/>
      <c r="Q927" s="37"/>
      <c r="R927" s="92" t="str">
        <f t="shared" si="67"/>
        <v/>
      </c>
      <c r="S927" s="52"/>
      <c r="T927" s="87"/>
      <c r="U927" s="86"/>
      <c r="V927" s="201"/>
      <c r="W927" s="37"/>
      <c r="X927" s="52"/>
      <c r="Y927" s="87"/>
      <c r="AA927" s="86"/>
      <c r="AB927" s="57"/>
      <c r="AC927" s="37"/>
      <c r="AD927" s="52"/>
      <c r="AE927" s="87"/>
      <c r="AG927" s="86"/>
      <c r="AH927" s="37"/>
      <c r="AI927" s="52"/>
      <c r="AJ927" s="87"/>
      <c r="AL927" s="86"/>
      <c r="AM927" s="37"/>
      <c r="AN927" s="52"/>
      <c r="AO927" s="87"/>
      <c r="AQ927" s="86"/>
      <c r="AR927" s="37"/>
      <c r="AS927" s="52"/>
      <c r="AT927" s="87"/>
    </row>
    <row r="928" spans="2:46" thickBot="1">
      <c r="B928" s="113"/>
      <c r="C928" s="324"/>
      <c r="D928" s="346"/>
      <c r="E928" s="326"/>
      <c r="F928" s="321" t="str">
        <f t="shared" si="68"/>
        <v/>
      </c>
      <c r="G928" s="334"/>
      <c r="H928" s="331"/>
      <c r="I928" s="107"/>
      <c r="J928" s="108"/>
      <c r="K928" s="109"/>
      <c r="L928" s="108"/>
      <c r="O928" s="86"/>
      <c r="P928" s="57"/>
      <c r="Q928" s="37"/>
      <c r="R928" s="92" t="str">
        <f t="shared" si="67"/>
        <v/>
      </c>
      <c r="S928" s="52"/>
      <c r="T928" s="87"/>
      <c r="U928" s="86"/>
      <c r="V928" s="201"/>
      <c r="W928" s="37"/>
      <c r="X928" s="52"/>
      <c r="Y928" s="87"/>
      <c r="AA928" s="86"/>
      <c r="AB928" s="57"/>
      <c r="AC928" s="37"/>
      <c r="AD928" s="52"/>
      <c r="AE928" s="87"/>
      <c r="AG928" s="86"/>
      <c r="AH928" s="37"/>
      <c r="AI928" s="52"/>
      <c r="AJ928" s="87"/>
      <c r="AL928" s="86"/>
      <c r="AM928" s="37"/>
      <c r="AN928" s="52"/>
      <c r="AO928" s="87"/>
      <c r="AQ928" s="86"/>
      <c r="AR928" s="37"/>
      <c r="AS928" s="52"/>
      <c r="AT928" s="87"/>
    </row>
    <row r="929" spans="2:46" thickBot="1">
      <c r="B929" s="113"/>
      <c r="C929" s="324"/>
      <c r="D929" s="346"/>
      <c r="E929" s="326"/>
      <c r="F929" s="321" t="str">
        <f t="shared" si="68"/>
        <v/>
      </c>
      <c r="G929" s="334"/>
      <c r="H929" s="331"/>
      <c r="I929" s="107"/>
      <c r="J929" s="108"/>
      <c r="K929" s="109"/>
      <c r="L929" s="108"/>
      <c r="O929" s="86"/>
      <c r="P929" s="57"/>
      <c r="Q929" s="37"/>
      <c r="R929" s="92" t="str">
        <f t="shared" si="67"/>
        <v/>
      </c>
      <c r="S929" s="52"/>
      <c r="T929" s="87"/>
      <c r="U929" s="86"/>
      <c r="V929" s="201"/>
      <c r="W929" s="37"/>
      <c r="X929" s="52"/>
      <c r="Y929" s="87"/>
      <c r="AA929" s="86"/>
      <c r="AB929" s="57"/>
      <c r="AC929" s="37"/>
      <c r="AD929" s="52"/>
      <c r="AE929" s="87"/>
      <c r="AG929" s="86"/>
      <c r="AH929" s="37"/>
      <c r="AI929" s="52"/>
      <c r="AJ929" s="87"/>
      <c r="AL929" s="86"/>
      <c r="AM929" s="37"/>
      <c r="AN929" s="52"/>
      <c r="AO929" s="87"/>
      <c r="AQ929" s="86"/>
      <c r="AR929" s="37"/>
      <c r="AS929" s="52"/>
      <c r="AT929" s="87"/>
    </row>
    <row r="930" spans="2:46" thickBot="1">
      <c r="B930" s="113"/>
      <c r="C930" s="324"/>
      <c r="D930" s="346"/>
      <c r="E930" s="326"/>
      <c r="F930" s="321" t="str">
        <f t="shared" si="68"/>
        <v/>
      </c>
      <c r="G930" s="334"/>
      <c r="H930" s="331"/>
      <c r="I930" s="107"/>
      <c r="J930" s="108"/>
      <c r="K930" s="109"/>
      <c r="L930" s="108"/>
      <c r="O930" s="86"/>
      <c r="P930" s="57"/>
      <c r="Q930" s="37"/>
      <c r="R930" s="92" t="str">
        <f t="shared" si="67"/>
        <v/>
      </c>
      <c r="S930" s="52"/>
      <c r="T930" s="87"/>
      <c r="U930" s="86"/>
      <c r="V930" s="201"/>
      <c r="W930" s="37"/>
      <c r="X930" s="52"/>
      <c r="Y930" s="87"/>
      <c r="AA930" s="86"/>
      <c r="AB930" s="57"/>
      <c r="AC930" s="37"/>
      <c r="AD930" s="52"/>
      <c r="AE930" s="87"/>
      <c r="AG930" s="86"/>
      <c r="AH930" s="37"/>
      <c r="AI930" s="52"/>
      <c r="AJ930" s="87"/>
      <c r="AL930" s="86"/>
      <c r="AM930" s="37"/>
      <c r="AN930" s="52"/>
      <c r="AO930" s="87"/>
      <c r="AQ930" s="86"/>
      <c r="AR930" s="37"/>
      <c r="AS930" s="52"/>
      <c r="AT930" s="87"/>
    </row>
    <row r="931" spans="2:46" thickBot="1">
      <c r="B931" s="113"/>
      <c r="C931" s="324"/>
      <c r="D931" s="346"/>
      <c r="E931" s="326"/>
      <c r="F931" s="321" t="str">
        <f t="shared" si="68"/>
        <v/>
      </c>
      <c r="G931" s="334"/>
      <c r="H931" s="331"/>
      <c r="I931" s="107"/>
      <c r="J931" s="108"/>
      <c r="K931" s="109"/>
      <c r="L931" s="108"/>
      <c r="O931" s="86"/>
      <c r="P931" s="57"/>
      <c r="Q931" s="37"/>
      <c r="R931" s="92" t="str">
        <f t="shared" si="67"/>
        <v/>
      </c>
      <c r="S931" s="52"/>
      <c r="T931" s="87"/>
      <c r="U931" s="86"/>
      <c r="V931" s="201"/>
      <c r="W931" s="37"/>
      <c r="X931" s="52"/>
      <c r="Y931" s="87"/>
      <c r="AA931" s="86"/>
      <c r="AB931" s="57"/>
      <c r="AC931" s="37"/>
      <c r="AD931" s="52"/>
      <c r="AE931" s="87"/>
      <c r="AG931" s="86"/>
      <c r="AH931" s="37"/>
      <c r="AI931" s="52"/>
      <c r="AJ931" s="87"/>
      <c r="AL931" s="86"/>
      <c r="AM931" s="37"/>
      <c r="AN931" s="52"/>
      <c r="AO931" s="87"/>
      <c r="AQ931" s="86"/>
      <c r="AR931" s="37"/>
      <c r="AS931" s="52"/>
      <c r="AT931" s="87"/>
    </row>
    <row r="932" spans="2:46" thickBot="1">
      <c r="B932" s="113"/>
      <c r="C932" s="324"/>
      <c r="D932" s="346"/>
      <c r="E932" s="326"/>
      <c r="F932" s="321" t="str">
        <f t="shared" si="68"/>
        <v/>
      </c>
      <c r="G932" s="334"/>
      <c r="H932" s="331"/>
      <c r="I932" s="107"/>
      <c r="J932" s="108"/>
      <c r="K932" s="109"/>
      <c r="L932" s="108"/>
      <c r="O932" s="86"/>
      <c r="P932" s="57"/>
      <c r="Q932" s="37"/>
      <c r="R932" s="92" t="str">
        <f t="shared" si="67"/>
        <v/>
      </c>
      <c r="S932" s="52"/>
      <c r="T932" s="87"/>
      <c r="U932" s="86"/>
      <c r="V932" s="201"/>
      <c r="W932" s="37"/>
      <c r="X932" s="52"/>
      <c r="Y932" s="87"/>
      <c r="AA932" s="86"/>
      <c r="AB932" s="57"/>
      <c r="AC932" s="37"/>
      <c r="AD932" s="52"/>
      <c r="AE932" s="87"/>
      <c r="AG932" s="86"/>
      <c r="AH932" s="37"/>
      <c r="AI932" s="52"/>
      <c r="AJ932" s="87"/>
      <c r="AL932" s="86"/>
      <c r="AM932" s="37"/>
      <c r="AN932" s="52"/>
      <c r="AO932" s="87"/>
      <c r="AQ932" s="86"/>
      <c r="AR932" s="37"/>
      <c r="AS932" s="52"/>
      <c r="AT932" s="87"/>
    </row>
    <row r="933" spans="2:46" thickBot="1">
      <c r="B933" s="113"/>
      <c r="C933" s="324"/>
      <c r="D933" s="346"/>
      <c r="E933" s="326"/>
      <c r="F933" s="321" t="str">
        <f t="shared" si="68"/>
        <v/>
      </c>
      <c r="G933" s="334"/>
      <c r="H933" s="331"/>
      <c r="I933" s="107"/>
      <c r="J933" s="108"/>
      <c r="K933" s="109"/>
      <c r="L933" s="108"/>
      <c r="O933" s="86"/>
      <c r="P933" s="57"/>
      <c r="Q933" s="37"/>
      <c r="R933" s="92" t="str">
        <f t="shared" si="67"/>
        <v/>
      </c>
      <c r="S933" s="52"/>
      <c r="T933" s="87"/>
      <c r="U933" s="86"/>
      <c r="V933" s="201"/>
      <c r="W933" s="37"/>
      <c r="X933" s="52"/>
      <c r="Y933" s="87"/>
      <c r="AA933" s="86"/>
      <c r="AB933" s="57"/>
      <c r="AC933" s="37"/>
      <c r="AD933" s="52"/>
      <c r="AE933" s="87"/>
      <c r="AG933" s="86"/>
      <c r="AH933" s="37"/>
      <c r="AI933" s="52"/>
      <c r="AJ933" s="87"/>
      <c r="AL933" s="86"/>
      <c r="AM933" s="37"/>
      <c r="AN933" s="52"/>
      <c r="AO933" s="87"/>
      <c r="AQ933" s="86"/>
      <c r="AR933" s="37"/>
      <c r="AS933" s="52"/>
      <c r="AT933" s="87"/>
    </row>
    <row r="934" spans="2:46" thickBot="1">
      <c r="B934" s="113"/>
      <c r="C934" s="324"/>
      <c r="D934" s="346"/>
      <c r="E934" s="326"/>
      <c r="F934" s="321" t="str">
        <f t="shared" si="68"/>
        <v/>
      </c>
      <c r="G934" s="334"/>
      <c r="H934" s="331"/>
      <c r="I934" s="107"/>
      <c r="J934" s="108"/>
      <c r="K934" s="109"/>
      <c r="L934" s="108"/>
      <c r="O934" s="86"/>
      <c r="P934" s="57"/>
      <c r="Q934" s="37"/>
      <c r="R934" s="92" t="str">
        <f t="shared" si="67"/>
        <v/>
      </c>
      <c r="S934" s="52"/>
      <c r="T934" s="87"/>
      <c r="U934" s="86"/>
      <c r="V934" s="201"/>
      <c r="W934" s="37"/>
      <c r="X934" s="52"/>
      <c r="Y934" s="87"/>
      <c r="AA934" s="86"/>
      <c r="AB934" s="57"/>
      <c r="AC934" s="37"/>
      <c r="AD934" s="52"/>
      <c r="AE934" s="87"/>
      <c r="AG934" s="86"/>
      <c r="AH934" s="37"/>
      <c r="AI934" s="52"/>
      <c r="AJ934" s="87"/>
      <c r="AL934" s="86"/>
      <c r="AM934" s="37"/>
      <c r="AN934" s="52"/>
      <c r="AO934" s="87"/>
      <c r="AQ934" s="86"/>
      <c r="AR934" s="37"/>
      <c r="AS934" s="52"/>
      <c r="AT934" s="87"/>
    </row>
    <row r="935" spans="2:46" thickBot="1">
      <c r="B935" s="113"/>
      <c r="C935" s="324"/>
      <c r="D935" s="346"/>
      <c r="E935" s="326"/>
      <c r="F935" s="321" t="str">
        <f t="shared" si="68"/>
        <v/>
      </c>
      <c r="G935" s="334"/>
      <c r="H935" s="331"/>
      <c r="I935" s="107"/>
      <c r="J935" s="108"/>
      <c r="K935" s="109"/>
      <c r="L935" s="108"/>
      <c r="O935" s="86"/>
      <c r="P935" s="57"/>
      <c r="Q935" s="37"/>
      <c r="R935" s="92" t="str">
        <f t="shared" si="67"/>
        <v/>
      </c>
      <c r="S935" s="52"/>
      <c r="T935" s="87"/>
      <c r="U935" s="86"/>
      <c r="V935" s="201"/>
      <c r="W935" s="37"/>
      <c r="X935" s="52"/>
      <c r="Y935" s="87"/>
      <c r="AA935" s="86"/>
      <c r="AB935" s="57"/>
      <c r="AC935" s="37"/>
      <c r="AD935" s="52"/>
      <c r="AE935" s="87"/>
      <c r="AG935" s="86"/>
      <c r="AH935" s="37"/>
      <c r="AI935" s="52"/>
      <c r="AJ935" s="87"/>
      <c r="AL935" s="86"/>
      <c r="AM935" s="37"/>
      <c r="AN935" s="52"/>
      <c r="AO935" s="87"/>
      <c r="AQ935" s="86"/>
      <c r="AR935" s="37"/>
      <c r="AS935" s="52"/>
      <c r="AT935" s="87"/>
    </row>
    <row r="936" spans="2:46" thickBot="1">
      <c r="B936" s="113"/>
      <c r="C936" s="324"/>
      <c r="D936" s="346"/>
      <c r="E936" s="326"/>
      <c r="F936" s="321" t="str">
        <f t="shared" si="68"/>
        <v/>
      </c>
      <c r="G936" s="334"/>
      <c r="H936" s="331"/>
      <c r="I936" s="107"/>
      <c r="J936" s="108"/>
      <c r="K936" s="109"/>
      <c r="L936" s="108"/>
      <c r="O936" s="86"/>
      <c r="P936" s="57"/>
      <c r="Q936" s="37"/>
      <c r="R936" s="92" t="str">
        <f t="shared" si="67"/>
        <v/>
      </c>
      <c r="S936" s="52"/>
      <c r="T936" s="87"/>
      <c r="U936" s="86"/>
      <c r="V936" s="201"/>
      <c r="W936" s="37"/>
      <c r="X936" s="52"/>
      <c r="Y936" s="87"/>
      <c r="AA936" s="86"/>
      <c r="AB936" s="57"/>
      <c r="AC936" s="37"/>
      <c r="AD936" s="52"/>
      <c r="AE936" s="87"/>
      <c r="AG936" s="86"/>
      <c r="AH936" s="37"/>
      <c r="AI936" s="52"/>
      <c r="AJ936" s="87"/>
      <c r="AL936" s="86"/>
      <c r="AM936" s="37"/>
      <c r="AN936" s="52"/>
      <c r="AO936" s="87"/>
      <c r="AQ936" s="86"/>
      <c r="AR936" s="37"/>
      <c r="AS936" s="52"/>
      <c r="AT936" s="87"/>
    </row>
    <row r="937" spans="2:46" thickBot="1">
      <c r="B937" s="113"/>
      <c r="C937" s="324"/>
      <c r="D937" s="346"/>
      <c r="E937" s="326"/>
      <c r="F937" s="321" t="str">
        <f t="shared" si="68"/>
        <v/>
      </c>
      <c r="G937" s="334"/>
      <c r="H937" s="331"/>
      <c r="I937" s="107"/>
      <c r="J937" s="108"/>
      <c r="K937" s="109"/>
      <c r="L937" s="108"/>
      <c r="O937" s="86"/>
      <c r="P937" s="57"/>
      <c r="Q937" s="37"/>
      <c r="R937" s="92" t="str">
        <f t="shared" si="67"/>
        <v/>
      </c>
      <c r="S937" s="52"/>
      <c r="T937" s="87"/>
      <c r="U937" s="86"/>
      <c r="V937" s="201"/>
      <c r="W937" s="37"/>
      <c r="X937" s="52"/>
      <c r="Y937" s="87"/>
      <c r="AA937" s="86"/>
      <c r="AB937" s="57"/>
      <c r="AC937" s="37"/>
      <c r="AD937" s="52"/>
      <c r="AE937" s="87"/>
      <c r="AG937" s="86"/>
      <c r="AH937" s="37"/>
      <c r="AI937" s="52"/>
      <c r="AJ937" s="87"/>
      <c r="AL937" s="86"/>
      <c r="AM937" s="37"/>
      <c r="AN937" s="52"/>
      <c r="AO937" s="87"/>
      <c r="AQ937" s="86"/>
      <c r="AR937" s="37"/>
      <c r="AS937" s="52"/>
      <c r="AT937" s="87"/>
    </row>
    <row r="938" spans="2:46" thickBot="1">
      <c r="B938" s="113"/>
      <c r="C938" s="324"/>
      <c r="D938" s="346"/>
      <c r="E938" s="326"/>
      <c r="F938" s="321" t="str">
        <f t="shared" si="68"/>
        <v/>
      </c>
      <c r="G938" s="334"/>
      <c r="H938" s="331"/>
      <c r="I938" s="107"/>
      <c r="J938" s="108"/>
      <c r="K938" s="109"/>
      <c r="L938" s="108"/>
      <c r="O938" s="86"/>
      <c r="P938" s="57"/>
      <c r="Q938" s="37"/>
      <c r="R938" s="92" t="str">
        <f t="shared" si="67"/>
        <v/>
      </c>
      <c r="S938" s="52"/>
      <c r="T938" s="87"/>
      <c r="U938" s="86"/>
      <c r="V938" s="201"/>
      <c r="W938" s="37"/>
      <c r="X938" s="52"/>
      <c r="Y938" s="87"/>
      <c r="AA938" s="86"/>
      <c r="AB938" s="57"/>
      <c r="AC938" s="37"/>
      <c r="AD938" s="52"/>
      <c r="AE938" s="87"/>
      <c r="AG938" s="86"/>
      <c r="AH938" s="37"/>
      <c r="AI938" s="52"/>
      <c r="AJ938" s="87"/>
      <c r="AL938" s="86"/>
      <c r="AM938" s="37"/>
      <c r="AN938" s="52"/>
      <c r="AO938" s="87"/>
      <c r="AQ938" s="86"/>
      <c r="AR938" s="37"/>
      <c r="AS938" s="52"/>
      <c r="AT938" s="87"/>
    </row>
    <row r="939" spans="2:46" thickBot="1">
      <c r="B939" s="113"/>
      <c r="C939" s="324"/>
      <c r="D939" s="346"/>
      <c r="E939" s="326"/>
      <c r="F939" s="321" t="str">
        <f t="shared" si="68"/>
        <v/>
      </c>
      <c r="G939" s="334"/>
      <c r="H939" s="331"/>
      <c r="I939" s="107"/>
      <c r="J939" s="108"/>
      <c r="K939" s="109"/>
      <c r="L939" s="108"/>
      <c r="O939" s="86"/>
      <c r="P939" s="57"/>
      <c r="Q939" s="37"/>
      <c r="R939" s="92" t="str">
        <f t="shared" ref="R939:R1002" si="69">IF(Q939="","",ROUND(S939*(1+$F$2),2))</f>
        <v/>
      </c>
      <c r="S939" s="52"/>
      <c r="T939" s="87"/>
      <c r="U939" s="86"/>
      <c r="V939" s="201"/>
      <c r="W939" s="37"/>
      <c r="X939" s="52"/>
      <c r="Y939" s="87"/>
      <c r="AA939" s="86"/>
      <c r="AB939" s="57"/>
      <c r="AC939" s="37"/>
      <c r="AD939" s="52"/>
      <c r="AE939" s="87"/>
      <c r="AG939" s="86"/>
      <c r="AH939" s="37"/>
      <c r="AI939" s="52"/>
      <c r="AJ939" s="87"/>
      <c r="AL939" s="86"/>
      <c r="AM939" s="37"/>
      <c r="AN939" s="52"/>
      <c r="AO939" s="87"/>
      <c r="AQ939" s="86"/>
      <c r="AR939" s="37"/>
      <c r="AS939" s="52"/>
      <c r="AT939" s="87"/>
    </row>
    <row r="940" spans="2:46" thickBot="1">
      <c r="B940" s="113"/>
      <c r="C940" s="324"/>
      <c r="D940" s="346"/>
      <c r="E940" s="326"/>
      <c r="F940" s="321" t="str">
        <f t="shared" si="68"/>
        <v/>
      </c>
      <c r="G940" s="334"/>
      <c r="H940" s="331"/>
      <c r="I940" s="107"/>
      <c r="J940" s="108"/>
      <c r="K940" s="109"/>
      <c r="L940" s="108"/>
      <c r="O940" s="86"/>
      <c r="P940" s="57"/>
      <c r="Q940" s="37"/>
      <c r="R940" s="92" t="str">
        <f t="shared" si="69"/>
        <v/>
      </c>
      <c r="S940" s="52"/>
      <c r="T940" s="87"/>
      <c r="U940" s="86"/>
      <c r="V940" s="201"/>
      <c r="W940" s="37"/>
      <c r="X940" s="52"/>
      <c r="Y940" s="87"/>
      <c r="AA940" s="86"/>
      <c r="AB940" s="57"/>
      <c r="AC940" s="37"/>
      <c r="AD940" s="52"/>
      <c r="AE940" s="87"/>
      <c r="AG940" s="86"/>
      <c r="AH940" s="37"/>
      <c r="AI940" s="52"/>
      <c r="AJ940" s="87"/>
      <c r="AL940" s="86"/>
      <c r="AM940" s="37"/>
      <c r="AN940" s="52"/>
      <c r="AO940" s="87"/>
      <c r="AQ940" s="86"/>
      <c r="AR940" s="37"/>
      <c r="AS940" s="52"/>
      <c r="AT940" s="87"/>
    </row>
    <row r="941" spans="2:46" thickBot="1">
      <c r="B941" s="113"/>
      <c r="C941" s="324"/>
      <c r="D941" s="346"/>
      <c r="E941" s="326"/>
      <c r="F941" s="321" t="str">
        <f t="shared" si="68"/>
        <v/>
      </c>
      <c r="G941" s="334"/>
      <c r="H941" s="331"/>
      <c r="I941" s="107"/>
      <c r="J941" s="108"/>
      <c r="K941" s="109"/>
      <c r="L941" s="108"/>
      <c r="O941" s="86"/>
      <c r="P941" s="57"/>
      <c r="Q941" s="37"/>
      <c r="R941" s="92" t="str">
        <f t="shared" si="69"/>
        <v/>
      </c>
      <c r="S941" s="52"/>
      <c r="T941" s="87"/>
      <c r="U941" s="86"/>
      <c r="V941" s="201"/>
      <c r="W941" s="37"/>
      <c r="X941" s="52"/>
      <c r="Y941" s="87"/>
      <c r="AA941" s="86"/>
      <c r="AB941" s="57"/>
      <c r="AC941" s="37"/>
      <c r="AD941" s="52"/>
      <c r="AE941" s="87"/>
      <c r="AG941" s="86"/>
      <c r="AH941" s="37"/>
      <c r="AI941" s="52"/>
      <c r="AJ941" s="87"/>
      <c r="AL941" s="86"/>
      <c r="AM941" s="37"/>
      <c r="AN941" s="52"/>
      <c r="AO941" s="87"/>
      <c r="AQ941" s="86"/>
      <c r="AR941" s="37"/>
      <c r="AS941" s="52"/>
      <c r="AT941" s="87"/>
    </row>
    <row r="942" spans="2:46" thickBot="1">
      <c r="B942" s="113"/>
      <c r="C942" s="324"/>
      <c r="D942" s="346"/>
      <c r="E942" s="326"/>
      <c r="F942" s="321" t="str">
        <f t="shared" si="68"/>
        <v/>
      </c>
      <c r="G942" s="334"/>
      <c r="H942" s="331"/>
      <c r="I942" s="107"/>
      <c r="J942" s="108"/>
      <c r="K942" s="109"/>
      <c r="L942" s="108"/>
      <c r="O942" s="86"/>
      <c r="P942" s="57"/>
      <c r="Q942" s="37"/>
      <c r="R942" s="92" t="str">
        <f t="shared" si="69"/>
        <v/>
      </c>
      <c r="S942" s="52"/>
      <c r="T942" s="87"/>
      <c r="U942" s="86"/>
      <c r="V942" s="201"/>
      <c r="W942" s="37"/>
      <c r="X942" s="52"/>
      <c r="Y942" s="87"/>
      <c r="AA942" s="86"/>
      <c r="AB942" s="57"/>
      <c r="AC942" s="37"/>
      <c r="AD942" s="52"/>
      <c r="AE942" s="87"/>
      <c r="AG942" s="86"/>
      <c r="AH942" s="37"/>
      <c r="AI942" s="52"/>
      <c r="AJ942" s="87"/>
      <c r="AL942" s="86"/>
      <c r="AM942" s="37"/>
      <c r="AN942" s="52"/>
      <c r="AO942" s="87"/>
      <c r="AQ942" s="86"/>
      <c r="AR942" s="37"/>
      <c r="AS942" s="52"/>
      <c r="AT942" s="87"/>
    </row>
    <row r="943" spans="2:46" thickBot="1">
      <c r="B943" s="113"/>
      <c r="C943" s="324"/>
      <c r="D943" s="346"/>
      <c r="E943" s="326"/>
      <c r="F943" s="321" t="str">
        <f t="shared" si="68"/>
        <v/>
      </c>
      <c r="G943" s="334"/>
      <c r="H943" s="331"/>
      <c r="I943" s="107"/>
      <c r="J943" s="108"/>
      <c r="K943" s="109"/>
      <c r="L943" s="108"/>
      <c r="O943" s="86"/>
      <c r="P943" s="57"/>
      <c r="Q943" s="37"/>
      <c r="R943" s="92" t="str">
        <f t="shared" si="69"/>
        <v/>
      </c>
      <c r="S943" s="52"/>
      <c r="T943" s="87"/>
      <c r="U943" s="86"/>
      <c r="V943" s="201"/>
      <c r="W943" s="37"/>
      <c r="X943" s="52"/>
      <c r="Y943" s="87"/>
      <c r="AA943" s="86"/>
      <c r="AB943" s="57"/>
      <c r="AC943" s="37"/>
      <c r="AD943" s="52"/>
      <c r="AE943" s="87"/>
      <c r="AG943" s="86"/>
      <c r="AH943" s="37"/>
      <c r="AI943" s="52"/>
      <c r="AJ943" s="87"/>
      <c r="AL943" s="86"/>
      <c r="AM943" s="37"/>
      <c r="AN943" s="52"/>
      <c r="AO943" s="87"/>
      <c r="AQ943" s="86"/>
      <c r="AR943" s="37"/>
      <c r="AS943" s="52"/>
      <c r="AT943" s="87"/>
    </row>
    <row r="944" spans="2:46" thickBot="1">
      <c r="B944" s="113"/>
      <c r="C944" s="324"/>
      <c r="D944" s="346"/>
      <c r="E944" s="326"/>
      <c r="F944" s="321" t="str">
        <f t="shared" si="68"/>
        <v/>
      </c>
      <c r="G944" s="334"/>
      <c r="H944" s="331"/>
      <c r="I944" s="107"/>
      <c r="J944" s="108"/>
      <c r="K944" s="109"/>
      <c r="L944" s="108"/>
      <c r="O944" s="86"/>
      <c r="P944" s="57"/>
      <c r="Q944" s="37"/>
      <c r="R944" s="92" t="str">
        <f t="shared" si="69"/>
        <v/>
      </c>
      <c r="S944" s="52"/>
      <c r="T944" s="87"/>
      <c r="U944" s="86"/>
      <c r="V944" s="201"/>
      <c r="W944" s="37"/>
      <c r="X944" s="52"/>
      <c r="Y944" s="87"/>
      <c r="AA944" s="86"/>
      <c r="AB944" s="57"/>
      <c r="AC944" s="37"/>
      <c r="AD944" s="52"/>
      <c r="AE944" s="87"/>
      <c r="AG944" s="86"/>
      <c r="AH944" s="37"/>
      <c r="AI944" s="52"/>
      <c r="AJ944" s="87"/>
      <c r="AL944" s="86"/>
      <c r="AM944" s="37"/>
      <c r="AN944" s="52"/>
      <c r="AO944" s="87"/>
      <c r="AQ944" s="86"/>
      <c r="AR944" s="37"/>
      <c r="AS944" s="52"/>
      <c r="AT944" s="87"/>
    </row>
    <row r="945" spans="2:46" thickBot="1">
      <c r="B945" s="113"/>
      <c r="C945" s="324"/>
      <c r="D945" s="346"/>
      <c r="E945" s="326"/>
      <c r="F945" s="321" t="str">
        <f t="shared" si="68"/>
        <v/>
      </c>
      <c r="G945" s="334"/>
      <c r="H945" s="331"/>
      <c r="I945" s="107"/>
      <c r="J945" s="108"/>
      <c r="K945" s="109"/>
      <c r="L945" s="108"/>
      <c r="O945" s="86"/>
      <c r="P945" s="57"/>
      <c r="Q945" s="37"/>
      <c r="R945" s="92" t="str">
        <f t="shared" si="69"/>
        <v/>
      </c>
      <c r="S945" s="52"/>
      <c r="T945" s="87"/>
      <c r="U945" s="86"/>
      <c r="V945" s="201"/>
      <c r="W945" s="37"/>
      <c r="X945" s="52"/>
      <c r="Y945" s="87"/>
      <c r="AA945" s="86"/>
      <c r="AB945" s="57"/>
      <c r="AC945" s="37"/>
      <c r="AD945" s="52"/>
      <c r="AE945" s="87"/>
      <c r="AG945" s="86"/>
      <c r="AH945" s="37"/>
      <c r="AI945" s="52"/>
      <c r="AJ945" s="87"/>
      <c r="AL945" s="86"/>
      <c r="AM945" s="37"/>
      <c r="AN945" s="52"/>
      <c r="AO945" s="87"/>
      <c r="AQ945" s="86"/>
      <c r="AR945" s="37"/>
      <c r="AS945" s="52"/>
      <c r="AT945" s="87"/>
    </row>
    <row r="946" spans="2:46" thickBot="1">
      <c r="B946" s="113"/>
      <c r="C946" s="324"/>
      <c r="D946" s="346"/>
      <c r="E946" s="326"/>
      <c r="F946" s="321" t="str">
        <f t="shared" si="68"/>
        <v/>
      </c>
      <c r="G946" s="334"/>
      <c r="H946" s="331"/>
      <c r="I946" s="107"/>
      <c r="J946" s="108"/>
      <c r="K946" s="109"/>
      <c r="L946" s="108"/>
      <c r="O946" s="86"/>
      <c r="P946" s="57"/>
      <c r="Q946" s="37"/>
      <c r="R946" s="92" t="str">
        <f t="shared" si="69"/>
        <v/>
      </c>
      <c r="S946" s="52"/>
      <c r="T946" s="87"/>
      <c r="U946" s="86"/>
      <c r="V946" s="201"/>
      <c r="W946" s="37"/>
      <c r="X946" s="52"/>
      <c r="Y946" s="87"/>
      <c r="AA946" s="86"/>
      <c r="AB946" s="57"/>
      <c r="AC946" s="37"/>
      <c r="AD946" s="52"/>
      <c r="AE946" s="87"/>
      <c r="AG946" s="86"/>
      <c r="AH946" s="37"/>
      <c r="AI946" s="52"/>
      <c r="AJ946" s="87"/>
      <c r="AL946" s="86"/>
      <c r="AM946" s="37"/>
      <c r="AN946" s="52"/>
      <c r="AO946" s="87"/>
      <c r="AQ946" s="86"/>
      <c r="AR946" s="37"/>
      <c r="AS946" s="52"/>
      <c r="AT946" s="87"/>
    </row>
    <row r="947" spans="2:46" thickBot="1">
      <c r="B947" s="113"/>
      <c r="C947" s="324"/>
      <c r="D947" s="346"/>
      <c r="E947" s="326"/>
      <c r="F947" s="321" t="str">
        <f t="shared" si="68"/>
        <v/>
      </c>
      <c r="G947" s="334"/>
      <c r="H947" s="331"/>
      <c r="I947" s="107"/>
      <c r="J947" s="108"/>
      <c r="K947" s="109"/>
      <c r="L947" s="108"/>
      <c r="O947" s="86"/>
      <c r="P947" s="57"/>
      <c r="Q947" s="37"/>
      <c r="R947" s="92" t="str">
        <f t="shared" si="69"/>
        <v/>
      </c>
      <c r="S947" s="52"/>
      <c r="T947" s="87"/>
      <c r="U947" s="86"/>
      <c r="V947" s="201"/>
      <c r="W947" s="37"/>
      <c r="X947" s="52"/>
      <c r="Y947" s="87"/>
      <c r="AA947" s="86"/>
      <c r="AB947" s="57"/>
      <c r="AC947" s="37"/>
      <c r="AD947" s="52"/>
      <c r="AE947" s="87"/>
      <c r="AG947" s="86"/>
      <c r="AH947" s="37"/>
      <c r="AI947" s="52"/>
      <c r="AJ947" s="87"/>
      <c r="AL947" s="86"/>
      <c r="AM947" s="37"/>
      <c r="AN947" s="52"/>
      <c r="AO947" s="87"/>
      <c r="AQ947" s="86"/>
      <c r="AR947" s="37"/>
      <c r="AS947" s="52"/>
      <c r="AT947" s="87"/>
    </row>
    <row r="948" spans="2:46" thickBot="1">
      <c r="B948" s="113"/>
      <c r="C948" s="324"/>
      <c r="D948" s="346"/>
      <c r="E948" s="326"/>
      <c r="F948" s="321" t="str">
        <f t="shared" si="68"/>
        <v/>
      </c>
      <c r="G948" s="334"/>
      <c r="H948" s="331"/>
      <c r="I948" s="107"/>
      <c r="J948" s="108"/>
      <c r="K948" s="109"/>
      <c r="L948" s="108"/>
      <c r="O948" s="86"/>
      <c r="P948" s="57"/>
      <c r="Q948" s="37"/>
      <c r="R948" s="92" t="str">
        <f t="shared" si="69"/>
        <v/>
      </c>
      <c r="S948" s="52"/>
      <c r="T948" s="87"/>
      <c r="U948" s="86"/>
      <c r="V948" s="201"/>
      <c r="W948" s="37"/>
      <c r="X948" s="52"/>
      <c r="Y948" s="87"/>
      <c r="AA948" s="86"/>
      <c r="AB948" s="57"/>
      <c r="AC948" s="37"/>
      <c r="AD948" s="52"/>
      <c r="AE948" s="87"/>
      <c r="AG948" s="86"/>
      <c r="AH948" s="37"/>
      <c r="AI948" s="52"/>
      <c r="AJ948" s="87"/>
      <c r="AL948" s="86"/>
      <c r="AM948" s="37"/>
      <c r="AN948" s="52"/>
      <c r="AO948" s="87"/>
      <c r="AQ948" s="86"/>
      <c r="AR948" s="37"/>
      <c r="AS948" s="52"/>
      <c r="AT948" s="87"/>
    </row>
    <row r="949" spans="2:46" thickBot="1">
      <c r="B949" s="113"/>
      <c r="C949" s="324"/>
      <c r="D949" s="346"/>
      <c r="E949" s="326"/>
      <c r="F949" s="321" t="str">
        <f t="shared" si="68"/>
        <v/>
      </c>
      <c r="G949" s="334"/>
      <c r="H949" s="331"/>
      <c r="I949" s="107"/>
      <c r="J949" s="108"/>
      <c r="K949" s="109"/>
      <c r="L949" s="108"/>
      <c r="O949" s="86"/>
      <c r="P949" s="57"/>
      <c r="Q949" s="37"/>
      <c r="R949" s="92" t="str">
        <f t="shared" si="69"/>
        <v/>
      </c>
      <c r="S949" s="52"/>
      <c r="T949" s="87"/>
      <c r="U949" s="86"/>
      <c r="V949" s="201"/>
      <c r="W949" s="37"/>
      <c r="X949" s="52"/>
      <c r="Y949" s="87"/>
      <c r="AA949" s="86"/>
      <c r="AB949" s="57"/>
      <c r="AC949" s="37"/>
      <c r="AD949" s="52"/>
      <c r="AE949" s="87"/>
      <c r="AG949" s="86"/>
      <c r="AH949" s="37"/>
      <c r="AI949" s="52"/>
      <c r="AJ949" s="87"/>
      <c r="AL949" s="86"/>
      <c r="AM949" s="37"/>
      <c r="AN949" s="52"/>
      <c r="AO949" s="87"/>
      <c r="AQ949" s="86"/>
      <c r="AR949" s="37"/>
      <c r="AS949" s="52"/>
      <c r="AT949" s="87"/>
    </row>
    <row r="950" spans="2:46" thickBot="1">
      <c r="B950" s="113"/>
      <c r="C950" s="324"/>
      <c r="D950" s="346"/>
      <c r="E950" s="326"/>
      <c r="F950" s="321" t="str">
        <f t="shared" si="68"/>
        <v/>
      </c>
      <c r="G950" s="334"/>
      <c r="H950" s="331"/>
      <c r="I950" s="107"/>
      <c r="J950" s="108"/>
      <c r="K950" s="109"/>
      <c r="L950" s="108"/>
      <c r="O950" s="86"/>
      <c r="P950" s="57"/>
      <c r="Q950" s="37"/>
      <c r="R950" s="92" t="str">
        <f t="shared" si="69"/>
        <v/>
      </c>
      <c r="S950" s="52"/>
      <c r="T950" s="87"/>
      <c r="U950" s="86"/>
      <c r="V950" s="201"/>
      <c r="W950" s="37"/>
      <c r="X950" s="52"/>
      <c r="Y950" s="87"/>
      <c r="AA950" s="86"/>
      <c r="AB950" s="57"/>
      <c r="AC950" s="37"/>
      <c r="AD950" s="52"/>
      <c r="AE950" s="87"/>
      <c r="AG950" s="86"/>
      <c r="AH950" s="37"/>
      <c r="AI950" s="52"/>
      <c r="AJ950" s="87"/>
      <c r="AL950" s="86"/>
      <c r="AM950" s="37"/>
      <c r="AN950" s="52"/>
      <c r="AO950" s="87"/>
      <c r="AQ950" s="86"/>
      <c r="AR950" s="37"/>
      <c r="AS950" s="52"/>
      <c r="AT950" s="87"/>
    </row>
    <row r="951" spans="2:46" thickBot="1">
      <c r="B951" s="113"/>
      <c r="C951" s="324"/>
      <c r="D951" s="346"/>
      <c r="E951" s="326"/>
      <c r="F951" s="321" t="str">
        <f t="shared" si="68"/>
        <v/>
      </c>
      <c r="G951" s="334"/>
      <c r="H951" s="331"/>
      <c r="I951" s="107"/>
      <c r="J951" s="108"/>
      <c r="K951" s="109"/>
      <c r="L951" s="108"/>
      <c r="O951" s="86"/>
      <c r="P951" s="57"/>
      <c r="Q951" s="37"/>
      <c r="R951" s="92" t="str">
        <f t="shared" si="69"/>
        <v/>
      </c>
      <c r="S951" s="52"/>
      <c r="T951" s="87"/>
      <c r="U951" s="86"/>
      <c r="V951" s="201"/>
      <c r="W951" s="37"/>
      <c r="X951" s="52"/>
      <c r="Y951" s="87"/>
      <c r="AA951" s="86"/>
      <c r="AB951" s="57"/>
      <c r="AC951" s="37"/>
      <c r="AD951" s="52"/>
      <c r="AE951" s="87"/>
      <c r="AG951" s="86"/>
      <c r="AH951" s="37"/>
      <c r="AI951" s="52"/>
      <c r="AJ951" s="87"/>
      <c r="AL951" s="86"/>
      <c r="AM951" s="37"/>
      <c r="AN951" s="52"/>
      <c r="AO951" s="87"/>
      <c r="AQ951" s="86"/>
      <c r="AR951" s="37"/>
      <c r="AS951" s="52"/>
      <c r="AT951" s="87"/>
    </row>
    <row r="952" spans="2:46" thickBot="1">
      <c r="B952" s="113"/>
      <c r="C952" s="324"/>
      <c r="D952" s="346"/>
      <c r="E952" s="326"/>
      <c r="F952" s="321" t="str">
        <f t="shared" si="68"/>
        <v/>
      </c>
      <c r="G952" s="334"/>
      <c r="H952" s="331"/>
      <c r="I952" s="107"/>
      <c r="J952" s="108"/>
      <c r="K952" s="109"/>
      <c r="L952" s="108"/>
      <c r="O952" s="86"/>
      <c r="P952" s="57"/>
      <c r="Q952" s="37"/>
      <c r="R952" s="92" t="str">
        <f t="shared" si="69"/>
        <v/>
      </c>
      <c r="S952" s="52"/>
      <c r="T952" s="87"/>
      <c r="U952" s="86"/>
      <c r="V952" s="201"/>
      <c r="W952" s="37"/>
      <c r="X952" s="52"/>
      <c r="Y952" s="87"/>
      <c r="AA952" s="86"/>
      <c r="AB952" s="57"/>
      <c r="AC952" s="37"/>
      <c r="AD952" s="52"/>
      <c r="AE952" s="87"/>
      <c r="AG952" s="86"/>
      <c r="AH952" s="37"/>
      <c r="AI952" s="52"/>
      <c r="AJ952" s="87"/>
      <c r="AL952" s="86"/>
      <c r="AM952" s="37"/>
      <c r="AN952" s="52"/>
      <c r="AO952" s="87"/>
      <c r="AQ952" s="86"/>
      <c r="AR952" s="37"/>
      <c r="AS952" s="52"/>
      <c r="AT952" s="87"/>
    </row>
    <row r="953" spans="2:46" thickBot="1">
      <c r="B953" s="113"/>
      <c r="C953" s="324"/>
      <c r="D953" s="346"/>
      <c r="E953" s="326"/>
      <c r="F953" s="321" t="str">
        <f t="shared" si="68"/>
        <v/>
      </c>
      <c r="G953" s="334"/>
      <c r="H953" s="331"/>
      <c r="I953" s="107"/>
      <c r="J953" s="108"/>
      <c r="K953" s="109"/>
      <c r="L953" s="108"/>
      <c r="O953" s="86"/>
      <c r="P953" s="57"/>
      <c r="Q953" s="37"/>
      <c r="R953" s="92" t="str">
        <f t="shared" si="69"/>
        <v/>
      </c>
      <c r="S953" s="52"/>
      <c r="T953" s="87"/>
      <c r="U953" s="86"/>
      <c r="V953" s="201"/>
      <c r="W953" s="37"/>
      <c r="X953" s="52"/>
      <c r="Y953" s="87"/>
      <c r="AA953" s="86"/>
      <c r="AB953" s="57"/>
      <c r="AC953" s="37"/>
      <c r="AD953" s="52"/>
      <c r="AE953" s="87"/>
      <c r="AG953" s="86"/>
      <c r="AH953" s="37"/>
      <c r="AI953" s="52"/>
      <c r="AJ953" s="87"/>
      <c r="AL953" s="86"/>
      <c r="AM953" s="37"/>
      <c r="AN953" s="52"/>
      <c r="AO953" s="87"/>
      <c r="AQ953" s="86"/>
      <c r="AR953" s="37"/>
      <c r="AS953" s="52"/>
      <c r="AT953" s="87"/>
    </row>
    <row r="954" spans="2:46" thickBot="1">
      <c r="B954" s="113"/>
      <c r="C954" s="324"/>
      <c r="D954" s="346"/>
      <c r="E954" s="326"/>
      <c r="F954" s="321" t="str">
        <f t="shared" si="68"/>
        <v/>
      </c>
      <c r="G954" s="334"/>
      <c r="H954" s="331"/>
      <c r="I954" s="107"/>
      <c r="J954" s="108"/>
      <c r="K954" s="109"/>
      <c r="L954" s="108"/>
      <c r="O954" s="86"/>
      <c r="P954" s="57"/>
      <c r="Q954" s="37"/>
      <c r="R954" s="92" t="str">
        <f t="shared" si="69"/>
        <v/>
      </c>
      <c r="S954" s="52"/>
      <c r="T954" s="87"/>
      <c r="U954" s="86"/>
      <c r="V954" s="201"/>
      <c r="W954" s="37"/>
      <c r="X954" s="52"/>
      <c r="Y954" s="87"/>
      <c r="AA954" s="86"/>
      <c r="AB954" s="57"/>
      <c r="AC954" s="37"/>
      <c r="AD954" s="52"/>
      <c r="AE954" s="87"/>
      <c r="AG954" s="86"/>
      <c r="AH954" s="37"/>
      <c r="AI954" s="52"/>
      <c r="AJ954" s="87"/>
      <c r="AL954" s="86"/>
      <c r="AM954" s="37"/>
      <c r="AN954" s="52"/>
      <c r="AO954" s="87"/>
      <c r="AQ954" s="86"/>
      <c r="AR954" s="37"/>
      <c r="AS954" s="52"/>
      <c r="AT954" s="87"/>
    </row>
    <row r="955" spans="2:46" thickBot="1">
      <c r="B955" s="113"/>
      <c r="C955" s="324"/>
      <c r="D955" s="346"/>
      <c r="E955" s="326"/>
      <c r="F955" s="321" t="str">
        <f t="shared" si="68"/>
        <v/>
      </c>
      <c r="G955" s="334"/>
      <c r="H955" s="331"/>
      <c r="I955" s="107"/>
      <c r="J955" s="108"/>
      <c r="K955" s="109"/>
      <c r="L955" s="108"/>
      <c r="O955" s="86"/>
      <c r="P955" s="57"/>
      <c r="Q955" s="37"/>
      <c r="R955" s="92" t="str">
        <f t="shared" si="69"/>
        <v/>
      </c>
      <c r="S955" s="52"/>
      <c r="T955" s="87"/>
      <c r="U955" s="86"/>
      <c r="V955" s="201"/>
      <c r="W955" s="37"/>
      <c r="X955" s="52"/>
      <c r="Y955" s="87"/>
      <c r="AA955" s="86"/>
      <c r="AB955" s="57"/>
      <c r="AC955" s="37"/>
      <c r="AD955" s="52"/>
      <c r="AE955" s="87"/>
      <c r="AG955" s="86"/>
      <c r="AH955" s="37"/>
      <c r="AI955" s="52"/>
      <c r="AJ955" s="87"/>
      <c r="AL955" s="86"/>
      <c r="AM955" s="37"/>
      <c r="AN955" s="52"/>
      <c r="AO955" s="87"/>
      <c r="AQ955" s="86"/>
      <c r="AR955" s="37"/>
      <c r="AS955" s="52"/>
      <c r="AT955" s="87"/>
    </row>
    <row r="956" spans="2:46" thickBot="1">
      <c r="B956" s="113"/>
      <c r="C956" s="324"/>
      <c r="D956" s="346"/>
      <c r="E956" s="326"/>
      <c r="F956" s="321" t="str">
        <f t="shared" si="68"/>
        <v/>
      </c>
      <c r="G956" s="334"/>
      <c r="H956" s="331"/>
      <c r="I956" s="107"/>
      <c r="J956" s="108"/>
      <c r="K956" s="109"/>
      <c r="L956" s="108"/>
      <c r="O956" s="86"/>
      <c r="P956" s="57"/>
      <c r="Q956" s="37"/>
      <c r="R956" s="92" t="str">
        <f t="shared" si="69"/>
        <v/>
      </c>
      <c r="S956" s="52"/>
      <c r="T956" s="87"/>
      <c r="U956" s="86"/>
      <c r="V956" s="201"/>
      <c r="W956" s="37"/>
      <c r="X956" s="52"/>
      <c r="Y956" s="87"/>
      <c r="AA956" s="86"/>
      <c r="AB956" s="57"/>
      <c r="AC956" s="37"/>
      <c r="AD956" s="52"/>
      <c r="AE956" s="87"/>
      <c r="AG956" s="86"/>
      <c r="AH956" s="37"/>
      <c r="AI956" s="52"/>
      <c r="AJ956" s="87"/>
      <c r="AL956" s="86"/>
      <c r="AM956" s="37"/>
      <c r="AN956" s="52"/>
      <c r="AO956" s="87"/>
      <c r="AQ956" s="86"/>
      <c r="AR956" s="37"/>
      <c r="AS956" s="52"/>
      <c r="AT956" s="87"/>
    </row>
    <row r="957" spans="2:46" thickBot="1">
      <c r="B957" s="113"/>
      <c r="C957" s="324"/>
      <c r="D957" s="346"/>
      <c r="E957" s="326"/>
      <c r="F957" s="321" t="str">
        <f t="shared" si="68"/>
        <v/>
      </c>
      <c r="G957" s="334"/>
      <c r="H957" s="331"/>
      <c r="I957" s="107"/>
      <c r="J957" s="108"/>
      <c r="K957" s="109"/>
      <c r="L957" s="108"/>
      <c r="O957" s="86"/>
      <c r="P957" s="57"/>
      <c r="Q957" s="37"/>
      <c r="R957" s="92" t="str">
        <f t="shared" si="69"/>
        <v/>
      </c>
      <c r="S957" s="52"/>
      <c r="T957" s="87"/>
      <c r="U957" s="86"/>
      <c r="V957" s="201"/>
      <c r="W957" s="37"/>
      <c r="X957" s="52"/>
      <c r="Y957" s="87"/>
      <c r="AA957" s="86"/>
      <c r="AB957" s="57"/>
      <c r="AC957" s="37"/>
      <c r="AD957" s="52"/>
      <c r="AE957" s="87"/>
      <c r="AG957" s="86"/>
      <c r="AH957" s="37"/>
      <c r="AI957" s="52"/>
      <c r="AJ957" s="87"/>
      <c r="AL957" s="86"/>
      <c r="AM957" s="37"/>
      <c r="AN957" s="52"/>
      <c r="AO957" s="87"/>
      <c r="AQ957" s="86"/>
      <c r="AR957" s="37"/>
      <c r="AS957" s="52"/>
      <c r="AT957" s="87"/>
    </row>
    <row r="958" spans="2:46" thickBot="1">
      <c r="B958" s="113"/>
      <c r="C958" s="324"/>
      <c r="D958" s="346"/>
      <c r="E958" s="326"/>
      <c r="F958" s="321" t="str">
        <f t="shared" si="68"/>
        <v/>
      </c>
      <c r="G958" s="334"/>
      <c r="H958" s="331"/>
      <c r="I958" s="107"/>
      <c r="J958" s="108"/>
      <c r="K958" s="109"/>
      <c r="L958" s="108"/>
      <c r="O958" s="86"/>
      <c r="P958" s="57"/>
      <c r="Q958" s="37"/>
      <c r="R958" s="92" t="str">
        <f t="shared" si="69"/>
        <v/>
      </c>
      <c r="S958" s="52"/>
      <c r="T958" s="87"/>
      <c r="U958" s="86"/>
      <c r="V958" s="201"/>
      <c r="W958" s="37"/>
      <c r="X958" s="52"/>
      <c r="Y958" s="87"/>
      <c r="AA958" s="86"/>
      <c r="AB958" s="57"/>
      <c r="AC958" s="37"/>
      <c r="AD958" s="52"/>
      <c r="AE958" s="87"/>
      <c r="AG958" s="86"/>
      <c r="AH958" s="37"/>
      <c r="AI958" s="52"/>
      <c r="AJ958" s="87"/>
      <c r="AL958" s="86"/>
      <c r="AM958" s="37"/>
      <c r="AN958" s="52"/>
      <c r="AO958" s="87"/>
      <c r="AQ958" s="86"/>
      <c r="AR958" s="37"/>
      <c r="AS958" s="52"/>
      <c r="AT958" s="87"/>
    </row>
    <row r="959" spans="2:46" thickBot="1">
      <c r="B959" s="113"/>
      <c r="C959" s="324"/>
      <c r="D959" s="346"/>
      <c r="E959" s="326"/>
      <c r="F959" s="321" t="str">
        <f t="shared" si="68"/>
        <v/>
      </c>
      <c r="G959" s="334"/>
      <c r="H959" s="331"/>
      <c r="I959" s="107"/>
      <c r="J959" s="108"/>
      <c r="K959" s="109"/>
      <c r="L959" s="108"/>
      <c r="O959" s="86"/>
      <c r="P959" s="57"/>
      <c r="Q959" s="37"/>
      <c r="R959" s="92" t="str">
        <f t="shared" si="69"/>
        <v/>
      </c>
      <c r="S959" s="52"/>
      <c r="T959" s="87"/>
      <c r="U959" s="86"/>
      <c r="V959" s="201"/>
      <c r="W959" s="37"/>
      <c r="X959" s="52"/>
      <c r="Y959" s="87"/>
      <c r="AA959" s="86"/>
      <c r="AB959" s="57"/>
      <c r="AC959" s="37"/>
      <c r="AD959" s="52"/>
      <c r="AE959" s="87"/>
      <c r="AG959" s="86"/>
      <c r="AH959" s="37"/>
      <c r="AI959" s="52"/>
      <c r="AJ959" s="87"/>
      <c r="AL959" s="86"/>
      <c r="AM959" s="37"/>
      <c r="AN959" s="52"/>
      <c r="AO959" s="87"/>
      <c r="AQ959" s="86"/>
      <c r="AR959" s="37"/>
      <c r="AS959" s="52"/>
      <c r="AT959" s="87"/>
    </row>
    <row r="960" spans="2:46" thickBot="1">
      <c r="B960" s="113"/>
      <c r="C960" s="324"/>
      <c r="D960" s="346"/>
      <c r="E960" s="326"/>
      <c r="F960" s="321" t="str">
        <f t="shared" si="68"/>
        <v/>
      </c>
      <c r="G960" s="334"/>
      <c r="H960" s="331"/>
      <c r="I960" s="107"/>
      <c r="J960" s="108"/>
      <c r="K960" s="109"/>
      <c r="L960" s="108"/>
      <c r="O960" s="86"/>
      <c r="P960" s="57"/>
      <c r="Q960" s="37"/>
      <c r="R960" s="92" t="str">
        <f t="shared" si="69"/>
        <v/>
      </c>
      <c r="S960" s="52"/>
      <c r="T960" s="87"/>
      <c r="U960" s="86"/>
      <c r="V960" s="201"/>
      <c r="W960" s="37"/>
      <c r="X960" s="52"/>
      <c r="Y960" s="87"/>
      <c r="AA960" s="86"/>
      <c r="AB960" s="57"/>
      <c r="AC960" s="37"/>
      <c r="AD960" s="52"/>
      <c r="AE960" s="87"/>
      <c r="AG960" s="86"/>
      <c r="AH960" s="37"/>
      <c r="AI960" s="52"/>
      <c r="AJ960" s="87"/>
      <c r="AL960" s="86"/>
      <c r="AM960" s="37"/>
      <c r="AN960" s="52"/>
      <c r="AO960" s="87"/>
      <c r="AQ960" s="86"/>
      <c r="AR960" s="37"/>
      <c r="AS960" s="52"/>
      <c r="AT960" s="87"/>
    </row>
    <row r="961" spans="2:46" thickBot="1">
      <c r="B961" s="113"/>
      <c r="C961" s="324"/>
      <c r="D961" s="346"/>
      <c r="E961" s="326"/>
      <c r="F961" s="321" t="str">
        <f t="shared" si="68"/>
        <v/>
      </c>
      <c r="G961" s="334"/>
      <c r="H961" s="331"/>
      <c r="I961" s="107"/>
      <c r="J961" s="108"/>
      <c r="K961" s="109"/>
      <c r="L961" s="108"/>
      <c r="O961" s="86"/>
      <c r="P961" s="57"/>
      <c r="Q961" s="37"/>
      <c r="R961" s="92" t="str">
        <f t="shared" si="69"/>
        <v/>
      </c>
      <c r="S961" s="52"/>
      <c r="T961" s="87"/>
      <c r="U961" s="86"/>
      <c r="V961" s="201"/>
      <c r="W961" s="37"/>
      <c r="X961" s="52"/>
      <c r="Y961" s="87"/>
      <c r="AA961" s="86"/>
      <c r="AB961" s="57"/>
      <c r="AC961" s="37"/>
      <c r="AD961" s="52"/>
      <c r="AE961" s="87"/>
      <c r="AG961" s="86"/>
      <c r="AH961" s="37"/>
      <c r="AI961" s="52"/>
      <c r="AJ961" s="87"/>
      <c r="AL961" s="86"/>
      <c r="AM961" s="37"/>
      <c r="AN961" s="52"/>
      <c r="AO961" s="87"/>
      <c r="AQ961" s="86"/>
      <c r="AR961" s="37"/>
      <c r="AS961" s="52"/>
      <c r="AT961" s="87"/>
    </row>
    <row r="962" spans="2:46" thickBot="1">
      <c r="B962" s="113"/>
      <c r="C962" s="324"/>
      <c r="D962" s="346"/>
      <c r="E962" s="326"/>
      <c r="F962" s="321" t="str">
        <f t="shared" si="68"/>
        <v/>
      </c>
      <c r="G962" s="334"/>
      <c r="H962" s="331"/>
      <c r="I962" s="107"/>
      <c r="J962" s="108"/>
      <c r="K962" s="109"/>
      <c r="L962" s="108"/>
      <c r="O962" s="86"/>
      <c r="P962" s="57"/>
      <c r="Q962" s="37"/>
      <c r="R962" s="92" t="str">
        <f t="shared" si="69"/>
        <v/>
      </c>
      <c r="S962" s="52"/>
      <c r="T962" s="87"/>
      <c r="U962" s="86"/>
      <c r="V962" s="201"/>
      <c r="W962" s="37"/>
      <c r="X962" s="52"/>
      <c r="Y962" s="87"/>
      <c r="AA962" s="86"/>
      <c r="AB962" s="57"/>
      <c r="AC962" s="37"/>
      <c r="AD962" s="52"/>
      <c r="AE962" s="87"/>
      <c r="AG962" s="86"/>
      <c r="AH962" s="37"/>
      <c r="AI962" s="52"/>
      <c r="AJ962" s="87"/>
      <c r="AL962" s="86"/>
      <c r="AM962" s="37"/>
      <c r="AN962" s="52"/>
      <c r="AO962" s="87"/>
      <c r="AQ962" s="86"/>
      <c r="AR962" s="37"/>
      <c r="AS962" s="52"/>
      <c r="AT962" s="87"/>
    </row>
    <row r="963" spans="2:46" thickBot="1">
      <c r="B963" s="113"/>
      <c r="C963" s="324"/>
      <c r="D963" s="346"/>
      <c r="E963" s="326"/>
      <c r="F963" s="321" t="str">
        <f t="shared" si="68"/>
        <v/>
      </c>
      <c r="G963" s="334"/>
      <c r="H963" s="331"/>
      <c r="I963" s="107"/>
      <c r="J963" s="108"/>
      <c r="K963" s="109"/>
      <c r="L963" s="108"/>
      <c r="O963" s="86"/>
      <c r="P963" s="57"/>
      <c r="Q963" s="37"/>
      <c r="R963" s="92" t="str">
        <f t="shared" si="69"/>
        <v/>
      </c>
      <c r="S963" s="52"/>
      <c r="T963" s="87"/>
      <c r="U963" s="86"/>
      <c r="V963" s="201"/>
      <c r="W963" s="37"/>
      <c r="X963" s="52"/>
      <c r="Y963" s="87"/>
      <c r="AA963" s="86"/>
      <c r="AB963" s="57"/>
      <c r="AC963" s="37"/>
      <c r="AD963" s="52"/>
      <c r="AE963" s="87"/>
      <c r="AG963" s="86"/>
      <c r="AH963" s="37"/>
      <c r="AI963" s="52"/>
      <c r="AJ963" s="87"/>
      <c r="AL963" s="86"/>
      <c r="AM963" s="37"/>
      <c r="AN963" s="52"/>
      <c r="AO963" s="87"/>
      <c r="AQ963" s="86"/>
      <c r="AR963" s="37"/>
      <c r="AS963" s="52"/>
      <c r="AT963" s="87"/>
    </row>
    <row r="964" spans="2:46" thickBot="1">
      <c r="B964" s="113"/>
      <c r="C964" s="324"/>
      <c r="D964" s="346"/>
      <c r="E964" s="326"/>
      <c r="F964" s="321" t="str">
        <f t="shared" si="68"/>
        <v/>
      </c>
      <c r="G964" s="334"/>
      <c r="H964" s="331"/>
      <c r="I964" s="107"/>
      <c r="J964" s="108"/>
      <c r="K964" s="109"/>
      <c r="L964" s="108"/>
      <c r="O964" s="86"/>
      <c r="P964" s="57"/>
      <c r="Q964" s="37"/>
      <c r="R964" s="92" t="str">
        <f t="shared" si="69"/>
        <v/>
      </c>
      <c r="S964" s="52"/>
      <c r="T964" s="87"/>
      <c r="U964" s="86"/>
      <c r="V964" s="201"/>
      <c r="W964" s="37"/>
      <c r="X964" s="52"/>
      <c r="Y964" s="87"/>
      <c r="AA964" s="86"/>
      <c r="AB964" s="57"/>
      <c r="AC964" s="37"/>
      <c r="AD964" s="52"/>
      <c r="AE964" s="87"/>
      <c r="AG964" s="86"/>
      <c r="AH964" s="37"/>
      <c r="AI964" s="52"/>
      <c r="AJ964" s="87"/>
      <c r="AL964" s="86"/>
      <c r="AM964" s="37"/>
      <c r="AN964" s="52"/>
      <c r="AO964" s="87"/>
      <c r="AQ964" s="86"/>
      <c r="AR964" s="37"/>
      <c r="AS964" s="52"/>
      <c r="AT964" s="87"/>
    </row>
    <row r="965" spans="2:46" thickBot="1">
      <c r="B965" s="113"/>
      <c r="C965" s="324"/>
      <c r="D965" s="346"/>
      <c r="E965" s="326"/>
      <c r="F965" s="321" t="str">
        <f t="shared" si="68"/>
        <v/>
      </c>
      <c r="G965" s="334"/>
      <c r="H965" s="331"/>
      <c r="I965" s="107"/>
      <c r="J965" s="108"/>
      <c r="K965" s="109"/>
      <c r="L965" s="108"/>
      <c r="O965" s="86"/>
      <c r="P965" s="57"/>
      <c r="Q965" s="37"/>
      <c r="R965" s="92" t="str">
        <f t="shared" si="69"/>
        <v/>
      </c>
      <c r="S965" s="52"/>
      <c r="T965" s="87"/>
      <c r="U965" s="86"/>
      <c r="V965" s="201"/>
      <c r="W965" s="37"/>
      <c r="X965" s="52"/>
      <c r="Y965" s="87"/>
      <c r="AA965" s="86"/>
      <c r="AB965" s="57"/>
      <c r="AC965" s="37"/>
      <c r="AD965" s="52"/>
      <c r="AE965" s="87"/>
      <c r="AG965" s="86"/>
      <c r="AH965" s="37"/>
      <c r="AI965" s="52"/>
      <c r="AJ965" s="87"/>
      <c r="AL965" s="86"/>
      <c r="AM965" s="37"/>
      <c r="AN965" s="52"/>
      <c r="AO965" s="87"/>
      <c r="AQ965" s="86"/>
      <c r="AR965" s="37"/>
      <c r="AS965" s="52"/>
      <c r="AT965" s="87"/>
    </row>
    <row r="966" spans="2:46" thickBot="1">
      <c r="B966" s="113"/>
      <c r="C966" s="324"/>
      <c r="D966" s="346"/>
      <c r="E966" s="326"/>
      <c r="F966" s="321" t="str">
        <f t="shared" ref="F966:F1029" si="70">IF(E966="","",ROUND(G966*(1+$F$2),2))</f>
        <v/>
      </c>
      <c r="G966" s="334"/>
      <c r="H966" s="331"/>
      <c r="I966" s="107"/>
      <c r="J966" s="108"/>
      <c r="K966" s="109"/>
      <c r="L966" s="108"/>
      <c r="O966" s="86"/>
      <c r="P966" s="57"/>
      <c r="Q966" s="37"/>
      <c r="R966" s="92" t="str">
        <f t="shared" si="69"/>
        <v/>
      </c>
      <c r="S966" s="52"/>
      <c r="T966" s="87"/>
      <c r="U966" s="86"/>
      <c r="V966" s="201"/>
      <c r="W966" s="37"/>
      <c r="X966" s="52"/>
      <c r="Y966" s="87"/>
      <c r="AA966" s="86"/>
      <c r="AB966" s="57"/>
      <c r="AC966" s="37"/>
      <c r="AD966" s="52"/>
      <c r="AE966" s="87"/>
      <c r="AG966" s="86"/>
      <c r="AH966" s="37"/>
      <c r="AI966" s="52"/>
      <c r="AJ966" s="87"/>
      <c r="AL966" s="86"/>
      <c r="AM966" s="37"/>
      <c r="AN966" s="52"/>
      <c r="AO966" s="87"/>
      <c r="AQ966" s="86"/>
      <c r="AR966" s="37"/>
      <c r="AS966" s="52"/>
      <c r="AT966" s="87"/>
    </row>
    <row r="967" spans="2:46" thickBot="1">
      <c r="B967" s="113"/>
      <c r="C967" s="324"/>
      <c r="D967" s="346"/>
      <c r="E967" s="326"/>
      <c r="F967" s="321" t="str">
        <f t="shared" si="70"/>
        <v/>
      </c>
      <c r="G967" s="334"/>
      <c r="H967" s="331"/>
      <c r="I967" s="107"/>
      <c r="J967" s="108"/>
      <c r="K967" s="109"/>
      <c r="L967" s="108"/>
      <c r="O967" s="86"/>
      <c r="P967" s="57"/>
      <c r="Q967" s="37"/>
      <c r="R967" s="92" t="str">
        <f t="shared" si="69"/>
        <v/>
      </c>
      <c r="S967" s="52"/>
      <c r="T967" s="87"/>
      <c r="U967" s="86"/>
      <c r="V967" s="201"/>
      <c r="W967" s="37"/>
      <c r="X967" s="52"/>
      <c r="Y967" s="87"/>
      <c r="AA967" s="86"/>
      <c r="AB967" s="57"/>
      <c r="AC967" s="37"/>
      <c r="AD967" s="52"/>
      <c r="AE967" s="87"/>
      <c r="AG967" s="86"/>
      <c r="AH967" s="37"/>
      <c r="AI967" s="52"/>
      <c r="AJ967" s="87"/>
      <c r="AL967" s="86"/>
      <c r="AM967" s="37"/>
      <c r="AN967" s="52"/>
      <c r="AO967" s="87"/>
      <c r="AQ967" s="86"/>
      <c r="AR967" s="37"/>
      <c r="AS967" s="52"/>
      <c r="AT967" s="87"/>
    </row>
    <row r="968" spans="2:46" thickBot="1">
      <c r="B968" s="113"/>
      <c r="C968" s="324"/>
      <c r="D968" s="346"/>
      <c r="E968" s="326"/>
      <c r="F968" s="321" t="str">
        <f t="shared" si="70"/>
        <v/>
      </c>
      <c r="G968" s="334"/>
      <c r="H968" s="331"/>
      <c r="I968" s="107"/>
      <c r="J968" s="108"/>
      <c r="K968" s="109"/>
      <c r="L968" s="108"/>
      <c r="O968" s="86"/>
      <c r="P968" s="57"/>
      <c r="Q968" s="37"/>
      <c r="R968" s="92" t="str">
        <f t="shared" si="69"/>
        <v/>
      </c>
      <c r="S968" s="52"/>
      <c r="T968" s="87"/>
      <c r="U968" s="86"/>
      <c r="V968" s="201"/>
      <c r="W968" s="37"/>
      <c r="X968" s="52"/>
      <c r="Y968" s="87"/>
      <c r="AA968" s="86"/>
      <c r="AB968" s="57"/>
      <c r="AC968" s="37"/>
      <c r="AD968" s="52"/>
      <c r="AE968" s="87"/>
      <c r="AG968" s="86"/>
      <c r="AH968" s="37"/>
      <c r="AI968" s="52"/>
      <c r="AJ968" s="87"/>
      <c r="AL968" s="86"/>
      <c r="AM968" s="37"/>
      <c r="AN968" s="52"/>
      <c r="AO968" s="87"/>
      <c r="AQ968" s="86"/>
      <c r="AR968" s="37"/>
      <c r="AS968" s="52"/>
      <c r="AT968" s="87"/>
    </row>
    <row r="969" spans="2:46" thickBot="1">
      <c r="B969" s="113"/>
      <c r="C969" s="324"/>
      <c r="D969" s="346"/>
      <c r="E969" s="326"/>
      <c r="F969" s="321" t="str">
        <f t="shared" si="70"/>
        <v/>
      </c>
      <c r="G969" s="334"/>
      <c r="H969" s="331"/>
      <c r="I969" s="107"/>
      <c r="J969" s="108"/>
      <c r="K969" s="109"/>
      <c r="L969" s="108"/>
      <c r="O969" s="86"/>
      <c r="P969" s="57"/>
      <c r="Q969" s="37"/>
      <c r="R969" s="92" t="str">
        <f t="shared" si="69"/>
        <v/>
      </c>
      <c r="S969" s="52"/>
      <c r="T969" s="87"/>
      <c r="U969" s="86"/>
      <c r="V969" s="201"/>
      <c r="W969" s="37"/>
      <c r="X969" s="52"/>
      <c r="Y969" s="87"/>
      <c r="AA969" s="86"/>
      <c r="AB969" s="57"/>
      <c r="AC969" s="37"/>
      <c r="AD969" s="52"/>
      <c r="AE969" s="87"/>
      <c r="AG969" s="86"/>
      <c r="AH969" s="37"/>
      <c r="AI969" s="52"/>
      <c r="AJ969" s="87"/>
      <c r="AL969" s="86"/>
      <c r="AM969" s="37"/>
      <c r="AN969" s="52"/>
      <c r="AO969" s="87"/>
      <c r="AQ969" s="86"/>
      <c r="AR969" s="37"/>
      <c r="AS969" s="52"/>
      <c r="AT969" s="87"/>
    </row>
    <row r="970" spans="2:46" thickBot="1">
      <c r="B970" s="113"/>
      <c r="C970" s="324"/>
      <c r="D970" s="346"/>
      <c r="E970" s="326"/>
      <c r="F970" s="321" t="str">
        <f t="shared" si="70"/>
        <v/>
      </c>
      <c r="G970" s="334"/>
      <c r="H970" s="331"/>
      <c r="I970" s="107"/>
      <c r="J970" s="108"/>
      <c r="K970" s="109"/>
      <c r="L970" s="108"/>
      <c r="O970" s="86"/>
      <c r="P970" s="57"/>
      <c r="Q970" s="37"/>
      <c r="R970" s="92" t="str">
        <f t="shared" si="69"/>
        <v/>
      </c>
      <c r="S970" s="52"/>
      <c r="T970" s="87"/>
      <c r="U970" s="86"/>
      <c r="V970" s="201"/>
      <c r="W970" s="37"/>
      <c r="X970" s="52"/>
      <c r="Y970" s="87"/>
      <c r="AA970" s="86"/>
      <c r="AB970" s="57"/>
      <c r="AC970" s="37"/>
      <c r="AD970" s="52"/>
      <c r="AE970" s="87"/>
      <c r="AG970" s="86"/>
      <c r="AH970" s="37"/>
      <c r="AI970" s="52"/>
      <c r="AJ970" s="87"/>
      <c r="AL970" s="86"/>
      <c r="AM970" s="37"/>
      <c r="AN970" s="52"/>
      <c r="AO970" s="87"/>
      <c r="AQ970" s="86"/>
      <c r="AR970" s="37"/>
      <c r="AS970" s="52"/>
      <c r="AT970" s="87"/>
    </row>
    <row r="971" spans="2:46" thickBot="1">
      <c r="B971" s="113"/>
      <c r="C971" s="324"/>
      <c r="D971" s="346"/>
      <c r="E971" s="326"/>
      <c r="F971" s="321" t="str">
        <f t="shared" si="70"/>
        <v/>
      </c>
      <c r="G971" s="334"/>
      <c r="H971" s="331"/>
      <c r="I971" s="107"/>
      <c r="J971" s="108"/>
      <c r="K971" s="109"/>
      <c r="L971" s="108"/>
      <c r="O971" s="86"/>
      <c r="P971" s="57"/>
      <c r="Q971" s="37"/>
      <c r="R971" s="92" t="str">
        <f t="shared" si="69"/>
        <v/>
      </c>
      <c r="S971" s="52"/>
      <c r="T971" s="87"/>
      <c r="U971" s="86"/>
      <c r="V971" s="201"/>
      <c r="W971" s="37"/>
      <c r="X971" s="52"/>
      <c r="Y971" s="87"/>
      <c r="AA971" s="86"/>
      <c r="AB971" s="57"/>
      <c r="AC971" s="37"/>
      <c r="AD971" s="52"/>
      <c r="AE971" s="87"/>
      <c r="AG971" s="86"/>
      <c r="AH971" s="37"/>
      <c r="AI971" s="52"/>
      <c r="AJ971" s="87"/>
      <c r="AL971" s="86"/>
      <c r="AM971" s="37"/>
      <c r="AN971" s="52"/>
      <c r="AO971" s="87"/>
      <c r="AQ971" s="86"/>
      <c r="AR971" s="37"/>
      <c r="AS971" s="52"/>
      <c r="AT971" s="87"/>
    </row>
    <row r="972" spans="2:46" thickBot="1">
      <c r="B972" s="113"/>
      <c r="C972" s="324"/>
      <c r="D972" s="346"/>
      <c r="E972" s="326"/>
      <c r="F972" s="321" t="str">
        <f t="shared" si="70"/>
        <v/>
      </c>
      <c r="G972" s="334"/>
      <c r="H972" s="331"/>
      <c r="I972" s="107"/>
      <c r="J972" s="108"/>
      <c r="K972" s="109"/>
      <c r="L972" s="108"/>
      <c r="O972" s="86"/>
      <c r="P972" s="57"/>
      <c r="Q972" s="37"/>
      <c r="R972" s="92" t="str">
        <f t="shared" si="69"/>
        <v/>
      </c>
      <c r="S972" s="52"/>
      <c r="T972" s="87"/>
      <c r="U972" s="86"/>
      <c r="V972" s="201"/>
      <c r="W972" s="37"/>
      <c r="X972" s="52"/>
      <c r="Y972" s="87"/>
      <c r="AA972" s="86"/>
      <c r="AB972" s="57"/>
      <c r="AC972" s="37"/>
      <c r="AD972" s="52"/>
      <c r="AE972" s="87"/>
      <c r="AG972" s="86"/>
      <c r="AH972" s="37"/>
      <c r="AI972" s="52"/>
      <c r="AJ972" s="87"/>
      <c r="AL972" s="86"/>
      <c r="AM972" s="37"/>
      <c r="AN972" s="52"/>
      <c r="AO972" s="87"/>
      <c r="AQ972" s="86"/>
      <c r="AR972" s="37"/>
      <c r="AS972" s="52"/>
      <c r="AT972" s="87"/>
    </row>
    <row r="973" spans="2:46" thickBot="1">
      <c r="B973" s="113"/>
      <c r="C973" s="324"/>
      <c r="D973" s="346"/>
      <c r="E973" s="326"/>
      <c r="F973" s="321" t="str">
        <f t="shared" si="70"/>
        <v/>
      </c>
      <c r="G973" s="334"/>
      <c r="H973" s="331"/>
      <c r="I973" s="107"/>
      <c r="J973" s="108"/>
      <c r="K973" s="109"/>
      <c r="L973" s="108"/>
      <c r="O973" s="86"/>
      <c r="P973" s="57"/>
      <c r="Q973" s="37"/>
      <c r="R973" s="92" t="str">
        <f t="shared" si="69"/>
        <v/>
      </c>
      <c r="S973" s="52"/>
      <c r="T973" s="87"/>
      <c r="U973" s="86"/>
      <c r="V973" s="201"/>
      <c r="W973" s="37"/>
      <c r="X973" s="52"/>
      <c r="Y973" s="87"/>
      <c r="AA973" s="86"/>
      <c r="AB973" s="57"/>
      <c r="AC973" s="37"/>
      <c r="AD973" s="52"/>
      <c r="AE973" s="87"/>
      <c r="AG973" s="86"/>
      <c r="AH973" s="37"/>
      <c r="AI973" s="52"/>
      <c r="AJ973" s="87"/>
      <c r="AL973" s="86"/>
      <c r="AM973" s="37"/>
      <c r="AN973" s="52"/>
      <c r="AO973" s="87"/>
      <c r="AQ973" s="86"/>
      <c r="AR973" s="37"/>
      <c r="AS973" s="52"/>
      <c r="AT973" s="87"/>
    </row>
    <row r="974" spans="2:46" thickBot="1">
      <c r="B974" s="113"/>
      <c r="C974" s="324"/>
      <c r="D974" s="346"/>
      <c r="E974" s="326"/>
      <c r="F974" s="321" t="str">
        <f t="shared" si="70"/>
        <v/>
      </c>
      <c r="G974" s="334"/>
      <c r="H974" s="331"/>
      <c r="I974" s="107"/>
      <c r="J974" s="108"/>
      <c r="K974" s="109"/>
      <c r="L974" s="108"/>
      <c r="O974" s="86"/>
      <c r="P974" s="57"/>
      <c r="Q974" s="37"/>
      <c r="R974" s="92" t="str">
        <f t="shared" si="69"/>
        <v/>
      </c>
      <c r="S974" s="52"/>
      <c r="T974" s="87"/>
      <c r="U974" s="86"/>
      <c r="V974" s="201"/>
      <c r="W974" s="37"/>
      <c r="X974" s="52"/>
      <c r="Y974" s="87"/>
      <c r="AA974" s="86"/>
      <c r="AB974" s="57"/>
      <c r="AC974" s="37"/>
      <c r="AD974" s="52"/>
      <c r="AE974" s="87"/>
      <c r="AG974" s="86"/>
      <c r="AH974" s="37"/>
      <c r="AI974" s="52"/>
      <c r="AJ974" s="87"/>
      <c r="AL974" s="86"/>
      <c r="AM974" s="37"/>
      <c r="AN974" s="52"/>
      <c r="AO974" s="87"/>
      <c r="AQ974" s="86"/>
      <c r="AR974" s="37"/>
      <c r="AS974" s="52"/>
      <c r="AT974" s="87"/>
    </row>
    <row r="975" spans="2:46" thickBot="1">
      <c r="B975" s="113"/>
      <c r="C975" s="324"/>
      <c r="D975" s="346"/>
      <c r="E975" s="326"/>
      <c r="F975" s="321" t="str">
        <f t="shared" si="70"/>
        <v/>
      </c>
      <c r="G975" s="334"/>
      <c r="H975" s="331"/>
      <c r="I975" s="107"/>
      <c r="J975" s="108"/>
      <c r="K975" s="109"/>
      <c r="L975" s="108"/>
      <c r="O975" s="86"/>
      <c r="P975" s="57"/>
      <c r="Q975" s="37"/>
      <c r="R975" s="92" t="str">
        <f t="shared" si="69"/>
        <v/>
      </c>
      <c r="S975" s="52"/>
      <c r="T975" s="87"/>
      <c r="U975" s="86"/>
      <c r="V975" s="201"/>
      <c r="W975" s="37"/>
      <c r="X975" s="52"/>
      <c r="Y975" s="87"/>
      <c r="AA975" s="86"/>
      <c r="AB975" s="57"/>
      <c r="AC975" s="37"/>
      <c r="AD975" s="52"/>
      <c r="AE975" s="87"/>
      <c r="AG975" s="86"/>
      <c r="AH975" s="37"/>
      <c r="AI975" s="52"/>
      <c r="AJ975" s="87"/>
      <c r="AL975" s="86"/>
      <c r="AM975" s="37"/>
      <c r="AN975" s="52"/>
      <c r="AO975" s="87"/>
      <c r="AQ975" s="86"/>
      <c r="AR975" s="37"/>
      <c r="AS975" s="52"/>
      <c r="AT975" s="87"/>
    </row>
    <row r="976" spans="2:46" thickBot="1">
      <c r="B976" s="113"/>
      <c r="C976" s="324"/>
      <c r="D976" s="346"/>
      <c r="E976" s="326"/>
      <c r="F976" s="321" t="str">
        <f t="shared" si="70"/>
        <v/>
      </c>
      <c r="G976" s="334"/>
      <c r="H976" s="331"/>
      <c r="I976" s="107"/>
      <c r="J976" s="108"/>
      <c r="K976" s="109"/>
      <c r="L976" s="108"/>
      <c r="O976" s="86"/>
      <c r="P976" s="57"/>
      <c r="Q976" s="37"/>
      <c r="R976" s="92" t="str">
        <f t="shared" si="69"/>
        <v/>
      </c>
      <c r="S976" s="52"/>
      <c r="T976" s="87"/>
      <c r="U976" s="86"/>
      <c r="V976" s="201"/>
      <c r="W976" s="37"/>
      <c r="X976" s="52"/>
      <c r="Y976" s="87"/>
      <c r="AA976" s="86"/>
      <c r="AB976" s="57"/>
      <c r="AC976" s="37"/>
      <c r="AD976" s="52"/>
      <c r="AE976" s="87"/>
      <c r="AG976" s="86"/>
      <c r="AH976" s="37"/>
      <c r="AI976" s="52"/>
      <c r="AJ976" s="87"/>
      <c r="AL976" s="86"/>
      <c r="AM976" s="37"/>
      <c r="AN976" s="52"/>
      <c r="AO976" s="87"/>
      <c r="AQ976" s="86"/>
      <c r="AR976" s="37"/>
      <c r="AS976" s="52"/>
      <c r="AT976" s="87"/>
    </row>
    <row r="977" spans="2:46" thickBot="1">
      <c r="B977" s="113"/>
      <c r="C977" s="324"/>
      <c r="D977" s="346"/>
      <c r="E977" s="326"/>
      <c r="F977" s="321" t="str">
        <f t="shared" si="70"/>
        <v/>
      </c>
      <c r="G977" s="334"/>
      <c r="H977" s="331"/>
      <c r="I977" s="107"/>
      <c r="J977" s="108"/>
      <c r="K977" s="109"/>
      <c r="L977" s="108"/>
      <c r="O977" s="86"/>
      <c r="P977" s="57"/>
      <c r="Q977" s="37"/>
      <c r="R977" s="92" t="str">
        <f t="shared" si="69"/>
        <v/>
      </c>
      <c r="S977" s="52"/>
      <c r="T977" s="87"/>
      <c r="U977" s="86"/>
      <c r="V977" s="201"/>
      <c r="W977" s="37"/>
      <c r="X977" s="52"/>
      <c r="Y977" s="87"/>
      <c r="AA977" s="86"/>
      <c r="AB977" s="57"/>
      <c r="AC977" s="37"/>
      <c r="AD977" s="52"/>
      <c r="AE977" s="87"/>
      <c r="AG977" s="86"/>
      <c r="AH977" s="37"/>
      <c r="AI977" s="52"/>
      <c r="AJ977" s="87"/>
      <c r="AL977" s="86"/>
      <c r="AM977" s="37"/>
      <c r="AN977" s="52"/>
      <c r="AO977" s="87"/>
      <c r="AQ977" s="86"/>
      <c r="AR977" s="37"/>
      <c r="AS977" s="52"/>
      <c r="AT977" s="87"/>
    </row>
    <row r="978" spans="2:46" thickBot="1">
      <c r="B978" s="113"/>
      <c r="C978" s="324"/>
      <c r="D978" s="346"/>
      <c r="E978" s="326"/>
      <c r="F978" s="321" t="str">
        <f t="shared" si="70"/>
        <v/>
      </c>
      <c r="G978" s="334"/>
      <c r="H978" s="331"/>
      <c r="I978" s="107"/>
      <c r="J978" s="108"/>
      <c r="K978" s="109"/>
      <c r="L978" s="108"/>
      <c r="O978" s="86"/>
      <c r="P978" s="57"/>
      <c r="Q978" s="37"/>
      <c r="R978" s="92" t="str">
        <f t="shared" si="69"/>
        <v/>
      </c>
      <c r="S978" s="52"/>
      <c r="T978" s="87"/>
      <c r="U978" s="86"/>
      <c r="V978" s="201"/>
      <c r="W978" s="37"/>
      <c r="X978" s="52"/>
      <c r="Y978" s="87"/>
      <c r="AA978" s="86"/>
      <c r="AB978" s="57"/>
      <c r="AC978" s="37"/>
      <c r="AD978" s="52"/>
      <c r="AE978" s="87"/>
      <c r="AG978" s="86"/>
      <c r="AH978" s="37"/>
      <c r="AI978" s="52"/>
      <c r="AJ978" s="87"/>
      <c r="AL978" s="86"/>
      <c r="AM978" s="37"/>
      <c r="AN978" s="52"/>
      <c r="AO978" s="87"/>
      <c r="AQ978" s="86"/>
      <c r="AR978" s="37"/>
      <c r="AS978" s="52"/>
      <c r="AT978" s="87"/>
    </row>
    <row r="979" spans="2:46" thickBot="1">
      <c r="B979" s="113"/>
      <c r="C979" s="324"/>
      <c r="D979" s="346"/>
      <c r="E979" s="326"/>
      <c r="F979" s="321" t="str">
        <f t="shared" si="70"/>
        <v/>
      </c>
      <c r="G979" s="334"/>
      <c r="H979" s="331"/>
      <c r="I979" s="107"/>
      <c r="J979" s="108"/>
      <c r="K979" s="109"/>
      <c r="L979" s="108"/>
      <c r="O979" s="86"/>
      <c r="P979" s="57"/>
      <c r="Q979" s="37"/>
      <c r="R979" s="92" t="str">
        <f t="shared" si="69"/>
        <v/>
      </c>
      <c r="S979" s="52"/>
      <c r="T979" s="87"/>
      <c r="U979" s="86"/>
      <c r="V979" s="201"/>
      <c r="W979" s="37"/>
      <c r="X979" s="52"/>
      <c r="Y979" s="87"/>
      <c r="AA979" s="86"/>
      <c r="AB979" s="57"/>
      <c r="AC979" s="37"/>
      <c r="AD979" s="52"/>
      <c r="AE979" s="87"/>
      <c r="AG979" s="86"/>
      <c r="AH979" s="37"/>
      <c r="AI979" s="52"/>
      <c r="AJ979" s="87"/>
      <c r="AL979" s="86"/>
      <c r="AM979" s="37"/>
      <c r="AN979" s="52"/>
      <c r="AO979" s="87"/>
      <c r="AQ979" s="86"/>
      <c r="AR979" s="37"/>
      <c r="AS979" s="52"/>
      <c r="AT979" s="87"/>
    </row>
    <row r="980" spans="2:46" thickBot="1">
      <c r="B980" s="113"/>
      <c r="C980" s="324"/>
      <c r="D980" s="346"/>
      <c r="E980" s="326"/>
      <c r="F980" s="321" t="str">
        <f t="shared" si="70"/>
        <v/>
      </c>
      <c r="G980" s="334"/>
      <c r="H980" s="331"/>
      <c r="I980" s="107"/>
      <c r="J980" s="108"/>
      <c r="K980" s="109"/>
      <c r="L980" s="108"/>
      <c r="O980" s="86"/>
      <c r="P980" s="57"/>
      <c r="Q980" s="37"/>
      <c r="R980" s="92" t="str">
        <f t="shared" si="69"/>
        <v/>
      </c>
      <c r="S980" s="52"/>
      <c r="T980" s="87"/>
      <c r="U980" s="86"/>
      <c r="V980" s="201"/>
      <c r="W980" s="37"/>
      <c r="X980" s="52"/>
      <c r="Y980" s="87"/>
      <c r="AA980" s="86"/>
      <c r="AB980" s="57"/>
      <c r="AC980" s="37"/>
      <c r="AD980" s="52"/>
      <c r="AE980" s="87"/>
      <c r="AG980" s="86"/>
      <c r="AH980" s="37"/>
      <c r="AI980" s="52"/>
      <c r="AJ980" s="87"/>
      <c r="AL980" s="86"/>
      <c r="AM980" s="37"/>
      <c r="AN980" s="52"/>
      <c r="AO980" s="87"/>
      <c r="AQ980" s="86"/>
      <c r="AR980" s="37"/>
      <c r="AS980" s="52"/>
      <c r="AT980" s="87"/>
    </row>
    <row r="981" spans="2:46" thickBot="1">
      <c r="B981" s="113"/>
      <c r="C981" s="324"/>
      <c r="D981" s="346"/>
      <c r="E981" s="326"/>
      <c r="F981" s="321" t="str">
        <f t="shared" si="70"/>
        <v/>
      </c>
      <c r="G981" s="334"/>
      <c r="H981" s="331"/>
      <c r="I981" s="107"/>
      <c r="J981" s="108"/>
      <c r="K981" s="109"/>
      <c r="L981" s="108"/>
      <c r="O981" s="86"/>
      <c r="P981" s="57"/>
      <c r="Q981" s="37"/>
      <c r="R981" s="92" t="str">
        <f t="shared" si="69"/>
        <v/>
      </c>
      <c r="S981" s="52"/>
      <c r="T981" s="87"/>
      <c r="U981" s="86"/>
      <c r="V981" s="201"/>
      <c r="W981" s="37"/>
      <c r="X981" s="52"/>
      <c r="Y981" s="87"/>
      <c r="AA981" s="86"/>
      <c r="AB981" s="57"/>
      <c r="AC981" s="37"/>
      <c r="AD981" s="52"/>
      <c r="AE981" s="87"/>
      <c r="AG981" s="86"/>
      <c r="AH981" s="37"/>
      <c r="AI981" s="52"/>
      <c r="AJ981" s="87"/>
      <c r="AL981" s="86"/>
      <c r="AM981" s="37"/>
      <c r="AN981" s="52"/>
      <c r="AO981" s="87"/>
      <c r="AQ981" s="86"/>
      <c r="AR981" s="37"/>
      <c r="AS981" s="52"/>
      <c r="AT981" s="87"/>
    </row>
    <row r="982" spans="2:46" thickBot="1">
      <c r="B982" s="113"/>
      <c r="C982" s="324"/>
      <c r="D982" s="346"/>
      <c r="E982" s="326"/>
      <c r="F982" s="321" t="str">
        <f t="shared" si="70"/>
        <v/>
      </c>
      <c r="G982" s="334"/>
      <c r="H982" s="331"/>
      <c r="I982" s="107"/>
      <c r="J982" s="108"/>
      <c r="K982" s="109"/>
      <c r="L982" s="108"/>
      <c r="O982" s="86"/>
      <c r="P982" s="57"/>
      <c r="Q982" s="37"/>
      <c r="R982" s="92" t="str">
        <f t="shared" si="69"/>
        <v/>
      </c>
      <c r="S982" s="52"/>
      <c r="T982" s="87"/>
      <c r="U982" s="86"/>
      <c r="V982" s="201"/>
      <c r="W982" s="37"/>
      <c r="X982" s="52"/>
      <c r="Y982" s="87"/>
      <c r="AA982" s="86"/>
      <c r="AB982" s="57"/>
      <c r="AC982" s="37"/>
      <c r="AD982" s="52"/>
      <c r="AE982" s="87"/>
      <c r="AG982" s="86"/>
      <c r="AH982" s="37"/>
      <c r="AI982" s="52"/>
      <c r="AJ982" s="87"/>
      <c r="AL982" s="86"/>
      <c r="AM982" s="37"/>
      <c r="AN982" s="52"/>
      <c r="AO982" s="87"/>
      <c r="AQ982" s="86"/>
      <c r="AR982" s="37"/>
      <c r="AS982" s="52"/>
      <c r="AT982" s="87"/>
    </row>
    <row r="983" spans="2:46" thickBot="1">
      <c r="B983" s="113"/>
      <c r="C983" s="324"/>
      <c r="D983" s="346"/>
      <c r="E983" s="326"/>
      <c r="F983" s="321" t="str">
        <f t="shared" si="70"/>
        <v/>
      </c>
      <c r="G983" s="334"/>
      <c r="H983" s="331"/>
      <c r="I983" s="107"/>
      <c r="J983" s="108"/>
      <c r="K983" s="109"/>
      <c r="L983" s="108"/>
      <c r="O983" s="86"/>
      <c r="P983" s="57"/>
      <c r="Q983" s="37"/>
      <c r="R983" s="92" t="str">
        <f t="shared" si="69"/>
        <v/>
      </c>
      <c r="S983" s="52"/>
      <c r="T983" s="87"/>
      <c r="U983" s="86"/>
      <c r="V983" s="201"/>
      <c r="W983" s="37"/>
      <c r="X983" s="52"/>
      <c r="Y983" s="87"/>
      <c r="AA983" s="86"/>
      <c r="AB983" s="57"/>
      <c r="AC983" s="37"/>
      <c r="AD983" s="52"/>
      <c r="AE983" s="87"/>
      <c r="AG983" s="86"/>
      <c r="AH983" s="37"/>
      <c r="AI983" s="52"/>
      <c r="AJ983" s="87"/>
      <c r="AL983" s="86"/>
      <c r="AM983" s="37"/>
      <c r="AN983" s="52"/>
      <c r="AO983" s="87"/>
      <c r="AQ983" s="86"/>
      <c r="AR983" s="37"/>
      <c r="AS983" s="52"/>
      <c r="AT983" s="87"/>
    </row>
    <row r="984" spans="2:46" thickBot="1">
      <c r="B984" s="113"/>
      <c r="C984" s="324"/>
      <c r="D984" s="346"/>
      <c r="E984" s="326"/>
      <c r="F984" s="321" t="str">
        <f t="shared" si="70"/>
        <v/>
      </c>
      <c r="G984" s="334"/>
      <c r="H984" s="331"/>
      <c r="I984" s="107"/>
      <c r="J984" s="108"/>
      <c r="K984" s="109"/>
      <c r="L984" s="108"/>
      <c r="O984" s="86"/>
      <c r="P984" s="57"/>
      <c r="Q984" s="37"/>
      <c r="R984" s="92" t="str">
        <f t="shared" si="69"/>
        <v/>
      </c>
      <c r="S984" s="52"/>
      <c r="T984" s="87"/>
      <c r="U984" s="86"/>
      <c r="V984" s="201"/>
      <c r="W984" s="37"/>
      <c r="X984" s="52"/>
      <c r="Y984" s="87"/>
      <c r="AA984" s="86"/>
      <c r="AB984" s="57"/>
      <c r="AC984" s="37"/>
      <c r="AD984" s="52"/>
      <c r="AE984" s="87"/>
      <c r="AG984" s="86"/>
      <c r="AH984" s="37"/>
      <c r="AI984" s="52"/>
      <c r="AJ984" s="87"/>
      <c r="AL984" s="86"/>
      <c r="AM984" s="37"/>
      <c r="AN984" s="52"/>
      <c r="AO984" s="87"/>
      <c r="AQ984" s="86"/>
      <c r="AR984" s="37"/>
      <c r="AS984" s="52"/>
      <c r="AT984" s="87"/>
    </row>
    <row r="985" spans="2:46" thickBot="1">
      <c r="B985" s="113"/>
      <c r="C985" s="324"/>
      <c r="D985" s="346"/>
      <c r="E985" s="326"/>
      <c r="F985" s="321" t="str">
        <f t="shared" si="70"/>
        <v/>
      </c>
      <c r="G985" s="334"/>
      <c r="H985" s="331"/>
      <c r="I985" s="107"/>
      <c r="J985" s="108"/>
      <c r="K985" s="109"/>
      <c r="L985" s="108"/>
      <c r="O985" s="86"/>
      <c r="P985" s="57"/>
      <c r="Q985" s="37"/>
      <c r="R985" s="92" t="str">
        <f t="shared" si="69"/>
        <v/>
      </c>
      <c r="S985" s="52"/>
      <c r="T985" s="87"/>
      <c r="U985" s="86"/>
      <c r="V985" s="201"/>
      <c r="W985" s="37"/>
      <c r="X985" s="52"/>
      <c r="Y985" s="87"/>
      <c r="AA985" s="86"/>
      <c r="AB985" s="57"/>
      <c r="AC985" s="37"/>
      <c r="AD985" s="52"/>
      <c r="AE985" s="87"/>
      <c r="AG985" s="86"/>
      <c r="AH985" s="37"/>
      <c r="AI985" s="52"/>
      <c r="AJ985" s="87"/>
      <c r="AL985" s="86"/>
      <c r="AM985" s="37"/>
      <c r="AN985" s="52"/>
      <c r="AO985" s="87"/>
      <c r="AQ985" s="86"/>
      <c r="AR985" s="37"/>
      <c r="AS985" s="52"/>
      <c r="AT985" s="87"/>
    </row>
    <row r="986" spans="2:46" thickBot="1">
      <c r="B986" s="113"/>
      <c r="C986" s="324"/>
      <c r="D986" s="346"/>
      <c r="E986" s="326"/>
      <c r="F986" s="321" t="str">
        <f t="shared" si="70"/>
        <v/>
      </c>
      <c r="G986" s="334"/>
      <c r="H986" s="331"/>
      <c r="I986" s="107"/>
      <c r="J986" s="108"/>
      <c r="K986" s="109"/>
      <c r="L986" s="108"/>
      <c r="O986" s="86"/>
      <c r="P986" s="57"/>
      <c r="Q986" s="37"/>
      <c r="R986" s="92" t="str">
        <f t="shared" si="69"/>
        <v/>
      </c>
      <c r="S986" s="52"/>
      <c r="T986" s="87"/>
      <c r="U986" s="86"/>
      <c r="V986" s="201"/>
      <c r="W986" s="37"/>
      <c r="X986" s="52"/>
      <c r="Y986" s="87"/>
      <c r="AA986" s="86"/>
      <c r="AB986" s="57"/>
      <c r="AC986" s="37"/>
      <c r="AD986" s="52"/>
      <c r="AE986" s="87"/>
      <c r="AG986" s="86"/>
      <c r="AH986" s="37"/>
      <c r="AI986" s="52"/>
      <c r="AJ986" s="87"/>
      <c r="AL986" s="86"/>
      <c r="AM986" s="37"/>
      <c r="AN986" s="52"/>
      <c r="AO986" s="87"/>
      <c r="AQ986" s="86"/>
      <c r="AR986" s="37"/>
      <c r="AS986" s="52"/>
      <c r="AT986" s="87"/>
    </row>
    <row r="987" spans="2:46" thickBot="1">
      <c r="B987" s="113"/>
      <c r="C987" s="324"/>
      <c r="D987" s="346"/>
      <c r="E987" s="326"/>
      <c r="F987" s="321" t="str">
        <f t="shared" si="70"/>
        <v/>
      </c>
      <c r="G987" s="334"/>
      <c r="H987" s="331"/>
      <c r="I987" s="107"/>
      <c r="J987" s="108"/>
      <c r="K987" s="109"/>
      <c r="L987" s="108"/>
      <c r="O987" s="86"/>
      <c r="P987" s="57"/>
      <c r="Q987" s="37"/>
      <c r="R987" s="92" t="str">
        <f t="shared" si="69"/>
        <v/>
      </c>
      <c r="S987" s="52"/>
      <c r="T987" s="87"/>
      <c r="U987" s="86"/>
      <c r="V987" s="201"/>
      <c r="W987" s="37"/>
      <c r="X987" s="52"/>
      <c r="Y987" s="87"/>
      <c r="AA987" s="86"/>
      <c r="AB987" s="57"/>
      <c r="AC987" s="37"/>
      <c r="AD987" s="52"/>
      <c r="AE987" s="87"/>
      <c r="AG987" s="86"/>
      <c r="AH987" s="37"/>
      <c r="AI987" s="52"/>
      <c r="AJ987" s="87"/>
      <c r="AL987" s="86"/>
      <c r="AM987" s="37"/>
      <c r="AN987" s="52"/>
      <c r="AO987" s="87"/>
      <c r="AQ987" s="86"/>
      <c r="AR987" s="37"/>
      <c r="AS987" s="52"/>
      <c r="AT987" s="87"/>
    </row>
    <row r="988" spans="2:46" thickBot="1">
      <c r="B988" s="113"/>
      <c r="C988" s="324"/>
      <c r="D988" s="346"/>
      <c r="E988" s="326"/>
      <c r="F988" s="321" t="str">
        <f t="shared" si="70"/>
        <v/>
      </c>
      <c r="G988" s="334"/>
      <c r="H988" s="331"/>
      <c r="I988" s="107"/>
      <c r="J988" s="108"/>
      <c r="K988" s="109"/>
      <c r="L988" s="108"/>
      <c r="O988" s="86"/>
      <c r="P988" s="57"/>
      <c r="Q988" s="37"/>
      <c r="R988" s="92" t="str">
        <f t="shared" si="69"/>
        <v/>
      </c>
      <c r="S988" s="52"/>
      <c r="T988" s="87"/>
      <c r="U988" s="86"/>
      <c r="V988" s="201"/>
      <c r="W988" s="37"/>
      <c r="X988" s="52"/>
      <c r="Y988" s="87"/>
      <c r="AA988" s="86"/>
      <c r="AB988" s="57"/>
      <c r="AC988" s="37"/>
      <c r="AD988" s="52"/>
      <c r="AE988" s="87"/>
      <c r="AG988" s="86"/>
      <c r="AH988" s="37"/>
      <c r="AI988" s="52"/>
      <c r="AJ988" s="87"/>
      <c r="AL988" s="86"/>
      <c r="AM988" s="37"/>
      <c r="AN988" s="52"/>
      <c r="AO988" s="87"/>
      <c r="AQ988" s="86"/>
      <c r="AR988" s="37"/>
      <c r="AS988" s="52"/>
      <c r="AT988" s="87"/>
    </row>
    <row r="989" spans="2:46" thickBot="1">
      <c r="B989" s="113"/>
      <c r="C989" s="324"/>
      <c r="D989" s="346"/>
      <c r="E989" s="326"/>
      <c r="F989" s="321" t="str">
        <f t="shared" si="70"/>
        <v/>
      </c>
      <c r="G989" s="334"/>
      <c r="H989" s="331"/>
      <c r="I989" s="107"/>
      <c r="J989" s="108"/>
      <c r="K989" s="109"/>
      <c r="L989" s="108"/>
      <c r="O989" s="86"/>
      <c r="P989" s="57"/>
      <c r="Q989" s="37"/>
      <c r="R989" s="92" t="str">
        <f t="shared" si="69"/>
        <v/>
      </c>
      <c r="S989" s="52"/>
      <c r="T989" s="87"/>
      <c r="U989" s="86"/>
      <c r="V989" s="201"/>
      <c r="W989" s="37"/>
      <c r="X989" s="52"/>
      <c r="Y989" s="87"/>
      <c r="AA989" s="86"/>
      <c r="AB989" s="57"/>
      <c r="AC989" s="37"/>
      <c r="AD989" s="52"/>
      <c r="AE989" s="87"/>
      <c r="AG989" s="86"/>
      <c r="AH989" s="37"/>
      <c r="AI989" s="52"/>
      <c r="AJ989" s="87"/>
      <c r="AL989" s="86"/>
      <c r="AM989" s="37"/>
      <c r="AN989" s="52"/>
      <c r="AO989" s="87"/>
      <c r="AQ989" s="86"/>
      <c r="AR989" s="37"/>
      <c r="AS989" s="52"/>
      <c r="AT989" s="87"/>
    </row>
    <row r="990" spans="2:46" thickBot="1">
      <c r="B990" s="113"/>
      <c r="C990" s="324"/>
      <c r="D990" s="346"/>
      <c r="E990" s="326"/>
      <c r="F990" s="321" t="str">
        <f t="shared" si="70"/>
        <v/>
      </c>
      <c r="G990" s="334"/>
      <c r="H990" s="331"/>
      <c r="I990" s="107"/>
      <c r="J990" s="108"/>
      <c r="K990" s="109"/>
      <c r="L990" s="108"/>
      <c r="O990" s="86"/>
      <c r="P990" s="57"/>
      <c r="Q990" s="37"/>
      <c r="R990" s="92" t="str">
        <f t="shared" si="69"/>
        <v/>
      </c>
      <c r="S990" s="52"/>
      <c r="T990" s="87"/>
      <c r="U990" s="86"/>
      <c r="V990" s="201"/>
      <c r="W990" s="37"/>
      <c r="X990" s="52"/>
      <c r="Y990" s="87"/>
      <c r="AA990" s="86"/>
      <c r="AB990" s="57"/>
      <c r="AC990" s="37"/>
      <c r="AD990" s="52"/>
      <c r="AE990" s="87"/>
      <c r="AG990" s="86"/>
      <c r="AH990" s="37"/>
      <c r="AI990" s="52"/>
      <c r="AJ990" s="87"/>
      <c r="AL990" s="86"/>
      <c r="AM990" s="37"/>
      <c r="AN990" s="52"/>
      <c r="AO990" s="87"/>
      <c r="AQ990" s="86"/>
      <c r="AR990" s="37"/>
      <c r="AS990" s="52"/>
      <c r="AT990" s="87"/>
    </row>
    <row r="991" spans="2:46" thickBot="1">
      <c r="B991" s="113"/>
      <c r="C991" s="324"/>
      <c r="D991" s="346"/>
      <c r="E991" s="326"/>
      <c r="F991" s="321" t="str">
        <f t="shared" si="70"/>
        <v/>
      </c>
      <c r="G991" s="334"/>
      <c r="H991" s="331"/>
      <c r="I991" s="107"/>
      <c r="J991" s="108"/>
      <c r="K991" s="109"/>
      <c r="L991" s="108"/>
      <c r="O991" s="86"/>
      <c r="P991" s="57"/>
      <c r="Q991" s="37"/>
      <c r="R991" s="92" t="str">
        <f t="shared" si="69"/>
        <v/>
      </c>
      <c r="S991" s="52"/>
      <c r="T991" s="87"/>
      <c r="U991" s="86"/>
      <c r="V991" s="201"/>
      <c r="W991" s="37"/>
      <c r="X991" s="52"/>
      <c r="Y991" s="87"/>
      <c r="AA991" s="86"/>
      <c r="AB991" s="57"/>
      <c r="AC991" s="37"/>
      <c r="AD991" s="52"/>
      <c r="AE991" s="87"/>
      <c r="AG991" s="86"/>
      <c r="AH991" s="37"/>
      <c r="AI991" s="52"/>
      <c r="AJ991" s="87"/>
      <c r="AL991" s="86"/>
      <c r="AM991" s="37"/>
      <c r="AN991" s="52"/>
      <c r="AO991" s="87"/>
      <c r="AQ991" s="86"/>
      <c r="AR991" s="37"/>
      <c r="AS991" s="52"/>
      <c r="AT991" s="87"/>
    </row>
    <row r="992" spans="2:46" thickBot="1">
      <c r="B992" s="113"/>
      <c r="C992" s="324"/>
      <c r="D992" s="346"/>
      <c r="E992" s="326"/>
      <c r="F992" s="321" t="str">
        <f t="shared" si="70"/>
        <v/>
      </c>
      <c r="G992" s="334"/>
      <c r="H992" s="331"/>
      <c r="I992" s="107"/>
      <c r="J992" s="108"/>
      <c r="K992" s="109"/>
      <c r="L992" s="108"/>
      <c r="O992" s="86"/>
      <c r="P992" s="57"/>
      <c r="Q992" s="37"/>
      <c r="R992" s="92" t="str">
        <f t="shared" si="69"/>
        <v/>
      </c>
      <c r="S992" s="52"/>
      <c r="T992" s="87"/>
      <c r="U992" s="86"/>
      <c r="V992" s="201"/>
      <c r="W992" s="37"/>
      <c r="X992" s="52"/>
      <c r="Y992" s="87"/>
      <c r="AA992" s="86"/>
      <c r="AB992" s="57"/>
      <c r="AC992" s="37"/>
      <c r="AD992" s="52"/>
      <c r="AE992" s="87"/>
      <c r="AG992" s="86"/>
      <c r="AH992" s="37"/>
      <c r="AI992" s="52"/>
      <c r="AJ992" s="87"/>
      <c r="AL992" s="86"/>
      <c r="AM992" s="37"/>
      <c r="AN992" s="52"/>
      <c r="AO992" s="87"/>
      <c r="AQ992" s="86"/>
      <c r="AR992" s="37"/>
      <c r="AS992" s="52"/>
      <c r="AT992" s="87"/>
    </row>
    <row r="993" spans="2:46" thickBot="1">
      <c r="B993" s="113"/>
      <c r="C993" s="324"/>
      <c r="D993" s="346"/>
      <c r="E993" s="326"/>
      <c r="F993" s="321" t="str">
        <f t="shared" si="70"/>
        <v/>
      </c>
      <c r="G993" s="334"/>
      <c r="H993" s="331"/>
      <c r="I993" s="107"/>
      <c r="J993" s="108"/>
      <c r="K993" s="109"/>
      <c r="L993" s="108"/>
      <c r="O993" s="86"/>
      <c r="P993" s="57"/>
      <c r="Q993" s="37"/>
      <c r="R993" s="92" t="str">
        <f t="shared" si="69"/>
        <v/>
      </c>
      <c r="S993" s="52"/>
      <c r="T993" s="87"/>
      <c r="U993" s="86"/>
      <c r="V993" s="201"/>
      <c r="W993" s="37"/>
      <c r="X993" s="52"/>
      <c r="Y993" s="87"/>
      <c r="AA993" s="86"/>
      <c r="AB993" s="57"/>
      <c r="AC993" s="37"/>
      <c r="AD993" s="52"/>
      <c r="AE993" s="87"/>
      <c r="AG993" s="86"/>
      <c r="AH993" s="37"/>
      <c r="AI993" s="52"/>
      <c r="AJ993" s="87"/>
      <c r="AL993" s="86"/>
      <c r="AM993" s="37"/>
      <c r="AN993" s="52"/>
      <c r="AO993" s="87"/>
      <c r="AQ993" s="86"/>
      <c r="AR993" s="37"/>
      <c r="AS993" s="52"/>
      <c r="AT993" s="87"/>
    </row>
    <row r="994" spans="2:46" thickBot="1">
      <c r="B994" s="113"/>
      <c r="C994" s="324"/>
      <c r="D994" s="346"/>
      <c r="E994" s="326"/>
      <c r="F994" s="321" t="str">
        <f t="shared" si="70"/>
        <v/>
      </c>
      <c r="G994" s="334"/>
      <c r="H994" s="331"/>
      <c r="I994" s="107"/>
      <c r="J994" s="108"/>
      <c r="K994" s="109"/>
      <c r="L994" s="108"/>
      <c r="O994" s="86"/>
      <c r="P994" s="57"/>
      <c r="Q994" s="37"/>
      <c r="R994" s="92" t="str">
        <f t="shared" si="69"/>
        <v/>
      </c>
      <c r="S994" s="52"/>
      <c r="T994" s="87"/>
      <c r="U994" s="86"/>
      <c r="V994" s="201"/>
      <c r="W994" s="37"/>
      <c r="X994" s="52"/>
      <c r="Y994" s="87"/>
      <c r="AA994" s="86"/>
      <c r="AB994" s="57"/>
      <c r="AC994" s="37"/>
      <c r="AD994" s="52"/>
      <c r="AE994" s="87"/>
      <c r="AG994" s="86"/>
      <c r="AH994" s="37"/>
      <c r="AI994" s="52"/>
      <c r="AJ994" s="87"/>
      <c r="AL994" s="86"/>
      <c r="AM994" s="37"/>
      <c r="AN994" s="52"/>
      <c r="AO994" s="87"/>
      <c r="AQ994" s="86"/>
      <c r="AR994" s="37"/>
      <c r="AS994" s="52"/>
      <c r="AT994" s="87"/>
    </row>
    <row r="995" spans="2:46" thickBot="1">
      <c r="B995" s="113"/>
      <c r="C995" s="324"/>
      <c r="D995" s="346"/>
      <c r="E995" s="326"/>
      <c r="F995" s="321" t="str">
        <f t="shared" si="70"/>
        <v/>
      </c>
      <c r="G995" s="334"/>
      <c r="H995" s="331"/>
      <c r="I995" s="107"/>
      <c r="J995" s="108"/>
      <c r="K995" s="109"/>
      <c r="L995" s="108"/>
      <c r="O995" s="86"/>
      <c r="P995" s="57"/>
      <c r="Q995" s="37"/>
      <c r="R995" s="92" t="str">
        <f t="shared" si="69"/>
        <v/>
      </c>
      <c r="S995" s="52"/>
      <c r="T995" s="87"/>
      <c r="U995" s="86"/>
      <c r="V995" s="201"/>
      <c r="W995" s="37"/>
      <c r="X995" s="52"/>
      <c r="Y995" s="87"/>
      <c r="AA995" s="86"/>
      <c r="AB995" s="57"/>
      <c r="AC995" s="37"/>
      <c r="AD995" s="52"/>
      <c r="AE995" s="87"/>
      <c r="AG995" s="86"/>
      <c r="AH995" s="37"/>
      <c r="AI995" s="52"/>
      <c r="AJ995" s="87"/>
      <c r="AL995" s="86"/>
      <c r="AM995" s="37"/>
      <c r="AN995" s="52"/>
      <c r="AO995" s="87"/>
      <c r="AQ995" s="86"/>
      <c r="AR995" s="37"/>
      <c r="AS995" s="52"/>
      <c r="AT995" s="87"/>
    </row>
    <row r="996" spans="2:46" thickBot="1">
      <c r="B996" s="113"/>
      <c r="C996" s="324"/>
      <c r="D996" s="346"/>
      <c r="E996" s="326"/>
      <c r="F996" s="321" t="str">
        <f t="shared" si="70"/>
        <v/>
      </c>
      <c r="G996" s="334"/>
      <c r="H996" s="331"/>
      <c r="I996" s="107"/>
      <c r="J996" s="108"/>
      <c r="K996" s="109"/>
      <c r="L996" s="108"/>
      <c r="O996" s="86"/>
      <c r="P996" s="57"/>
      <c r="Q996" s="37"/>
      <c r="R996" s="92" t="str">
        <f t="shared" si="69"/>
        <v/>
      </c>
      <c r="S996" s="52"/>
      <c r="T996" s="87"/>
      <c r="U996" s="86"/>
      <c r="V996" s="201"/>
      <c r="W996" s="37"/>
      <c r="X996" s="52"/>
      <c r="Y996" s="87"/>
      <c r="AA996" s="86"/>
      <c r="AB996" s="57"/>
      <c r="AC996" s="37"/>
      <c r="AD996" s="52"/>
      <c r="AE996" s="87"/>
      <c r="AG996" s="86"/>
      <c r="AH996" s="37"/>
      <c r="AI996" s="52"/>
      <c r="AJ996" s="87"/>
      <c r="AL996" s="86"/>
      <c r="AM996" s="37"/>
      <c r="AN996" s="52"/>
      <c r="AO996" s="87"/>
      <c r="AQ996" s="86"/>
      <c r="AR996" s="37"/>
      <c r="AS996" s="52"/>
      <c r="AT996" s="87"/>
    </row>
    <row r="997" spans="2:46" thickBot="1">
      <c r="B997" s="113"/>
      <c r="C997" s="324"/>
      <c r="D997" s="346"/>
      <c r="E997" s="326"/>
      <c r="F997" s="321" t="str">
        <f t="shared" si="70"/>
        <v/>
      </c>
      <c r="G997" s="334"/>
      <c r="H997" s="331"/>
      <c r="I997" s="107"/>
      <c r="J997" s="108"/>
      <c r="K997" s="109"/>
      <c r="L997" s="108"/>
      <c r="O997" s="86"/>
      <c r="P997" s="57"/>
      <c r="Q997" s="37"/>
      <c r="R997" s="92" t="str">
        <f t="shared" si="69"/>
        <v/>
      </c>
      <c r="S997" s="52"/>
      <c r="T997" s="87"/>
      <c r="U997" s="86"/>
      <c r="V997" s="201"/>
      <c r="W997" s="37"/>
      <c r="X997" s="52"/>
      <c r="Y997" s="87"/>
      <c r="AA997" s="86"/>
      <c r="AB997" s="57"/>
      <c r="AC997" s="37"/>
      <c r="AD997" s="52"/>
      <c r="AE997" s="87"/>
      <c r="AG997" s="86"/>
      <c r="AH997" s="37"/>
      <c r="AI997" s="52"/>
      <c r="AJ997" s="87"/>
      <c r="AL997" s="86"/>
      <c r="AM997" s="37"/>
      <c r="AN997" s="52"/>
      <c r="AO997" s="87"/>
      <c r="AQ997" s="86"/>
      <c r="AR997" s="37"/>
      <c r="AS997" s="52"/>
      <c r="AT997" s="87"/>
    </row>
    <row r="998" spans="2:46" thickBot="1">
      <c r="B998" s="113"/>
      <c r="C998" s="324"/>
      <c r="D998" s="346"/>
      <c r="E998" s="326"/>
      <c r="F998" s="321" t="str">
        <f t="shared" si="70"/>
        <v/>
      </c>
      <c r="G998" s="334"/>
      <c r="H998" s="331"/>
      <c r="I998" s="107"/>
      <c r="J998" s="108"/>
      <c r="K998" s="109"/>
      <c r="L998" s="108"/>
      <c r="O998" s="86"/>
      <c r="P998" s="57"/>
      <c r="Q998" s="37"/>
      <c r="R998" s="92" t="str">
        <f t="shared" si="69"/>
        <v/>
      </c>
      <c r="S998" s="52"/>
      <c r="T998" s="87"/>
      <c r="U998" s="86"/>
      <c r="V998" s="201"/>
      <c r="W998" s="37"/>
      <c r="X998" s="52"/>
      <c r="Y998" s="87"/>
      <c r="AA998" s="86"/>
      <c r="AB998" s="57"/>
      <c r="AC998" s="37"/>
      <c r="AD998" s="52"/>
      <c r="AE998" s="87"/>
      <c r="AG998" s="86"/>
      <c r="AH998" s="37"/>
      <c r="AI998" s="52"/>
      <c r="AJ998" s="87"/>
      <c r="AL998" s="86"/>
      <c r="AM998" s="37"/>
      <c r="AN998" s="52"/>
      <c r="AO998" s="87"/>
      <c r="AQ998" s="86"/>
      <c r="AR998" s="37"/>
      <c r="AS998" s="52"/>
      <c r="AT998" s="87"/>
    </row>
    <row r="999" spans="2:46" thickBot="1">
      <c r="B999" s="113"/>
      <c r="C999" s="324"/>
      <c r="D999" s="346"/>
      <c r="E999" s="326"/>
      <c r="F999" s="321" t="str">
        <f t="shared" si="70"/>
        <v/>
      </c>
      <c r="G999" s="334"/>
      <c r="H999" s="331"/>
      <c r="I999" s="107"/>
      <c r="J999" s="108"/>
      <c r="K999" s="109"/>
      <c r="L999" s="108"/>
      <c r="O999" s="86"/>
      <c r="P999" s="57"/>
      <c r="Q999" s="37"/>
      <c r="R999" s="92" t="str">
        <f t="shared" si="69"/>
        <v/>
      </c>
      <c r="S999" s="52"/>
      <c r="T999" s="87"/>
      <c r="U999" s="86"/>
      <c r="V999" s="201"/>
      <c r="W999" s="37"/>
      <c r="X999" s="52"/>
      <c r="Y999" s="87"/>
      <c r="AA999" s="86"/>
      <c r="AB999" s="57"/>
      <c r="AC999" s="37"/>
      <c r="AD999" s="52"/>
      <c r="AE999" s="87"/>
      <c r="AG999" s="86"/>
      <c r="AH999" s="37"/>
      <c r="AI999" s="52"/>
      <c r="AJ999" s="87"/>
      <c r="AL999" s="86"/>
      <c r="AM999" s="37"/>
      <c r="AN999" s="52"/>
      <c r="AO999" s="87"/>
      <c r="AQ999" s="86"/>
      <c r="AR999" s="37"/>
      <c r="AS999" s="52"/>
      <c r="AT999" s="87"/>
    </row>
    <row r="1000" spans="2:46" thickBot="1">
      <c r="B1000" s="113"/>
      <c r="C1000" s="324"/>
      <c r="D1000" s="346"/>
      <c r="E1000" s="326"/>
      <c r="F1000" s="321" t="str">
        <f t="shared" si="70"/>
        <v/>
      </c>
      <c r="G1000" s="334"/>
      <c r="H1000" s="331"/>
      <c r="I1000" s="107"/>
      <c r="J1000" s="108"/>
      <c r="K1000" s="109"/>
      <c r="L1000" s="108"/>
      <c r="O1000" s="86"/>
      <c r="P1000" s="57"/>
      <c r="Q1000" s="37"/>
      <c r="R1000" s="92" t="str">
        <f t="shared" si="69"/>
        <v/>
      </c>
      <c r="S1000" s="52"/>
      <c r="T1000" s="87"/>
      <c r="U1000" s="86"/>
      <c r="V1000" s="201"/>
      <c r="W1000" s="37"/>
      <c r="X1000" s="52"/>
      <c r="Y1000" s="87"/>
      <c r="AA1000" s="86"/>
      <c r="AB1000" s="57"/>
      <c r="AC1000" s="37"/>
      <c r="AD1000" s="52"/>
      <c r="AE1000" s="87"/>
      <c r="AG1000" s="86"/>
      <c r="AH1000" s="37"/>
      <c r="AI1000" s="52"/>
      <c r="AJ1000" s="87"/>
      <c r="AL1000" s="86"/>
      <c r="AM1000" s="37"/>
      <c r="AN1000" s="52"/>
      <c r="AO1000" s="87"/>
      <c r="AQ1000" s="86"/>
      <c r="AR1000" s="37"/>
      <c r="AS1000" s="52"/>
      <c r="AT1000" s="87"/>
    </row>
    <row r="1001" spans="2:46" thickBot="1">
      <c r="B1001" s="113"/>
      <c r="C1001" s="324"/>
      <c r="D1001" s="346"/>
      <c r="E1001" s="326"/>
      <c r="F1001" s="321" t="str">
        <f t="shared" si="70"/>
        <v/>
      </c>
      <c r="G1001" s="334"/>
      <c r="H1001" s="331"/>
      <c r="I1001" s="107"/>
      <c r="J1001" s="108"/>
      <c r="K1001" s="109"/>
      <c r="L1001" s="108"/>
      <c r="O1001" s="86"/>
      <c r="P1001" s="57"/>
      <c r="Q1001" s="37"/>
      <c r="R1001" s="92" t="str">
        <f t="shared" si="69"/>
        <v/>
      </c>
      <c r="S1001" s="52"/>
      <c r="T1001" s="87"/>
      <c r="U1001" s="86"/>
      <c r="V1001" s="201"/>
      <c r="W1001" s="37"/>
      <c r="X1001" s="52"/>
      <c r="Y1001" s="87"/>
      <c r="AA1001" s="86"/>
      <c r="AB1001" s="57"/>
      <c r="AC1001" s="37"/>
      <c r="AD1001" s="52"/>
      <c r="AE1001" s="87"/>
      <c r="AG1001" s="86"/>
      <c r="AH1001" s="37"/>
      <c r="AI1001" s="52"/>
      <c r="AJ1001" s="87"/>
      <c r="AL1001" s="86"/>
      <c r="AM1001" s="37"/>
      <c r="AN1001" s="52"/>
      <c r="AO1001" s="87"/>
      <c r="AQ1001" s="86"/>
      <c r="AR1001" s="37"/>
      <c r="AS1001" s="52"/>
      <c r="AT1001" s="87"/>
    </row>
    <row r="1002" spans="2:46" thickBot="1">
      <c r="B1002" s="113"/>
      <c r="C1002" s="324"/>
      <c r="D1002" s="346"/>
      <c r="E1002" s="326"/>
      <c r="F1002" s="321" t="str">
        <f t="shared" si="70"/>
        <v/>
      </c>
      <c r="G1002" s="334"/>
      <c r="H1002" s="331"/>
      <c r="I1002" s="107"/>
      <c r="J1002" s="108"/>
      <c r="K1002" s="109"/>
      <c r="L1002" s="108"/>
      <c r="O1002" s="86"/>
      <c r="P1002" s="57"/>
      <c r="Q1002" s="37"/>
      <c r="R1002" s="92" t="str">
        <f t="shared" si="69"/>
        <v/>
      </c>
      <c r="S1002" s="52"/>
      <c r="T1002" s="87"/>
      <c r="U1002" s="86"/>
      <c r="V1002" s="201"/>
      <c r="W1002" s="37"/>
      <c r="X1002" s="52"/>
      <c r="Y1002" s="87"/>
      <c r="AA1002" s="86"/>
      <c r="AB1002" s="57"/>
      <c r="AC1002" s="37"/>
      <c r="AD1002" s="52"/>
      <c r="AE1002" s="87"/>
      <c r="AG1002" s="86"/>
      <c r="AH1002" s="37"/>
      <c r="AI1002" s="52"/>
      <c r="AJ1002" s="87"/>
      <c r="AL1002" s="86"/>
      <c r="AM1002" s="37"/>
      <c r="AN1002" s="52"/>
      <c r="AO1002" s="87"/>
      <c r="AQ1002" s="86"/>
      <c r="AR1002" s="37"/>
      <c r="AS1002" s="52"/>
      <c r="AT1002" s="87"/>
    </row>
    <row r="1003" spans="2:46" thickBot="1">
      <c r="B1003" s="113"/>
      <c r="C1003" s="324"/>
      <c r="D1003" s="346"/>
      <c r="E1003" s="326"/>
      <c r="F1003" s="321" t="str">
        <f t="shared" si="70"/>
        <v/>
      </c>
      <c r="G1003" s="334"/>
      <c r="H1003" s="331"/>
      <c r="I1003" s="107"/>
      <c r="J1003" s="108"/>
      <c r="K1003" s="109"/>
      <c r="L1003" s="108"/>
      <c r="O1003" s="86"/>
      <c r="P1003" s="57"/>
      <c r="Q1003" s="37"/>
      <c r="R1003" s="92" t="str">
        <f t="shared" ref="R1003:R1066" si="71">IF(Q1003="","",ROUND(S1003*(1+$F$2),2))</f>
        <v/>
      </c>
      <c r="S1003" s="52"/>
      <c r="T1003" s="87"/>
      <c r="U1003" s="86"/>
      <c r="V1003" s="201"/>
      <c r="W1003" s="37"/>
      <c r="X1003" s="52"/>
      <c r="Y1003" s="87"/>
      <c r="AA1003" s="86"/>
      <c r="AB1003" s="57"/>
      <c r="AC1003" s="37"/>
      <c r="AD1003" s="52"/>
      <c r="AE1003" s="87"/>
      <c r="AG1003" s="86"/>
      <c r="AH1003" s="37"/>
      <c r="AI1003" s="52"/>
      <c r="AJ1003" s="87"/>
      <c r="AL1003" s="86"/>
      <c r="AM1003" s="37"/>
      <c r="AN1003" s="52"/>
      <c r="AO1003" s="87"/>
      <c r="AQ1003" s="86"/>
      <c r="AR1003" s="37"/>
      <c r="AS1003" s="52"/>
      <c r="AT1003" s="87"/>
    </row>
    <row r="1004" spans="2:46" thickBot="1">
      <c r="B1004" s="113"/>
      <c r="C1004" s="324"/>
      <c r="D1004" s="346"/>
      <c r="E1004" s="326"/>
      <c r="F1004" s="321" t="str">
        <f t="shared" si="70"/>
        <v/>
      </c>
      <c r="G1004" s="334"/>
      <c r="H1004" s="331"/>
      <c r="I1004" s="107"/>
      <c r="J1004" s="108"/>
      <c r="K1004" s="109"/>
      <c r="L1004" s="108"/>
      <c r="O1004" s="86"/>
      <c r="P1004" s="57"/>
      <c r="Q1004" s="37"/>
      <c r="R1004" s="92" t="str">
        <f t="shared" si="71"/>
        <v/>
      </c>
      <c r="S1004" s="52"/>
      <c r="T1004" s="87"/>
      <c r="U1004" s="86"/>
      <c r="V1004" s="201"/>
      <c r="W1004" s="37"/>
      <c r="X1004" s="52"/>
      <c r="Y1004" s="87"/>
      <c r="AA1004" s="86"/>
      <c r="AB1004" s="57"/>
      <c r="AC1004" s="37"/>
      <c r="AD1004" s="52"/>
      <c r="AE1004" s="87"/>
      <c r="AG1004" s="86"/>
      <c r="AH1004" s="37"/>
      <c r="AI1004" s="52"/>
      <c r="AJ1004" s="87"/>
      <c r="AL1004" s="86"/>
      <c r="AM1004" s="37"/>
      <c r="AN1004" s="52"/>
      <c r="AO1004" s="87"/>
      <c r="AQ1004" s="86"/>
      <c r="AR1004" s="37"/>
      <c r="AS1004" s="52"/>
      <c r="AT1004" s="87"/>
    </row>
    <row r="1005" spans="2:46" thickBot="1">
      <c r="B1005" s="113"/>
      <c r="C1005" s="324"/>
      <c r="D1005" s="346"/>
      <c r="E1005" s="326"/>
      <c r="F1005" s="321" t="str">
        <f t="shared" si="70"/>
        <v/>
      </c>
      <c r="G1005" s="334"/>
      <c r="H1005" s="331"/>
      <c r="I1005" s="107"/>
      <c r="J1005" s="108"/>
      <c r="K1005" s="109"/>
      <c r="L1005" s="108"/>
      <c r="O1005" s="86"/>
      <c r="P1005" s="57"/>
      <c r="Q1005" s="37"/>
      <c r="R1005" s="92" t="str">
        <f t="shared" si="71"/>
        <v/>
      </c>
      <c r="S1005" s="52"/>
      <c r="T1005" s="87"/>
      <c r="U1005" s="86"/>
      <c r="V1005" s="201"/>
      <c r="W1005" s="37"/>
      <c r="X1005" s="52"/>
      <c r="Y1005" s="87"/>
      <c r="AA1005" s="86"/>
      <c r="AB1005" s="57"/>
      <c r="AC1005" s="37"/>
      <c r="AD1005" s="52"/>
      <c r="AE1005" s="87"/>
      <c r="AG1005" s="86"/>
      <c r="AH1005" s="37"/>
      <c r="AI1005" s="52"/>
      <c r="AJ1005" s="87"/>
      <c r="AL1005" s="86"/>
      <c r="AM1005" s="37"/>
      <c r="AN1005" s="52"/>
      <c r="AO1005" s="87"/>
      <c r="AQ1005" s="86"/>
      <c r="AR1005" s="37"/>
      <c r="AS1005" s="52"/>
      <c r="AT1005" s="87"/>
    </row>
    <row r="1006" spans="2:46" thickBot="1">
      <c r="B1006" s="113"/>
      <c r="C1006" s="324"/>
      <c r="D1006" s="346"/>
      <c r="E1006" s="326"/>
      <c r="F1006" s="321" t="str">
        <f t="shared" si="70"/>
        <v/>
      </c>
      <c r="G1006" s="334"/>
      <c r="H1006" s="331"/>
      <c r="I1006" s="107"/>
      <c r="J1006" s="108"/>
      <c r="K1006" s="109"/>
      <c r="L1006" s="108"/>
      <c r="O1006" s="86"/>
      <c r="P1006" s="57"/>
      <c r="Q1006" s="37"/>
      <c r="R1006" s="92" t="str">
        <f t="shared" si="71"/>
        <v/>
      </c>
      <c r="S1006" s="52"/>
      <c r="T1006" s="87"/>
      <c r="U1006" s="86"/>
      <c r="V1006" s="201"/>
      <c r="W1006" s="37"/>
      <c r="X1006" s="52"/>
      <c r="Y1006" s="87"/>
      <c r="AA1006" s="86"/>
      <c r="AB1006" s="57"/>
      <c r="AC1006" s="37"/>
      <c r="AD1006" s="52"/>
      <c r="AE1006" s="87"/>
      <c r="AG1006" s="86"/>
      <c r="AH1006" s="37"/>
      <c r="AI1006" s="52"/>
      <c r="AJ1006" s="87"/>
      <c r="AL1006" s="86"/>
      <c r="AM1006" s="37"/>
      <c r="AN1006" s="52"/>
      <c r="AO1006" s="87"/>
      <c r="AQ1006" s="86"/>
      <c r="AR1006" s="37"/>
      <c r="AS1006" s="52"/>
      <c r="AT1006" s="87"/>
    </row>
    <row r="1007" spans="2:46" thickBot="1">
      <c r="B1007" s="113"/>
      <c r="C1007" s="324"/>
      <c r="D1007" s="346"/>
      <c r="E1007" s="326"/>
      <c r="F1007" s="321" t="str">
        <f t="shared" si="70"/>
        <v/>
      </c>
      <c r="G1007" s="334"/>
      <c r="H1007" s="331"/>
      <c r="I1007" s="107"/>
      <c r="J1007" s="108"/>
      <c r="K1007" s="109"/>
      <c r="L1007" s="108"/>
      <c r="O1007" s="86"/>
      <c r="P1007" s="57"/>
      <c r="Q1007" s="37"/>
      <c r="R1007" s="92" t="str">
        <f t="shared" si="71"/>
        <v/>
      </c>
      <c r="S1007" s="52"/>
      <c r="T1007" s="87"/>
      <c r="U1007" s="86"/>
      <c r="V1007" s="201"/>
      <c r="W1007" s="37"/>
      <c r="X1007" s="52"/>
      <c r="Y1007" s="87"/>
      <c r="AA1007" s="86"/>
      <c r="AB1007" s="57"/>
      <c r="AC1007" s="37"/>
      <c r="AD1007" s="52"/>
      <c r="AE1007" s="87"/>
      <c r="AG1007" s="86"/>
      <c r="AH1007" s="37"/>
      <c r="AI1007" s="52"/>
      <c r="AJ1007" s="87"/>
      <c r="AL1007" s="86"/>
      <c r="AM1007" s="37"/>
      <c r="AN1007" s="52"/>
      <c r="AO1007" s="87"/>
      <c r="AQ1007" s="86"/>
      <c r="AR1007" s="37"/>
      <c r="AS1007" s="52"/>
      <c r="AT1007" s="87"/>
    </row>
    <row r="1008" spans="2:46" thickBot="1">
      <c r="B1008" s="113"/>
      <c r="C1008" s="324"/>
      <c r="D1008" s="346"/>
      <c r="E1008" s="326"/>
      <c r="F1008" s="321" t="str">
        <f t="shared" si="70"/>
        <v/>
      </c>
      <c r="G1008" s="334"/>
      <c r="H1008" s="331"/>
      <c r="I1008" s="107"/>
      <c r="J1008" s="108"/>
      <c r="K1008" s="109"/>
      <c r="L1008" s="108"/>
      <c r="O1008" s="86"/>
      <c r="P1008" s="57"/>
      <c r="Q1008" s="37"/>
      <c r="R1008" s="92" t="str">
        <f t="shared" si="71"/>
        <v/>
      </c>
      <c r="S1008" s="52"/>
      <c r="T1008" s="87"/>
      <c r="U1008" s="86"/>
      <c r="V1008" s="201"/>
      <c r="W1008" s="37"/>
      <c r="X1008" s="52"/>
      <c r="Y1008" s="87"/>
      <c r="AA1008" s="86"/>
      <c r="AB1008" s="57"/>
      <c r="AC1008" s="37"/>
      <c r="AD1008" s="52"/>
      <c r="AE1008" s="87"/>
      <c r="AG1008" s="86"/>
      <c r="AH1008" s="37"/>
      <c r="AI1008" s="52"/>
      <c r="AJ1008" s="87"/>
      <c r="AL1008" s="86"/>
      <c r="AM1008" s="37"/>
      <c r="AN1008" s="52"/>
      <c r="AO1008" s="87"/>
      <c r="AQ1008" s="86"/>
      <c r="AR1008" s="37"/>
      <c r="AS1008" s="52"/>
      <c r="AT1008" s="87"/>
    </row>
    <row r="1009" spans="2:46" thickBot="1">
      <c r="B1009" s="113"/>
      <c r="C1009" s="324"/>
      <c r="D1009" s="346"/>
      <c r="E1009" s="326"/>
      <c r="F1009" s="321" t="str">
        <f t="shared" si="70"/>
        <v/>
      </c>
      <c r="G1009" s="334"/>
      <c r="H1009" s="331"/>
      <c r="I1009" s="107"/>
      <c r="J1009" s="108"/>
      <c r="K1009" s="109"/>
      <c r="L1009" s="108"/>
      <c r="O1009" s="86"/>
      <c r="P1009" s="57"/>
      <c r="Q1009" s="37"/>
      <c r="R1009" s="92" t="str">
        <f t="shared" si="71"/>
        <v/>
      </c>
      <c r="S1009" s="52"/>
      <c r="T1009" s="87"/>
      <c r="U1009" s="86"/>
      <c r="V1009" s="201"/>
      <c r="W1009" s="37"/>
      <c r="X1009" s="52"/>
      <c r="Y1009" s="87"/>
      <c r="AA1009" s="86"/>
      <c r="AB1009" s="57"/>
      <c r="AC1009" s="37"/>
      <c r="AD1009" s="52"/>
      <c r="AE1009" s="87"/>
      <c r="AG1009" s="86"/>
      <c r="AH1009" s="37"/>
      <c r="AI1009" s="52"/>
      <c r="AJ1009" s="87"/>
      <c r="AL1009" s="86"/>
      <c r="AM1009" s="37"/>
      <c r="AN1009" s="52"/>
      <c r="AO1009" s="87"/>
      <c r="AQ1009" s="86"/>
      <c r="AR1009" s="37"/>
      <c r="AS1009" s="52"/>
      <c r="AT1009" s="87"/>
    </row>
    <row r="1010" spans="2:46" thickBot="1">
      <c r="B1010" s="113"/>
      <c r="C1010" s="324"/>
      <c r="D1010" s="346"/>
      <c r="E1010" s="326"/>
      <c r="F1010" s="321" t="str">
        <f t="shared" si="70"/>
        <v/>
      </c>
      <c r="G1010" s="334"/>
      <c r="H1010" s="331"/>
      <c r="I1010" s="107"/>
      <c r="J1010" s="108"/>
      <c r="K1010" s="109"/>
      <c r="L1010" s="108"/>
      <c r="O1010" s="86"/>
      <c r="P1010" s="57"/>
      <c r="Q1010" s="37"/>
      <c r="R1010" s="92" t="str">
        <f t="shared" si="71"/>
        <v/>
      </c>
      <c r="S1010" s="52"/>
      <c r="T1010" s="87"/>
      <c r="U1010" s="86"/>
      <c r="V1010" s="201"/>
      <c r="W1010" s="37"/>
      <c r="X1010" s="52"/>
      <c r="Y1010" s="87"/>
      <c r="AA1010" s="86"/>
      <c r="AB1010" s="57"/>
      <c r="AC1010" s="37"/>
      <c r="AD1010" s="52"/>
      <c r="AE1010" s="87"/>
      <c r="AG1010" s="86"/>
      <c r="AH1010" s="37"/>
      <c r="AI1010" s="52"/>
      <c r="AJ1010" s="87"/>
      <c r="AL1010" s="86"/>
      <c r="AM1010" s="37"/>
      <c r="AN1010" s="52"/>
      <c r="AO1010" s="87"/>
      <c r="AQ1010" s="86"/>
      <c r="AR1010" s="37"/>
      <c r="AS1010" s="52"/>
      <c r="AT1010" s="87"/>
    </row>
    <row r="1011" spans="2:46" thickBot="1">
      <c r="B1011" s="113"/>
      <c r="C1011" s="324"/>
      <c r="D1011" s="346"/>
      <c r="E1011" s="326"/>
      <c r="F1011" s="321" t="str">
        <f t="shared" si="70"/>
        <v/>
      </c>
      <c r="G1011" s="334"/>
      <c r="H1011" s="331"/>
      <c r="I1011" s="107"/>
      <c r="J1011" s="108"/>
      <c r="K1011" s="109"/>
      <c r="L1011" s="108"/>
      <c r="O1011" s="86"/>
      <c r="P1011" s="57"/>
      <c r="Q1011" s="37"/>
      <c r="R1011" s="92" t="str">
        <f t="shared" si="71"/>
        <v/>
      </c>
      <c r="S1011" s="52"/>
      <c r="T1011" s="87"/>
      <c r="U1011" s="86"/>
      <c r="V1011" s="201"/>
      <c r="W1011" s="37"/>
      <c r="X1011" s="52"/>
      <c r="Y1011" s="87"/>
      <c r="AA1011" s="86"/>
      <c r="AB1011" s="57"/>
      <c r="AC1011" s="37"/>
      <c r="AD1011" s="52"/>
      <c r="AE1011" s="87"/>
      <c r="AG1011" s="86"/>
      <c r="AH1011" s="37"/>
      <c r="AI1011" s="52"/>
      <c r="AJ1011" s="87"/>
      <c r="AL1011" s="86"/>
      <c r="AM1011" s="37"/>
      <c r="AN1011" s="52"/>
      <c r="AO1011" s="87"/>
      <c r="AQ1011" s="86"/>
      <c r="AR1011" s="37"/>
      <c r="AS1011" s="52"/>
      <c r="AT1011" s="87"/>
    </row>
    <row r="1012" spans="2:46" thickBot="1">
      <c r="B1012" s="113"/>
      <c r="C1012" s="324"/>
      <c r="D1012" s="346"/>
      <c r="E1012" s="326"/>
      <c r="F1012" s="321" t="str">
        <f t="shared" si="70"/>
        <v/>
      </c>
      <c r="G1012" s="334"/>
      <c r="H1012" s="331"/>
      <c r="I1012" s="107"/>
      <c r="J1012" s="108"/>
      <c r="K1012" s="109"/>
      <c r="L1012" s="108"/>
      <c r="O1012" s="86"/>
      <c r="P1012" s="57"/>
      <c r="Q1012" s="37"/>
      <c r="R1012" s="92" t="str">
        <f t="shared" si="71"/>
        <v/>
      </c>
      <c r="S1012" s="52"/>
      <c r="T1012" s="87"/>
      <c r="U1012" s="86"/>
      <c r="V1012" s="201"/>
      <c r="W1012" s="37"/>
      <c r="X1012" s="52"/>
      <c r="Y1012" s="87"/>
      <c r="AA1012" s="86"/>
      <c r="AB1012" s="57"/>
      <c r="AC1012" s="37"/>
      <c r="AD1012" s="52"/>
      <c r="AE1012" s="87"/>
      <c r="AG1012" s="86"/>
      <c r="AH1012" s="37"/>
      <c r="AI1012" s="52"/>
      <c r="AJ1012" s="87"/>
      <c r="AL1012" s="86"/>
      <c r="AM1012" s="37"/>
      <c r="AN1012" s="52"/>
      <c r="AO1012" s="87"/>
      <c r="AQ1012" s="86"/>
      <c r="AR1012" s="37"/>
      <c r="AS1012" s="52"/>
      <c r="AT1012" s="87"/>
    </row>
    <row r="1013" spans="2:46" thickBot="1">
      <c r="B1013" s="113"/>
      <c r="C1013" s="324"/>
      <c r="D1013" s="346"/>
      <c r="E1013" s="326"/>
      <c r="F1013" s="321" t="str">
        <f t="shared" si="70"/>
        <v/>
      </c>
      <c r="G1013" s="334"/>
      <c r="H1013" s="331"/>
      <c r="I1013" s="107"/>
      <c r="J1013" s="108"/>
      <c r="K1013" s="109"/>
      <c r="L1013" s="108"/>
      <c r="O1013" s="86"/>
      <c r="P1013" s="57"/>
      <c r="Q1013" s="37"/>
      <c r="R1013" s="92" t="str">
        <f t="shared" si="71"/>
        <v/>
      </c>
      <c r="S1013" s="52"/>
      <c r="T1013" s="87"/>
      <c r="U1013" s="86"/>
      <c r="V1013" s="201"/>
      <c r="W1013" s="37"/>
      <c r="X1013" s="52"/>
      <c r="Y1013" s="87"/>
      <c r="AA1013" s="86"/>
      <c r="AB1013" s="57"/>
      <c r="AC1013" s="37"/>
      <c r="AD1013" s="52"/>
      <c r="AE1013" s="87"/>
      <c r="AG1013" s="86"/>
      <c r="AH1013" s="37"/>
      <c r="AI1013" s="52"/>
      <c r="AJ1013" s="87"/>
      <c r="AL1013" s="86"/>
      <c r="AM1013" s="37"/>
      <c r="AN1013" s="52"/>
      <c r="AO1013" s="87"/>
      <c r="AQ1013" s="86"/>
      <c r="AR1013" s="37"/>
      <c r="AS1013" s="52"/>
      <c r="AT1013" s="87"/>
    </row>
    <row r="1014" spans="2:46" thickBot="1">
      <c r="B1014" s="113"/>
      <c r="C1014" s="324"/>
      <c r="D1014" s="346"/>
      <c r="E1014" s="326"/>
      <c r="F1014" s="321" t="str">
        <f t="shared" si="70"/>
        <v/>
      </c>
      <c r="G1014" s="334"/>
      <c r="H1014" s="331"/>
      <c r="I1014" s="107"/>
      <c r="J1014" s="108"/>
      <c r="K1014" s="109"/>
      <c r="L1014" s="108"/>
      <c r="O1014" s="86"/>
      <c r="P1014" s="57"/>
      <c r="Q1014" s="37"/>
      <c r="R1014" s="92" t="str">
        <f t="shared" si="71"/>
        <v/>
      </c>
      <c r="S1014" s="52"/>
      <c r="T1014" s="87"/>
      <c r="U1014" s="86"/>
      <c r="V1014" s="201"/>
      <c r="W1014" s="37"/>
      <c r="X1014" s="52"/>
      <c r="Y1014" s="87"/>
      <c r="AA1014" s="86"/>
      <c r="AB1014" s="57"/>
      <c r="AC1014" s="37"/>
      <c r="AD1014" s="52"/>
      <c r="AE1014" s="87"/>
      <c r="AG1014" s="86"/>
      <c r="AH1014" s="37"/>
      <c r="AI1014" s="52"/>
      <c r="AJ1014" s="87"/>
      <c r="AL1014" s="86"/>
      <c r="AM1014" s="37"/>
      <c r="AN1014" s="52"/>
      <c r="AO1014" s="87"/>
      <c r="AQ1014" s="86"/>
      <c r="AR1014" s="37"/>
      <c r="AS1014" s="52"/>
      <c r="AT1014" s="87"/>
    </row>
    <row r="1015" spans="2:46" thickBot="1">
      <c r="B1015" s="113"/>
      <c r="C1015" s="324"/>
      <c r="D1015" s="346"/>
      <c r="E1015" s="326"/>
      <c r="F1015" s="321" t="str">
        <f t="shared" si="70"/>
        <v/>
      </c>
      <c r="G1015" s="334"/>
      <c r="H1015" s="331"/>
      <c r="I1015" s="107"/>
      <c r="J1015" s="108"/>
      <c r="K1015" s="109"/>
      <c r="L1015" s="108"/>
      <c r="O1015" s="86"/>
      <c r="P1015" s="57"/>
      <c r="Q1015" s="37"/>
      <c r="R1015" s="92" t="str">
        <f t="shared" si="71"/>
        <v/>
      </c>
      <c r="S1015" s="52"/>
      <c r="T1015" s="87"/>
      <c r="U1015" s="86"/>
      <c r="V1015" s="201"/>
      <c r="W1015" s="37"/>
      <c r="X1015" s="52"/>
      <c r="Y1015" s="87"/>
      <c r="AA1015" s="86"/>
      <c r="AB1015" s="57"/>
      <c r="AC1015" s="37"/>
      <c r="AD1015" s="52"/>
      <c r="AE1015" s="87"/>
      <c r="AG1015" s="86"/>
      <c r="AH1015" s="37"/>
      <c r="AI1015" s="52"/>
      <c r="AJ1015" s="87"/>
      <c r="AL1015" s="86"/>
      <c r="AM1015" s="37"/>
      <c r="AN1015" s="52"/>
      <c r="AO1015" s="87"/>
      <c r="AQ1015" s="86"/>
      <c r="AR1015" s="37"/>
      <c r="AS1015" s="52"/>
      <c r="AT1015" s="87"/>
    </row>
    <row r="1016" spans="2:46" thickBot="1">
      <c r="B1016" s="113"/>
      <c r="C1016" s="324"/>
      <c r="D1016" s="346"/>
      <c r="E1016" s="326"/>
      <c r="F1016" s="321" t="str">
        <f t="shared" si="70"/>
        <v/>
      </c>
      <c r="G1016" s="334"/>
      <c r="H1016" s="331"/>
      <c r="I1016" s="107"/>
      <c r="J1016" s="108"/>
      <c r="K1016" s="109"/>
      <c r="L1016" s="108"/>
      <c r="O1016" s="86"/>
      <c r="P1016" s="57"/>
      <c r="Q1016" s="37"/>
      <c r="R1016" s="92" t="str">
        <f t="shared" si="71"/>
        <v/>
      </c>
      <c r="S1016" s="52"/>
      <c r="T1016" s="87"/>
      <c r="U1016" s="86"/>
      <c r="V1016" s="201"/>
      <c r="W1016" s="37"/>
      <c r="X1016" s="52"/>
      <c r="Y1016" s="87"/>
      <c r="AA1016" s="86"/>
      <c r="AB1016" s="57"/>
      <c r="AC1016" s="37"/>
      <c r="AD1016" s="52"/>
      <c r="AE1016" s="87"/>
      <c r="AG1016" s="86"/>
      <c r="AH1016" s="37"/>
      <c r="AI1016" s="52"/>
      <c r="AJ1016" s="87"/>
      <c r="AL1016" s="86"/>
      <c r="AM1016" s="37"/>
      <c r="AN1016" s="52"/>
      <c r="AO1016" s="87"/>
      <c r="AQ1016" s="86"/>
      <c r="AR1016" s="37"/>
      <c r="AS1016" s="52"/>
      <c r="AT1016" s="87"/>
    </row>
    <row r="1017" spans="2:46" thickBot="1">
      <c r="B1017" s="113"/>
      <c r="C1017" s="324"/>
      <c r="D1017" s="346"/>
      <c r="E1017" s="326"/>
      <c r="F1017" s="321" t="str">
        <f t="shared" si="70"/>
        <v/>
      </c>
      <c r="G1017" s="334"/>
      <c r="H1017" s="331"/>
      <c r="I1017" s="107"/>
      <c r="J1017" s="108"/>
      <c r="K1017" s="109"/>
      <c r="L1017" s="108"/>
      <c r="O1017" s="86"/>
      <c r="P1017" s="57"/>
      <c r="Q1017" s="37"/>
      <c r="R1017" s="92" t="str">
        <f t="shared" si="71"/>
        <v/>
      </c>
      <c r="S1017" s="52"/>
      <c r="T1017" s="87"/>
      <c r="U1017" s="86"/>
      <c r="V1017" s="201"/>
      <c r="W1017" s="37"/>
      <c r="X1017" s="52"/>
      <c r="Y1017" s="87"/>
      <c r="AA1017" s="86"/>
      <c r="AB1017" s="57"/>
      <c r="AC1017" s="37"/>
      <c r="AD1017" s="52"/>
      <c r="AE1017" s="87"/>
      <c r="AG1017" s="86"/>
      <c r="AH1017" s="37"/>
      <c r="AI1017" s="52"/>
      <c r="AJ1017" s="87"/>
      <c r="AL1017" s="86"/>
      <c r="AM1017" s="37"/>
      <c r="AN1017" s="52"/>
      <c r="AO1017" s="87"/>
      <c r="AQ1017" s="86"/>
      <c r="AR1017" s="37"/>
      <c r="AS1017" s="52"/>
      <c r="AT1017" s="87"/>
    </row>
    <row r="1018" spans="2:46" thickBot="1">
      <c r="B1018" s="113"/>
      <c r="C1018" s="324"/>
      <c r="D1018" s="346"/>
      <c r="E1018" s="326"/>
      <c r="F1018" s="321" t="str">
        <f t="shared" si="70"/>
        <v/>
      </c>
      <c r="G1018" s="334"/>
      <c r="H1018" s="331"/>
      <c r="I1018" s="107"/>
      <c r="J1018" s="108"/>
      <c r="K1018" s="109"/>
      <c r="L1018" s="108"/>
      <c r="O1018" s="86"/>
      <c r="P1018" s="57"/>
      <c r="Q1018" s="37"/>
      <c r="R1018" s="92" t="str">
        <f t="shared" si="71"/>
        <v/>
      </c>
      <c r="S1018" s="52"/>
      <c r="T1018" s="87"/>
      <c r="U1018" s="86"/>
      <c r="V1018" s="201"/>
      <c r="W1018" s="37"/>
      <c r="X1018" s="52"/>
      <c r="Y1018" s="87"/>
      <c r="AA1018" s="86"/>
      <c r="AB1018" s="57"/>
      <c r="AC1018" s="37"/>
      <c r="AD1018" s="52"/>
      <c r="AE1018" s="87"/>
      <c r="AG1018" s="86"/>
      <c r="AH1018" s="37"/>
      <c r="AI1018" s="52"/>
      <c r="AJ1018" s="87"/>
      <c r="AL1018" s="86"/>
      <c r="AM1018" s="37"/>
      <c r="AN1018" s="52"/>
      <c r="AO1018" s="87"/>
      <c r="AQ1018" s="86"/>
      <c r="AR1018" s="37"/>
      <c r="AS1018" s="52"/>
      <c r="AT1018" s="87"/>
    </row>
    <row r="1019" spans="2:46" thickBot="1">
      <c r="B1019" s="113"/>
      <c r="C1019" s="324"/>
      <c r="D1019" s="346"/>
      <c r="E1019" s="326"/>
      <c r="F1019" s="321" t="str">
        <f t="shared" si="70"/>
        <v/>
      </c>
      <c r="G1019" s="334"/>
      <c r="H1019" s="331"/>
      <c r="I1019" s="107"/>
      <c r="J1019" s="108"/>
      <c r="K1019" s="109"/>
      <c r="L1019" s="108"/>
      <c r="O1019" s="86"/>
      <c r="P1019" s="57"/>
      <c r="Q1019" s="37"/>
      <c r="R1019" s="92" t="str">
        <f t="shared" si="71"/>
        <v/>
      </c>
      <c r="S1019" s="52"/>
      <c r="T1019" s="87"/>
      <c r="U1019" s="86"/>
      <c r="V1019" s="201"/>
      <c r="W1019" s="37"/>
      <c r="X1019" s="52"/>
      <c r="Y1019" s="87"/>
      <c r="AA1019" s="86"/>
      <c r="AB1019" s="57"/>
      <c r="AC1019" s="37"/>
      <c r="AD1019" s="52"/>
      <c r="AE1019" s="87"/>
      <c r="AG1019" s="86"/>
      <c r="AH1019" s="37"/>
      <c r="AI1019" s="52"/>
      <c r="AJ1019" s="87"/>
      <c r="AL1019" s="86"/>
      <c r="AM1019" s="37"/>
      <c r="AN1019" s="52"/>
      <c r="AO1019" s="87"/>
      <c r="AQ1019" s="86"/>
      <c r="AR1019" s="37"/>
      <c r="AS1019" s="52"/>
      <c r="AT1019" s="87"/>
    </row>
    <row r="1020" spans="2:46" thickBot="1">
      <c r="B1020" s="113"/>
      <c r="C1020" s="324"/>
      <c r="D1020" s="346"/>
      <c r="E1020" s="326"/>
      <c r="F1020" s="321" t="str">
        <f t="shared" si="70"/>
        <v/>
      </c>
      <c r="G1020" s="334"/>
      <c r="H1020" s="331"/>
      <c r="I1020" s="107"/>
      <c r="J1020" s="108"/>
      <c r="K1020" s="109"/>
      <c r="L1020" s="108"/>
      <c r="O1020" s="86"/>
      <c r="P1020" s="57"/>
      <c r="Q1020" s="37"/>
      <c r="R1020" s="92" t="str">
        <f t="shared" si="71"/>
        <v/>
      </c>
      <c r="S1020" s="52"/>
      <c r="T1020" s="87"/>
      <c r="U1020" s="86"/>
      <c r="V1020" s="201"/>
      <c r="W1020" s="37"/>
      <c r="X1020" s="52"/>
      <c r="Y1020" s="87"/>
      <c r="AA1020" s="86"/>
      <c r="AB1020" s="57"/>
      <c r="AC1020" s="37"/>
      <c r="AD1020" s="52"/>
      <c r="AE1020" s="87"/>
      <c r="AG1020" s="86"/>
      <c r="AH1020" s="37"/>
      <c r="AI1020" s="52"/>
      <c r="AJ1020" s="87"/>
      <c r="AL1020" s="86"/>
      <c r="AM1020" s="37"/>
      <c r="AN1020" s="52"/>
      <c r="AO1020" s="87"/>
      <c r="AQ1020" s="86"/>
      <c r="AR1020" s="37"/>
      <c r="AS1020" s="52"/>
      <c r="AT1020" s="87"/>
    </row>
    <row r="1021" spans="2:46" thickBot="1">
      <c r="B1021" s="113"/>
      <c r="C1021" s="324"/>
      <c r="D1021" s="346"/>
      <c r="E1021" s="326"/>
      <c r="F1021" s="321" t="str">
        <f t="shared" si="70"/>
        <v/>
      </c>
      <c r="G1021" s="334"/>
      <c r="H1021" s="331"/>
      <c r="I1021" s="107"/>
      <c r="J1021" s="108"/>
      <c r="K1021" s="109"/>
      <c r="L1021" s="108"/>
      <c r="O1021" s="86"/>
      <c r="P1021" s="57"/>
      <c r="Q1021" s="37"/>
      <c r="R1021" s="92" t="str">
        <f t="shared" si="71"/>
        <v/>
      </c>
      <c r="S1021" s="52"/>
      <c r="T1021" s="87"/>
      <c r="U1021" s="86"/>
      <c r="V1021" s="201"/>
      <c r="W1021" s="37"/>
      <c r="X1021" s="52"/>
      <c r="Y1021" s="87"/>
      <c r="AA1021" s="86"/>
      <c r="AB1021" s="57"/>
      <c r="AC1021" s="37"/>
      <c r="AD1021" s="52"/>
      <c r="AE1021" s="87"/>
      <c r="AG1021" s="86"/>
      <c r="AH1021" s="37"/>
      <c r="AI1021" s="52"/>
      <c r="AJ1021" s="87"/>
      <c r="AL1021" s="86"/>
      <c r="AM1021" s="37"/>
      <c r="AN1021" s="52"/>
      <c r="AO1021" s="87"/>
      <c r="AQ1021" s="86"/>
      <c r="AR1021" s="37"/>
      <c r="AS1021" s="52"/>
      <c r="AT1021" s="87"/>
    </row>
    <row r="1022" spans="2:46" thickBot="1">
      <c r="B1022" s="113"/>
      <c r="C1022" s="324"/>
      <c r="D1022" s="346"/>
      <c r="E1022" s="326"/>
      <c r="F1022" s="321" t="str">
        <f t="shared" si="70"/>
        <v/>
      </c>
      <c r="G1022" s="334"/>
      <c r="H1022" s="331"/>
      <c r="I1022" s="107"/>
      <c r="J1022" s="108"/>
      <c r="K1022" s="109"/>
      <c r="L1022" s="108"/>
      <c r="O1022" s="86"/>
      <c r="P1022" s="57"/>
      <c r="Q1022" s="37"/>
      <c r="R1022" s="92" t="str">
        <f t="shared" si="71"/>
        <v/>
      </c>
      <c r="S1022" s="52"/>
      <c r="T1022" s="87"/>
      <c r="U1022" s="86"/>
      <c r="V1022" s="201"/>
      <c r="W1022" s="37"/>
      <c r="X1022" s="52"/>
      <c r="Y1022" s="87"/>
      <c r="AA1022" s="86"/>
      <c r="AB1022" s="57"/>
      <c r="AC1022" s="37"/>
      <c r="AD1022" s="52"/>
      <c r="AE1022" s="87"/>
      <c r="AG1022" s="86"/>
      <c r="AH1022" s="37"/>
      <c r="AI1022" s="52"/>
      <c r="AJ1022" s="87"/>
      <c r="AL1022" s="86"/>
      <c r="AM1022" s="37"/>
      <c r="AN1022" s="52"/>
      <c r="AO1022" s="87"/>
      <c r="AQ1022" s="86"/>
      <c r="AR1022" s="37"/>
      <c r="AS1022" s="52"/>
      <c r="AT1022" s="87"/>
    </row>
    <row r="1023" spans="2:46" thickBot="1">
      <c r="B1023" s="113"/>
      <c r="C1023" s="324"/>
      <c r="D1023" s="346"/>
      <c r="E1023" s="326"/>
      <c r="F1023" s="321" t="str">
        <f t="shared" si="70"/>
        <v/>
      </c>
      <c r="G1023" s="334"/>
      <c r="H1023" s="331"/>
      <c r="I1023" s="107"/>
      <c r="J1023" s="108"/>
      <c r="K1023" s="109"/>
      <c r="L1023" s="108"/>
      <c r="O1023" s="86"/>
      <c r="P1023" s="57"/>
      <c r="Q1023" s="37"/>
      <c r="R1023" s="92" t="str">
        <f t="shared" si="71"/>
        <v/>
      </c>
      <c r="S1023" s="52"/>
      <c r="T1023" s="87"/>
      <c r="U1023" s="86"/>
      <c r="V1023" s="201"/>
      <c r="W1023" s="37"/>
      <c r="X1023" s="52"/>
      <c r="Y1023" s="87"/>
      <c r="AA1023" s="86"/>
      <c r="AB1023" s="57"/>
      <c r="AC1023" s="37"/>
      <c r="AD1023" s="52"/>
      <c r="AE1023" s="87"/>
      <c r="AG1023" s="86"/>
      <c r="AH1023" s="37"/>
      <c r="AI1023" s="52"/>
      <c r="AJ1023" s="87"/>
      <c r="AL1023" s="86"/>
      <c r="AM1023" s="37"/>
      <c r="AN1023" s="52"/>
      <c r="AO1023" s="87"/>
      <c r="AQ1023" s="86"/>
      <c r="AR1023" s="37"/>
      <c r="AS1023" s="52"/>
      <c r="AT1023" s="87"/>
    </row>
    <row r="1024" spans="2:46" thickBot="1">
      <c r="B1024" s="113"/>
      <c r="C1024" s="324"/>
      <c r="D1024" s="346"/>
      <c r="E1024" s="326"/>
      <c r="F1024" s="321" t="str">
        <f t="shared" si="70"/>
        <v/>
      </c>
      <c r="G1024" s="334"/>
      <c r="H1024" s="331"/>
      <c r="I1024" s="107"/>
      <c r="J1024" s="108"/>
      <c r="K1024" s="109"/>
      <c r="L1024" s="108"/>
      <c r="O1024" s="86"/>
      <c r="P1024" s="57"/>
      <c r="Q1024" s="37"/>
      <c r="R1024" s="92" t="str">
        <f t="shared" si="71"/>
        <v/>
      </c>
      <c r="S1024" s="52"/>
      <c r="T1024" s="87"/>
      <c r="U1024" s="86"/>
      <c r="V1024" s="201"/>
      <c r="W1024" s="37"/>
      <c r="X1024" s="52"/>
      <c r="Y1024" s="87"/>
      <c r="AA1024" s="86"/>
      <c r="AB1024" s="57"/>
      <c r="AC1024" s="37"/>
      <c r="AD1024" s="52"/>
      <c r="AE1024" s="87"/>
      <c r="AG1024" s="86"/>
      <c r="AH1024" s="37"/>
      <c r="AI1024" s="52"/>
      <c r="AJ1024" s="87"/>
      <c r="AL1024" s="86"/>
      <c r="AM1024" s="37"/>
      <c r="AN1024" s="52"/>
      <c r="AO1024" s="87"/>
      <c r="AQ1024" s="86"/>
      <c r="AR1024" s="37"/>
      <c r="AS1024" s="52"/>
      <c r="AT1024" s="87"/>
    </row>
    <row r="1025" spans="2:46" thickBot="1">
      <c r="B1025" s="113"/>
      <c r="C1025" s="324"/>
      <c r="D1025" s="346"/>
      <c r="E1025" s="326"/>
      <c r="F1025" s="321" t="str">
        <f t="shared" si="70"/>
        <v/>
      </c>
      <c r="G1025" s="334"/>
      <c r="H1025" s="331"/>
      <c r="I1025" s="107"/>
      <c r="J1025" s="108"/>
      <c r="K1025" s="109"/>
      <c r="L1025" s="108"/>
      <c r="O1025" s="86"/>
      <c r="P1025" s="57"/>
      <c r="Q1025" s="37"/>
      <c r="R1025" s="92" t="str">
        <f t="shared" si="71"/>
        <v/>
      </c>
      <c r="S1025" s="52"/>
      <c r="T1025" s="87"/>
      <c r="U1025" s="86"/>
      <c r="V1025" s="201"/>
      <c r="W1025" s="37"/>
      <c r="X1025" s="52"/>
      <c r="Y1025" s="87"/>
      <c r="AA1025" s="86"/>
      <c r="AB1025" s="57"/>
      <c r="AC1025" s="37"/>
      <c r="AD1025" s="52"/>
      <c r="AE1025" s="87"/>
      <c r="AG1025" s="86"/>
      <c r="AH1025" s="37"/>
      <c r="AI1025" s="52"/>
      <c r="AJ1025" s="87"/>
      <c r="AL1025" s="86"/>
      <c r="AM1025" s="37"/>
      <c r="AN1025" s="52"/>
      <c r="AO1025" s="87"/>
      <c r="AQ1025" s="86"/>
      <c r="AR1025" s="37"/>
      <c r="AS1025" s="52"/>
      <c r="AT1025" s="87"/>
    </row>
    <row r="1026" spans="2:46" thickBot="1">
      <c r="B1026" s="113"/>
      <c r="C1026" s="324"/>
      <c r="D1026" s="346"/>
      <c r="E1026" s="326"/>
      <c r="F1026" s="321" t="str">
        <f t="shared" si="70"/>
        <v/>
      </c>
      <c r="G1026" s="334"/>
      <c r="H1026" s="331"/>
      <c r="I1026" s="107"/>
      <c r="J1026" s="108"/>
      <c r="K1026" s="109"/>
      <c r="L1026" s="108"/>
      <c r="O1026" s="86"/>
      <c r="P1026" s="57"/>
      <c r="Q1026" s="37"/>
      <c r="R1026" s="92" t="str">
        <f t="shared" si="71"/>
        <v/>
      </c>
      <c r="S1026" s="52"/>
      <c r="T1026" s="87"/>
      <c r="U1026" s="86"/>
      <c r="V1026" s="201"/>
      <c r="W1026" s="37"/>
      <c r="X1026" s="52"/>
      <c r="Y1026" s="87"/>
      <c r="AA1026" s="86"/>
      <c r="AB1026" s="57"/>
      <c r="AC1026" s="37"/>
      <c r="AD1026" s="52"/>
      <c r="AE1026" s="87"/>
      <c r="AG1026" s="86"/>
      <c r="AH1026" s="37"/>
      <c r="AI1026" s="52"/>
      <c r="AJ1026" s="87"/>
      <c r="AL1026" s="86"/>
      <c r="AM1026" s="37"/>
      <c r="AN1026" s="52"/>
      <c r="AO1026" s="87"/>
      <c r="AQ1026" s="86"/>
      <c r="AR1026" s="37"/>
      <c r="AS1026" s="52"/>
      <c r="AT1026" s="87"/>
    </row>
    <row r="1027" spans="2:46" thickBot="1">
      <c r="B1027" s="113"/>
      <c r="C1027" s="324"/>
      <c r="D1027" s="346"/>
      <c r="E1027" s="326"/>
      <c r="F1027" s="321" t="str">
        <f t="shared" si="70"/>
        <v/>
      </c>
      <c r="G1027" s="334"/>
      <c r="H1027" s="331"/>
      <c r="I1027" s="107"/>
      <c r="J1027" s="108"/>
      <c r="K1027" s="109"/>
      <c r="L1027" s="108"/>
      <c r="O1027" s="86"/>
      <c r="P1027" s="57"/>
      <c r="Q1027" s="37"/>
      <c r="R1027" s="92" t="str">
        <f t="shared" si="71"/>
        <v/>
      </c>
      <c r="S1027" s="52"/>
      <c r="T1027" s="87"/>
      <c r="U1027" s="86"/>
      <c r="V1027" s="201"/>
      <c r="W1027" s="37"/>
      <c r="X1027" s="52"/>
      <c r="Y1027" s="87"/>
      <c r="AA1027" s="86"/>
      <c r="AB1027" s="57"/>
      <c r="AC1027" s="37"/>
      <c r="AD1027" s="52"/>
      <c r="AE1027" s="87"/>
      <c r="AG1027" s="86"/>
      <c r="AH1027" s="37"/>
      <c r="AI1027" s="52"/>
      <c r="AJ1027" s="87"/>
      <c r="AL1027" s="86"/>
      <c r="AM1027" s="37"/>
      <c r="AN1027" s="52"/>
      <c r="AO1027" s="87"/>
      <c r="AQ1027" s="86"/>
      <c r="AR1027" s="37"/>
      <c r="AS1027" s="52"/>
      <c r="AT1027" s="87"/>
    </row>
    <row r="1028" spans="2:46" thickBot="1">
      <c r="B1028" s="113"/>
      <c r="C1028" s="324"/>
      <c r="D1028" s="346"/>
      <c r="E1028" s="326"/>
      <c r="F1028" s="321" t="str">
        <f t="shared" si="70"/>
        <v/>
      </c>
      <c r="G1028" s="334"/>
      <c r="H1028" s="331"/>
      <c r="I1028" s="107"/>
      <c r="J1028" s="108"/>
      <c r="K1028" s="109"/>
      <c r="L1028" s="108"/>
      <c r="O1028" s="86"/>
      <c r="P1028" s="57"/>
      <c r="Q1028" s="37"/>
      <c r="R1028" s="92" t="str">
        <f t="shared" si="71"/>
        <v/>
      </c>
      <c r="S1028" s="52"/>
      <c r="T1028" s="87"/>
      <c r="U1028" s="86"/>
      <c r="V1028" s="201"/>
      <c r="W1028" s="37"/>
      <c r="X1028" s="52"/>
      <c r="Y1028" s="87"/>
      <c r="AA1028" s="86"/>
      <c r="AB1028" s="57"/>
      <c r="AC1028" s="37"/>
      <c r="AD1028" s="52"/>
      <c r="AE1028" s="87"/>
      <c r="AG1028" s="86"/>
      <c r="AH1028" s="37"/>
      <c r="AI1028" s="52"/>
      <c r="AJ1028" s="87"/>
      <c r="AL1028" s="86"/>
      <c r="AM1028" s="37"/>
      <c r="AN1028" s="52"/>
      <c r="AO1028" s="87"/>
      <c r="AQ1028" s="86"/>
      <c r="AR1028" s="37"/>
      <c r="AS1028" s="52"/>
      <c r="AT1028" s="87"/>
    </row>
    <row r="1029" spans="2:46" thickBot="1">
      <c r="B1029" s="113"/>
      <c r="C1029" s="324"/>
      <c r="D1029" s="346"/>
      <c r="E1029" s="326"/>
      <c r="F1029" s="321" t="str">
        <f t="shared" si="70"/>
        <v/>
      </c>
      <c r="G1029" s="334"/>
      <c r="H1029" s="331"/>
      <c r="I1029" s="107"/>
      <c r="J1029" s="108"/>
      <c r="K1029" s="109"/>
      <c r="L1029" s="108"/>
      <c r="O1029" s="86"/>
      <c r="P1029" s="57"/>
      <c r="Q1029" s="37"/>
      <c r="R1029" s="92" t="str">
        <f t="shared" si="71"/>
        <v/>
      </c>
      <c r="S1029" s="52"/>
      <c r="T1029" s="87"/>
      <c r="U1029" s="86"/>
      <c r="V1029" s="201"/>
      <c r="W1029" s="37"/>
      <c r="X1029" s="52"/>
      <c r="Y1029" s="87"/>
      <c r="AA1029" s="86"/>
      <c r="AB1029" s="57"/>
      <c r="AC1029" s="37"/>
      <c r="AD1029" s="52"/>
      <c r="AE1029" s="87"/>
      <c r="AG1029" s="86"/>
      <c r="AH1029" s="37"/>
      <c r="AI1029" s="52"/>
      <c r="AJ1029" s="87"/>
      <c r="AL1029" s="86"/>
      <c r="AM1029" s="37"/>
      <c r="AN1029" s="52"/>
      <c r="AO1029" s="87"/>
      <c r="AQ1029" s="86"/>
      <c r="AR1029" s="37"/>
      <c r="AS1029" s="52"/>
      <c r="AT1029" s="87"/>
    </row>
    <row r="1030" spans="2:46" thickBot="1">
      <c r="B1030" s="113"/>
      <c r="C1030" s="324"/>
      <c r="D1030" s="346"/>
      <c r="E1030" s="326"/>
      <c r="F1030" s="321" t="str">
        <f t="shared" ref="F1030:F1093" si="72">IF(E1030="","",ROUND(G1030*(1+$F$2),2))</f>
        <v/>
      </c>
      <c r="G1030" s="334"/>
      <c r="H1030" s="331"/>
      <c r="I1030" s="107"/>
      <c r="J1030" s="108"/>
      <c r="K1030" s="109"/>
      <c r="L1030" s="108"/>
      <c r="O1030" s="86"/>
      <c r="P1030" s="57"/>
      <c r="Q1030" s="37"/>
      <c r="R1030" s="92" t="str">
        <f t="shared" si="71"/>
        <v/>
      </c>
      <c r="S1030" s="52"/>
      <c r="T1030" s="87"/>
      <c r="U1030" s="86"/>
      <c r="V1030" s="201"/>
      <c r="W1030" s="37"/>
      <c r="X1030" s="52"/>
      <c r="Y1030" s="87"/>
      <c r="AA1030" s="86"/>
      <c r="AB1030" s="57"/>
      <c r="AC1030" s="37"/>
      <c r="AD1030" s="52"/>
      <c r="AE1030" s="87"/>
      <c r="AG1030" s="86"/>
      <c r="AH1030" s="37"/>
      <c r="AI1030" s="52"/>
      <c r="AJ1030" s="87"/>
      <c r="AL1030" s="86"/>
      <c r="AM1030" s="37"/>
      <c r="AN1030" s="52"/>
      <c r="AO1030" s="87"/>
      <c r="AQ1030" s="86"/>
      <c r="AR1030" s="37"/>
      <c r="AS1030" s="52"/>
      <c r="AT1030" s="87"/>
    </row>
    <row r="1031" spans="2:46" thickBot="1">
      <c r="B1031" s="113"/>
      <c r="C1031" s="324"/>
      <c r="D1031" s="346"/>
      <c r="E1031" s="326"/>
      <c r="F1031" s="321" t="str">
        <f t="shared" si="72"/>
        <v/>
      </c>
      <c r="G1031" s="334"/>
      <c r="H1031" s="331"/>
      <c r="I1031" s="107"/>
      <c r="J1031" s="108"/>
      <c r="K1031" s="109"/>
      <c r="L1031" s="108"/>
      <c r="O1031" s="86"/>
      <c r="P1031" s="57"/>
      <c r="Q1031" s="37"/>
      <c r="R1031" s="92" t="str">
        <f t="shared" si="71"/>
        <v/>
      </c>
      <c r="S1031" s="52"/>
      <c r="T1031" s="87"/>
      <c r="U1031" s="86"/>
      <c r="V1031" s="201"/>
      <c r="W1031" s="37"/>
      <c r="X1031" s="52"/>
      <c r="Y1031" s="87"/>
      <c r="AA1031" s="86"/>
      <c r="AB1031" s="57"/>
      <c r="AC1031" s="37"/>
      <c r="AD1031" s="52"/>
      <c r="AE1031" s="87"/>
      <c r="AG1031" s="86"/>
      <c r="AH1031" s="37"/>
      <c r="AI1031" s="52"/>
      <c r="AJ1031" s="87"/>
      <c r="AL1031" s="86"/>
      <c r="AM1031" s="37"/>
      <c r="AN1031" s="52"/>
      <c r="AO1031" s="87"/>
      <c r="AQ1031" s="86"/>
      <c r="AR1031" s="37"/>
      <c r="AS1031" s="52"/>
      <c r="AT1031" s="87"/>
    </row>
    <row r="1032" spans="2:46" thickBot="1">
      <c r="B1032" s="113"/>
      <c r="C1032" s="324"/>
      <c r="D1032" s="346"/>
      <c r="E1032" s="326"/>
      <c r="F1032" s="321" t="str">
        <f t="shared" si="72"/>
        <v/>
      </c>
      <c r="G1032" s="334"/>
      <c r="H1032" s="331"/>
      <c r="I1032" s="107"/>
      <c r="J1032" s="108"/>
      <c r="K1032" s="109"/>
      <c r="L1032" s="108"/>
      <c r="O1032" s="86"/>
      <c r="P1032" s="57"/>
      <c r="Q1032" s="37"/>
      <c r="R1032" s="92" t="str">
        <f t="shared" si="71"/>
        <v/>
      </c>
      <c r="S1032" s="52"/>
      <c r="T1032" s="87"/>
      <c r="U1032" s="86"/>
      <c r="V1032" s="201"/>
      <c r="W1032" s="37"/>
      <c r="X1032" s="52"/>
      <c r="Y1032" s="87"/>
      <c r="AA1032" s="86"/>
      <c r="AB1032" s="57"/>
      <c r="AC1032" s="37"/>
      <c r="AD1032" s="52"/>
      <c r="AE1032" s="87"/>
      <c r="AG1032" s="86"/>
      <c r="AH1032" s="37"/>
      <c r="AI1032" s="52"/>
      <c r="AJ1032" s="87"/>
      <c r="AL1032" s="86"/>
      <c r="AM1032" s="37"/>
      <c r="AN1032" s="52"/>
      <c r="AO1032" s="87"/>
      <c r="AQ1032" s="86"/>
      <c r="AR1032" s="37"/>
      <c r="AS1032" s="52"/>
      <c r="AT1032" s="87"/>
    </row>
    <row r="1033" spans="2:46" thickBot="1">
      <c r="B1033" s="113"/>
      <c r="C1033" s="324"/>
      <c r="D1033" s="346"/>
      <c r="E1033" s="326"/>
      <c r="F1033" s="321" t="str">
        <f t="shared" si="72"/>
        <v/>
      </c>
      <c r="G1033" s="334"/>
      <c r="H1033" s="331"/>
      <c r="I1033" s="107"/>
      <c r="J1033" s="108"/>
      <c r="K1033" s="109"/>
      <c r="L1033" s="108"/>
      <c r="O1033" s="86"/>
      <c r="P1033" s="57"/>
      <c r="Q1033" s="37"/>
      <c r="R1033" s="92" t="str">
        <f t="shared" si="71"/>
        <v/>
      </c>
      <c r="S1033" s="52"/>
      <c r="T1033" s="87"/>
      <c r="U1033" s="86"/>
      <c r="V1033" s="201"/>
      <c r="W1033" s="37"/>
      <c r="X1033" s="52"/>
      <c r="Y1033" s="87"/>
      <c r="AA1033" s="86"/>
      <c r="AB1033" s="57"/>
      <c r="AC1033" s="37"/>
      <c r="AD1033" s="52"/>
      <c r="AE1033" s="87"/>
      <c r="AG1033" s="86"/>
      <c r="AH1033" s="37"/>
      <c r="AI1033" s="52"/>
      <c r="AJ1033" s="87"/>
      <c r="AL1033" s="86"/>
      <c r="AM1033" s="37"/>
      <c r="AN1033" s="52"/>
      <c r="AO1033" s="87"/>
      <c r="AQ1033" s="86"/>
      <c r="AR1033" s="37"/>
      <c r="AS1033" s="52"/>
      <c r="AT1033" s="87"/>
    </row>
    <row r="1034" spans="2:46" thickBot="1">
      <c r="B1034" s="113"/>
      <c r="C1034" s="324"/>
      <c r="D1034" s="346"/>
      <c r="E1034" s="326"/>
      <c r="F1034" s="321" t="str">
        <f t="shared" si="72"/>
        <v/>
      </c>
      <c r="G1034" s="334"/>
      <c r="H1034" s="331"/>
      <c r="I1034" s="107"/>
      <c r="J1034" s="108"/>
      <c r="K1034" s="109"/>
      <c r="L1034" s="108"/>
      <c r="O1034" s="86"/>
      <c r="P1034" s="57"/>
      <c r="Q1034" s="37"/>
      <c r="R1034" s="92" t="str">
        <f t="shared" si="71"/>
        <v/>
      </c>
      <c r="S1034" s="52"/>
      <c r="T1034" s="87"/>
      <c r="U1034" s="86"/>
      <c r="V1034" s="201"/>
      <c r="W1034" s="37"/>
      <c r="X1034" s="52"/>
      <c r="Y1034" s="87"/>
      <c r="AA1034" s="86"/>
      <c r="AB1034" s="57"/>
      <c r="AC1034" s="37"/>
      <c r="AD1034" s="52"/>
      <c r="AE1034" s="87"/>
      <c r="AG1034" s="86"/>
      <c r="AH1034" s="37"/>
      <c r="AI1034" s="52"/>
      <c r="AJ1034" s="87"/>
      <c r="AL1034" s="86"/>
      <c r="AM1034" s="37"/>
      <c r="AN1034" s="52"/>
      <c r="AO1034" s="87"/>
      <c r="AQ1034" s="86"/>
      <c r="AR1034" s="37"/>
      <c r="AS1034" s="52"/>
      <c r="AT1034" s="87"/>
    </row>
    <row r="1035" spans="2:46" thickBot="1">
      <c r="B1035" s="113"/>
      <c r="C1035" s="324"/>
      <c r="D1035" s="346"/>
      <c r="E1035" s="326"/>
      <c r="F1035" s="321" t="str">
        <f t="shared" si="72"/>
        <v/>
      </c>
      <c r="G1035" s="334"/>
      <c r="H1035" s="331"/>
      <c r="I1035" s="107"/>
      <c r="J1035" s="108"/>
      <c r="K1035" s="109"/>
      <c r="L1035" s="108"/>
      <c r="O1035" s="86"/>
      <c r="P1035" s="57"/>
      <c r="Q1035" s="37"/>
      <c r="R1035" s="92" t="str">
        <f t="shared" si="71"/>
        <v/>
      </c>
      <c r="S1035" s="52"/>
      <c r="T1035" s="87"/>
      <c r="U1035" s="86"/>
      <c r="V1035" s="201"/>
      <c r="W1035" s="37"/>
      <c r="X1035" s="52"/>
      <c r="Y1035" s="87"/>
      <c r="AA1035" s="86"/>
      <c r="AB1035" s="57"/>
      <c r="AC1035" s="37"/>
      <c r="AD1035" s="52"/>
      <c r="AE1035" s="87"/>
      <c r="AG1035" s="86"/>
      <c r="AH1035" s="37"/>
      <c r="AI1035" s="52"/>
      <c r="AJ1035" s="87"/>
      <c r="AL1035" s="86"/>
      <c r="AM1035" s="37"/>
      <c r="AN1035" s="52"/>
      <c r="AO1035" s="87"/>
      <c r="AQ1035" s="86"/>
      <c r="AR1035" s="37"/>
      <c r="AS1035" s="52"/>
      <c r="AT1035" s="87"/>
    </row>
    <row r="1036" spans="2:46" thickBot="1">
      <c r="B1036" s="113"/>
      <c r="C1036" s="324"/>
      <c r="D1036" s="346"/>
      <c r="E1036" s="326"/>
      <c r="F1036" s="321" t="str">
        <f t="shared" si="72"/>
        <v/>
      </c>
      <c r="G1036" s="334"/>
      <c r="H1036" s="331"/>
      <c r="I1036" s="107"/>
      <c r="J1036" s="108"/>
      <c r="K1036" s="109"/>
      <c r="L1036" s="108"/>
      <c r="O1036" s="86"/>
      <c r="P1036" s="57"/>
      <c r="Q1036" s="37"/>
      <c r="R1036" s="92" t="str">
        <f t="shared" si="71"/>
        <v/>
      </c>
      <c r="S1036" s="52"/>
      <c r="T1036" s="87"/>
      <c r="U1036" s="86"/>
      <c r="V1036" s="201"/>
      <c r="W1036" s="37"/>
      <c r="X1036" s="52"/>
      <c r="Y1036" s="87"/>
      <c r="AA1036" s="86"/>
      <c r="AB1036" s="57"/>
      <c r="AC1036" s="37"/>
      <c r="AD1036" s="52"/>
      <c r="AE1036" s="87"/>
      <c r="AG1036" s="86"/>
      <c r="AH1036" s="37"/>
      <c r="AI1036" s="52"/>
      <c r="AJ1036" s="87"/>
      <c r="AL1036" s="86"/>
      <c r="AM1036" s="37"/>
      <c r="AN1036" s="52"/>
      <c r="AO1036" s="87"/>
      <c r="AQ1036" s="86"/>
      <c r="AR1036" s="37"/>
      <c r="AS1036" s="52"/>
      <c r="AT1036" s="87"/>
    </row>
    <row r="1037" spans="2:46" thickBot="1">
      <c r="B1037" s="113"/>
      <c r="C1037" s="324"/>
      <c r="D1037" s="346"/>
      <c r="E1037" s="326"/>
      <c r="F1037" s="321" t="str">
        <f t="shared" si="72"/>
        <v/>
      </c>
      <c r="G1037" s="334"/>
      <c r="H1037" s="331"/>
      <c r="I1037" s="107"/>
      <c r="J1037" s="108"/>
      <c r="K1037" s="109"/>
      <c r="L1037" s="108"/>
      <c r="O1037" s="86"/>
      <c r="P1037" s="57"/>
      <c r="Q1037" s="37"/>
      <c r="R1037" s="92" t="str">
        <f t="shared" si="71"/>
        <v/>
      </c>
      <c r="S1037" s="52"/>
      <c r="T1037" s="87"/>
      <c r="U1037" s="86"/>
      <c r="V1037" s="201"/>
      <c r="W1037" s="37"/>
      <c r="X1037" s="52"/>
      <c r="Y1037" s="87"/>
      <c r="AA1037" s="86"/>
      <c r="AB1037" s="57"/>
      <c r="AC1037" s="37"/>
      <c r="AD1037" s="52"/>
      <c r="AE1037" s="87"/>
      <c r="AG1037" s="86"/>
      <c r="AH1037" s="37"/>
      <c r="AI1037" s="52"/>
      <c r="AJ1037" s="87"/>
      <c r="AL1037" s="86"/>
      <c r="AM1037" s="37"/>
      <c r="AN1037" s="52"/>
      <c r="AO1037" s="87"/>
      <c r="AQ1037" s="86"/>
      <c r="AR1037" s="37"/>
      <c r="AS1037" s="52"/>
      <c r="AT1037" s="87"/>
    </row>
    <row r="1038" spans="2:46" thickBot="1">
      <c r="B1038" s="113"/>
      <c r="C1038" s="324"/>
      <c r="D1038" s="346"/>
      <c r="E1038" s="326"/>
      <c r="F1038" s="321" t="str">
        <f t="shared" si="72"/>
        <v/>
      </c>
      <c r="G1038" s="334"/>
      <c r="H1038" s="331"/>
      <c r="I1038" s="107"/>
      <c r="J1038" s="108"/>
      <c r="K1038" s="109"/>
      <c r="L1038" s="108"/>
      <c r="O1038" s="86"/>
      <c r="P1038" s="57"/>
      <c r="Q1038" s="37"/>
      <c r="R1038" s="92" t="str">
        <f t="shared" si="71"/>
        <v/>
      </c>
      <c r="S1038" s="52"/>
      <c r="T1038" s="87"/>
      <c r="U1038" s="86"/>
      <c r="V1038" s="201"/>
      <c r="W1038" s="37"/>
      <c r="X1038" s="52"/>
      <c r="Y1038" s="87"/>
      <c r="AA1038" s="86"/>
      <c r="AB1038" s="57"/>
      <c r="AC1038" s="37"/>
      <c r="AD1038" s="52"/>
      <c r="AE1038" s="87"/>
      <c r="AG1038" s="86"/>
      <c r="AH1038" s="37"/>
      <c r="AI1038" s="52"/>
      <c r="AJ1038" s="87"/>
      <c r="AL1038" s="86"/>
      <c r="AM1038" s="37"/>
      <c r="AN1038" s="52"/>
      <c r="AO1038" s="87"/>
      <c r="AQ1038" s="86"/>
      <c r="AR1038" s="37"/>
      <c r="AS1038" s="52"/>
      <c r="AT1038" s="87"/>
    </row>
    <row r="1039" spans="2:46" thickBot="1">
      <c r="B1039" s="113"/>
      <c r="C1039" s="324"/>
      <c r="D1039" s="346"/>
      <c r="E1039" s="326"/>
      <c r="F1039" s="321" t="str">
        <f t="shared" si="72"/>
        <v/>
      </c>
      <c r="G1039" s="334"/>
      <c r="H1039" s="331"/>
      <c r="I1039" s="107"/>
      <c r="J1039" s="108"/>
      <c r="K1039" s="109"/>
      <c r="L1039" s="108"/>
      <c r="O1039" s="86"/>
      <c r="P1039" s="57"/>
      <c r="Q1039" s="37"/>
      <c r="R1039" s="92" t="str">
        <f t="shared" si="71"/>
        <v/>
      </c>
      <c r="S1039" s="52"/>
      <c r="T1039" s="87"/>
      <c r="U1039" s="86"/>
      <c r="V1039" s="201"/>
      <c r="W1039" s="37"/>
      <c r="X1039" s="52"/>
      <c r="Y1039" s="87"/>
      <c r="AA1039" s="86"/>
      <c r="AB1039" s="57"/>
      <c r="AC1039" s="37"/>
      <c r="AD1039" s="52"/>
      <c r="AE1039" s="87"/>
      <c r="AG1039" s="86"/>
      <c r="AH1039" s="37"/>
      <c r="AI1039" s="52"/>
      <c r="AJ1039" s="87"/>
      <c r="AL1039" s="86"/>
      <c r="AM1039" s="37"/>
      <c r="AN1039" s="52"/>
      <c r="AO1039" s="87"/>
      <c r="AQ1039" s="86"/>
      <c r="AR1039" s="37"/>
      <c r="AS1039" s="52"/>
      <c r="AT1039" s="87"/>
    </row>
    <row r="1040" spans="2:46" thickBot="1">
      <c r="B1040" s="113"/>
      <c r="C1040" s="324"/>
      <c r="D1040" s="346"/>
      <c r="E1040" s="326"/>
      <c r="F1040" s="321" t="str">
        <f t="shared" si="72"/>
        <v/>
      </c>
      <c r="G1040" s="334"/>
      <c r="H1040" s="331"/>
      <c r="I1040" s="107"/>
      <c r="J1040" s="108"/>
      <c r="K1040" s="109"/>
      <c r="L1040" s="108"/>
      <c r="O1040" s="86"/>
      <c r="P1040" s="57"/>
      <c r="Q1040" s="37"/>
      <c r="R1040" s="92" t="str">
        <f t="shared" si="71"/>
        <v/>
      </c>
      <c r="S1040" s="52"/>
      <c r="T1040" s="87"/>
      <c r="U1040" s="86"/>
      <c r="V1040" s="201"/>
      <c r="W1040" s="37"/>
      <c r="X1040" s="52"/>
      <c r="Y1040" s="87"/>
      <c r="AA1040" s="86"/>
      <c r="AB1040" s="57"/>
      <c r="AC1040" s="37"/>
      <c r="AD1040" s="52"/>
      <c r="AE1040" s="87"/>
      <c r="AG1040" s="86"/>
      <c r="AH1040" s="37"/>
      <c r="AI1040" s="52"/>
      <c r="AJ1040" s="87"/>
      <c r="AL1040" s="86"/>
      <c r="AM1040" s="37"/>
      <c r="AN1040" s="52"/>
      <c r="AO1040" s="87"/>
      <c r="AQ1040" s="86"/>
      <c r="AR1040" s="37"/>
      <c r="AS1040" s="52"/>
      <c r="AT1040" s="87"/>
    </row>
    <row r="1041" spans="2:46" thickBot="1">
      <c r="B1041" s="113"/>
      <c r="C1041" s="324"/>
      <c r="D1041" s="346"/>
      <c r="E1041" s="326"/>
      <c r="F1041" s="321" t="str">
        <f t="shared" si="72"/>
        <v/>
      </c>
      <c r="G1041" s="334"/>
      <c r="H1041" s="331"/>
      <c r="I1041" s="107"/>
      <c r="J1041" s="108"/>
      <c r="K1041" s="109"/>
      <c r="L1041" s="108"/>
      <c r="O1041" s="86"/>
      <c r="P1041" s="57"/>
      <c r="Q1041" s="37"/>
      <c r="R1041" s="92" t="str">
        <f t="shared" si="71"/>
        <v/>
      </c>
      <c r="S1041" s="52"/>
      <c r="T1041" s="87"/>
      <c r="U1041" s="86"/>
      <c r="V1041" s="201"/>
      <c r="W1041" s="37"/>
      <c r="X1041" s="52"/>
      <c r="Y1041" s="87"/>
      <c r="AA1041" s="86"/>
      <c r="AB1041" s="57"/>
      <c r="AC1041" s="37"/>
      <c r="AD1041" s="52"/>
      <c r="AE1041" s="87"/>
      <c r="AG1041" s="86"/>
      <c r="AH1041" s="37"/>
      <c r="AI1041" s="52"/>
      <c r="AJ1041" s="87"/>
      <c r="AL1041" s="86"/>
      <c r="AM1041" s="37"/>
      <c r="AN1041" s="52"/>
      <c r="AO1041" s="87"/>
      <c r="AQ1041" s="86"/>
      <c r="AR1041" s="37"/>
      <c r="AS1041" s="52"/>
      <c r="AT1041" s="87"/>
    </row>
    <row r="1042" spans="2:46" thickBot="1">
      <c r="B1042" s="113"/>
      <c r="C1042" s="324"/>
      <c r="D1042" s="346"/>
      <c r="E1042" s="326"/>
      <c r="F1042" s="321" t="str">
        <f t="shared" si="72"/>
        <v/>
      </c>
      <c r="G1042" s="334"/>
      <c r="H1042" s="331"/>
      <c r="I1042" s="107"/>
      <c r="J1042" s="108"/>
      <c r="K1042" s="109"/>
      <c r="L1042" s="108"/>
      <c r="O1042" s="86"/>
      <c r="P1042" s="57"/>
      <c r="Q1042" s="37"/>
      <c r="R1042" s="92" t="str">
        <f t="shared" si="71"/>
        <v/>
      </c>
      <c r="S1042" s="52"/>
      <c r="T1042" s="87"/>
      <c r="U1042" s="86"/>
      <c r="V1042" s="201"/>
      <c r="W1042" s="37"/>
      <c r="X1042" s="52"/>
      <c r="Y1042" s="87"/>
      <c r="AA1042" s="86"/>
      <c r="AB1042" s="57"/>
      <c r="AC1042" s="37"/>
      <c r="AD1042" s="52"/>
      <c r="AE1042" s="87"/>
      <c r="AG1042" s="86"/>
      <c r="AH1042" s="37"/>
      <c r="AI1042" s="52"/>
      <c r="AJ1042" s="87"/>
      <c r="AL1042" s="86"/>
      <c r="AM1042" s="37"/>
      <c r="AN1042" s="52"/>
      <c r="AO1042" s="87"/>
      <c r="AQ1042" s="86"/>
      <c r="AR1042" s="37"/>
      <c r="AS1042" s="52"/>
      <c r="AT1042" s="87"/>
    </row>
    <row r="1043" spans="2:46" thickBot="1">
      <c r="B1043" s="113"/>
      <c r="C1043" s="324"/>
      <c r="D1043" s="346"/>
      <c r="E1043" s="326"/>
      <c r="F1043" s="321" t="str">
        <f t="shared" si="72"/>
        <v/>
      </c>
      <c r="G1043" s="334"/>
      <c r="H1043" s="331"/>
      <c r="I1043" s="107"/>
      <c r="J1043" s="108"/>
      <c r="K1043" s="109"/>
      <c r="L1043" s="108"/>
      <c r="O1043" s="86"/>
      <c r="P1043" s="57"/>
      <c r="Q1043" s="37"/>
      <c r="R1043" s="92" t="str">
        <f t="shared" si="71"/>
        <v/>
      </c>
      <c r="S1043" s="52"/>
      <c r="T1043" s="87"/>
      <c r="U1043" s="86"/>
      <c r="V1043" s="201"/>
      <c r="W1043" s="37"/>
      <c r="X1043" s="52"/>
      <c r="Y1043" s="87"/>
      <c r="AA1043" s="86"/>
      <c r="AB1043" s="57"/>
      <c r="AC1043" s="37"/>
      <c r="AD1043" s="52"/>
      <c r="AE1043" s="87"/>
      <c r="AG1043" s="86"/>
      <c r="AH1043" s="37"/>
      <c r="AI1043" s="52"/>
      <c r="AJ1043" s="87"/>
      <c r="AL1043" s="86"/>
      <c r="AM1043" s="37"/>
      <c r="AN1043" s="52"/>
      <c r="AO1043" s="87"/>
      <c r="AQ1043" s="86"/>
      <c r="AR1043" s="37"/>
      <c r="AS1043" s="52"/>
      <c r="AT1043" s="87"/>
    </row>
    <row r="1044" spans="2:46" thickBot="1">
      <c r="B1044" s="113"/>
      <c r="C1044" s="324"/>
      <c r="D1044" s="346"/>
      <c r="E1044" s="326"/>
      <c r="F1044" s="321" t="str">
        <f t="shared" si="72"/>
        <v/>
      </c>
      <c r="G1044" s="334"/>
      <c r="H1044" s="331"/>
      <c r="I1044" s="107"/>
      <c r="J1044" s="108"/>
      <c r="K1044" s="109"/>
      <c r="L1044" s="108"/>
      <c r="O1044" s="86"/>
      <c r="P1044" s="57"/>
      <c r="Q1044" s="37"/>
      <c r="R1044" s="92" t="str">
        <f t="shared" si="71"/>
        <v/>
      </c>
      <c r="S1044" s="52"/>
      <c r="T1044" s="87"/>
      <c r="U1044" s="86"/>
      <c r="V1044" s="201"/>
      <c r="W1044" s="37"/>
      <c r="X1044" s="52"/>
      <c r="Y1044" s="87"/>
      <c r="AA1044" s="86"/>
      <c r="AB1044" s="57"/>
      <c r="AC1044" s="37"/>
      <c r="AD1044" s="52"/>
      <c r="AE1044" s="87"/>
      <c r="AG1044" s="86"/>
      <c r="AH1044" s="37"/>
      <c r="AI1044" s="52"/>
      <c r="AJ1044" s="87"/>
      <c r="AL1044" s="86"/>
      <c r="AM1044" s="37"/>
      <c r="AN1044" s="52"/>
      <c r="AO1044" s="87"/>
      <c r="AQ1044" s="86"/>
      <c r="AR1044" s="37"/>
      <c r="AS1044" s="52"/>
      <c r="AT1044" s="87"/>
    </row>
    <row r="1045" spans="2:46" thickBot="1">
      <c r="B1045" s="113"/>
      <c r="C1045" s="324"/>
      <c r="D1045" s="346"/>
      <c r="E1045" s="326"/>
      <c r="F1045" s="321" t="str">
        <f t="shared" si="72"/>
        <v/>
      </c>
      <c r="G1045" s="334"/>
      <c r="H1045" s="331"/>
      <c r="I1045" s="107"/>
      <c r="J1045" s="108"/>
      <c r="K1045" s="109"/>
      <c r="L1045" s="108"/>
      <c r="O1045" s="86"/>
      <c r="P1045" s="57"/>
      <c r="Q1045" s="37"/>
      <c r="R1045" s="92" t="str">
        <f t="shared" si="71"/>
        <v/>
      </c>
      <c r="S1045" s="52"/>
      <c r="T1045" s="87"/>
      <c r="U1045" s="86"/>
      <c r="V1045" s="201"/>
      <c r="W1045" s="37"/>
      <c r="X1045" s="52"/>
      <c r="Y1045" s="87"/>
      <c r="AA1045" s="86"/>
      <c r="AB1045" s="57"/>
      <c r="AC1045" s="37"/>
      <c r="AD1045" s="52"/>
      <c r="AE1045" s="87"/>
      <c r="AG1045" s="86"/>
      <c r="AH1045" s="37"/>
      <c r="AI1045" s="52"/>
      <c r="AJ1045" s="87"/>
      <c r="AL1045" s="86"/>
      <c r="AM1045" s="37"/>
      <c r="AN1045" s="52"/>
      <c r="AO1045" s="87"/>
      <c r="AQ1045" s="86"/>
      <c r="AR1045" s="37"/>
      <c r="AS1045" s="52"/>
      <c r="AT1045" s="87"/>
    </row>
    <row r="1046" spans="2:46" thickBot="1">
      <c r="B1046" s="113"/>
      <c r="C1046" s="324"/>
      <c r="D1046" s="346"/>
      <c r="E1046" s="326"/>
      <c r="F1046" s="321" t="str">
        <f t="shared" si="72"/>
        <v/>
      </c>
      <c r="G1046" s="334"/>
      <c r="H1046" s="331"/>
      <c r="I1046" s="107"/>
      <c r="J1046" s="108"/>
      <c r="K1046" s="109"/>
      <c r="L1046" s="108"/>
      <c r="O1046" s="86"/>
      <c r="P1046" s="57"/>
      <c r="Q1046" s="37"/>
      <c r="R1046" s="92" t="str">
        <f t="shared" si="71"/>
        <v/>
      </c>
      <c r="S1046" s="52"/>
      <c r="T1046" s="87"/>
      <c r="U1046" s="86"/>
      <c r="V1046" s="201"/>
      <c r="W1046" s="37"/>
      <c r="X1046" s="52"/>
      <c r="Y1046" s="87"/>
      <c r="AA1046" s="86"/>
      <c r="AB1046" s="57"/>
      <c r="AC1046" s="37"/>
      <c r="AD1046" s="52"/>
      <c r="AE1046" s="87"/>
      <c r="AG1046" s="86"/>
      <c r="AH1046" s="37"/>
      <c r="AI1046" s="52"/>
      <c r="AJ1046" s="87"/>
      <c r="AL1046" s="86"/>
      <c r="AM1046" s="37"/>
      <c r="AN1046" s="52"/>
      <c r="AO1046" s="87"/>
      <c r="AQ1046" s="86"/>
      <c r="AR1046" s="37"/>
      <c r="AS1046" s="52"/>
      <c r="AT1046" s="87"/>
    </row>
    <row r="1047" spans="2:46" thickBot="1">
      <c r="B1047" s="113"/>
      <c r="C1047" s="324"/>
      <c r="D1047" s="346"/>
      <c r="E1047" s="326"/>
      <c r="F1047" s="321" t="str">
        <f t="shared" si="72"/>
        <v/>
      </c>
      <c r="G1047" s="334"/>
      <c r="H1047" s="331"/>
      <c r="I1047" s="107"/>
      <c r="J1047" s="108"/>
      <c r="K1047" s="109"/>
      <c r="L1047" s="108"/>
      <c r="O1047" s="86"/>
      <c r="P1047" s="57"/>
      <c r="Q1047" s="37"/>
      <c r="R1047" s="92" t="str">
        <f t="shared" si="71"/>
        <v/>
      </c>
      <c r="S1047" s="52"/>
      <c r="T1047" s="87"/>
      <c r="U1047" s="86"/>
      <c r="V1047" s="201"/>
      <c r="W1047" s="37"/>
      <c r="X1047" s="52"/>
      <c r="Y1047" s="87"/>
      <c r="AA1047" s="86"/>
      <c r="AB1047" s="57"/>
      <c r="AC1047" s="37"/>
      <c r="AD1047" s="52"/>
      <c r="AE1047" s="87"/>
      <c r="AG1047" s="86"/>
      <c r="AH1047" s="37"/>
      <c r="AI1047" s="52"/>
      <c r="AJ1047" s="87"/>
      <c r="AL1047" s="86"/>
      <c r="AM1047" s="37"/>
      <c r="AN1047" s="52"/>
      <c r="AO1047" s="87"/>
      <c r="AQ1047" s="86"/>
      <c r="AR1047" s="37"/>
      <c r="AS1047" s="52"/>
      <c r="AT1047" s="87"/>
    </row>
    <row r="1048" spans="2:46" thickBot="1">
      <c r="B1048" s="113"/>
      <c r="C1048" s="324"/>
      <c r="D1048" s="346"/>
      <c r="E1048" s="326"/>
      <c r="F1048" s="321" t="str">
        <f t="shared" si="72"/>
        <v/>
      </c>
      <c r="G1048" s="334"/>
      <c r="H1048" s="331"/>
      <c r="I1048" s="107"/>
      <c r="J1048" s="108"/>
      <c r="K1048" s="109"/>
      <c r="L1048" s="108"/>
      <c r="O1048" s="86"/>
      <c r="P1048" s="57"/>
      <c r="Q1048" s="37"/>
      <c r="R1048" s="92" t="str">
        <f t="shared" si="71"/>
        <v/>
      </c>
      <c r="S1048" s="52"/>
      <c r="T1048" s="87"/>
      <c r="U1048" s="86"/>
      <c r="V1048" s="201"/>
      <c r="W1048" s="37"/>
      <c r="X1048" s="52"/>
      <c r="Y1048" s="87"/>
      <c r="AA1048" s="86"/>
      <c r="AB1048" s="57"/>
      <c r="AC1048" s="37"/>
      <c r="AD1048" s="52"/>
      <c r="AE1048" s="87"/>
      <c r="AG1048" s="86"/>
      <c r="AH1048" s="37"/>
      <c r="AI1048" s="52"/>
      <c r="AJ1048" s="87"/>
      <c r="AL1048" s="86"/>
      <c r="AM1048" s="37"/>
      <c r="AN1048" s="52"/>
      <c r="AO1048" s="87"/>
      <c r="AQ1048" s="86"/>
      <c r="AR1048" s="37"/>
      <c r="AS1048" s="52"/>
      <c r="AT1048" s="87"/>
    </row>
    <row r="1049" spans="2:46" thickBot="1">
      <c r="B1049" s="113"/>
      <c r="C1049" s="324"/>
      <c r="D1049" s="346"/>
      <c r="E1049" s="326"/>
      <c r="F1049" s="321" t="str">
        <f t="shared" si="72"/>
        <v/>
      </c>
      <c r="G1049" s="334"/>
      <c r="H1049" s="331"/>
      <c r="I1049" s="107"/>
      <c r="J1049" s="108"/>
      <c r="K1049" s="109"/>
      <c r="L1049" s="108"/>
      <c r="O1049" s="86"/>
      <c r="P1049" s="57"/>
      <c r="Q1049" s="37"/>
      <c r="R1049" s="92" t="str">
        <f t="shared" si="71"/>
        <v/>
      </c>
      <c r="S1049" s="52"/>
      <c r="T1049" s="87"/>
      <c r="U1049" s="86"/>
      <c r="V1049" s="201"/>
      <c r="W1049" s="37"/>
      <c r="X1049" s="52"/>
      <c r="Y1049" s="87"/>
      <c r="AA1049" s="86"/>
      <c r="AB1049" s="57"/>
      <c r="AC1049" s="37"/>
      <c r="AD1049" s="52"/>
      <c r="AE1049" s="87"/>
      <c r="AG1049" s="86"/>
      <c r="AH1049" s="37"/>
      <c r="AI1049" s="52"/>
      <c r="AJ1049" s="87"/>
      <c r="AL1049" s="86"/>
      <c r="AM1049" s="37"/>
      <c r="AN1049" s="52"/>
      <c r="AO1049" s="87"/>
      <c r="AQ1049" s="86"/>
      <c r="AR1049" s="37"/>
      <c r="AS1049" s="52"/>
      <c r="AT1049" s="87"/>
    </row>
    <row r="1050" spans="2:46" thickBot="1">
      <c r="B1050" s="113"/>
      <c r="C1050" s="324"/>
      <c r="D1050" s="346"/>
      <c r="E1050" s="326"/>
      <c r="F1050" s="321" t="str">
        <f t="shared" si="72"/>
        <v/>
      </c>
      <c r="G1050" s="334"/>
      <c r="H1050" s="331"/>
      <c r="I1050" s="107"/>
      <c r="J1050" s="108"/>
      <c r="K1050" s="109"/>
      <c r="L1050" s="108"/>
      <c r="O1050" s="86"/>
      <c r="P1050" s="57"/>
      <c r="Q1050" s="37"/>
      <c r="R1050" s="92" t="str">
        <f t="shared" si="71"/>
        <v/>
      </c>
      <c r="S1050" s="52"/>
      <c r="T1050" s="87"/>
      <c r="U1050" s="86"/>
      <c r="V1050" s="201"/>
      <c r="W1050" s="37"/>
      <c r="X1050" s="52"/>
      <c r="Y1050" s="87"/>
      <c r="AA1050" s="86"/>
      <c r="AB1050" s="57"/>
      <c r="AC1050" s="37"/>
      <c r="AD1050" s="52"/>
      <c r="AE1050" s="87"/>
      <c r="AG1050" s="86"/>
      <c r="AH1050" s="37"/>
      <c r="AI1050" s="52"/>
      <c r="AJ1050" s="87"/>
      <c r="AL1050" s="86"/>
      <c r="AM1050" s="37"/>
      <c r="AN1050" s="52"/>
      <c r="AO1050" s="87"/>
      <c r="AQ1050" s="86"/>
      <c r="AR1050" s="37"/>
      <c r="AS1050" s="52"/>
      <c r="AT1050" s="87"/>
    </row>
    <row r="1051" spans="2:46" thickBot="1">
      <c r="B1051" s="113"/>
      <c r="C1051" s="324"/>
      <c r="D1051" s="346"/>
      <c r="E1051" s="326"/>
      <c r="F1051" s="321" t="str">
        <f t="shared" si="72"/>
        <v/>
      </c>
      <c r="G1051" s="334"/>
      <c r="H1051" s="331"/>
      <c r="I1051" s="107"/>
      <c r="J1051" s="108"/>
      <c r="K1051" s="109"/>
      <c r="L1051" s="108"/>
      <c r="O1051" s="86"/>
      <c r="P1051" s="57"/>
      <c r="Q1051" s="37"/>
      <c r="R1051" s="92" t="str">
        <f t="shared" si="71"/>
        <v/>
      </c>
      <c r="S1051" s="52"/>
      <c r="T1051" s="87"/>
      <c r="U1051" s="86"/>
      <c r="V1051" s="201"/>
      <c r="W1051" s="37"/>
      <c r="X1051" s="52"/>
      <c r="Y1051" s="87"/>
      <c r="AA1051" s="86"/>
      <c r="AB1051" s="57"/>
      <c r="AC1051" s="37"/>
      <c r="AD1051" s="52"/>
      <c r="AE1051" s="87"/>
      <c r="AG1051" s="86"/>
      <c r="AH1051" s="37"/>
      <c r="AI1051" s="52"/>
      <c r="AJ1051" s="87"/>
      <c r="AL1051" s="86"/>
      <c r="AM1051" s="37"/>
      <c r="AN1051" s="52"/>
      <c r="AO1051" s="87"/>
      <c r="AQ1051" s="86"/>
      <c r="AR1051" s="37"/>
      <c r="AS1051" s="52"/>
      <c r="AT1051" s="87"/>
    </row>
    <row r="1052" spans="2:46" thickBot="1">
      <c r="B1052" s="113"/>
      <c r="C1052" s="324"/>
      <c r="D1052" s="346"/>
      <c r="E1052" s="326"/>
      <c r="F1052" s="321" t="str">
        <f t="shared" si="72"/>
        <v/>
      </c>
      <c r="G1052" s="334"/>
      <c r="H1052" s="331"/>
      <c r="I1052" s="107"/>
      <c r="J1052" s="108"/>
      <c r="K1052" s="109"/>
      <c r="L1052" s="108"/>
      <c r="O1052" s="86"/>
      <c r="P1052" s="57"/>
      <c r="Q1052" s="37"/>
      <c r="R1052" s="92" t="str">
        <f t="shared" si="71"/>
        <v/>
      </c>
      <c r="S1052" s="52"/>
      <c r="T1052" s="87"/>
      <c r="U1052" s="86"/>
      <c r="V1052" s="201"/>
      <c r="W1052" s="37"/>
      <c r="X1052" s="52"/>
      <c r="Y1052" s="87"/>
      <c r="AA1052" s="86"/>
      <c r="AB1052" s="57"/>
      <c r="AC1052" s="37"/>
      <c r="AD1052" s="52"/>
      <c r="AE1052" s="87"/>
      <c r="AG1052" s="86"/>
      <c r="AH1052" s="37"/>
      <c r="AI1052" s="52"/>
      <c r="AJ1052" s="87"/>
      <c r="AL1052" s="86"/>
      <c r="AM1052" s="37"/>
      <c r="AN1052" s="52"/>
      <c r="AO1052" s="87"/>
      <c r="AQ1052" s="86"/>
      <c r="AR1052" s="37"/>
      <c r="AS1052" s="52"/>
      <c r="AT1052" s="87"/>
    </row>
    <row r="1053" spans="2:46" thickBot="1">
      <c r="B1053" s="113"/>
      <c r="C1053" s="324"/>
      <c r="D1053" s="346"/>
      <c r="E1053" s="326"/>
      <c r="F1053" s="321" t="str">
        <f t="shared" si="72"/>
        <v/>
      </c>
      <c r="G1053" s="334"/>
      <c r="H1053" s="331"/>
      <c r="I1053" s="107"/>
      <c r="J1053" s="108"/>
      <c r="K1053" s="109"/>
      <c r="L1053" s="108"/>
      <c r="O1053" s="86"/>
      <c r="P1053" s="57"/>
      <c r="Q1053" s="37"/>
      <c r="R1053" s="92" t="str">
        <f t="shared" si="71"/>
        <v/>
      </c>
      <c r="S1053" s="52"/>
      <c r="T1053" s="87"/>
      <c r="U1053" s="86"/>
      <c r="V1053" s="201"/>
      <c r="W1053" s="37"/>
      <c r="X1053" s="52"/>
      <c r="Y1053" s="87"/>
      <c r="AA1053" s="86"/>
      <c r="AB1053" s="57"/>
      <c r="AC1053" s="37"/>
      <c r="AD1053" s="52"/>
      <c r="AE1053" s="87"/>
      <c r="AG1053" s="86"/>
      <c r="AH1053" s="37"/>
      <c r="AI1053" s="52"/>
      <c r="AJ1053" s="87"/>
      <c r="AL1053" s="86"/>
      <c r="AM1053" s="37"/>
      <c r="AN1053" s="52"/>
      <c r="AO1053" s="87"/>
      <c r="AQ1053" s="86"/>
      <c r="AR1053" s="37"/>
      <c r="AS1053" s="52"/>
      <c r="AT1053" s="87"/>
    </row>
    <row r="1054" spans="2:46" thickBot="1">
      <c r="B1054" s="113"/>
      <c r="C1054" s="324"/>
      <c r="D1054" s="346"/>
      <c r="E1054" s="326"/>
      <c r="F1054" s="321" t="str">
        <f t="shared" si="72"/>
        <v/>
      </c>
      <c r="G1054" s="334"/>
      <c r="H1054" s="331"/>
      <c r="I1054" s="107"/>
      <c r="J1054" s="108"/>
      <c r="K1054" s="109"/>
      <c r="L1054" s="108"/>
      <c r="O1054" s="86"/>
      <c r="P1054" s="57"/>
      <c r="Q1054" s="37"/>
      <c r="R1054" s="92" t="str">
        <f t="shared" si="71"/>
        <v/>
      </c>
      <c r="S1054" s="52"/>
      <c r="T1054" s="87"/>
      <c r="U1054" s="86"/>
      <c r="V1054" s="201"/>
      <c r="W1054" s="37"/>
      <c r="X1054" s="52"/>
      <c r="Y1054" s="87"/>
      <c r="AA1054" s="86"/>
      <c r="AB1054" s="57"/>
      <c r="AC1054" s="37"/>
      <c r="AD1054" s="52"/>
      <c r="AE1054" s="87"/>
      <c r="AG1054" s="86"/>
      <c r="AH1054" s="37"/>
      <c r="AI1054" s="52"/>
      <c r="AJ1054" s="87"/>
      <c r="AL1054" s="86"/>
      <c r="AM1054" s="37"/>
      <c r="AN1054" s="52"/>
      <c r="AO1054" s="87"/>
      <c r="AQ1054" s="86"/>
      <c r="AR1054" s="37"/>
      <c r="AS1054" s="52"/>
      <c r="AT1054" s="87"/>
    </row>
    <row r="1055" spans="2:46" thickBot="1">
      <c r="B1055" s="113"/>
      <c r="C1055" s="324"/>
      <c r="D1055" s="346"/>
      <c r="E1055" s="326"/>
      <c r="F1055" s="321" t="str">
        <f t="shared" si="72"/>
        <v/>
      </c>
      <c r="G1055" s="334"/>
      <c r="H1055" s="331"/>
      <c r="I1055" s="107"/>
      <c r="J1055" s="108"/>
      <c r="K1055" s="109"/>
      <c r="L1055" s="108"/>
      <c r="O1055" s="86"/>
      <c r="P1055" s="57"/>
      <c r="Q1055" s="37"/>
      <c r="R1055" s="92" t="str">
        <f t="shared" si="71"/>
        <v/>
      </c>
      <c r="S1055" s="52"/>
      <c r="T1055" s="87"/>
      <c r="U1055" s="86"/>
      <c r="V1055" s="201"/>
      <c r="W1055" s="37"/>
      <c r="X1055" s="52"/>
      <c r="Y1055" s="87"/>
      <c r="AA1055" s="86"/>
      <c r="AB1055" s="57"/>
      <c r="AC1055" s="37"/>
      <c r="AD1055" s="52"/>
      <c r="AE1055" s="87"/>
      <c r="AG1055" s="86"/>
      <c r="AH1055" s="37"/>
      <c r="AI1055" s="52"/>
      <c r="AJ1055" s="87"/>
      <c r="AL1055" s="86"/>
      <c r="AM1055" s="37"/>
      <c r="AN1055" s="52"/>
      <c r="AO1055" s="87"/>
      <c r="AQ1055" s="86"/>
      <c r="AR1055" s="37"/>
      <c r="AS1055" s="52"/>
      <c r="AT1055" s="87"/>
    </row>
    <row r="1056" spans="2:46" thickBot="1">
      <c r="B1056" s="113"/>
      <c r="C1056" s="324"/>
      <c r="D1056" s="346"/>
      <c r="E1056" s="326"/>
      <c r="F1056" s="321" t="str">
        <f t="shared" si="72"/>
        <v/>
      </c>
      <c r="G1056" s="334"/>
      <c r="H1056" s="331"/>
      <c r="I1056" s="107"/>
      <c r="J1056" s="108"/>
      <c r="K1056" s="109"/>
      <c r="L1056" s="108"/>
      <c r="O1056" s="86"/>
      <c r="P1056" s="57"/>
      <c r="Q1056" s="37"/>
      <c r="R1056" s="92" t="str">
        <f t="shared" si="71"/>
        <v/>
      </c>
      <c r="S1056" s="52"/>
      <c r="T1056" s="87"/>
      <c r="U1056" s="86"/>
      <c r="V1056" s="201"/>
      <c r="W1056" s="37"/>
      <c r="X1056" s="52"/>
      <c r="Y1056" s="87"/>
      <c r="AA1056" s="86"/>
      <c r="AB1056" s="57"/>
      <c r="AC1056" s="37"/>
      <c r="AD1056" s="52"/>
      <c r="AE1056" s="87"/>
      <c r="AG1056" s="86"/>
      <c r="AH1056" s="37"/>
      <c r="AI1056" s="52"/>
      <c r="AJ1056" s="87"/>
      <c r="AL1056" s="86"/>
      <c r="AM1056" s="37"/>
      <c r="AN1056" s="52"/>
      <c r="AO1056" s="87"/>
      <c r="AQ1056" s="86"/>
      <c r="AR1056" s="37"/>
      <c r="AS1056" s="52"/>
      <c r="AT1056" s="87"/>
    </row>
    <row r="1057" spans="2:46" thickBot="1">
      <c r="B1057" s="113"/>
      <c r="C1057" s="324"/>
      <c r="D1057" s="346"/>
      <c r="E1057" s="326"/>
      <c r="F1057" s="321" t="str">
        <f t="shared" si="72"/>
        <v/>
      </c>
      <c r="G1057" s="334"/>
      <c r="H1057" s="331"/>
      <c r="I1057" s="107"/>
      <c r="J1057" s="108"/>
      <c r="K1057" s="109"/>
      <c r="L1057" s="108"/>
      <c r="O1057" s="86"/>
      <c r="P1057" s="57"/>
      <c r="Q1057" s="37"/>
      <c r="R1057" s="92" t="str">
        <f t="shared" si="71"/>
        <v/>
      </c>
      <c r="S1057" s="52"/>
      <c r="T1057" s="87"/>
      <c r="U1057" s="86"/>
      <c r="V1057" s="201"/>
      <c r="W1057" s="37"/>
      <c r="X1057" s="52"/>
      <c r="Y1057" s="87"/>
      <c r="AA1057" s="86"/>
      <c r="AB1057" s="57"/>
      <c r="AC1057" s="37"/>
      <c r="AD1057" s="52"/>
      <c r="AE1057" s="87"/>
      <c r="AG1057" s="86"/>
      <c r="AH1057" s="37"/>
      <c r="AI1057" s="52"/>
      <c r="AJ1057" s="87"/>
      <c r="AL1057" s="86"/>
      <c r="AM1057" s="37"/>
      <c r="AN1057" s="52"/>
      <c r="AO1057" s="87"/>
      <c r="AQ1057" s="86"/>
      <c r="AR1057" s="37"/>
      <c r="AS1057" s="52"/>
      <c r="AT1057" s="87"/>
    </row>
    <row r="1058" spans="2:46" thickBot="1">
      <c r="B1058" s="113"/>
      <c r="C1058" s="324"/>
      <c r="D1058" s="346"/>
      <c r="E1058" s="326"/>
      <c r="F1058" s="321" t="str">
        <f t="shared" si="72"/>
        <v/>
      </c>
      <c r="G1058" s="334"/>
      <c r="H1058" s="331"/>
      <c r="I1058" s="107"/>
      <c r="J1058" s="108"/>
      <c r="K1058" s="109"/>
      <c r="L1058" s="108"/>
      <c r="O1058" s="86"/>
      <c r="P1058" s="57"/>
      <c r="Q1058" s="37"/>
      <c r="R1058" s="92" t="str">
        <f t="shared" si="71"/>
        <v/>
      </c>
      <c r="S1058" s="52"/>
      <c r="T1058" s="87"/>
      <c r="U1058" s="86"/>
      <c r="V1058" s="201"/>
      <c r="W1058" s="37"/>
      <c r="X1058" s="52"/>
      <c r="Y1058" s="87"/>
      <c r="AA1058" s="86"/>
      <c r="AB1058" s="57"/>
      <c r="AC1058" s="37"/>
      <c r="AD1058" s="52"/>
      <c r="AE1058" s="87"/>
      <c r="AG1058" s="86"/>
      <c r="AH1058" s="37"/>
      <c r="AI1058" s="52"/>
      <c r="AJ1058" s="87"/>
      <c r="AL1058" s="86"/>
      <c r="AM1058" s="37"/>
      <c r="AN1058" s="52"/>
      <c r="AO1058" s="87"/>
      <c r="AQ1058" s="86"/>
      <c r="AR1058" s="37"/>
      <c r="AS1058" s="52"/>
      <c r="AT1058" s="87"/>
    </row>
    <row r="1059" spans="2:46" thickBot="1">
      <c r="B1059" s="113"/>
      <c r="C1059" s="324"/>
      <c r="D1059" s="346"/>
      <c r="E1059" s="326"/>
      <c r="F1059" s="321" t="str">
        <f t="shared" si="72"/>
        <v/>
      </c>
      <c r="G1059" s="334"/>
      <c r="H1059" s="331"/>
      <c r="I1059" s="107"/>
      <c r="J1059" s="108"/>
      <c r="K1059" s="109"/>
      <c r="L1059" s="108"/>
      <c r="O1059" s="86"/>
      <c r="P1059" s="57"/>
      <c r="Q1059" s="37"/>
      <c r="R1059" s="92" t="str">
        <f t="shared" si="71"/>
        <v/>
      </c>
      <c r="S1059" s="52"/>
      <c r="T1059" s="87"/>
      <c r="U1059" s="86"/>
      <c r="V1059" s="201"/>
      <c r="W1059" s="37"/>
      <c r="X1059" s="52"/>
      <c r="Y1059" s="87"/>
      <c r="AA1059" s="86"/>
      <c r="AB1059" s="57"/>
      <c r="AC1059" s="37"/>
      <c r="AD1059" s="52"/>
      <c r="AE1059" s="87"/>
      <c r="AG1059" s="86"/>
      <c r="AH1059" s="37"/>
      <c r="AI1059" s="52"/>
      <c r="AJ1059" s="87"/>
      <c r="AL1059" s="86"/>
      <c r="AM1059" s="37"/>
      <c r="AN1059" s="52"/>
      <c r="AO1059" s="87"/>
      <c r="AQ1059" s="86"/>
      <c r="AR1059" s="37"/>
      <c r="AS1059" s="52"/>
      <c r="AT1059" s="87"/>
    </row>
    <row r="1060" spans="2:46" thickBot="1">
      <c r="B1060" s="113"/>
      <c r="C1060" s="324"/>
      <c r="D1060" s="346"/>
      <c r="E1060" s="326"/>
      <c r="F1060" s="321" t="str">
        <f t="shared" si="72"/>
        <v/>
      </c>
      <c r="G1060" s="334"/>
      <c r="H1060" s="331"/>
      <c r="I1060" s="107"/>
      <c r="J1060" s="108"/>
      <c r="K1060" s="109"/>
      <c r="L1060" s="108"/>
      <c r="O1060" s="86"/>
      <c r="P1060" s="57"/>
      <c r="Q1060" s="37"/>
      <c r="R1060" s="92" t="str">
        <f t="shared" si="71"/>
        <v/>
      </c>
      <c r="S1060" s="52"/>
      <c r="T1060" s="87"/>
      <c r="U1060" s="86"/>
      <c r="V1060" s="201"/>
      <c r="W1060" s="37"/>
      <c r="X1060" s="52"/>
      <c r="Y1060" s="87"/>
      <c r="AA1060" s="86"/>
      <c r="AB1060" s="57"/>
      <c r="AC1060" s="37"/>
      <c r="AD1060" s="52"/>
      <c r="AE1060" s="87"/>
      <c r="AG1060" s="86"/>
      <c r="AH1060" s="37"/>
      <c r="AI1060" s="52"/>
      <c r="AJ1060" s="87"/>
      <c r="AL1060" s="86"/>
      <c r="AM1060" s="37"/>
      <c r="AN1060" s="52"/>
      <c r="AO1060" s="87"/>
      <c r="AQ1060" s="86"/>
      <c r="AR1060" s="37"/>
      <c r="AS1060" s="52"/>
      <c r="AT1060" s="87"/>
    </row>
    <row r="1061" spans="2:46" thickBot="1">
      <c r="B1061" s="113"/>
      <c r="C1061" s="324"/>
      <c r="D1061" s="346"/>
      <c r="E1061" s="326"/>
      <c r="F1061" s="321" t="str">
        <f t="shared" si="72"/>
        <v/>
      </c>
      <c r="G1061" s="334"/>
      <c r="H1061" s="331"/>
      <c r="I1061" s="107"/>
      <c r="J1061" s="108"/>
      <c r="K1061" s="109"/>
      <c r="L1061" s="108"/>
      <c r="O1061" s="86"/>
      <c r="P1061" s="57"/>
      <c r="Q1061" s="37"/>
      <c r="R1061" s="92" t="str">
        <f t="shared" si="71"/>
        <v/>
      </c>
      <c r="S1061" s="52"/>
      <c r="T1061" s="87"/>
      <c r="U1061" s="86"/>
      <c r="V1061" s="201"/>
      <c r="W1061" s="37"/>
      <c r="X1061" s="52"/>
      <c r="Y1061" s="87"/>
      <c r="AA1061" s="86"/>
      <c r="AB1061" s="57"/>
      <c r="AC1061" s="37"/>
      <c r="AD1061" s="52"/>
      <c r="AE1061" s="87"/>
      <c r="AG1061" s="86"/>
      <c r="AH1061" s="37"/>
      <c r="AI1061" s="52"/>
      <c r="AJ1061" s="87"/>
      <c r="AL1061" s="86"/>
      <c r="AM1061" s="37"/>
      <c r="AN1061" s="52"/>
      <c r="AO1061" s="87"/>
      <c r="AQ1061" s="86"/>
      <c r="AR1061" s="37"/>
      <c r="AS1061" s="52"/>
      <c r="AT1061" s="87"/>
    </row>
    <row r="1062" spans="2:46" thickBot="1">
      <c r="B1062" s="113"/>
      <c r="C1062" s="324"/>
      <c r="D1062" s="346"/>
      <c r="E1062" s="326"/>
      <c r="F1062" s="321" t="str">
        <f t="shared" si="72"/>
        <v/>
      </c>
      <c r="G1062" s="334"/>
      <c r="H1062" s="331"/>
      <c r="I1062" s="107"/>
      <c r="J1062" s="108"/>
      <c r="K1062" s="109"/>
      <c r="L1062" s="108"/>
      <c r="O1062" s="86"/>
      <c r="P1062" s="57"/>
      <c r="Q1062" s="37"/>
      <c r="R1062" s="92" t="str">
        <f t="shared" si="71"/>
        <v/>
      </c>
      <c r="S1062" s="52"/>
      <c r="T1062" s="87"/>
      <c r="U1062" s="86"/>
      <c r="V1062" s="201"/>
      <c r="W1062" s="37"/>
      <c r="X1062" s="52"/>
      <c r="Y1062" s="87"/>
      <c r="AA1062" s="86"/>
      <c r="AB1062" s="57"/>
      <c r="AC1062" s="37"/>
      <c r="AD1062" s="52"/>
      <c r="AE1062" s="87"/>
      <c r="AG1062" s="86"/>
      <c r="AH1062" s="37"/>
      <c r="AI1062" s="52"/>
      <c r="AJ1062" s="87"/>
      <c r="AL1062" s="86"/>
      <c r="AM1062" s="37"/>
      <c r="AN1062" s="52"/>
      <c r="AO1062" s="87"/>
      <c r="AQ1062" s="86"/>
      <c r="AR1062" s="37"/>
      <c r="AS1062" s="52"/>
      <c r="AT1062" s="87"/>
    </row>
    <row r="1063" spans="2:46" thickBot="1">
      <c r="B1063" s="113"/>
      <c r="C1063" s="324"/>
      <c r="D1063" s="346"/>
      <c r="E1063" s="326"/>
      <c r="F1063" s="321" t="str">
        <f t="shared" si="72"/>
        <v/>
      </c>
      <c r="G1063" s="334"/>
      <c r="H1063" s="331"/>
      <c r="I1063" s="107"/>
      <c r="J1063" s="108"/>
      <c r="K1063" s="109"/>
      <c r="L1063" s="108"/>
      <c r="O1063" s="86"/>
      <c r="P1063" s="57"/>
      <c r="Q1063" s="37"/>
      <c r="R1063" s="92" t="str">
        <f t="shared" si="71"/>
        <v/>
      </c>
      <c r="S1063" s="52"/>
      <c r="T1063" s="87"/>
      <c r="U1063" s="86"/>
      <c r="V1063" s="201"/>
      <c r="W1063" s="37"/>
      <c r="X1063" s="52"/>
      <c r="Y1063" s="87"/>
      <c r="AA1063" s="86"/>
      <c r="AB1063" s="57"/>
      <c r="AC1063" s="37"/>
      <c r="AD1063" s="52"/>
      <c r="AE1063" s="87"/>
      <c r="AG1063" s="86"/>
      <c r="AH1063" s="37"/>
      <c r="AI1063" s="52"/>
      <c r="AJ1063" s="87"/>
      <c r="AL1063" s="86"/>
      <c r="AM1063" s="37"/>
      <c r="AN1063" s="52"/>
      <c r="AO1063" s="87"/>
      <c r="AQ1063" s="86"/>
      <c r="AR1063" s="37"/>
      <c r="AS1063" s="52"/>
      <c r="AT1063" s="87"/>
    </row>
    <row r="1064" spans="2:46" thickBot="1">
      <c r="B1064" s="113"/>
      <c r="C1064" s="324"/>
      <c r="D1064" s="346"/>
      <c r="E1064" s="326"/>
      <c r="F1064" s="321" t="str">
        <f t="shared" si="72"/>
        <v/>
      </c>
      <c r="G1064" s="334"/>
      <c r="H1064" s="331"/>
      <c r="I1064" s="107"/>
      <c r="J1064" s="108"/>
      <c r="K1064" s="109"/>
      <c r="L1064" s="108"/>
      <c r="O1064" s="86"/>
      <c r="P1064" s="57"/>
      <c r="Q1064" s="37"/>
      <c r="R1064" s="92" t="str">
        <f t="shared" si="71"/>
        <v/>
      </c>
      <c r="S1064" s="52"/>
      <c r="T1064" s="87"/>
      <c r="U1064" s="86"/>
      <c r="V1064" s="201"/>
      <c r="W1064" s="37"/>
      <c r="X1064" s="52"/>
      <c r="Y1064" s="87"/>
      <c r="AA1064" s="86"/>
      <c r="AB1064" s="57"/>
      <c r="AC1064" s="37"/>
      <c r="AD1064" s="52"/>
      <c r="AE1064" s="87"/>
      <c r="AG1064" s="86"/>
      <c r="AH1064" s="37"/>
      <c r="AI1064" s="52"/>
      <c r="AJ1064" s="87"/>
      <c r="AL1064" s="86"/>
      <c r="AM1064" s="37"/>
      <c r="AN1064" s="52"/>
      <c r="AO1064" s="87"/>
      <c r="AQ1064" s="86"/>
      <c r="AR1064" s="37"/>
      <c r="AS1064" s="52"/>
      <c r="AT1064" s="87"/>
    </row>
    <row r="1065" spans="2:46" thickBot="1">
      <c r="B1065" s="113"/>
      <c r="C1065" s="324"/>
      <c r="D1065" s="346"/>
      <c r="E1065" s="326"/>
      <c r="F1065" s="321" t="str">
        <f t="shared" si="72"/>
        <v/>
      </c>
      <c r="G1065" s="334"/>
      <c r="H1065" s="331"/>
      <c r="I1065" s="107"/>
      <c r="J1065" s="108"/>
      <c r="K1065" s="109"/>
      <c r="L1065" s="108"/>
      <c r="O1065" s="86"/>
      <c r="P1065" s="57"/>
      <c r="Q1065" s="37"/>
      <c r="R1065" s="92" t="str">
        <f t="shared" si="71"/>
        <v/>
      </c>
      <c r="S1065" s="52"/>
      <c r="T1065" s="87"/>
      <c r="U1065" s="86"/>
      <c r="V1065" s="201"/>
      <c r="W1065" s="37"/>
      <c r="X1065" s="52"/>
      <c r="Y1065" s="87"/>
      <c r="AA1065" s="86"/>
      <c r="AB1065" s="57"/>
      <c r="AC1065" s="37"/>
      <c r="AD1065" s="52"/>
      <c r="AE1065" s="87"/>
      <c r="AG1065" s="86"/>
      <c r="AH1065" s="37"/>
      <c r="AI1065" s="52"/>
      <c r="AJ1065" s="87"/>
      <c r="AL1065" s="86"/>
      <c r="AM1065" s="37"/>
      <c r="AN1065" s="52"/>
      <c r="AO1065" s="87"/>
      <c r="AQ1065" s="86"/>
      <c r="AR1065" s="37"/>
      <c r="AS1065" s="52"/>
      <c r="AT1065" s="87"/>
    </row>
    <row r="1066" spans="2:46" thickBot="1">
      <c r="B1066" s="113"/>
      <c r="C1066" s="324"/>
      <c r="D1066" s="346"/>
      <c r="E1066" s="326"/>
      <c r="F1066" s="321" t="str">
        <f t="shared" si="72"/>
        <v/>
      </c>
      <c r="G1066" s="334"/>
      <c r="H1066" s="331"/>
      <c r="I1066" s="107"/>
      <c r="J1066" s="108"/>
      <c r="K1066" s="109"/>
      <c r="L1066" s="108"/>
      <c r="O1066" s="86"/>
      <c r="P1066" s="57"/>
      <c r="Q1066" s="37"/>
      <c r="R1066" s="92" t="str">
        <f t="shared" si="71"/>
        <v/>
      </c>
      <c r="S1066" s="52"/>
      <c r="T1066" s="87"/>
      <c r="U1066" s="86"/>
      <c r="V1066" s="201"/>
      <c r="W1066" s="37"/>
      <c r="X1066" s="52"/>
      <c r="Y1066" s="87"/>
      <c r="AA1066" s="86"/>
      <c r="AB1066" s="57"/>
      <c r="AC1066" s="37"/>
      <c r="AD1066" s="52"/>
      <c r="AE1066" s="87"/>
      <c r="AG1066" s="86"/>
      <c r="AH1066" s="37"/>
      <c r="AI1066" s="52"/>
      <c r="AJ1066" s="87"/>
      <c r="AL1066" s="86"/>
      <c r="AM1066" s="37"/>
      <c r="AN1066" s="52"/>
      <c r="AO1066" s="87"/>
      <c r="AQ1066" s="86"/>
      <c r="AR1066" s="37"/>
      <c r="AS1066" s="52"/>
      <c r="AT1066" s="87"/>
    </row>
    <row r="1067" spans="2:46" thickBot="1">
      <c r="B1067" s="113"/>
      <c r="C1067" s="324"/>
      <c r="D1067" s="346"/>
      <c r="E1067" s="326"/>
      <c r="F1067" s="321" t="str">
        <f t="shared" si="72"/>
        <v/>
      </c>
      <c r="G1067" s="334"/>
      <c r="H1067" s="331"/>
      <c r="I1067" s="107"/>
      <c r="J1067" s="108"/>
      <c r="K1067" s="109"/>
      <c r="L1067" s="108"/>
      <c r="O1067" s="86"/>
      <c r="P1067" s="57"/>
      <c r="Q1067" s="37"/>
      <c r="R1067" s="92" t="str">
        <f t="shared" ref="R1067:R1101" si="73">IF(Q1067="","",ROUND(S1067*(1+$F$2),2))</f>
        <v/>
      </c>
      <c r="S1067" s="52"/>
      <c r="T1067" s="87"/>
      <c r="U1067" s="86"/>
      <c r="V1067" s="201"/>
      <c r="W1067" s="37"/>
      <c r="X1067" s="52"/>
      <c r="Y1067" s="87"/>
      <c r="AA1067" s="86"/>
      <c r="AB1067" s="57"/>
      <c r="AC1067" s="37"/>
      <c r="AD1067" s="52"/>
      <c r="AE1067" s="87"/>
      <c r="AG1067" s="86"/>
      <c r="AH1067" s="37"/>
      <c r="AI1067" s="52"/>
      <c r="AJ1067" s="87"/>
      <c r="AL1067" s="86"/>
      <c r="AM1067" s="37"/>
      <c r="AN1067" s="52"/>
      <c r="AO1067" s="87"/>
      <c r="AQ1067" s="86"/>
      <c r="AR1067" s="37"/>
      <c r="AS1067" s="52"/>
      <c r="AT1067" s="87"/>
    </row>
    <row r="1068" spans="2:46" thickBot="1">
      <c r="B1068" s="113"/>
      <c r="C1068" s="324"/>
      <c r="D1068" s="346"/>
      <c r="E1068" s="326"/>
      <c r="F1068" s="321" t="str">
        <f t="shared" si="72"/>
        <v/>
      </c>
      <c r="G1068" s="334"/>
      <c r="H1068" s="331"/>
      <c r="I1068" s="107"/>
      <c r="J1068" s="108"/>
      <c r="K1068" s="109"/>
      <c r="L1068" s="108"/>
      <c r="O1068" s="86"/>
      <c r="P1068" s="57"/>
      <c r="Q1068" s="37"/>
      <c r="R1068" s="92" t="str">
        <f t="shared" si="73"/>
        <v/>
      </c>
      <c r="S1068" s="52"/>
      <c r="T1068" s="87"/>
      <c r="U1068" s="86"/>
      <c r="V1068" s="201"/>
      <c r="W1068" s="37"/>
      <c r="X1068" s="52"/>
      <c r="Y1068" s="87"/>
      <c r="AA1068" s="86"/>
      <c r="AB1068" s="57"/>
      <c r="AC1068" s="37"/>
      <c r="AD1068" s="52"/>
      <c r="AE1068" s="87"/>
      <c r="AG1068" s="86"/>
      <c r="AH1068" s="37"/>
      <c r="AI1068" s="52"/>
      <c r="AJ1068" s="87"/>
      <c r="AL1068" s="86"/>
      <c r="AM1068" s="37"/>
      <c r="AN1068" s="52"/>
      <c r="AO1068" s="87"/>
      <c r="AQ1068" s="86"/>
      <c r="AR1068" s="37"/>
      <c r="AS1068" s="52"/>
      <c r="AT1068" s="87"/>
    </row>
    <row r="1069" spans="2:46" thickBot="1">
      <c r="B1069" s="113"/>
      <c r="C1069" s="324"/>
      <c r="D1069" s="346"/>
      <c r="E1069" s="326"/>
      <c r="F1069" s="321" t="str">
        <f t="shared" si="72"/>
        <v/>
      </c>
      <c r="G1069" s="334"/>
      <c r="H1069" s="331"/>
      <c r="I1069" s="107"/>
      <c r="J1069" s="108"/>
      <c r="K1069" s="109"/>
      <c r="L1069" s="108"/>
      <c r="O1069" s="86"/>
      <c r="P1069" s="57"/>
      <c r="Q1069" s="37"/>
      <c r="R1069" s="92" t="str">
        <f t="shared" si="73"/>
        <v/>
      </c>
      <c r="S1069" s="52"/>
      <c r="T1069" s="87"/>
      <c r="U1069" s="86"/>
      <c r="V1069" s="201"/>
      <c r="W1069" s="37"/>
      <c r="X1069" s="52"/>
      <c r="Y1069" s="87"/>
      <c r="AA1069" s="86"/>
      <c r="AB1069" s="57"/>
      <c r="AC1069" s="37"/>
      <c r="AD1069" s="52"/>
      <c r="AE1069" s="87"/>
      <c r="AG1069" s="86"/>
      <c r="AH1069" s="37"/>
      <c r="AI1069" s="52"/>
      <c r="AJ1069" s="87"/>
      <c r="AL1069" s="86"/>
      <c r="AM1069" s="37"/>
      <c r="AN1069" s="52"/>
      <c r="AO1069" s="87"/>
      <c r="AQ1069" s="86"/>
      <c r="AR1069" s="37"/>
      <c r="AS1069" s="52"/>
      <c r="AT1069" s="87"/>
    </row>
    <row r="1070" spans="2:46" thickBot="1">
      <c r="B1070" s="113"/>
      <c r="C1070" s="324"/>
      <c r="D1070" s="346"/>
      <c r="E1070" s="326"/>
      <c r="F1070" s="321" t="str">
        <f t="shared" si="72"/>
        <v/>
      </c>
      <c r="G1070" s="334"/>
      <c r="H1070" s="331"/>
      <c r="I1070" s="107"/>
      <c r="J1070" s="108"/>
      <c r="K1070" s="109"/>
      <c r="L1070" s="108"/>
      <c r="O1070" s="86"/>
      <c r="P1070" s="57"/>
      <c r="Q1070" s="37"/>
      <c r="R1070" s="92" t="str">
        <f t="shared" si="73"/>
        <v/>
      </c>
      <c r="S1070" s="52"/>
      <c r="T1070" s="87"/>
      <c r="U1070" s="86"/>
      <c r="V1070" s="201"/>
      <c r="W1070" s="37"/>
      <c r="X1070" s="52"/>
      <c r="Y1070" s="87"/>
      <c r="AA1070" s="86"/>
      <c r="AB1070" s="57"/>
      <c r="AC1070" s="37"/>
      <c r="AD1070" s="52"/>
      <c r="AE1070" s="87"/>
      <c r="AG1070" s="86"/>
      <c r="AH1070" s="37"/>
      <c r="AI1070" s="52"/>
      <c r="AJ1070" s="87"/>
      <c r="AL1070" s="86"/>
      <c r="AM1070" s="37"/>
      <c r="AN1070" s="52"/>
      <c r="AO1070" s="87"/>
      <c r="AQ1070" s="86"/>
      <c r="AR1070" s="37"/>
      <c r="AS1070" s="52"/>
      <c r="AT1070" s="87"/>
    </row>
    <row r="1071" spans="2:46" thickBot="1">
      <c r="B1071" s="113"/>
      <c r="C1071" s="324"/>
      <c r="D1071" s="346"/>
      <c r="E1071" s="326"/>
      <c r="F1071" s="321" t="str">
        <f t="shared" si="72"/>
        <v/>
      </c>
      <c r="G1071" s="334"/>
      <c r="H1071" s="331"/>
      <c r="I1071" s="107"/>
      <c r="J1071" s="108"/>
      <c r="K1071" s="109"/>
      <c r="L1071" s="108"/>
      <c r="O1071" s="86"/>
      <c r="P1071" s="57"/>
      <c r="Q1071" s="37"/>
      <c r="R1071" s="92" t="str">
        <f t="shared" si="73"/>
        <v/>
      </c>
      <c r="S1071" s="52"/>
      <c r="T1071" s="87"/>
      <c r="U1071" s="86"/>
      <c r="V1071" s="201"/>
      <c r="W1071" s="37"/>
      <c r="X1071" s="52"/>
      <c r="Y1071" s="87"/>
      <c r="AA1071" s="86"/>
      <c r="AB1071" s="57"/>
      <c r="AC1071" s="37"/>
      <c r="AD1071" s="52"/>
      <c r="AE1071" s="87"/>
      <c r="AG1071" s="86"/>
      <c r="AH1071" s="37"/>
      <c r="AI1071" s="52"/>
      <c r="AJ1071" s="87"/>
      <c r="AL1071" s="86"/>
      <c r="AM1071" s="37"/>
      <c r="AN1071" s="52"/>
      <c r="AO1071" s="87"/>
      <c r="AQ1071" s="86"/>
      <c r="AR1071" s="37"/>
      <c r="AS1071" s="52"/>
      <c r="AT1071" s="87"/>
    </row>
    <row r="1072" spans="2:46" thickBot="1">
      <c r="B1072" s="113"/>
      <c r="C1072" s="324"/>
      <c r="D1072" s="346"/>
      <c r="E1072" s="326"/>
      <c r="F1072" s="321" t="str">
        <f t="shared" si="72"/>
        <v/>
      </c>
      <c r="G1072" s="334"/>
      <c r="H1072" s="331"/>
      <c r="I1072" s="107"/>
      <c r="J1072" s="108"/>
      <c r="K1072" s="109"/>
      <c r="L1072" s="108"/>
      <c r="O1072" s="86"/>
      <c r="P1072" s="57"/>
      <c r="Q1072" s="37"/>
      <c r="R1072" s="92" t="str">
        <f t="shared" si="73"/>
        <v/>
      </c>
      <c r="S1072" s="52"/>
      <c r="T1072" s="87"/>
      <c r="U1072" s="86"/>
      <c r="V1072" s="201"/>
      <c r="W1072" s="37"/>
      <c r="X1072" s="52"/>
      <c r="Y1072" s="87"/>
      <c r="AA1072" s="86"/>
      <c r="AB1072" s="57"/>
      <c r="AC1072" s="37"/>
      <c r="AD1072" s="52"/>
      <c r="AE1072" s="87"/>
      <c r="AG1072" s="86"/>
      <c r="AH1072" s="37"/>
      <c r="AI1072" s="52"/>
      <c r="AJ1072" s="87"/>
      <c r="AL1072" s="86"/>
      <c r="AM1072" s="37"/>
      <c r="AN1072" s="52"/>
      <c r="AO1072" s="87"/>
      <c r="AQ1072" s="86"/>
      <c r="AR1072" s="37"/>
      <c r="AS1072" s="52"/>
      <c r="AT1072" s="87"/>
    </row>
    <row r="1073" spans="2:46" thickBot="1">
      <c r="B1073" s="113"/>
      <c r="C1073" s="324"/>
      <c r="D1073" s="346"/>
      <c r="E1073" s="326"/>
      <c r="F1073" s="321" t="str">
        <f t="shared" si="72"/>
        <v/>
      </c>
      <c r="G1073" s="334"/>
      <c r="H1073" s="331"/>
      <c r="I1073" s="107"/>
      <c r="J1073" s="108"/>
      <c r="K1073" s="109"/>
      <c r="L1073" s="108"/>
      <c r="O1073" s="86"/>
      <c r="P1073" s="57"/>
      <c r="Q1073" s="37"/>
      <c r="R1073" s="92" t="str">
        <f t="shared" si="73"/>
        <v/>
      </c>
      <c r="S1073" s="52"/>
      <c r="T1073" s="87"/>
      <c r="U1073" s="86"/>
      <c r="V1073" s="201"/>
      <c r="W1073" s="37"/>
      <c r="X1073" s="52"/>
      <c r="Y1073" s="87"/>
      <c r="AA1073" s="86"/>
      <c r="AB1073" s="57"/>
      <c r="AC1073" s="37"/>
      <c r="AD1073" s="52"/>
      <c r="AE1073" s="87"/>
      <c r="AG1073" s="86"/>
      <c r="AH1073" s="37"/>
      <c r="AI1073" s="52"/>
      <c r="AJ1073" s="87"/>
      <c r="AL1073" s="86"/>
      <c r="AM1073" s="37"/>
      <c r="AN1073" s="52"/>
      <c r="AO1073" s="87"/>
      <c r="AQ1073" s="86"/>
      <c r="AR1073" s="37"/>
      <c r="AS1073" s="52"/>
      <c r="AT1073" s="87"/>
    </row>
    <row r="1074" spans="2:46" thickBot="1">
      <c r="B1074" s="113"/>
      <c r="C1074" s="324"/>
      <c r="D1074" s="346"/>
      <c r="E1074" s="326"/>
      <c r="F1074" s="321" t="str">
        <f t="shared" si="72"/>
        <v/>
      </c>
      <c r="G1074" s="334"/>
      <c r="H1074" s="331"/>
      <c r="I1074" s="107"/>
      <c r="J1074" s="108"/>
      <c r="K1074" s="109"/>
      <c r="L1074" s="108"/>
      <c r="O1074" s="86"/>
      <c r="P1074" s="57"/>
      <c r="Q1074" s="37"/>
      <c r="R1074" s="92" t="str">
        <f t="shared" si="73"/>
        <v/>
      </c>
      <c r="S1074" s="52"/>
      <c r="T1074" s="87"/>
      <c r="U1074" s="86"/>
      <c r="V1074" s="201"/>
      <c r="W1074" s="37"/>
      <c r="X1074" s="52"/>
      <c r="Y1074" s="87"/>
      <c r="AA1074" s="86"/>
      <c r="AB1074" s="57"/>
      <c r="AC1074" s="37"/>
      <c r="AD1074" s="52"/>
      <c r="AE1074" s="87"/>
      <c r="AG1074" s="86"/>
      <c r="AH1074" s="37"/>
      <c r="AI1074" s="52"/>
      <c r="AJ1074" s="87"/>
      <c r="AL1074" s="86"/>
      <c r="AM1074" s="37"/>
      <c r="AN1074" s="52"/>
      <c r="AO1074" s="87"/>
      <c r="AQ1074" s="86"/>
      <c r="AR1074" s="37"/>
      <c r="AS1074" s="52"/>
      <c r="AT1074" s="87"/>
    </row>
    <row r="1075" spans="2:46" thickBot="1">
      <c r="B1075" s="113"/>
      <c r="C1075" s="324"/>
      <c r="D1075" s="346"/>
      <c r="E1075" s="326"/>
      <c r="F1075" s="321" t="str">
        <f t="shared" si="72"/>
        <v/>
      </c>
      <c r="G1075" s="334"/>
      <c r="H1075" s="331"/>
      <c r="I1075" s="107"/>
      <c r="J1075" s="108"/>
      <c r="K1075" s="109"/>
      <c r="L1075" s="108"/>
      <c r="O1075" s="86"/>
      <c r="P1075" s="57"/>
      <c r="Q1075" s="37"/>
      <c r="R1075" s="92" t="str">
        <f t="shared" si="73"/>
        <v/>
      </c>
      <c r="S1075" s="52"/>
      <c r="T1075" s="87"/>
      <c r="U1075" s="86"/>
      <c r="V1075" s="201"/>
      <c r="W1075" s="37"/>
      <c r="X1075" s="52"/>
      <c r="Y1075" s="87"/>
      <c r="AA1075" s="86"/>
      <c r="AB1075" s="57"/>
      <c r="AC1075" s="37"/>
      <c r="AD1075" s="52"/>
      <c r="AE1075" s="87"/>
      <c r="AG1075" s="86"/>
      <c r="AH1075" s="37"/>
      <c r="AI1075" s="52"/>
      <c r="AJ1075" s="87"/>
      <c r="AL1075" s="86"/>
      <c r="AM1075" s="37"/>
      <c r="AN1075" s="52"/>
      <c r="AO1075" s="87"/>
      <c r="AQ1075" s="86"/>
      <c r="AR1075" s="37"/>
      <c r="AS1075" s="52"/>
      <c r="AT1075" s="87"/>
    </row>
    <row r="1076" spans="2:46" thickBot="1">
      <c r="B1076" s="113"/>
      <c r="C1076" s="324"/>
      <c r="D1076" s="346"/>
      <c r="E1076" s="326"/>
      <c r="F1076" s="321" t="str">
        <f t="shared" si="72"/>
        <v/>
      </c>
      <c r="G1076" s="334"/>
      <c r="H1076" s="331"/>
      <c r="I1076" s="107"/>
      <c r="J1076" s="108"/>
      <c r="K1076" s="109"/>
      <c r="L1076" s="108"/>
      <c r="O1076" s="86"/>
      <c r="P1076" s="57"/>
      <c r="Q1076" s="37"/>
      <c r="R1076" s="92" t="str">
        <f t="shared" si="73"/>
        <v/>
      </c>
      <c r="S1076" s="52"/>
      <c r="T1076" s="87"/>
      <c r="U1076" s="86"/>
      <c r="V1076" s="201"/>
      <c r="W1076" s="37"/>
      <c r="X1076" s="52"/>
      <c r="Y1076" s="87"/>
      <c r="AA1076" s="86"/>
      <c r="AB1076" s="57"/>
      <c r="AC1076" s="37"/>
      <c r="AD1076" s="52"/>
      <c r="AE1076" s="87"/>
      <c r="AG1076" s="86"/>
      <c r="AH1076" s="37"/>
      <c r="AI1076" s="52"/>
      <c r="AJ1076" s="87"/>
      <c r="AL1076" s="86"/>
      <c r="AM1076" s="37"/>
      <c r="AN1076" s="52"/>
      <c r="AO1076" s="87"/>
      <c r="AQ1076" s="86"/>
      <c r="AR1076" s="37"/>
      <c r="AS1076" s="52"/>
      <c r="AT1076" s="87"/>
    </row>
    <row r="1077" spans="2:46" thickBot="1">
      <c r="B1077" s="113"/>
      <c r="C1077" s="324"/>
      <c r="D1077" s="346"/>
      <c r="E1077" s="326"/>
      <c r="F1077" s="321" t="str">
        <f t="shared" si="72"/>
        <v/>
      </c>
      <c r="G1077" s="334"/>
      <c r="H1077" s="331"/>
      <c r="I1077" s="107"/>
      <c r="J1077" s="108"/>
      <c r="K1077" s="109"/>
      <c r="L1077" s="108"/>
      <c r="O1077" s="86"/>
      <c r="P1077" s="57"/>
      <c r="Q1077" s="37"/>
      <c r="R1077" s="92" t="str">
        <f t="shared" si="73"/>
        <v/>
      </c>
      <c r="S1077" s="52"/>
      <c r="T1077" s="87"/>
      <c r="U1077" s="86"/>
      <c r="V1077" s="201"/>
      <c r="W1077" s="37"/>
      <c r="X1077" s="52"/>
      <c r="Y1077" s="87"/>
      <c r="AA1077" s="86"/>
      <c r="AB1077" s="57"/>
      <c r="AC1077" s="37"/>
      <c r="AD1077" s="52"/>
      <c r="AE1077" s="87"/>
      <c r="AG1077" s="86"/>
      <c r="AH1077" s="37"/>
      <c r="AI1077" s="52"/>
      <c r="AJ1077" s="87"/>
      <c r="AL1077" s="86"/>
      <c r="AM1077" s="37"/>
      <c r="AN1077" s="52"/>
      <c r="AO1077" s="87"/>
      <c r="AQ1077" s="86"/>
      <c r="AR1077" s="37"/>
      <c r="AS1077" s="52"/>
      <c r="AT1077" s="87"/>
    </row>
    <row r="1078" spans="2:46" thickBot="1">
      <c r="B1078" s="113"/>
      <c r="C1078" s="324"/>
      <c r="D1078" s="346"/>
      <c r="E1078" s="326"/>
      <c r="F1078" s="321" t="str">
        <f t="shared" si="72"/>
        <v/>
      </c>
      <c r="G1078" s="334"/>
      <c r="H1078" s="331"/>
      <c r="I1078" s="107"/>
      <c r="J1078" s="108"/>
      <c r="K1078" s="109"/>
      <c r="L1078" s="108"/>
      <c r="O1078" s="86"/>
      <c r="P1078" s="57"/>
      <c r="Q1078" s="37"/>
      <c r="R1078" s="92" t="str">
        <f t="shared" si="73"/>
        <v/>
      </c>
      <c r="S1078" s="52"/>
      <c r="T1078" s="87"/>
      <c r="U1078" s="86"/>
      <c r="V1078" s="201"/>
      <c r="W1078" s="37"/>
      <c r="X1078" s="52"/>
      <c r="Y1078" s="87"/>
      <c r="AA1078" s="86"/>
      <c r="AB1078" s="57"/>
      <c r="AC1078" s="37"/>
      <c r="AD1078" s="52"/>
      <c r="AE1078" s="87"/>
      <c r="AG1078" s="86"/>
      <c r="AH1078" s="37"/>
      <c r="AI1078" s="52"/>
      <c r="AJ1078" s="87"/>
      <c r="AL1078" s="86"/>
      <c r="AM1078" s="37"/>
      <c r="AN1078" s="52"/>
      <c r="AO1078" s="87"/>
      <c r="AQ1078" s="86"/>
      <c r="AR1078" s="37"/>
      <c r="AS1078" s="52"/>
      <c r="AT1078" s="87"/>
    </row>
    <row r="1079" spans="2:46" thickBot="1">
      <c r="B1079" s="113"/>
      <c r="C1079" s="324"/>
      <c r="D1079" s="346"/>
      <c r="E1079" s="326"/>
      <c r="F1079" s="321" t="str">
        <f t="shared" si="72"/>
        <v/>
      </c>
      <c r="G1079" s="334"/>
      <c r="H1079" s="331"/>
      <c r="I1079" s="107"/>
      <c r="J1079" s="108"/>
      <c r="K1079" s="109"/>
      <c r="L1079" s="108"/>
      <c r="O1079" s="86"/>
      <c r="P1079" s="57"/>
      <c r="Q1079" s="37"/>
      <c r="R1079" s="92" t="str">
        <f t="shared" si="73"/>
        <v/>
      </c>
      <c r="S1079" s="52"/>
      <c r="T1079" s="87"/>
      <c r="U1079" s="86"/>
      <c r="V1079" s="201"/>
      <c r="W1079" s="37"/>
      <c r="X1079" s="52"/>
      <c r="Y1079" s="87"/>
      <c r="AA1079" s="86"/>
      <c r="AB1079" s="57"/>
      <c r="AC1079" s="37"/>
      <c r="AD1079" s="52"/>
      <c r="AE1079" s="87"/>
      <c r="AG1079" s="86"/>
      <c r="AH1079" s="37"/>
      <c r="AI1079" s="52"/>
      <c r="AJ1079" s="87"/>
      <c r="AL1079" s="86"/>
      <c r="AM1079" s="37"/>
      <c r="AN1079" s="52"/>
      <c r="AO1079" s="87"/>
      <c r="AQ1079" s="86"/>
      <c r="AR1079" s="37"/>
      <c r="AS1079" s="52"/>
      <c r="AT1079" s="87"/>
    </row>
    <row r="1080" spans="2:46" thickBot="1">
      <c r="B1080" s="113"/>
      <c r="C1080" s="324"/>
      <c r="D1080" s="346"/>
      <c r="E1080" s="326"/>
      <c r="F1080" s="321" t="str">
        <f t="shared" si="72"/>
        <v/>
      </c>
      <c r="G1080" s="334"/>
      <c r="H1080" s="331"/>
      <c r="I1080" s="107"/>
      <c r="J1080" s="108"/>
      <c r="K1080" s="109"/>
      <c r="L1080" s="108"/>
      <c r="O1080" s="86"/>
      <c r="P1080" s="57"/>
      <c r="Q1080" s="37"/>
      <c r="R1080" s="92" t="str">
        <f t="shared" si="73"/>
        <v/>
      </c>
      <c r="S1080" s="52"/>
      <c r="T1080" s="87"/>
      <c r="U1080" s="86"/>
      <c r="V1080" s="201"/>
      <c r="W1080" s="37"/>
      <c r="X1080" s="52"/>
      <c r="Y1080" s="87"/>
      <c r="AA1080" s="86"/>
      <c r="AB1080" s="57"/>
      <c r="AC1080" s="37"/>
      <c r="AD1080" s="52"/>
      <c r="AE1080" s="87"/>
      <c r="AG1080" s="86"/>
      <c r="AH1080" s="37"/>
      <c r="AI1080" s="52"/>
      <c r="AJ1080" s="87"/>
      <c r="AL1080" s="86"/>
      <c r="AM1080" s="37"/>
      <c r="AN1080" s="52"/>
      <c r="AO1080" s="87"/>
      <c r="AQ1080" s="86"/>
      <c r="AR1080" s="37"/>
      <c r="AS1080" s="52"/>
      <c r="AT1080" s="87"/>
    </row>
    <row r="1081" spans="2:46" thickBot="1">
      <c r="B1081" s="113"/>
      <c r="C1081" s="324"/>
      <c r="D1081" s="346"/>
      <c r="E1081" s="326"/>
      <c r="F1081" s="321" t="str">
        <f t="shared" si="72"/>
        <v/>
      </c>
      <c r="G1081" s="334"/>
      <c r="H1081" s="331"/>
      <c r="I1081" s="107"/>
      <c r="J1081" s="108"/>
      <c r="K1081" s="109"/>
      <c r="L1081" s="108"/>
      <c r="O1081" s="86"/>
      <c r="P1081" s="57"/>
      <c r="Q1081" s="37"/>
      <c r="R1081" s="92" t="str">
        <f t="shared" si="73"/>
        <v/>
      </c>
      <c r="S1081" s="52"/>
      <c r="T1081" s="87"/>
      <c r="U1081" s="86"/>
      <c r="V1081" s="201"/>
      <c r="W1081" s="37"/>
      <c r="X1081" s="52"/>
      <c r="Y1081" s="87"/>
      <c r="AA1081" s="86"/>
      <c r="AB1081" s="57"/>
      <c r="AC1081" s="37"/>
      <c r="AD1081" s="52"/>
      <c r="AE1081" s="87"/>
      <c r="AG1081" s="86"/>
      <c r="AH1081" s="37"/>
      <c r="AI1081" s="52"/>
      <c r="AJ1081" s="87"/>
      <c r="AL1081" s="86"/>
      <c r="AM1081" s="37"/>
      <c r="AN1081" s="52"/>
      <c r="AO1081" s="87"/>
      <c r="AQ1081" s="86"/>
      <c r="AR1081" s="37"/>
      <c r="AS1081" s="52"/>
      <c r="AT1081" s="87"/>
    </row>
    <row r="1082" spans="2:46" thickBot="1">
      <c r="B1082" s="113"/>
      <c r="C1082" s="324"/>
      <c r="D1082" s="346"/>
      <c r="E1082" s="326"/>
      <c r="F1082" s="321" t="str">
        <f t="shared" si="72"/>
        <v/>
      </c>
      <c r="G1082" s="334"/>
      <c r="H1082" s="331"/>
      <c r="I1082" s="107"/>
      <c r="J1082" s="108"/>
      <c r="K1082" s="109"/>
      <c r="L1082" s="108"/>
      <c r="O1082" s="86"/>
      <c r="P1082" s="57"/>
      <c r="Q1082" s="37"/>
      <c r="R1082" s="92" t="str">
        <f t="shared" si="73"/>
        <v/>
      </c>
      <c r="S1082" s="52"/>
      <c r="T1082" s="87"/>
      <c r="U1082" s="86"/>
      <c r="V1082" s="201"/>
      <c r="W1082" s="37"/>
      <c r="X1082" s="52"/>
      <c r="Y1082" s="87"/>
      <c r="AA1082" s="86"/>
      <c r="AB1082" s="57"/>
      <c r="AC1082" s="37"/>
      <c r="AD1082" s="52"/>
      <c r="AE1082" s="87"/>
      <c r="AG1082" s="86"/>
      <c r="AH1082" s="37"/>
      <c r="AI1082" s="52"/>
      <c r="AJ1082" s="87"/>
      <c r="AL1082" s="86"/>
      <c r="AM1082" s="37"/>
      <c r="AN1082" s="52"/>
      <c r="AO1082" s="87"/>
      <c r="AQ1082" s="86"/>
      <c r="AR1082" s="37"/>
      <c r="AS1082" s="52"/>
      <c r="AT1082" s="87"/>
    </row>
    <row r="1083" spans="2:46" thickBot="1">
      <c r="B1083" s="113"/>
      <c r="C1083" s="324"/>
      <c r="D1083" s="346"/>
      <c r="E1083" s="326"/>
      <c r="F1083" s="321" t="str">
        <f t="shared" si="72"/>
        <v/>
      </c>
      <c r="G1083" s="334"/>
      <c r="H1083" s="331"/>
      <c r="I1083" s="107"/>
      <c r="J1083" s="108"/>
      <c r="K1083" s="109"/>
      <c r="L1083" s="108"/>
      <c r="O1083" s="86"/>
      <c r="P1083" s="57"/>
      <c r="Q1083" s="37"/>
      <c r="R1083" s="92" t="str">
        <f t="shared" si="73"/>
        <v/>
      </c>
      <c r="S1083" s="52"/>
      <c r="T1083" s="87"/>
      <c r="U1083" s="86"/>
      <c r="V1083" s="201"/>
      <c r="W1083" s="37"/>
      <c r="X1083" s="52"/>
      <c r="Y1083" s="87"/>
      <c r="AA1083" s="86"/>
      <c r="AB1083" s="57"/>
      <c r="AC1083" s="37"/>
      <c r="AD1083" s="52"/>
      <c r="AE1083" s="87"/>
      <c r="AG1083" s="86"/>
      <c r="AH1083" s="37"/>
      <c r="AI1083" s="52"/>
      <c r="AJ1083" s="87"/>
      <c r="AL1083" s="86"/>
      <c r="AM1083" s="37"/>
      <c r="AN1083" s="52"/>
      <c r="AO1083" s="87"/>
      <c r="AQ1083" s="86"/>
      <c r="AR1083" s="37"/>
      <c r="AS1083" s="52"/>
      <c r="AT1083" s="87"/>
    </row>
    <row r="1084" spans="2:46" thickBot="1">
      <c r="B1084" s="113"/>
      <c r="C1084" s="324"/>
      <c r="D1084" s="346"/>
      <c r="E1084" s="326"/>
      <c r="F1084" s="321" t="str">
        <f t="shared" si="72"/>
        <v/>
      </c>
      <c r="G1084" s="334"/>
      <c r="H1084" s="331"/>
      <c r="I1084" s="107"/>
      <c r="J1084" s="108"/>
      <c r="K1084" s="109"/>
      <c r="L1084" s="108"/>
      <c r="O1084" s="86"/>
      <c r="P1084" s="57"/>
      <c r="Q1084" s="37"/>
      <c r="R1084" s="92" t="str">
        <f t="shared" si="73"/>
        <v/>
      </c>
      <c r="S1084" s="52"/>
      <c r="T1084" s="87"/>
      <c r="U1084" s="86"/>
      <c r="V1084" s="201"/>
      <c r="W1084" s="37"/>
      <c r="X1084" s="52"/>
      <c r="Y1084" s="87"/>
      <c r="AA1084" s="86"/>
      <c r="AB1084" s="57"/>
      <c r="AC1084" s="37"/>
      <c r="AD1084" s="52"/>
      <c r="AE1084" s="87"/>
      <c r="AG1084" s="86"/>
      <c r="AH1084" s="37"/>
      <c r="AI1084" s="52"/>
      <c r="AJ1084" s="87"/>
      <c r="AL1084" s="86"/>
      <c r="AM1084" s="37"/>
      <c r="AN1084" s="52"/>
      <c r="AO1084" s="87"/>
      <c r="AQ1084" s="86"/>
      <c r="AR1084" s="37"/>
      <c r="AS1084" s="52"/>
      <c r="AT1084" s="87"/>
    </row>
    <row r="1085" spans="2:46" thickBot="1">
      <c r="B1085" s="113"/>
      <c r="C1085" s="324"/>
      <c r="D1085" s="346"/>
      <c r="E1085" s="326"/>
      <c r="F1085" s="321" t="str">
        <f t="shared" si="72"/>
        <v/>
      </c>
      <c r="G1085" s="334"/>
      <c r="H1085" s="331"/>
      <c r="I1085" s="107"/>
      <c r="J1085" s="108"/>
      <c r="K1085" s="109"/>
      <c r="L1085" s="108"/>
      <c r="O1085" s="86"/>
      <c r="P1085" s="57"/>
      <c r="Q1085" s="37"/>
      <c r="R1085" s="92" t="str">
        <f t="shared" si="73"/>
        <v/>
      </c>
      <c r="S1085" s="52"/>
      <c r="T1085" s="87"/>
      <c r="U1085" s="86"/>
      <c r="V1085" s="201"/>
      <c r="W1085" s="37"/>
      <c r="X1085" s="52"/>
      <c r="Y1085" s="87"/>
      <c r="AA1085" s="86"/>
      <c r="AB1085" s="57"/>
      <c r="AC1085" s="37"/>
      <c r="AD1085" s="52"/>
      <c r="AE1085" s="87"/>
      <c r="AG1085" s="86"/>
      <c r="AH1085" s="37"/>
      <c r="AI1085" s="52"/>
      <c r="AJ1085" s="87"/>
      <c r="AL1085" s="86"/>
      <c r="AM1085" s="37"/>
      <c r="AN1085" s="52"/>
      <c r="AO1085" s="87"/>
      <c r="AQ1085" s="86"/>
      <c r="AR1085" s="37"/>
      <c r="AS1085" s="52"/>
      <c r="AT1085" s="87"/>
    </row>
    <row r="1086" spans="2:46" thickBot="1">
      <c r="B1086" s="113"/>
      <c r="C1086" s="324"/>
      <c r="D1086" s="346"/>
      <c r="E1086" s="326"/>
      <c r="F1086" s="321" t="str">
        <f t="shared" si="72"/>
        <v/>
      </c>
      <c r="G1086" s="334"/>
      <c r="H1086" s="331"/>
      <c r="I1086" s="107"/>
      <c r="J1086" s="108"/>
      <c r="K1086" s="109"/>
      <c r="L1086" s="108"/>
      <c r="O1086" s="86"/>
      <c r="P1086" s="57"/>
      <c r="Q1086" s="37"/>
      <c r="R1086" s="92" t="str">
        <f t="shared" si="73"/>
        <v/>
      </c>
      <c r="S1086" s="52"/>
      <c r="T1086" s="87"/>
      <c r="U1086" s="86"/>
      <c r="V1086" s="201"/>
      <c r="W1086" s="37"/>
      <c r="X1086" s="52"/>
      <c r="Y1086" s="87"/>
      <c r="AA1086" s="86"/>
      <c r="AB1086" s="57"/>
      <c r="AC1086" s="37"/>
      <c r="AD1086" s="52"/>
      <c r="AE1086" s="87"/>
      <c r="AG1086" s="86"/>
      <c r="AH1086" s="37"/>
      <c r="AI1086" s="52"/>
      <c r="AJ1086" s="87"/>
      <c r="AL1086" s="86"/>
      <c r="AM1086" s="37"/>
      <c r="AN1086" s="52"/>
      <c r="AO1086" s="87"/>
      <c r="AQ1086" s="86"/>
      <c r="AR1086" s="37"/>
      <c r="AS1086" s="52"/>
      <c r="AT1086" s="87"/>
    </row>
    <row r="1087" spans="2:46" thickBot="1">
      <c r="B1087" s="113"/>
      <c r="C1087" s="324"/>
      <c r="D1087" s="346"/>
      <c r="E1087" s="326"/>
      <c r="F1087" s="321" t="str">
        <f t="shared" si="72"/>
        <v/>
      </c>
      <c r="G1087" s="334"/>
      <c r="H1087" s="331"/>
      <c r="I1087" s="107"/>
      <c r="J1087" s="108"/>
      <c r="K1087" s="109"/>
      <c r="L1087" s="108"/>
      <c r="O1087" s="86"/>
      <c r="P1087" s="57"/>
      <c r="Q1087" s="37"/>
      <c r="R1087" s="92" t="str">
        <f t="shared" si="73"/>
        <v/>
      </c>
      <c r="S1087" s="52"/>
      <c r="T1087" s="87"/>
      <c r="U1087" s="86"/>
      <c r="V1087" s="201"/>
      <c r="W1087" s="37"/>
      <c r="X1087" s="52"/>
      <c r="Y1087" s="87"/>
      <c r="AA1087" s="86"/>
      <c r="AB1087" s="57"/>
      <c r="AC1087" s="37"/>
      <c r="AD1087" s="52"/>
      <c r="AE1087" s="87"/>
      <c r="AG1087" s="86"/>
      <c r="AH1087" s="37"/>
      <c r="AI1087" s="52"/>
      <c r="AJ1087" s="87"/>
      <c r="AL1087" s="86"/>
      <c r="AM1087" s="37"/>
      <c r="AN1087" s="52"/>
      <c r="AO1087" s="87"/>
      <c r="AQ1087" s="86"/>
      <c r="AR1087" s="37"/>
      <c r="AS1087" s="52"/>
      <c r="AT1087" s="87"/>
    </row>
    <row r="1088" spans="2:46" thickBot="1">
      <c r="B1088" s="113"/>
      <c r="C1088" s="324"/>
      <c r="D1088" s="346"/>
      <c r="E1088" s="326"/>
      <c r="F1088" s="321" t="str">
        <f t="shared" si="72"/>
        <v/>
      </c>
      <c r="G1088" s="334"/>
      <c r="H1088" s="331"/>
      <c r="I1088" s="107"/>
      <c r="J1088" s="108"/>
      <c r="K1088" s="109"/>
      <c r="L1088" s="108"/>
      <c r="O1088" s="86"/>
      <c r="P1088" s="57"/>
      <c r="Q1088" s="37"/>
      <c r="R1088" s="92" t="str">
        <f t="shared" si="73"/>
        <v/>
      </c>
      <c r="S1088" s="52"/>
      <c r="T1088" s="87"/>
      <c r="U1088" s="86"/>
      <c r="V1088" s="201"/>
      <c r="W1088" s="37"/>
      <c r="X1088" s="52"/>
      <c r="Y1088" s="87"/>
      <c r="AA1088" s="86"/>
      <c r="AB1088" s="57"/>
      <c r="AC1088" s="37"/>
      <c r="AD1088" s="52"/>
      <c r="AE1088" s="87"/>
      <c r="AG1088" s="86"/>
      <c r="AH1088" s="37"/>
      <c r="AI1088" s="52"/>
      <c r="AJ1088" s="87"/>
      <c r="AL1088" s="86"/>
      <c r="AM1088" s="37"/>
      <c r="AN1088" s="52"/>
      <c r="AO1088" s="87"/>
      <c r="AQ1088" s="86"/>
      <c r="AR1088" s="37"/>
      <c r="AS1088" s="52"/>
      <c r="AT1088" s="87"/>
    </row>
    <row r="1089" spans="2:46" thickBot="1">
      <c r="B1089" s="113"/>
      <c r="C1089" s="324"/>
      <c r="D1089" s="346"/>
      <c r="E1089" s="326"/>
      <c r="F1089" s="321" t="str">
        <f t="shared" si="72"/>
        <v/>
      </c>
      <c r="G1089" s="334"/>
      <c r="H1089" s="331"/>
      <c r="I1089" s="107"/>
      <c r="J1089" s="108"/>
      <c r="K1089" s="109"/>
      <c r="L1089" s="108"/>
      <c r="O1089" s="86"/>
      <c r="P1089" s="57"/>
      <c r="Q1089" s="37"/>
      <c r="R1089" s="92" t="str">
        <f t="shared" si="73"/>
        <v/>
      </c>
      <c r="S1089" s="52"/>
      <c r="T1089" s="87"/>
      <c r="U1089" s="86"/>
      <c r="V1089" s="201"/>
      <c r="W1089" s="37"/>
      <c r="X1089" s="52"/>
      <c r="Y1089" s="87"/>
      <c r="AA1089" s="86"/>
      <c r="AB1089" s="57"/>
      <c r="AC1089" s="37"/>
      <c r="AD1089" s="52"/>
      <c r="AE1089" s="87"/>
      <c r="AG1089" s="86"/>
      <c r="AH1089" s="37"/>
      <c r="AI1089" s="52"/>
      <c r="AJ1089" s="87"/>
      <c r="AL1089" s="86"/>
      <c r="AM1089" s="37"/>
      <c r="AN1089" s="52"/>
      <c r="AO1089" s="87"/>
      <c r="AQ1089" s="86"/>
      <c r="AR1089" s="37"/>
      <c r="AS1089" s="52"/>
      <c r="AT1089" s="87"/>
    </row>
    <row r="1090" spans="2:46" thickBot="1">
      <c r="B1090" s="113"/>
      <c r="C1090" s="324"/>
      <c r="D1090" s="346"/>
      <c r="E1090" s="326"/>
      <c r="F1090" s="321" t="str">
        <f t="shared" si="72"/>
        <v/>
      </c>
      <c r="G1090" s="334"/>
      <c r="H1090" s="331"/>
      <c r="I1090" s="107"/>
      <c r="J1090" s="108"/>
      <c r="K1090" s="109"/>
      <c r="L1090" s="108"/>
      <c r="O1090" s="86"/>
      <c r="P1090" s="57"/>
      <c r="Q1090" s="37"/>
      <c r="R1090" s="92" t="str">
        <f t="shared" si="73"/>
        <v/>
      </c>
      <c r="S1090" s="52"/>
      <c r="T1090" s="87"/>
      <c r="U1090" s="86"/>
      <c r="V1090" s="201"/>
      <c r="W1090" s="37"/>
      <c r="X1090" s="52"/>
      <c r="Y1090" s="87"/>
      <c r="AA1090" s="86"/>
      <c r="AB1090" s="57"/>
      <c r="AC1090" s="37"/>
      <c r="AD1090" s="52"/>
      <c r="AE1090" s="87"/>
      <c r="AG1090" s="86"/>
      <c r="AH1090" s="37"/>
      <c r="AI1090" s="52"/>
      <c r="AJ1090" s="87"/>
      <c r="AL1090" s="86"/>
      <c r="AM1090" s="37"/>
      <c r="AN1090" s="52"/>
      <c r="AO1090" s="87"/>
      <c r="AQ1090" s="86"/>
      <c r="AR1090" s="37"/>
      <c r="AS1090" s="52"/>
      <c r="AT1090" s="87"/>
    </row>
    <row r="1091" spans="2:46" thickBot="1">
      <c r="B1091" s="113"/>
      <c r="C1091" s="324"/>
      <c r="D1091" s="346"/>
      <c r="E1091" s="326"/>
      <c r="F1091" s="321" t="str">
        <f t="shared" si="72"/>
        <v/>
      </c>
      <c r="G1091" s="334"/>
      <c r="H1091" s="331"/>
      <c r="I1091" s="107"/>
      <c r="J1091" s="108"/>
      <c r="K1091" s="109"/>
      <c r="L1091" s="108"/>
      <c r="O1091" s="86"/>
      <c r="P1091" s="57"/>
      <c r="Q1091" s="37"/>
      <c r="R1091" s="92" t="str">
        <f t="shared" si="73"/>
        <v/>
      </c>
      <c r="S1091" s="52"/>
      <c r="T1091" s="87"/>
      <c r="U1091" s="86"/>
      <c r="V1091" s="201"/>
      <c r="W1091" s="37"/>
      <c r="X1091" s="52"/>
      <c r="Y1091" s="87"/>
      <c r="AA1091" s="86"/>
      <c r="AB1091" s="57"/>
      <c r="AC1091" s="37"/>
      <c r="AD1091" s="52"/>
      <c r="AE1091" s="87"/>
      <c r="AG1091" s="86"/>
      <c r="AH1091" s="37"/>
      <c r="AI1091" s="52"/>
      <c r="AJ1091" s="87"/>
      <c r="AL1091" s="86"/>
      <c r="AM1091" s="37"/>
      <c r="AN1091" s="52"/>
      <c r="AO1091" s="87"/>
      <c r="AQ1091" s="86"/>
      <c r="AR1091" s="37"/>
      <c r="AS1091" s="52"/>
      <c r="AT1091" s="87"/>
    </row>
    <row r="1092" spans="2:46" thickBot="1">
      <c r="B1092" s="113"/>
      <c r="C1092" s="324"/>
      <c r="D1092" s="346"/>
      <c r="E1092" s="326"/>
      <c r="F1092" s="321" t="str">
        <f t="shared" si="72"/>
        <v/>
      </c>
      <c r="G1092" s="334"/>
      <c r="H1092" s="331"/>
      <c r="I1092" s="107"/>
      <c r="J1092" s="108"/>
      <c r="K1092" s="109"/>
      <c r="L1092" s="108"/>
      <c r="O1092" s="86"/>
      <c r="P1092" s="57"/>
      <c r="Q1092" s="37"/>
      <c r="R1092" s="92" t="str">
        <f t="shared" si="73"/>
        <v/>
      </c>
      <c r="S1092" s="52"/>
      <c r="T1092" s="87"/>
      <c r="U1092" s="86"/>
      <c r="V1092" s="201"/>
      <c r="W1092" s="37"/>
      <c r="X1092" s="52"/>
      <c r="Y1092" s="87"/>
      <c r="AA1092" s="86"/>
      <c r="AB1092" s="57"/>
      <c r="AC1092" s="37"/>
      <c r="AD1092" s="52"/>
      <c r="AE1092" s="87"/>
      <c r="AG1092" s="86"/>
      <c r="AH1092" s="37"/>
      <c r="AI1092" s="52"/>
      <c r="AJ1092" s="87"/>
      <c r="AL1092" s="86"/>
      <c r="AM1092" s="37"/>
      <c r="AN1092" s="52"/>
      <c r="AO1092" s="87"/>
      <c r="AQ1092" s="86"/>
      <c r="AR1092" s="37"/>
      <c r="AS1092" s="52"/>
      <c r="AT1092" s="87"/>
    </row>
    <row r="1093" spans="2:46" thickBot="1">
      <c r="B1093" s="113"/>
      <c r="C1093" s="324"/>
      <c r="D1093" s="346"/>
      <c r="E1093" s="326"/>
      <c r="F1093" s="321" t="str">
        <f t="shared" si="72"/>
        <v/>
      </c>
      <c r="G1093" s="334"/>
      <c r="H1093" s="331"/>
      <c r="I1093" s="107"/>
      <c r="J1093" s="108"/>
      <c r="K1093" s="109"/>
      <c r="L1093" s="108"/>
      <c r="O1093" s="86"/>
      <c r="P1093" s="57"/>
      <c r="Q1093" s="37"/>
      <c r="R1093" s="92" t="str">
        <f t="shared" si="73"/>
        <v/>
      </c>
      <c r="S1093" s="52"/>
      <c r="T1093" s="87"/>
      <c r="U1093" s="86"/>
      <c r="V1093" s="201"/>
      <c r="W1093" s="37"/>
      <c r="X1093" s="52"/>
      <c r="Y1093" s="87"/>
      <c r="AA1093" s="86"/>
      <c r="AB1093" s="57"/>
      <c r="AC1093" s="37"/>
      <c r="AD1093" s="52"/>
      <c r="AE1093" s="87"/>
      <c r="AG1093" s="86"/>
      <c r="AH1093" s="37"/>
      <c r="AI1093" s="52"/>
      <c r="AJ1093" s="87"/>
      <c r="AL1093" s="86"/>
      <c r="AM1093" s="37"/>
      <c r="AN1093" s="52"/>
      <c r="AO1093" s="87"/>
      <c r="AQ1093" s="86"/>
      <c r="AR1093" s="37"/>
      <c r="AS1093" s="52"/>
      <c r="AT1093" s="87"/>
    </row>
    <row r="1094" spans="2:46" thickBot="1">
      <c r="B1094" s="113"/>
      <c r="C1094" s="324"/>
      <c r="D1094" s="346"/>
      <c r="E1094" s="326"/>
      <c r="F1094" s="321" t="str">
        <f t="shared" ref="F1094:F1101" si="74">IF(E1094="","",ROUND(G1094*(1+$F$2),2))</f>
        <v/>
      </c>
      <c r="G1094" s="334"/>
      <c r="H1094" s="331"/>
      <c r="I1094" s="107"/>
      <c r="J1094" s="108"/>
      <c r="K1094" s="109"/>
      <c r="L1094" s="108"/>
      <c r="O1094" s="86"/>
      <c r="P1094" s="57"/>
      <c r="Q1094" s="37"/>
      <c r="R1094" s="92" t="str">
        <f t="shared" si="73"/>
        <v/>
      </c>
      <c r="S1094" s="52"/>
      <c r="T1094" s="87"/>
      <c r="U1094" s="86"/>
      <c r="V1094" s="201"/>
      <c r="W1094" s="37"/>
      <c r="X1094" s="52"/>
      <c r="Y1094" s="87"/>
      <c r="AA1094" s="86"/>
      <c r="AB1094" s="57"/>
      <c r="AC1094" s="37"/>
      <c r="AD1094" s="52"/>
      <c r="AE1094" s="87"/>
      <c r="AG1094" s="86"/>
      <c r="AH1094" s="37"/>
      <c r="AI1094" s="52"/>
      <c r="AJ1094" s="87"/>
      <c r="AL1094" s="86"/>
      <c r="AM1094" s="37"/>
      <c r="AN1094" s="52"/>
      <c r="AO1094" s="87"/>
      <c r="AQ1094" s="86"/>
      <c r="AR1094" s="37"/>
      <c r="AS1094" s="52"/>
      <c r="AT1094" s="87"/>
    </row>
    <row r="1095" spans="2:46" thickBot="1">
      <c r="B1095" s="113"/>
      <c r="C1095" s="324"/>
      <c r="D1095" s="346"/>
      <c r="E1095" s="326"/>
      <c r="F1095" s="321" t="str">
        <f t="shared" si="74"/>
        <v/>
      </c>
      <c r="G1095" s="334"/>
      <c r="H1095" s="331"/>
      <c r="I1095" s="107"/>
      <c r="J1095" s="108"/>
      <c r="K1095" s="109"/>
      <c r="L1095" s="108"/>
      <c r="O1095" s="86"/>
      <c r="P1095" s="57"/>
      <c r="Q1095" s="37"/>
      <c r="R1095" s="92" t="str">
        <f t="shared" si="73"/>
        <v/>
      </c>
      <c r="S1095" s="52"/>
      <c r="T1095" s="87"/>
      <c r="U1095" s="86"/>
      <c r="V1095" s="201"/>
      <c r="W1095" s="37"/>
      <c r="X1095" s="52"/>
      <c r="Y1095" s="87"/>
      <c r="AA1095" s="86"/>
      <c r="AB1095" s="57"/>
      <c r="AC1095" s="37"/>
      <c r="AD1095" s="52"/>
      <c r="AE1095" s="87"/>
      <c r="AG1095" s="86"/>
      <c r="AH1095" s="37"/>
      <c r="AI1095" s="52"/>
      <c r="AJ1095" s="87"/>
      <c r="AL1095" s="86"/>
      <c r="AM1095" s="37"/>
      <c r="AN1095" s="52"/>
      <c r="AO1095" s="87"/>
      <c r="AQ1095" s="86"/>
      <c r="AR1095" s="37"/>
      <c r="AS1095" s="52"/>
      <c r="AT1095" s="87"/>
    </row>
    <row r="1096" spans="2:46" thickBot="1">
      <c r="B1096" s="113"/>
      <c r="C1096" s="324"/>
      <c r="D1096" s="346"/>
      <c r="E1096" s="326"/>
      <c r="F1096" s="321" t="str">
        <f t="shared" si="74"/>
        <v/>
      </c>
      <c r="G1096" s="334"/>
      <c r="H1096" s="331"/>
      <c r="I1096" s="107"/>
      <c r="J1096" s="108"/>
      <c r="K1096" s="109"/>
      <c r="L1096" s="108"/>
      <c r="O1096" s="86"/>
      <c r="P1096" s="57"/>
      <c r="Q1096" s="37"/>
      <c r="R1096" s="92" t="str">
        <f t="shared" si="73"/>
        <v/>
      </c>
      <c r="S1096" s="52"/>
      <c r="T1096" s="87"/>
      <c r="U1096" s="86"/>
      <c r="V1096" s="201"/>
      <c r="W1096" s="37"/>
      <c r="X1096" s="52"/>
      <c r="Y1096" s="87"/>
      <c r="AA1096" s="86"/>
      <c r="AB1096" s="57"/>
      <c r="AC1096" s="37"/>
      <c r="AD1096" s="52"/>
      <c r="AE1096" s="87"/>
      <c r="AG1096" s="86"/>
      <c r="AH1096" s="37"/>
      <c r="AI1096" s="52"/>
      <c r="AJ1096" s="87"/>
      <c r="AL1096" s="86"/>
      <c r="AM1096" s="37"/>
      <c r="AN1096" s="52"/>
      <c r="AO1096" s="87"/>
      <c r="AQ1096" s="86"/>
      <c r="AR1096" s="37"/>
      <c r="AS1096" s="52"/>
      <c r="AT1096" s="87"/>
    </row>
    <row r="1097" spans="2:46" thickBot="1">
      <c r="B1097" s="113"/>
      <c r="C1097" s="324"/>
      <c r="D1097" s="346"/>
      <c r="E1097" s="326"/>
      <c r="F1097" s="321" t="str">
        <f t="shared" si="74"/>
        <v/>
      </c>
      <c r="G1097" s="334"/>
      <c r="H1097" s="331"/>
      <c r="I1097" s="107"/>
      <c r="J1097" s="108"/>
      <c r="K1097" s="109"/>
      <c r="L1097" s="108"/>
      <c r="O1097" s="86"/>
      <c r="P1097" s="57"/>
      <c r="Q1097" s="37"/>
      <c r="R1097" s="92" t="str">
        <f t="shared" si="73"/>
        <v/>
      </c>
      <c r="S1097" s="52"/>
      <c r="T1097" s="87"/>
      <c r="U1097" s="86"/>
      <c r="V1097" s="201"/>
      <c r="W1097" s="37"/>
      <c r="X1097" s="52"/>
      <c r="Y1097" s="87"/>
      <c r="AA1097" s="86"/>
      <c r="AB1097" s="57"/>
      <c r="AC1097" s="37"/>
      <c r="AD1097" s="52"/>
      <c r="AE1097" s="87"/>
      <c r="AG1097" s="86"/>
      <c r="AH1097" s="37"/>
      <c r="AI1097" s="52"/>
      <c r="AJ1097" s="87"/>
      <c r="AL1097" s="86"/>
      <c r="AM1097" s="37"/>
      <c r="AN1097" s="52"/>
      <c r="AO1097" s="87"/>
      <c r="AQ1097" s="86"/>
      <c r="AR1097" s="37"/>
      <c r="AS1097" s="52"/>
      <c r="AT1097" s="87"/>
    </row>
    <row r="1098" spans="2:46" thickBot="1">
      <c r="B1098" s="113"/>
      <c r="C1098" s="324"/>
      <c r="D1098" s="346"/>
      <c r="E1098" s="326"/>
      <c r="F1098" s="321" t="str">
        <f t="shared" si="74"/>
        <v/>
      </c>
      <c r="G1098" s="334"/>
      <c r="H1098" s="331"/>
      <c r="I1098" s="107"/>
      <c r="J1098" s="108"/>
      <c r="K1098" s="109"/>
      <c r="L1098" s="108"/>
      <c r="O1098" s="86"/>
      <c r="P1098" s="57"/>
      <c r="Q1098" s="37"/>
      <c r="R1098" s="92" t="str">
        <f t="shared" si="73"/>
        <v/>
      </c>
      <c r="S1098" s="52"/>
      <c r="T1098" s="87"/>
      <c r="U1098" s="86"/>
      <c r="V1098" s="201"/>
      <c r="W1098" s="37"/>
      <c r="X1098" s="52"/>
      <c r="Y1098" s="87"/>
      <c r="AA1098" s="86"/>
      <c r="AB1098" s="57"/>
      <c r="AC1098" s="37"/>
      <c r="AD1098" s="52"/>
      <c r="AE1098" s="87"/>
      <c r="AG1098" s="86"/>
      <c r="AH1098" s="37"/>
      <c r="AI1098" s="52"/>
      <c r="AJ1098" s="87"/>
      <c r="AL1098" s="86"/>
      <c r="AM1098" s="37"/>
      <c r="AN1098" s="52"/>
      <c r="AO1098" s="87"/>
      <c r="AQ1098" s="86"/>
      <c r="AR1098" s="37"/>
      <c r="AS1098" s="52"/>
      <c r="AT1098" s="87"/>
    </row>
    <row r="1099" spans="2:46" thickBot="1">
      <c r="B1099" s="113"/>
      <c r="C1099" s="324"/>
      <c r="D1099" s="346"/>
      <c r="E1099" s="326"/>
      <c r="F1099" s="321" t="str">
        <f t="shared" si="74"/>
        <v/>
      </c>
      <c r="G1099" s="334"/>
      <c r="H1099" s="331"/>
      <c r="I1099" s="107"/>
      <c r="J1099" s="108"/>
      <c r="K1099" s="109"/>
      <c r="L1099" s="108"/>
      <c r="O1099" s="86"/>
      <c r="P1099" s="57"/>
      <c r="Q1099" s="37"/>
      <c r="R1099" s="92" t="str">
        <f t="shared" si="73"/>
        <v/>
      </c>
      <c r="S1099" s="52"/>
      <c r="T1099" s="87"/>
      <c r="U1099" s="86"/>
      <c r="V1099" s="201"/>
      <c r="W1099" s="37"/>
      <c r="X1099" s="52"/>
      <c r="Y1099" s="87"/>
      <c r="AA1099" s="86"/>
      <c r="AB1099" s="57"/>
      <c r="AC1099" s="37"/>
      <c r="AD1099" s="52"/>
      <c r="AE1099" s="87"/>
      <c r="AG1099" s="86"/>
      <c r="AH1099" s="37"/>
      <c r="AI1099" s="52"/>
      <c r="AJ1099" s="87"/>
      <c r="AL1099" s="86"/>
      <c r="AM1099" s="37"/>
      <c r="AN1099" s="52"/>
      <c r="AO1099" s="87"/>
      <c r="AQ1099" s="86"/>
      <c r="AR1099" s="37"/>
      <c r="AS1099" s="52"/>
      <c r="AT1099" s="87"/>
    </row>
    <row r="1100" spans="2:46" thickBot="1">
      <c r="B1100" s="113"/>
      <c r="C1100" s="324"/>
      <c r="D1100" s="346"/>
      <c r="E1100" s="326"/>
      <c r="F1100" s="321" t="str">
        <f t="shared" si="74"/>
        <v/>
      </c>
      <c r="G1100" s="334"/>
      <c r="H1100" s="331"/>
      <c r="I1100" s="107"/>
      <c r="J1100" s="108"/>
      <c r="K1100" s="109"/>
      <c r="L1100" s="108"/>
      <c r="O1100" s="86"/>
      <c r="P1100" s="57"/>
      <c r="Q1100" s="37"/>
      <c r="R1100" s="92" t="str">
        <f t="shared" si="73"/>
        <v/>
      </c>
      <c r="S1100" s="52"/>
      <c r="T1100" s="87"/>
      <c r="U1100" s="86"/>
      <c r="V1100" s="201"/>
      <c r="W1100" s="37"/>
      <c r="X1100" s="52"/>
      <c r="Y1100" s="87"/>
      <c r="AA1100" s="86"/>
      <c r="AB1100" s="57"/>
      <c r="AC1100" s="37"/>
      <c r="AD1100" s="52"/>
      <c r="AE1100" s="87"/>
      <c r="AG1100" s="86"/>
      <c r="AH1100" s="37"/>
      <c r="AI1100" s="52"/>
      <c r="AJ1100" s="87"/>
      <c r="AL1100" s="86"/>
      <c r="AM1100" s="37"/>
      <c r="AN1100" s="52"/>
      <c r="AO1100" s="87"/>
      <c r="AQ1100" s="86"/>
      <c r="AR1100" s="37"/>
      <c r="AS1100" s="52"/>
      <c r="AT1100" s="87"/>
    </row>
    <row r="1101" spans="2:46" thickBot="1">
      <c r="B1101" s="113"/>
      <c r="C1101" s="324"/>
      <c r="D1101" s="346"/>
      <c r="E1101" s="326"/>
      <c r="F1101" s="321" t="str">
        <f t="shared" si="74"/>
        <v/>
      </c>
      <c r="G1101" s="334"/>
      <c r="H1101" s="331"/>
      <c r="I1101" s="107"/>
      <c r="J1101" s="108"/>
      <c r="K1101" s="109"/>
      <c r="L1101" s="108"/>
      <c r="O1101" s="86"/>
      <c r="P1101" s="57"/>
      <c r="Q1101" s="37"/>
      <c r="R1101" s="92" t="str">
        <f t="shared" si="73"/>
        <v/>
      </c>
      <c r="S1101" s="52"/>
      <c r="T1101" s="87"/>
      <c r="U1101" s="86"/>
      <c r="V1101" s="201"/>
      <c r="W1101" s="37"/>
      <c r="X1101" s="52"/>
      <c r="Y1101" s="87"/>
      <c r="AA1101" s="86"/>
      <c r="AB1101" s="57"/>
      <c r="AC1101" s="37"/>
      <c r="AD1101" s="52"/>
      <c r="AE1101" s="87"/>
      <c r="AG1101" s="86"/>
      <c r="AH1101" s="37"/>
      <c r="AI1101" s="52"/>
      <c r="AJ1101" s="87"/>
      <c r="AL1101" s="86"/>
      <c r="AM1101" s="37"/>
      <c r="AN1101" s="52"/>
      <c r="AO1101" s="87"/>
      <c r="AQ1101" s="86"/>
      <c r="AR1101" s="37"/>
      <c r="AS1101" s="52"/>
      <c r="AT1101" s="87"/>
    </row>
    <row r="1102" spans="2:46" thickBot="1">
      <c r="B1102" s="113"/>
    </row>
  </sheetData>
  <sheetProtection formatColumns="0"/>
  <protectedRanges>
    <protectedRange sqref="O1:T20 O32:T55 O21:S31 O56:S56 S84:T84 O95:R95 O57:T79 O80:S82 T80:T83 T89 C1:H2 C181:H1048576 O120:T1048576 AA1:AE1048576" name="MATERIAUX"/>
    <protectedRange sqref="AG1:AJ1048576" name="MATERIAUX_1"/>
    <protectedRange sqref="T21:T30" name="MATERIAUX_2"/>
    <protectedRange sqref="T56" name="MATERIAUX_4"/>
    <protectedRange sqref="O83:S83 O84:R84" name="MATERIAUX_6"/>
    <protectedRange sqref="O85:S87 O92:R94 T92:T95" name="MATERIAUX_5"/>
    <protectedRange sqref="O88:S91 S92" name="MATERIAUX_7_1_1"/>
    <protectedRange sqref="T85:T87" name="MATERIAUX_2_1"/>
    <protectedRange sqref="T88 T90:T91" name="MATERIAUX_9_1_1_1"/>
    <protectedRange sqref="Y21:Y30" name="MATERIAUX_2_2"/>
    <protectedRange sqref="X92 V88:X91" name="MATERIAUX_7_1_1_4"/>
    <protectedRange sqref="Y85:Y87" name="MATERIAUX_2_1_2"/>
    <protectedRange sqref="Y88 Y90:Y91" name="MATERIAUX_9_1_1_1_1"/>
    <protectedRange sqref="X93:X95" name="MATERIAUX_6_1_2"/>
    <protectedRange sqref="S118:S119" name="MATERIAUX_8_1"/>
    <protectedRange sqref="O118:R119 T118:T119" name="MATERIAUX_2_3"/>
    <protectedRange sqref="C156:H180 C148:E149 C150:F150 H148:H150 F151:F152 C153:F155 H153:H155" name="MATERIAUX_3"/>
    <protectedRange sqref="G85 C136:H136 C121:F121 C131:F132 C122:G122 C128:F129 H128:H129 F133:F135 F137 C147:G147 F148:G149 D139:D144 H131:H132 C3:G38 C39:H39 C40:G83 G150:G155 C96:E97" name="MATERIAUX_7_1"/>
    <protectedRange sqref="C84:G84 C85:F85" name="MATERIAUX_6_1_1"/>
    <protectedRange sqref="C86:G88 C130:F130 C93:E95 F89:F97" name="MATERIAUX_5_1_1"/>
    <protectedRange sqref="C89:E92 G89:G93" name="MATERIAUX_7_1_1_1_1"/>
    <protectedRange sqref="G119:G121" name="MATERIAUX_8_1_1_1"/>
    <protectedRange sqref="C119:F120" name="MATERIAUX_2_3_1_1"/>
    <protectedRange sqref="H3:H20 H58:H85 H90 H147 H32:H38 H40:H56" name="MATERIAUX_10_2_1"/>
    <protectedRange sqref="H21:H30" name="MATERIAUX_2_5_1_1"/>
    <protectedRange sqref="H57" name="MATERIAUX_4_3_1_1"/>
    <protectedRange sqref="H130 H93:H97" name="MATERIAUX_5_4_1_1"/>
    <protectedRange sqref="H86:H88" name="MATERIAUX_2_1_3_1_1"/>
    <protectedRange sqref="H89 H91:H92" name="MATERIAUX_9_1_1_1_3_1_1"/>
    <protectedRange sqref="H119:H120" name="MATERIAUX_2_3_2_1_1"/>
    <protectedRange sqref="H121:H122" name="MATERIAUX_9_2_1_1"/>
    <protectedRange sqref="D123:D127 F123:H124 F127:H127 F125:F126 H125:H126 G128:G129" name="MATERIAUX_9_1_1"/>
    <protectedRange sqref="C133:E135 C137:E137" name="MATERIAUX_5_1_1_1_1_1"/>
    <protectedRange sqref="H133:H135 H137" name="MATERIAUX_5_4_1_2_1_1"/>
    <protectedRange sqref="C138:H138 F139:G144" name="MATERIAUX_11_1_1"/>
    <protectedRange sqref="C144" name="MATERIAUX_1_1_1_1"/>
    <protectedRange sqref="H139:H144" name="MATERIAUX_1_4_1_1"/>
    <protectedRange sqref="E139:E144" name="MATERIAUX_1_5_1_1"/>
    <protectedRange sqref="C145:H146" name="MATERIAUX_3_1_1"/>
    <protectedRange sqref="C151:E152" name="MATERIAUX_3_1"/>
    <protectedRange sqref="H151:H152" name="MATERIAUX_3_2"/>
  </protectedRanges>
  <autoFilter ref="A1:AT1101" xr:uid="{E4757F10-B596-4616-8E86-E54317A599CC}"/>
  <customSheetViews>
    <customSheetView guid="{4C05D42E-3E5C-4FA0-B17F-90B6C7E70693}" hiddenColumns="1">
      <pane ySplit="2" topLeftCell="A3" activePane="bottomLeft" state="frozen"/>
      <selection pane="bottomLeft" activeCell="D52" sqref="D52"/>
      <pageMargins left="0.7" right="0.7" top="0.75" bottom="0.75" header="0.3" footer="0.3"/>
    </customSheetView>
  </customSheetViews>
  <conditionalFormatting sqref="N1:N1048576 Z1:Z1048576 AF1:AF1048576 AK1:AK1048576 AP1:AP1048576">
    <cfRule type="cellIs" dxfId="10" priority="9" operator="between">
      <formula>-1%</formula>
      <formula>1%</formula>
    </cfRule>
    <cfRule type="colorScale" priority="10">
      <colorScale>
        <cfvo type="num" val="-10%"/>
        <cfvo type="num" val="0"/>
        <cfvo type="num" val="10%"/>
        <color theme="9"/>
        <color theme="0"/>
        <color rgb="FFDF8181"/>
      </colorScale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32068E-9B3D-4F1E-82D5-8E59082728CD}">
  <sheetPr>
    <tabColor theme="9"/>
  </sheetPr>
  <dimension ref="A1:H1101"/>
  <sheetViews>
    <sheetView showGridLines="0" topLeftCell="A16" workbookViewId="0">
      <selection activeCell="B34" sqref="B34"/>
    </sheetView>
  </sheetViews>
  <sheetFormatPr defaultColWidth="11.5546875" defaultRowHeight="14.4" outlineLevelCol="1"/>
  <cols>
    <col min="1" max="1" width="20.6640625" bestFit="1" customWidth="1"/>
    <col min="2" max="2" width="12.44140625" bestFit="1" customWidth="1"/>
    <col min="4" max="4" width="12.44140625" bestFit="1" customWidth="1"/>
    <col min="7" max="7" width="21" hidden="1" customWidth="1" outlineLevel="1"/>
    <col min="8" max="8" width="11.44140625" collapsed="1"/>
  </cols>
  <sheetData>
    <row r="1" spans="1:7">
      <c r="A1" s="55"/>
      <c r="B1" s="416" t="s">
        <v>221</v>
      </c>
      <c r="C1" s="416"/>
      <c r="D1" s="416" t="s">
        <v>189</v>
      </c>
      <c r="E1" s="416"/>
    </row>
    <row r="2" spans="1:7">
      <c r="A2" s="55"/>
      <c r="B2" s="417">
        <f>GESTION!B2*2</f>
        <v>44</v>
      </c>
      <c r="C2" s="417"/>
      <c r="D2" s="417">
        <f>GESTION!B2</f>
        <v>22</v>
      </c>
      <c r="E2" s="417"/>
    </row>
    <row r="3" spans="1:7">
      <c r="A3" s="41" t="s">
        <v>165</v>
      </c>
      <c r="B3" s="41" t="s">
        <v>190</v>
      </c>
      <c r="C3" s="41" t="s">
        <v>72</v>
      </c>
      <c r="D3" s="41" t="s">
        <v>190</v>
      </c>
      <c r="E3" s="41" t="s">
        <v>72</v>
      </c>
      <c r="G3" s="53" t="s">
        <v>166</v>
      </c>
    </row>
    <row r="4" spans="1:7">
      <c r="A4" s="46" t="s">
        <v>52</v>
      </c>
      <c r="B4" s="117">
        <v>5</v>
      </c>
      <c r="C4" s="118">
        <f>ROUNDUP(B4/B$2,3)</f>
        <v>0.114</v>
      </c>
      <c r="D4" s="117">
        <v>2.2999999999999998</v>
      </c>
      <c r="E4" s="118">
        <f>ROUNDUP(D4/D$2,3)</f>
        <v>0.105</v>
      </c>
      <c r="F4">
        <f>E4*60</f>
        <v>6.3</v>
      </c>
      <c r="G4" t="str" cm="1">
        <f t="array" ref="G4:G33">_xlfn.UNIQUE(_xlfn._xlws.FILTER(A4:A1098,NOT(ISBLANK(A4:A1098))))</f>
        <v>mur structure</v>
      </c>
    </row>
    <row r="5" spans="1:7">
      <c r="A5" s="46" t="s">
        <v>53</v>
      </c>
      <c r="B5" s="117">
        <v>0.6</v>
      </c>
      <c r="C5" s="118">
        <f t="shared" ref="C5:C14" si="0">ROUNDUP(B5/B$2,3)</f>
        <v>1.3999999999999999E-2</v>
      </c>
      <c r="D5" s="117">
        <v>1.25</v>
      </c>
      <c r="E5" s="118">
        <f t="shared" ref="E5:E14" si="1">ROUNDUP(D5/D$2,3)</f>
        <v>5.7000000000000002E-2</v>
      </c>
      <c r="F5">
        <f t="shared" ref="F5:F30" si="2">E5*60</f>
        <v>3.42</v>
      </c>
      <c r="G5" t="str">
        <v>Mur colle</v>
      </c>
    </row>
    <row r="6" spans="1:7">
      <c r="A6" s="46" t="s">
        <v>54</v>
      </c>
      <c r="B6" s="117">
        <v>2</v>
      </c>
      <c r="C6" s="118">
        <f t="shared" si="0"/>
        <v>4.5999999999999999E-2</v>
      </c>
      <c r="D6" s="117">
        <v>0.4</v>
      </c>
      <c r="E6" s="118">
        <f t="shared" si="1"/>
        <v>1.9E-2</v>
      </c>
      <c r="F6">
        <f t="shared" si="2"/>
        <v>1.1399999999999999</v>
      </c>
      <c r="G6" t="str">
        <v>Mur ITE</v>
      </c>
    </row>
    <row r="7" spans="1:7">
      <c r="A7" s="46" t="s">
        <v>55</v>
      </c>
      <c r="B7" s="117">
        <v>0.8</v>
      </c>
      <c r="C7" s="118">
        <f t="shared" si="0"/>
        <v>1.9E-2</v>
      </c>
      <c r="D7" s="117">
        <v>0.2</v>
      </c>
      <c r="E7" s="118">
        <f t="shared" si="1"/>
        <v>9.9999999999999985E-3</v>
      </c>
      <c r="F7">
        <f t="shared" si="2"/>
        <v>0.59999999999999987</v>
      </c>
      <c r="G7" t="str">
        <v>Mur sous-enduit</v>
      </c>
    </row>
    <row r="8" spans="1:7">
      <c r="A8" s="46" t="s">
        <v>56</v>
      </c>
      <c r="B8" s="117">
        <v>0.6</v>
      </c>
      <c r="C8" s="118">
        <f t="shared" si="0"/>
        <v>1.3999999999999999E-2</v>
      </c>
      <c r="D8" s="117">
        <v>0.6</v>
      </c>
      <c r="E8" s="118">
        <f t="shared" si="1"/>
        <v>2.8000000000000001E-2</v>
      </c>
      <c r="F8">
        <f t="shared" si="2"/>
        <v>1.68</v>
      </c>
      <c r="G8" t="str">
        <v>Mur enduit</v>
      </c>
    </row>
    <row r="9" spans="1:7">
      <c r="A9" s="46" t="s">
        <v>57</v>
      </c>
      <c r="B9" s="117">
        <v>1.3</v>
      </c>
      <c r="C9" s="118">
        <f t="shared" si="0"/>
        <v>3.0000000000000002E-2</v>
      </c>
      <c r="D9" s="117">
        <v>0.8</v>
      </c>
      <c r="E9" s="118">
        <f t="shared" si="1"/>
        <v>3.6999999999999998E-2</v>
      </c>
      <c r="F9">
        <f t="shared" si="2"/>
        <v>2.2199999999999998</v>
      </c>
      <c r="G9" t="str">
        <v>Mur isolant 1</v>
      </c>
    </row>
    <row r="10" spans="1:7">
      <c r="A10" s="46" t="s">
        <v>58</v>
      </c>
      <c r="B10" s="117">
        <f>B9</f>
        <v>1.3</v>
      </c>
      <c r="C10" s="118">
        <f>ROUNDUP(B10/B$2,3)</f>
        <v>3.0000000000000002E-2</v>
      </c>
      <c r="D10" s="117">
        <f>D9</f>
        <v>0.8</v>
      </c>
      <c r="E10" s="118">
        <f t="shared" si="1"/>
        <v>3.6999999999999998E-2</v>
      </c>
      <c r="F10">
        <f t="shared" si="2"/>
        <v>2.2199999999999998</v>
      </c>
      <c r="G10" t="str">
        <v>Mur isolant 2</v>
      </c>
    </row>
    <row r="11" spans="1:7">
      <c r="A11" s="46" t="s">
        <v>59</v>
      </c>
      <c r="B11" s="117">
        <v>1.3</v>
      </c>
      <c r="C11" s="118">
        <f t="shared" si="0"/>
        <v>3.0000000000000002E-2</v>
      </c>
      <c r="D11" s="117">
        <v>0.8</v>
      </c>
      <c r="E11" s="118">
        <f t="shared" si="1"/>
        <v>3.6999999999999998E-2</v>
      </c>
      <c r="F11">
        <f t="shared" si="2"/>
        <v>2.2199999999999998</v>
      </c>
      <c r="G11" t="str">
        <v>Mur isolant 3</v>
      </c>
    </row>
    <row r="12" spans="1:7">
      <c r="A12" s="46" t="s">
        <v>61</v>
      </c>
      <c r="B12" s="117">
        <v>1.1000000000000001</v>
      </c>
      <c r="C12" s="118">
        <f t="shared" si="0"/>
        <v>2.5000000000000001E-2</v>
      </c>
      <c r="D12" s="117">
        <v>0.7</v>
      </c>
      <c r="E12" s="118">
        <f t="shared" si="1"/>
        <v>3.2000000000000001E-2</v>
      </c>
      <c r="F12">
        <f t="shared" si="2"/>
        <v>1.92</v>
      </c>
      <c r="G12" t="str">
        <v>Mur pare-vapeur</v>
      </c>
    </row>
    <row r="13" spans="1:7">
      <c r="A13" s="46" t="s">
        <v>60</v>
      </c>
      <c r="B13" s="117">
        <v>1.5</v>
      </c>
      <c r="C13" s="118">
        <f t="shared" si="0"/>
        <v>3.5000000000000003E-2</v>
      </c>
      <c r="D13" s="117">
        <v>1.1000000000000001</v>
      </c>
      <c r="E13" s="118">
        <f t="shared" si="1"/>
        <v>0.05</v>
      </c>
      <c r="F13">
        <f t="shared" si="2"/>
        <v>3</v>
      </c>
      <c r="G13" t="str">
        <v>Mur panneau 1</v>
      </c>
    </row>
    <row r="14" spans="1:7">
      <c r="A14" s="46" t="s">
        <v>62</v>
      </c>
      <c r="B14" s="117">
        <v>1.5</v>
      </c>
      <c r="C14" s="118">
        <f t="shared" si="0"/>
        <v>3.5000000000000003E-2</v>
      </c>
      <c r="D14" s="117">
        <v>1.1000000000000001</v>
      </c>
      <c r="E14" s="118">
        <f t="shared" si="1"/>
        <v>0.05</v>
      </c>
      <c r="F14">
        <f t="shared" si="2"/>
        <v>3</v>
      </c>
      <c r="G14" t="str">
        <v>Mur panneau 2</v>
      </c>
    </row>
    <row r="15" spans="1:7">
      <c r="A15" s="46" t="s">
        <v>192</v>
      </c>
      <c r="B15" s="117">
        <f>B4*1.6</f>
        <v>8</v>
      </c>
      <c r="C15" s="118">
        <f>ROUNDUP(B15/B$2,3)</f>
        <v>0.182</v>
      </c>
      <c r="D15" s="117">
        <f>D4*1.6</f>
        <v>3.6799999999999997</v>
      </c>
      <c r="E15" s="118">
        <f>ROUNDUP(D15/D$2,3)</f>
        <v>0.16800000000000001</v>
      </c>
      <c r="F15">
        <f t="shared" si="2"/>
        <v>10.08</v>
      </c>
      <c r="G15" t="str">
        <v>PP structure</v>
      </c>
    </row>
    <row r="16" spans="1:7">
      <c r="A16" s="46" t="s">
        <v>191</v>
      </c>
      <c r="B16" s="117">
        <f>B4*2</f>
        <v>10</v>
      </c>
      <c r="C16" s="118">
        <f t="shared" ref="C16:C25" si="3">ROUNDUP(B16/B$2,3)</f>
        <v>0.22800000000000001</v>
      </c>
      <c r="D16" s="117">
        <f>D4*2</f>
        <v>4.5999999999999996</v>
      </c>
      <c r="E16" s="118">
        <f t="shared" ref="E16:E25" si="4">ROUNDUP(D16/D$2,3)</f>
        <v>0.21</v>
      </c>
      <c r="F16">
        <f t="shared" si="2"/>
        <v>12.6</v>
      </c>
      <c r="G16" t="str">
        <v>PA structure</v>
      </c>
    </row>
    <row r="17" spans="1:7">
      <c r="A17" s="46" t="s">
        <v>63</v>
      </c>
      <c r="B17" s="117">
        <v>2</v>
      </c>
      <c r="C17" s="118">
        <f t="shared" si="3"/>
        <v>4.5999999999999999E-2</v>
      </c>
      <c r="D17" s="117">
        <v>0.4</v>
      </c>
      <c r="E17" s="118">
        <f t="shared" si="4"/>
        <v>1.9E-2</v>
      </c>
      <c r="F17">
        <f t="shared" si="2"/>
        <v>1.1399999999999999</v>
      </c>
      <c r="G17" t="str">
        <v>Plancher ITE</v>
      </c>
    </row>
    <row r="18" spans="1:7">
      <c r="A18" s="46" t="s">
        <v>64</v>
      </c>
      <c r="B18" s="117">
        <v>0.8</v>
      </c>
      <c r="C18" s="118">
        <f t="shared" si="3"/>
        <v>1.9E-2</v>
      </c>
      <c r="D18" s="117">
        <v>0.2</v>
      </c>
      <c r="E18" s="118">
        <f t="shared" si="4"/>
        <v>9.9999999999999985E-3</v>
      </c>
      <c r="F18">
        <f t="shared" si="2"/>
        <v>0.59999999999999987</v>
      </c>
      <c r="G18" t="str">
        <v>Plancher sous-enduit</v>
      </c>
    </row>
    <row r="19" spans="1:7">
      <c r="A19" s="46" t="s">
        <v>65</v>
      </c>
      <c r="B19" s="117">
        <v>0.6</v>
      </c>
      <c r="C19" s="118">
        <f t="shared" si="3"/>
        <v>1.3999999999999999E-2</v>
      </c>
      <c r="D19" s="117">
        <v>0.6</v>
      </c>
      <c r="E19" s="118">
        <f t="shared" si="4"/>
        <v>2.8000000000000001E-2</v>
      </c>
      <c r="F19">
        <f t="shared" si="2"/>
        <v>1.68</v>
      </c>
      <c r="G19" t="str">
        <v>Plancher enduit</v>
      </c>
    </row>
    <row r="20" spans="1:7">
      <c r="A20" s="46" t="s">
        <v>66</v>
      </c>
      <c r="B20" s="117">
        <f>B8</f>
        <v>0.6</v>
      </c>
      <c r="C20" s="118">
        <f t="shared" si="3"/>
        <v>1.3999999999999999E-2</v>
      </c>
      <c r="D20" s="117">
        <v>0.8</v>
      </c>
      <c r="E20" s="118">
        <f t="shared" si="4"/>
        <v>3.6999999999999998E-2</v>
      </c>
      <c r="F20">
        <f t="shared" si="2"/>
        <v>2.2199999999999998</v>
      </c>
      <c r="G20" t="str">
        <v>Plancher isolant 1</v>
      </c>
    </row>
    <row r="21" spans="1:7">
      <c r="A21" s="46" t="s">
        <v>67</v>
      </c>
      <c r="B21" s="117">
        <f>B9</f>
        <v>1.3</v>
      </c>
      <c r="C21" s="118">
        <f t="shared" si="3"/>
        <v>3.0000000000000002E-2</v>
      </c>
      <c r="D21" s="117">
        <v>0.8</v>
      </c>
      <c r="E21" s="118">
        <f t="shared" si="4"/>
        <v>3.6999999999999998E-2</v>
      </c>
      <c r="F21">
        <f t="shared" si="2"/>
        <v>2.2199999999999998</v>
      </c>
      <c r="G21" t="str">
        <v>Plancher isolant 2</v>
      </c>
    </row>
    <row r="22" spans="1:7">
      <c r="A22" s="46" t="s">
        <v>68</v>
      </c>
      <c r="B22" s="117">
        <f>B10</f>
        <v>1.3</v>
      </c>
      <c r="C22" s="118">
        <f t="shared" si="3"/>
        <v>3.0000000000000002E-2</v>
      </c>
      <c r="D22" s="117">
        <v>0.8</v>
      </c>
      <c r="E22" s="118">
        <f t="shared" si="4"/>
        <v>3.6999999999999998E-2</v>
      </c>
      <c r="F22">
        <f t="shared" si="2"/>
        <v>2.2199999999999998</v>
      </c>
      <c r="G22" t="str">
        <v>Plancher isolant 3</v>
      </c>
    </row>
    <row r="23" spans="1:7">
      <c r="A23" s="46" t="s">
        <v>69</v>
      </c>
      <c r="B23" s="117">
        <f>B11</f>
        <v>1.3</v>
      </c>
      <c r="C23" s="118">
        <f t="shared" si="3"/>
        <v>3.0000000000000002E-2</v>
      </c>
      <c r="D23" s="117">
        <v>0.7</v>
      </c>
      <c r="E23" s="118">
        <f t="shared" si="4"/>
        <v>3.2000000000000001E-2</v>
      </c>
      <c r="F23">
        <f t="shared" si="2"/>
        <v>1.92</v>
      </c>
      <c r="G23" t="str">
        <v>Plancher pare-vapeur</v>
      </c>
    </row>
    <row r="24" spans="1:7">
      <c r="A24" s="46" t="s">
        <v>70</v>
      </c>
      <c r="B24" s="117">
        <f>B12</f>
        <v>1.1000000000000001</v>
      </c>
      <c r="C24" s="118">
        <f t="shared" si="3"/>
        <v>2.5000000000000001E-2</v>
      </c>
      <c r="D24" s="117">
        <v>1.1000000000000001</v>
      </c>
      <c r="E24" s="118">
        <f t="shared" si="4"/>
        <v>0.05</v>
      </c>
      <c r="F24">
        <f t="shared" si="2"/>
        <v>3</v>
      </c>
      <c r="G24" t="str">
        <v>Plancher panneau 1</v>
      </c>
    </row>
    <row r="25" spans="1:7">
      <c r="A25" s="46" t="s">
        <v>71</v>
      </c>
      <c r="B25" s="117">
        <f>B24</f>
        <v>1.1000000000000001</v>
      </c>
      <c r="C25" s="118">
        <f t="shared" si="3"/>
        <v>2.5000000000000001E-2</v>
      </c>
      <c r="D25" s="117">
        <v>1.1000000000000001</v>
      </c>
      <c r="E25" s="118">
        <f t="shared" si="4"/>
        <v>0.05</v>
      </c>
      <c r="F25">
        <f t="shared" si="2"/>
        <v>3</v>
      </c>
      <c r="G25" t="str">
        <v>Plancher panneau 2</v>
      </c>
    </row>
    <row r="26" spans="1:7">
      <c r="A26" s="37" t="s">
        <v>122</v>
      </c>
      <c r="B26" s="116">
        <f>B$2*C26</f>
        <v>220</v>
      </c>
      <c r="C26" s="116">
        <v>5</v>
      </c>
      <c r="D26" s="116">
        <f>D$2*E26</f>
        <v>110</v>
      </c>
      <c r="E26" s="116">
        <v>5</v>
      </c>
      <c r="F26">
        <f t="shared" si="2"/>
        <v>300</v>
      </c>
      <c r="G26" t="str">
        <v>Bois massif atelier</v>
      </c>
    </row>
    <row r="27" spans="1:7">
      <c r="A27" s="37" t="s">
        <v>123</v>
      </c>
      <c r="B27" s="116">
        <f>B$2*C27</f>
        <v>440</v>
      </c>
      <c r="C27" s="116">
        <v>10</v>
      </c>
      <c r="D27" s="116">
        <f>D$2*E27</f>
        <v>220</v>
      </c>
      <c r="E27" s="116">
        <v>10</v>
      </c>
      <c r="F27">
        <f t="shared" si="2"/>
        <v>600</v>
      </c>
      <c r="G27" t="str">
        <v>Bois massif chantier</v>
      </c>
    </row>
    <row r="28" spans="1:7">
      <c r="A28" s="37" t="s">
        <v>217</v>
      </c>
      <c r="B28" s="117">
        <v>5</v>
      </c>
      <c r="C28" s="118">
        <f>ROUNDUP(B28/B$2,3)</f>
        <v>0.114</v>
      </c>
      <c r="D28" s="117">
        <v>2.2999999999999998</v>
      </c>
      <c r="E28" s="118">
        <f>ROUNDUP(D28/D$2,3)</f>
        <v>0.105</v>
      </c>
      <c r="F28">
        <f t="shared" si="2"/>
        <v>6.3</v>
      </c>
      <c r="G28" t="str">
        <v>Lattage bois</v>
      </c>
    </row>
    <row r="29" spans="1:7">
      <c r="A29" s="37" t="s">
        <v>218</v>
      </c>
      <c r="B29" s="117">
        <v>5</v>
      </c>
      <c r="C29" s="118">
        <f>ROUNDUP(B29/B$2,3)</f>
        <v>0.114</v>
      </c>
      <c r="D29" s="117">
        <v>2.2999999999999998</v>
      </c>
      <c r="E29" s="118">
        <f>ROUNDUP(D29/D$2,3)</f>
        <v>0.105</v>
      </c>
      <c r="F29">
        <f t="shared" si="2"/>
        <v>6.3</v>
      </c>
      <c r="G29" t="str">
        <v>Bardage bois</v>
      </c>
    </row>
    <row r="30" spans="1:7">
      <c r="A30" s="37" t="s">
        <v>241</v>
      </c>
      <c r="B30" s="117">
        <v>4</v>
      </c>
      <c r="C30" s="118">
        <f>ROUNDUP(B30/B$2,3)</f>
        <v>9.0999999999999998E-2</v>
      </c>
      <c r="D30" s="117">
        <v>2</v>
      </c>
      <c r="E30" s="118">
        <f>ROUNDUP(D30/D$2,3)</f>
        <v>9.0999999999999998E-2</v>
      </c>
      <c r="F30">
        <f t="shared" si="2"/>
        <v>5.46</v>
      </c>
      <c r="G30" t="str">
        <v>Traitement terrasse</v>
      </c>
    </row>
    <row r="31" spans="1:7">
      <c r="A31" s="37" t="s">
        <v>269</v>
      </c>
      <c r="B31" s="54">
        <v>4</v>
      </c>
      <c r="C31" s="118">
        <f>ROUNDUP(B31/B$2,3)</f>
        <v>9.0999999999999998E-2</v>
      </c>
      <c r="D31" s="54">
        <v>2</v>
      </c>
      <c r="E31" s="118">
        <f>ROUNDUP(D31/D$2,3)</f>
        <v>9.0999999999999998E-2</v>
      </c>
      <c r="G31" t="str">
        <v>Montage WV60</v>
      </c>
    </row>
    <row r="32" spans="1:7">
      <c r="A32" s="37" t="s">
        <v>289</v>
      </c>
      <c r="B32" s="37">
        <v>20</v>
      </c>
      <c r="C32" s="118">
        <f>ROUNDUP(B32/B$2,3)</f>
        <v>0.45500000000000002</v>
      </c>
      <c r="D32" s="37">
        <v>10</v>
      </c>
      <c r="E32" s="118">
        <f>ROUNDUP(D32/D$2,3)</f>
        <v>0.45500000000000002</v>
      </c>
      <c r="G32" t="str">
        <v>Lame de terrasse</v>
      </c>
    </row>
    <row r="33" spans="1:7">
      <c r="A33" s="37" t="s">
        <v>438</v>
      </c>
      <c r="B33" s="37">
        <v>35</v>
      </c>
      <c r="C33" s="37"/>
      <c r="D33" s="37"/>
      <c r="E33" s="37"/>
      <c r="G33" t="str">
        <v>Bochemit</v>
      </c>
    </row>
    <row r="34" spans="1:7">
      <c r="A34" s="37"/>
      <c r="B34" s="37"/>
      <c r="C34" s="37"/>
      <c r="D34" s="37"/>
      <c r="E34" s="37"/>
    </row>
    <row r="35" spans="1:7">
      <c r="A35" s="37"/>
      <c r="B35" s="37"/>
      <c r="C35" s="37"/>
      <c r="D35" s="37"/>
      <c r="E35" s="37"/>
    </row>
    <row r="36" spans="1:7">
      <c r="A36" s="37"/>
      <c r="B36" s="37"/>
      <c r="C36" s="37"/>
      <c r="D36" s="37"/>
      <c r="E36" s="37"/>
    </row>
    <row r="37" spans="1:7">
      <c r="A37" s="37"/>
      <c r="B37" s="37"/>
      <c r="C37" s="37"/>
      <c r="D37" s="37"/>
      <c r="E37" s="37"/>
    </row>
    <row r="38" spans="1:7">
      <c r="A38" s="37"/>
      <c r="B38" s="37"/>
      <c r="C38" s="37"/>
      <c r="D38" s="37"/>
      <c r="E38" s="37"/>
    </row>
    <row r="39" spans="1:7">
      <c r="A39" s="37"/>
      <c r="B39" s="37"/>
      <c r="C39" s="37"/>
      <c r="D39" s="37"/>
      <c r="E39" s="37"/>
    </row>
    <row r="40" spans="1:7">
      <c r="A40" s="37"/>
      <c r="B40" s="37"/>
      <c r="C40" s="37"/>
      <c r="D40" s="37"/>
      <c r="E40" s="37"/>
    </row>
    <row r="41" spans="1:7">
      <c r="A41" s="37"/>
      <c r="B41" s="37"/>
      <c r="C41" s="37"/>
      <c r="D41" s="37"/>
      <c r="E41" s="37"/>
    </row>
    <row r="42" spans="1:7">
      <c r="A42" s="37"/>
      <c r="B42" s="37"/>
      <c r="C42" s="37"/>
      <c r="D42" s="37"/>
      <c r="E42" s="37"/>
    </row>
    <row r="43" spans="1:7">
      <c r="A43" s="37"/>
      <c r="B43" s="37"/>
      <c r="C43" s="37"/>
      <c r="D43" s="37"/>
      <c r="E43" s="37"/>
    </row>
    <row r="44" spans="1:7">
      <c r="A44" s="37"/>
      <c r="B44" s="37"/>
      <c r="C44" s="37"/>
      <c r="D44" s="37"/>
      <c r="E44" s="37"/>
    </row>
    <row r="45" spans="1:7">
      <c r="A45" s="37"/>
      <c r="B45" s="37"/>
      <c r="C45" s="37"/>
      <c r="D45" s="37"/>
      <c r="E45" s="37"/>
    </row>
    <row r="46" spans="1:7">
      <c r="A46" s="37"/>
      <c r="B46" s="37"/>
      <c r="C46" s="37"/>
      <c r="D46" s="37"/>
      <c r="E46" s="37"/>
    </row>
    <row r="47" spans="1:7">
      <c r="A47" s="37"/>
      <c r="B47" s="37"/>
      <c r="C47" s="37"/>
      <c r="D47" s="37"/>
      <c r="E47" s="37"/>
    </row>
    <row r="48" spans="1:7">
      <c r="A48" s="37"/>
      <c r="B48" s="37"/>
      <c r="C48" s="37"/>
      <c r="D48" s="37"/>
      <c r="E48" s="37"/>
    </row>
    <row r="49" spans="1:5">
      <c r="A49" s="37"/>
      <c r="B49" s="37"/>
      <c r="C49" s="37"/>
      <c r="D49" s="37"/>
      <c r="E49" s="37"/>
    </row>
    <row r="50" spans="1:5">
      <c r="A50" s="37"/>
      <c r="B50" s="37"/>
      <c r="C50" s="37"/>
      <c r="D50" s="37"/>
      <c r="E50" s="37"/>
    </row>
    <row r="51" spans="1:5">
      <c r="A51" s="37"/>
      <c r="B51" s="37"/>
      <c r="C51" s="37"/>
      <c r="D51" s="37"/>
      <c r="E51" s="37"/>
    </row>
    <row r="52" spans="1:5">
      <c r="A52" s="37"/>
      <c r="B52" s="37"/>
      <c r="C52" s="37"/>
      <c r="D52" s="37"/>
      <c r="E52" s="37"/>
    </row>
    <row r="53" spans="1:5">
      <c r="A53" s="37"/>
      <c r="B53" s="37"/>
      <c r="C53" s="37"/>
      <c r="D53" s="37"/>
      <c r="E53" s="37"/>
    </row>
    <row r="54" spans="1:5">
      <c r="A54" s="37"/>
      <c r="B54" s="37"/>
      <c r="C54" s="37"/>
      <c r="D54" s="37"/>
      <c r="E54" s="37"/>
    </row>
    <row r="55" spans="1:5">
      <c r="A55" s="37"/>
      <c r="B55" s="37"/>
      <c r="C55" s="37"/>
      <c r="D55" s="37"/>
      <c r="E55" s="37"/>
    </row>
    <row r="56" spans="1:5">
      <c r="A56" s="37"/>
      <c r="B56" s="37"/>
      <c r="C56" s="37"/>
      <c r="D56" s="37"/>
      <c r="E56" s="37"/>
    </row>
    <row r="57" spans="1:5">
      <c r="A57" s="37"/>
      <c r="B57" s="37"/>
      <c r="C57" s="37"/>
      <c r="D57" s="37"/>
      <c r="E57" s="37"/>
    </row>
    <row r="58" spans="1:5">
      <c r="A58" s="37"/>
      <c r="B58" s="37"/>
      <c r="C58" s="37"/>
      <c r="D58" s="37"/>
      <c r="E58" s="37"/>
    </row>
    <row r="59" spans="1:5">
      <c r="A59" s="37"/>
      <c r="B59" s="37"/>
      <c r="C59" s="37"/>
      <c r="D59" s="37"/>
      <c r="E59" s="37"/>
    </row>
    <row r="60" spans="1:5">
      <c r="A60" s="37"/>
      <c r="B60" s="37"/>
      <c r="C60" s="37"/>
      <c r="D60" s="37"/>
      <c r="E60" s="37"/>
    </row>
    <row r="61" spans="1:5">
      <c r="A61" s="37"/>
      <c r="B61" s="37"/>
      <c r="C61" s="37"/>
      <c r="D61" s="37"/>
      <c r="E61" s="37"/>
    </row>
    <row r="62" spans="1:5">
      <c r="A62" s="37"/>
      <c r="B62" s="37"/>
      <c r="C62" s="37"/>
      <c r="D62" s="37"/>
      <c r="E62" s="37"/>
    </row>
    <row r="63" spans="1:5">
      <c r="A63" s="37"/>
      <c r="B63" s="37"/>
      <c r="C63" s="37"/>
      <c r="D63" s="37"/>
      <c r="E63" s="37"/>
    </row>
    <row r="64" spans="1:5">
      <c r="A64" s="37"/>
      <c r="B64" s="37"/>
      <c r="C64" s="37"/>
      <c r="D64" s="37"/>
      <c r="E64" s="37"/>
    </row>
    <row r="65" spans="1:5">
      <c r="A65" s="37"/>
      <c r="B65" s="37"/>
      <c r="C65" s="37"/>
      <c r="D65" s="37"/>
      <c r="E65" s="37"/>
    </row>
    <row r="66" spans="1:5">
      <c r="A66" s="37"/>
      <c r="B66" s="37"/>
      <c r="C66" s="37"/>
      <c r="D66" s="37"/>
      <c r="E66" s="37"/>
    </row>
    <row r="67" spans="1:5">
      <c r="A67" s="37"/>
      <c r="B67" s="37"/>
      <c r="C67" s="37"/>
      <c r="D67" s="37"/>
      <c r="E67" s="37"/>
    </row>
    <row r="68" spans="1:5">
      <c r="A68" s="37"/>
      <c r="B68" s="37"/>
      <c r="C68" s="37"/>
      <c r="D68" s="37"/>
      <c r="E68" s="37"/>
    </row>
    <row r="69" spans="1:5">
      <c r="A69" s="37"/>
      <c r="B69" s="37"/>
      <c r="C69" s="37"/>
      <c r="D69" s="37"/>
      <c r="E69" s="37"/>
    </row>
    <row r="70" spans="1:5">
      <c r="A70" s="37"/>
      <c r="B70" s="37"/>
      <c r="C70" s="37"/>
      <c r="D70" s="37"/>
      <c r="E70" s="37"/>
    </row>
    <row r="71" spans="1:5">
      <c r="A71" s="37"/>
      <c r="B71" s="37"/>
      <c r="C71" s="37"/>
      <c r="D71" s="37"/>
      <c r="E71" s="37"/>
    </row>
    <row r="72" spans="1:5">
      <c r="A72" s="37"/>
      <c r="B72" s="37"/>
      <c r="C72" s="37"/>
      <c r="D72" s="37"/>
      <c r="E72" s="37"/>
    </row>
    <row r="73" spans="1:5">
      <c r="A73" s="37"/>
      <c r="B73" s="37"/>
      <c r="C73" s="37"/>
      <c r="D73" s="37"/>
      <c r="E73" s="37"/>
    </row>
    <row r="74" spans="1:5">
      <c r="A74" s="37"/>
      <c r="B74" s="37"/>
      <c r="C74" s="37"/>
      <c r="D74" s="37"/>
      <c r="E74" s="37"/>
    </row>
    <row r="75" spans="1:5">
      <c r="A75" s="37"/>
      <c r="B75" s="37"/>
      <c r="C75" s="37"/>
      <c r="D75" s="37"/>
      <c r="E75" s="37"/>
    </row>
    <row r="76" spans="1:5">
      <c r="A76" s="37"/>
      <c r="B76" s="37"/>
      <c r="C76" s="37"/>
      <c r="D76" s="37"/>
      <c r="E76" s="37"/>
    </row>
    <row r="77" spans="1:5">
      <c r="A77" s="37"/>
      <c r="B77" s="37"/>
      <c r="C77" s="37"/>
      <c r="D77" s="37"/>
      <c r="E77" s="37"/>
    </row>
    <row r="78" spans="1:5">
      <c r="A78" s="37"/>
      <c r="B78" s="37"/>
      <c r="C78" s="37"/>
      <c r="D78" s="37"/>
      <c r="E78" s="37"/>
    </row>
    <row r="79" spans="1:5">
      <c r="A79" s="37"/>
      <c r="B79" s="37"/>
      <c r="C79" s="37"/>
      <c r="D79" s="37"/>
      <c r="E79" s="37"/>
    </row>
    <row r="80" spans="1:5">
      <c r="A80" s="37"/>
      <c r="B80" s="37"/>
      <c r="C80" s="37"/>
      <c r="D80" s="37"/>
      <c r="E80" s="37"/>
    </row>
    <row r="81" spans="1:5">
      <c r="A81" s="37"/>
      <c r="B81" s="37"/>
      <c r="C81" s="37"/>
      <c r="D81" s="37"/>
      <c r="E81" s="37"/>
    </row>
    <row r="82" spans="1:5">
      <c r="A82" s="37"/>
      <c r="B82" s="37"/>
      <c r="C82" s="37"/>
      <c r="D82" s="37"/>
      <c r="E82" s="37"/>
    </row>
    <row r="83" spans="1:5">
      <c r="A83" s="37"/>
      <c r="B83" s="37"/>
      <c r="C83" s="37"/>
      <c r="D83" s="37"/>
      <c r="E83" s="37"/>
    </row>
    <row r="84" spans="1:5">
      <c r="A84" s="37"/>
      <c r="B84" s="37"/>
      <c r="C84" s="37"/>
      <c r="D84" s="37"/>
      <c r="E84" s="37"/>
    </row>
    <row r="85" spans="1:5">
      <c r="A85" s="37"/>
      <c r="B85" s="37"/>
      <c r="C85" s="37"/>
      <c r="D85" s="37"/>
      <c r="E85" s="37"/>
    </row>
    <row r="86" spans="1:5">
      <c r="A86" s="37"/>
      <c r="B86" s="37"/>
      <c r="C86" s="37"/>
      <c r="D86" s="37"/>
      <c r="E86" s="37"/>
    </row>
    <row r="87" spans="1:5">
      <c r="A87" s="37"/>
      <c r="B87" s="37"/>
      <c r="C87" s="37"/>
      <c r="D87" s="37"/>
      <c r="E87" s="37"/>
    </row>
    <row r="88" spans="1:5">
      <c r="A88" s="37"/>
      <c r="B88" s="37"/>
      <c r="C88" s="37"/>
      <c r="D88" s="37"/>
      <c r="E88" s="37"/>
    </row>
    <row r="89" spans="1:5">
      <c r="A89" s="37"/>
      <c r="B89" s="37"/>
      <c r="C89" s="37"/>
      <c r="D89" s="37"/>
      <c r="E89" s="37"/>
    </row>
    <row r="90" spans="1:5">
      <c r="A90" s="37"/>
      <c r="B90" s="37"/>
      <c r="C90" s="37"/>
      <c r="D90" s="37"/>
      <c r="E90" s="37"/>
    </row>
    <row r="91" spans="1:5">
      <c r="A91" s="37"/>
      <c r="B91" s="37"/>
      <c r="C91" s="37"/>
      <c r="D91" s="37"/>
      <c r="E91" s="37"/>
    </row>
    <row r="92" spans="1:5">
      <c r="A92" s="37"/>
      <c r="B92" s="37"/>
      <c r="C92" s="37"/>
      <c r="D92" s="37"/>
      <c r="E92" s="37"/>
    </row>
    <row r="93" spans="1:5">
      <c r="A93" s="37"/>
      <c r="B93" s="37"/>
      <c r="C93" s="37"/>
      <c r="D93" s="37"/>
      <c r="E93" s="37"/>
    </row>
    <row r="94" spans="1:5">
      <c r="A94" s="37"/>
      <c r="B94" s="37"/>
      <c r="C94" s="37"/>
      <c r="D94" s="37"/>
      <c r="E94" s="37"/>
    </row>
    <row r="95" spans="1:5">
      <c r="A95" s="37"/>
      <c r="B95" s="37"/>
      <c r="C95" s="37"/>
      <c r="D95" s="37"/>
      <c r="E95" s="37"/>
    </row>
    <row r="96" spans="1:5">
      <c r="A96" s="37"/>
      <c r="B96" s="37"/>
      <c r="C96" s="37"/>
      <c r="D96" s="37"/>
      <c r="E96" s="37"/>
    </row>
    <row r="97" spans="1:5">
      <c r="A97" s="37"/>
      <c r="B97" s="37"/>
      <c r="C97" s="37"/>
      <c r="D97" s="37"/>
      <c r="E97" s="37"/>
    </row>
    <row r="98" spans="1:5">
      <c r="A98" s="37"/>
      <c r="B98" s="37"/>
      <c r="C98" s="37"/>
      <c r="D98" s="37"/>
      <c r="E98" s="37"/>
    </row>
    <row r="99" spans="1:5">
      <c r="A99" s="37"/>
      <c r="B99" s="37"/>
      <c r="C99" s="37"/>
      <c r="D99" s="37"/>
      <c r="E99" s="37"/>
    </row>
    <row r="100" spans="1:5">
      <c r="A100" s="37"/>
      <c r="B100" s="37"/>
      <c r="C100" s="37"/>
      <c r="D100" s="37"/>
      <c r="E100" s="37"/>
    </row>
    <row r="101" spans="1:5">
      <c r="A101" s="37"/>
      <c r="B101" s="37"/>
      <c r="C101" s="37"/>
      <c r="D101" s="37"/>
      <c r="E101" s="37"/>
    </row>
    <row r="102" spans="1:5">
      <c r="A102" s="37"/>
      <c r="B102" s="37"/>
      <c r="C102" s="37"/>
      <c r="D102" s="37"/>
      <c r="E102" s="37"/>
    </row>
    <row r="103" spans="1:5">
      <c r="A103" s="37"/>
      <c r="B103" s="37"/>
      <c r="C103" s="37"/>
      <c r="D103" s="37"/>
      <c r="E103" s="37"/>
    </row>
    <row r="104" spans="1:5">
      <c r="A104" s="37"/>
      <c r="B104" s="37"/>
      <c r="C104" s="37"/>
      <c r="D104" s="37"/>
      <c r="E104" s="37"/>
    </row>
    <row r="105" spans="1:5">
      <c r="A105" s="37"/>
      <c r="B105" s="37"/>
      <c r="C105" s="37"/>
      <c r="D105" s="37"/>
      <c r="E105" s="37"/>
    </row>
    <row r="106" spans="1:5">
      <c r="A106" s="37"/>
      <c r="B106" s="37"/>
      <c r="C106" s="37"/>
      <c r="D106" s="37"/>
      <c r="E106" s="37"/>
    </row>
    <row r="107" spans="1:5">
      <c r="A107" s="37"/>
      <c r="B107" s="37"/>
      <c r="C107" s="37"/>
      <c r="D107" s="37"/>
      <c r="E107" s="37"/>
    </row>
    <row r="108" spans="1:5">
      <c r="A108" s="37"/>
      <c r="B108" s="37"/>
      <c r="C108" s="37"/>
      <c r="D108" s="37"/>
      <c r="E108" s="37"/>
    </row>
    <row r="109" spans="1:5">
      <c r="A109" s="37"/>
      <c r="B109" s="37"/>
      <c r="C109" s="37"/>
      <c r="D109" s="37"/>
      <c r="E109" s="37"/>
    </row>
    <row r="110" spans="1:5">
      <c r="A110" s="37"/>
      <c r="B110" s="37"/>
      <c r="C110" s="37"/>
      <c r="D110" s="37"/>
      <c r="E110" s="37"/>
    </row>
    <row r="111" spans="1:5">
      <c r="A111" s="37"/>
      <c r="B111" s="37"/>
      <c r="C111" s="37"/>
      <c r="D111" s="37"/>
      <c r="E111" s="37"/>
    </row>
    <row r="112" spans="1:5">
      <c r="A112" s="37"/>
      <c r="B112" s="37"/>
      <c r="C112" s="37"/>
      <c r="D112" s="37"/>
      <c r="E112" s="37"/>
    </row>
    <row r="113" spans="1:5">
      <c r="A113" s="37"/>
      <c r="B113" s="37"/>
      <c r="C113" s="37"/>
      <c r="D113" s="37"/>
      <c r="E113" s="37"/>
    </row>
    <row r="114" spans="1:5">
      <c r="A114" s="37"/>
      <c r="B114" s="37"/>
      <c r="C114" s="37"/>
      <c r="D114" s="37"/>
      <c r="E114" s="37"/>
    </row>
    <row r="115" spans="1:5">
      <c r="A115" s="37"/>
      <c r="B115" s="37"/>
      <c r="C115" s="37"/>
      <c r="D115" s="37"/>
      <c r="E115" s="37"/>
    </row>
    <row r="116" spans="1:5">
      <c r="A116" s="37"/>
      <c r="B116" s="37"/>
      <c r="C116" s="37"/>
      <c r="D116" s="37"/>
      <c r="E116" s="37"/>
    </row>
    <row r="117" spans="1:5">
      <c r="A117" s="37"/>
      <c r="B117" s="37"/>
      <c r="C117" s="37"/>
      <c r="D117" s="37"/>
      <c r="E117" s="37"/>
    </row>
    <row r="118" spans="1:5">
      <c r="A118" s="37"/>
      <c r="B118" s="37"/>
      <c r="C118" s="37"/>
      <c r="D118" s="37"/>
      <c r="E118" s="37"/>
    </row>
    <row r="119" spans="1:5">
      <c r="A119" s="37"/>
      <c r="B119" s="37"/>
      <c r="C119" s="37"/>
      <c r="D119" s="37"/>
      <c r="E119" s="37"/>
    </row>
    <row r="120" spans="1:5">
      <c r="A120" s="37"/>
      <c r="B120" s="37"/>
      <c r="C120" s="37"/>
      <c r="D120" s="37"/>
      <c r="E120" s="37"/>
    </row>
    <row r="121" spans="1:5">
      <c r="A121" s="37"/>
      <c r="B121" s="37"/>
      <c r="C121" s="37"/>
      <c r="D121" s="37"/>
      <c r="E121" s="37"/>
    </row>
    <row r="122" spans="1:5">
      <c r="A122" s="37"/>
      <c r="B122" s="37"/>
      <c r="C122" s="37"/>
      <c r="D122" s="37"/>
      <c r="E122" s="37"/>
    </row>
    <row r="123" spans="1:5">
      <c r="A123" s="37"/>
      <c r="B123" s="37"/>
      <c r="C123" s="37"/>
      <c r="D123" s="37"/>
      <c r="E123" s="37"/>
    </row>
    <row r="124" spans="1:5">
      <c r="A124" s="37"/>
      <c r="B124" s="37"/>
      <c r="C124" s="37"/>
      <c r="D124" s="37"/>
      <c r="E124" s="37"/>
    </row>
    <row r="125" spans="1:5">
      <c r="A125" s="37"/>
      <c r="B125" s="37"/>
      <c r="C125" s="37"/>
      <c r="D125" s="37"/>
      <c r="E125" s="37"/>
    </row>
    <row r="126" spans="1:5">
      <c r="A126" s="37"/>
      <c r="B126" s="37"/>
      <c r="C126" s="37"/>
      <c r="D126" s="37"/>
      <c r="E126" s="37"/>
    </row>
    <row r="127" spans="1:5">
      <c r="A127" s="37"/>
      <c r="B127" s="37"/>
      <c r="C127" s="37"/>
      <c r="D127" s="37"/>
      <c r="E127" s="37"/>
    </row>
    <row r="128" spans="1:5">
      <c r="A128" s="37"/>
      <c r="B128" s="37"/>
      <c r="C128" s="37"/>
      <c r="D128" s="37"/>
      <c r="E128" s="37"/>
    </row>
    <row r="129" spans="1:5">
      <c r="A129" s="37"/>
      <c r="B129" s="37"/>
      <c r="C129" s="37"/>
      <c r="D129" s="37"/>
      <c r="E129" s="37"/>
    </row>
    <row r="130" spans="1:5">
      <c r="A130" s="37"/>
      <c r="B130" s="37"/>
      <c r="C130" s="37"/>
      <c r="D130" s="37"/>
      <c r="E130" s="37"/>
    </row>
    <row r="131" spans="1:5">
      <c r="A131" s="37"/>
      <c r="B131" s="37"/>
      <c r="C131" s="37"/>
      <c r="D131" s="37"/>
      <c r="E131" s="37"/>
    </row>
    <row r="132" spans="1:5">
      <c r="A132" s="37"/>
      <c r="B132" s="37"/>
      <c r="C132" s="37"/>
      <c r="D132" s="37"/>
      <c r="E132" s="37"/>
    </row>
    <row r="133" spans="1:5">
      <c r="A133" s="37"/>
      <c r="B133" s="37"/>
      <c r="C133" s="37"/>
      <c r="D133" s="37"/>
      <c r="E133" s="37"/>
    </row>
    <row r="134" spans="1:5">
      <c r="A134" s="37"/>
      <c r="B134" s="37"/>
      <c r="C134" s="37"/>
      <c r="D134" s="37"/>
      <c r="E134" s="37"/>
    </row>
    <row r="135" spans="1:5">
      <c r="A135" s="37"/>
      <c r="B135" s="37"/>
      <c r="C135" s="37"/>
      <c r="D135" s="37"/>
      <c r="E135" s="37"/>
    </row>
    <row r="136" spans="1:5">
      <c r="A136" s="37"/>
      <c r="B136" s="37"/>
      <c r="C136" s="37"/>
      <c r="D136" s="37"/>
      <c r="E136" s="37"/>
    </row>
    <row r="137" spans="1:5">
      <c r="A137" s="37"/>
      <c r="B137" s="37"/>
      <c r="C137" s="37"/>
      <c r="D137" s="37"/>
      <c r="E137" s="37"/>
    </row>
    <row r="138" spans="1:5">
      <c r="A138" s="37"/>
      <c r="B138" s="37"/>
      <c r="C138" s="37"/>
      <c r="D138" s="37"/>
      <c r="E138" s="37"/>
    </row>
    <row r="139" spans="1:5">
      <c r="A139" s="37"/>
      <c r="B139" s="37"/>
      <c r="C139" s="37"/>
      <c r="D139" s="37"/>
      <c r="E139" s="37"/>
    </row>
    <row r="140" spans="1:5">
      <c r="A140" s="37"/>
      <c r="B140" s="37"/>
      <c r="C140" s="37"/>
      <c r="D140" s="37"/>
      <c r="E140" s="37"/>
    </row>
    <row r="141" spans="1:5">
      <c r="A141" s="37"/>
      <c r="B141" s="37"/>
      <c r="C141" s="37"/>
      <c r="D141" s="37"/>
      <c r="E141" s="37"/>
    </row>
    <row r="142" spans="1:5">
      <c r="A142" s="37"/>
      <c r="B142" s="37"/>
      <c r="C142" s="37"/>
      <c r="D142" s="37"/>
      <c r="E142" s="37"/>
    </row>
    <row r="143" spans="1:5">
      <c r="A143" s="37"/>
      <c r="B143" s="37"/>
      <c r="C143" s="37"/>
      <c r="D143" s="37"/>
      <c r="E143" s="37"/>
    </row>
    <row r="144" spans="1:5">
      <c r="A144" s="37"/>
      <c r="B144" s="37"/>
      <c r="C144" s="37"/>
      <c r="D144" s="37"/>
      <c r="E144" s="37"/>
    </row>
    <row r="145" spans="1:5">
      <c r="A145" s="37"/>
      <c r="B145" s="37"/>
      <c r="C145" s="37"/>
      <c r="D145" s="37"/>
      <c r="E145" s="37"/>
    </row>
    <row r="146" spans="1:5">
      <c r="A146" s="37"/>
      <c r="B146" s="37"/>
      <c r="C146" s="37"/>
      <c r="D146" s="37"/>
      <c r="E146" s="37"/>
    </row>
    <row r="147" spans="1:5">
      <c r="A147" s="37"/>
      <c r="B147" s="37"/>
      <c r="C147" s="37"/>
      <c r="D147" s="37"/>
      <c r="E147" s="37"/>
    </row>
    <row r="148" spans="1:5">
      <c r="A148" s="37"/>
      <c r="B148" s="37"/>
      <c r="C148" s="37"/>
      <c r="D148" s="37"/>
      <c r="E148" s="37"/>
    </row>
    <row r="149" spans="1:5">
      <c r="A149" s="37"/>
      <c r="B149" s="37"/>
      <c r="C149" s="37"/>
      <c r="D149" s="37"/>
      <c r="E149" s="37"/>
    </row>
    <row r="150" spans="1:5">
      <c r="A150" s="37"/>
      <c r="B150" s="37"/>
      <c r="C150" s="37"/>
      <c r="D150" s="37"/>
      <c r="E150" s="37"/>
    </row>
    <row r="151" spans="1:5">
      <c r="A151" s="37"/>
      <c r="B151" s="37"/>
      <c r="C151" s="37"/>
      <c r="D151" s="37"/>
      <c r="E151" s="37"/>
    </row>
    <row r="152" spans="1:5">
      <c r="A152" s="37"/>
      <c r="B152" s="37"/>
      <c r="C152" s="37"/>
      <c r="D152" s="37"/>
      <c r="E152" s="37"/>
    </row>
    <row r="153" spans="1:5">
      <c r="A153" s="37"/>
      <c r="B153" s="37"/>
      <c r="C153" s="37"/>
      <c r="D153" s="37"/>
      <c r="E153" s="37"/>
    </row>
    <row r="154" spans="1:5">
      <c r="A154" s="37"/>
      <c r="B154" s="37"/>
      <c r="C154" s="37"/>
      <c r="D154" s="37"/>
      <c r="E154" s="37"/>
    </row>
    <row r="155" spans="1:5">
      <c r="A155" s="37"/>
      <c r="B155" s="37"/>
      <c r="C155" s="37"/>
      <c r="D155" s="37"/>
      <c r="E155" s="37"/>
    </row>
    <row r="156" spans="1:5">
      <c r="A156" s="37"/>
      <c r="B156" s="37"/>
      <c r="C156" s="37"/>
      <c r="D156" s="37"/>
      <c r="E156" s="37"/>
    </row>
    <row r="157" spans="1:5">
      <c r="A157" s="37"/>
      <c r="B157" s="37"/>
      <c r="C157" s="37"/>
      <c r="D157" s="37"/>
      <c r="E157" s="37"/>
    </row>
    <row r="158" spans="1:5">
      <c r="A158" s="37"/>
      <c r="B158" s="37"/>
      <c r="C158" s="37"/>
      <c r="D158" s="37"/>
      <c r="E158" s="37"/>
    </row>
    <row r="159" spans="1:5">
      <c r="A159" s="37"/>
      <c r="B159" s="37"/>
      <c r="C159" s="37"/>
      <c r="D159" s="37"/>
      <c r="E159" s="37"/>
    </row>
    <row r="160" spans="1:5">
      <c r="A160" s="37"/>
      <c r="B160" s="37"/>
      <c r="C160" s="37"/>
      <c r="D160" s="37"/>
      <c r="E160" s="37"/>
    </row>
    <row r="161" spans="1:5">
      <c r="A161" s="37"/>
      <c r="B161" s="37"/>
      <c r="C161" s="37"/>
      <c r="D161" s="37"/>
      <c r="E161" s="37"/>
    </row>
    <row r="162" spans="1:5">
      <c r="A162" s="37"/>
      <c r="B162" s="37"/>
      <c r="C162" s="37"/>
      <c r="D162" s="37"/>
      <c r="E162" s="37"/>
    </row>
    <row r="163" spans="1:5">
      <c r="A163" s="37"/>
      <c r="B163" s="37"/>
      <c r="C163" s="37"/>
      <c r="D163" s="37"/>
      <c r="E163" s="37"/>
    </row>
    <row r="164" spans="1:5">
      <c r="A164" s="37"/>
      <c r="B164" s="37"/>
      <c r="C164" s="37"/>
      <c r="D164" s="37"/>
      <c r="E164" s="37"/>
    </row>
    <row r="165" spans="1:5">
      <c r="A165" s="37"/>
      <c r="B165" s="37"/>
      <c r="C165" s="37"/>
      <c r="D165" s="37"/>
      <c r="E165" s="37"/>
    </row>
    <row r="166" spans="1:5">
      <c r="A166" s="37"/>
      <c r="B166" s="37"/>
      <c r="C166" s="37"/>
      <c r="D166" s="37"/>
      <c r="E166" s="37"/>
    </row>
    <row r="167" spans="1:5">
      <c r="A167" s="37"/>
      <c r="B167" s="37"/>
      <c r="C167" s="37"/>
      <c r="D167" s="37"/>
      <c r="E167" s="37"/>
    </row>
    <row r="168" spans="1:5">
      <c r="A168" s="37"/>
      <c r="B168" s="37"/>
      <c r="C168" s="37"/>
      <c r="D168" s="37"/>
      <c r="E168" s="37"/>
    </row>
    <row r="169" spans="1:5">
      <c r="A169" s="37"/>
      <c r="B169" s="37"/>
      <c r="C169" s="37"/>
      <c r="D169" s="37"/>
      <c r="E169" s="37"/>
    </row>
    <row r="170" spans="1:5">
      <c r="A170" s="37"/>
      <c r="B170" s="37"/>
      <c r="C170" s="37"/>
      <c r="D170" s="37"/>
      <c r="E170" s="37"/>
    </row>
    <row r="171" spans="1:5">
      <c r="A171" s="37"/>
      <c r="B171" s="37"/>
      <c r="C171" s="37"/>
      <c r="D171" s="37"/>
      <c r="E171" s="37"/>
    </row>
    <row r="172" spans="1:5">
      <c r="A172" s="37"/>
      <c r="B172" s="37"/>
      <c r="C172" s="37"/>
      <c r="D172" s="37"/>
      <c r="E172" s="37"/>
    </row>
    <row r="173" spans="1:5">
      <c r="A173" s="37"/>
      <c r="B173" s="37"/>
      <c r="C173" s="37"/>
      <c r="D173" s="37"/>
      <c r="E173" s="37"/>
    </row>
    <row r="174" spans="1:5">
      <c r="A174" s="37"/>
      <c r="B174" s="37"/>
      <c r="C174" s="37"/>
      <c r="D174" s="37"/>
      <c r="E174" s="37"/>
    </row>
    <row r="175" spans="1:5">
      <c r="A175" s="37"/>
      <c r="B175" s="37"/>
      <c r="C175" s="37"/>
      <c r="D175" s="37"/>
      <c r="E175" s="37"/>
    </row>
    <row r="176" spans="1:5">
      <c r="A176" s="37"/>
      <c r="B176" s="37"/>
      <c r="C176" s="37"/>
      <c r="D176" s="37"/>
      <c r="E176" s="37"/>
    </row>
    <row r="177" spans="1:5">
      <c r="A177" s="37"/>
      <c r="B177" s="37"/>
      <c r="C177" s="37"/>
      <c r="D177" s="37"/>
      <c r="E177" s="37"/>
    </row>
    <row r="178" spans="1:5">
      <c r="A178" s="37"/>
      <c r="B178" s="37"/>
      <c r="C178" s="37"/>
      <c r="D178" s="37"/>
      <c r="E178" s="37"/>
    </row>
    <row r="179" spans="1:5">
      <c r="A179" s="37"/>
      <c r="B179" s="37"/>
      <c r="C179" s="37"/>
      <c r="D179" s="37"/>
      <c r="E179" s="37"/>
    </row>
    <row r="180" spans="1:5">
      <c r="A180" s="37"/>
      <c r="B180" s="37"/>
      <c r="C180" s="37"/>
      <c r="D180" s="37"/>
      <c r="E180" s="37"/>
    </row>
    <row r="181" spans="1:5">
      <c r="A181" s="37"/>
      <c r="B181" s="37"/>
      <c r="C181" s="37"/>
      <c r="D181" s="37"/>
      <c r="E181" s="37"/>
    </row>
    <row r="182" spans="1:5">
      <c r="A182" s="37"/>
      <c r="B182" s="37"/>
      <c r="C182" s="37"/>
      <c r="D182" s="37"/>
      <c r="E182" s="37"/>
    </row>
    <row r="183" spans="1:5">
      <c r="A183" s="37"/>
      <c r="B183" s="37"/>
      <c r="C183" s="37"/>
      <c r="D183" s="37"/>
      <c r="E183" s="37"/>
    </row>
    <row r="184" spans="1:5">
      <c r="A184" s="37"/>
      <c r="B184" s="37"/>
      <c r="C184" s="37"/>
      <c r="D184" s="37"/>
      <c r="E184" s="37"/>
    </row>
    <row r="185" spans="1:5">
      <c r="A185" s="37"/>
      <c r="B185" s="37"/>
      <c r="C185" s="37"/>
      <c r="D185" s="37"/>
      <c r="E185" s="37"/>
    </row>
    <row r="186" spans="1:5">
      <c r="A186" s="37"/>
      <c r="B186" s="37"/>
      <c r="C186" s="37"/>
      <c r="D186" s="37"/>
      <c r="E186" s="37"/>
    </row>
    <row r="187" spans="1:5">
      <c r="A187" s="37"/>
      <c r="B187" s="37"/>
      <c r="C187" s="37"/>
      <c r="D187" s="37"/>
      <c r="E187" s="37"/>
    </row>
    <row r="188" spans="1:5">
      <c r="A188" s="37"/>
      <c r="B188" s="37"/>
      <c r="C188" s="37"/>
      <c r="D188" s="37"/>
      <c r="E188" s="37"/>
    </row>
    <row r="189" spans="1:5">
      <c r="A189" s="37"/>
      <c r="B189" s="37"/>
      <c r="C189" s="37"/>
      <c r="D189" s="37"/>
      <c r="E189" s="37"/>
    </row>
    <row r="190" spans="1:5">
      <c r="A190" s="37"/>
      <c r="B190" s="37"/>
      <c r="C190" s="37"/>
      <c r="D190" s="37"/>
      <c r="E190" s="37"/>
    </row>
    <row r="191" spans="1:5">
      <c r="A191" s="37"/>
      <c r="B191" s="37"/>
      <c r="C191" s="37"/>
      <c r="D191" s="37"/>
      <c r="E191" s="37"/>
    </row>
    <row r="192" spans="1:5">
      <c r="A192" s="37"/>
      <c r="B192" s="37"/>
      <c r="C192" s="37"/>
      <c r="D192" s="37"/>
      <c r="E192" s="37"/>
    </row>
    <row r="193" spans="1:5">
      <c r="A193" s="37"/>
      <c r="B193" s="37"/>
      <c r="C193" s="37"/>
      <c r="D193" s="37"/>
      <c r="E193" s="37"/>
    </row>
    <row r="194" spans="1:5">
      <c r="A194" s="37"/>
      <c r="B194" s="37"/>
      <c r="C194" s="37"/>
      <c r="D194" s="37"/>
      <c r="E194" s="37"/>
    </row>
    <row r="195" spans="1:5">
      <c r="A195" s="37"/>
      <c r="B195" s="37"/>
      <c r="C195" s="37"/>
      <c r="D195" s="37"/>
      <c r="E195" s="37"/>
    </row>
    <row r="196" spans="1:5">
      <c r="A196" s="37"/>
      <c r="B196" s="37"/>
      <c r="C196" s="37"/>
      <c r="D196" s="37"/>
      <c r="E196" s="37"/>
    </row>
    <row r="197" spans="1:5">
      <c r="A197" s="37"/>
      <c r="B197" s="37"/>
      <c r="C197" s="37"/>
      <c r="D197" s="37"/>
      <c r="E197" s="37"/>
    </row>
    <row r="198" spans="1:5">
      <c r="A198" s="37"/>
      <c r="B198" s="37"/>
      <c r="C198" s="37"/>
      <c r="D198" s="37"/>
      <c r="E198" s="37"/>
    </row>
    <row r="199" spans="1:5">
      <c r="A199" s="37"/>
      <c r="B199" s="37"/>
      <c r="C199" s="37"/>
      <c r="D199" s="37"/>
      <c r="E199" s="37"/>
    </row>
    <row r="200" spans="1:5">
      <c r="A200" s="37"/>
      <c r="B200" s="37"/>
      <c r="C200" s="37"/>
      <c r="D200" s="37"/>
      <c r="E200" s="37"/>
    </row>
    <row r="201" spans="1:5">
      <c r="A201" s="37"/>
      <c r="B201" s="37"/>
      <c r="C201" s="37"/>
      <c r="D201" s="37"/>
      <c r="E201" s="37"/>
    </row>
    <row r="202" spans="1:5">
      <c r="A202" s="37"/>
      <c r="B202" s="37"/>
      <c r="C202" s="37"/>
      <c r="D202" s="37"/>
      <c r="E202" s="37"/>
    </row>
    <row r="203" spans="1:5">
      <c r="A203" s="37"/>
      <c r="B203" s="37"/>
      <c r="C203" s="37"/>
      <c r="D203" s="37"/>
      <c r="E203" s="37"/>
    </row>
    <row r="204" spans="1:5">
      <c r="A204" s="37"/>
      <c r="B204" s="37"/>
      <c r="C204" s="37"/>
      <c r="D204" s="37"/>
      <c r="E204" s="37"/>
    </row>
    <row r="205" spans="1:5">
      <c r="A205" s="37"/>
      <c r="B205" s="37"/>
      <c r="C205" s="37"/>
      <c r="D205" s="37"/>
      <c r="E205" s="37"/>
    </row>
    <row r="206" spans="1:5">
      <c r="A206" s="37"/>
      <c r="B206" s="37"/>
      <c r="C206" s="37"/>
      <c r="D206" s="37"/>
      <c r="E206" s="37"/>
    </row>
    <row r="207" spans="1:5">
      <c r="A207" s="37"/>
      <c r="B207" s="37"/>
      <c r="C207" s="37"/>
      <c r="D207" s="37"/>
      <c r="E207" s="37"/>
    </row>
    <row r="208" spans="1:5">
      <c r="A208" s="37"/>
      <c r="B208" s="37"/>
      <c r="C208" s="37"/>
      <c r="D208" s="37"/>
      <c r="E208" s="37"/>
    </row>
    <row r="209" spans="1:5">
      <c r="A209" s="37"/>
      <c r="B209" s="37"/>
      <c r="C209" s="37"/>
      <c r="D209" s="37"/>
      <c r="E209" s="37"/>
    </row>
    <row r="210" spans="1:5">
      <c r="A210" s="37"/>
      <c r="B210" s="37"/>
      <c r="C210" s="37"/>
      <c r="D210" s="37"/>
      <c r="E210" s="37"/>
    </row>
    <row r="211" spans="1:5">
      <c r="A211" s="37"/>
      <c r="B211" s="37"/>
      <c r="C211" s="37"/>
      <c r="D211" s="37"/>
      <c r="E211" s="37"/>
    </row>
    <row r="212" spans="1:5">
      <c r="A212" s="37"/>
      <c r="B212" s="37"/>
      <c r="C212" s="37"/>
      <c r="D212" s="37"/>
      <c r="E212" s="37"/>
    </row>
    <row r="213" spans="1:5">
      <c r="A213" s="37"/>
      <c r="B213" s="37"/>
      <c r="C213" s="37"/>
      <c r="D213" s="37"/>
      <c r="E213" s="37"/>
    </row>
    <row r="214" spans="1:5">
      <c r="A214" s="37"/>
      <c r="B214" s="37"/>
      <c r="C214" s="37"/>
      <c r="D214" s="37"/>
      <c r="E214" s="37"/>
    </row>
    <row r="215" spans="1:5">
      <c r="A215" s="37"/>
      <c r="B215" s="37"/>
      <c r="C215" s="37"/>
      <c r="D215" s="37"/>
      <c r="E215" s="37"/>
    </row>
    <row r="216" spans="1:5">
      <c r="A216" s="37"/>
      <c r="B216" s="37"/>
      <c r="C216" s="37"/>
      <c r="D216" s="37"/>
      <c r="E216" s="37"/>
    </row>
    <row r="217" spans="1:5">
      <c r="A217" s="37"/>
      <c r="B217" s="37"/>
      <c r="C217" s="37"/>
      <c r="D217" s="37"/>
      <c r="E217" s="37"/>
    </row>
    <row r="218" spans="1:5">
      <c r="A218" s="37"/>
      <c r="B218" s="37"/>
      <c r="C218" s="37"/>
      <c r="D218" s="37"/>
      <c r="E218" s="37"/>
    </row>
    <row r="219" spans="1:5">
      <c r="A219" s="37"/>
      <c r="B219" s="37"/>
      <c r="C219" s="37"/>
      <c r="D219" s="37"/>
      <c r="E219" s="37"/>
    </row>
    <row r="220" spans="1:5">
      <c r="A220" s="37"/>
      <c r="B220" s="37"/>
      <c r="C220" s="37"/>
      <c r="D220" s="37"/>
      <c r="E220" s="37"/>
    </row>
    <row r="221" spans="1:5">
      <c r="A221" s="37"/>
      <c r="B221" s="37"/>
      <c r="C221" s="37"/>
      <c r="D221" s="37"/>
      <c r="E221" s="37"/>
    </row>
    <row r="222" spans="1:5">
      <c r="A222" s="37"/>
      <c r="B222" s="37"/>
      <c r="C222" s="37"/>
      <c r="D222" s="37"/>
      <c r="E222" s="37"/>
    </row>
    <row r="223" spans="1:5">
      <c r="A223" s="37"/>
      <c r="B223" s="37"/>
      <c r="C223" s="37"/>
      <c r="D223" s="37"/>
      <c r="E223" s="37"/>
    </row>
    <row r="224" spans="1:5">
      <c r="A224" s="37"/>
      <c r="B224" s="37"/>
      <c r="C224" s="37"/>
      <c r="D224" s="37"/>
      <c r="E224" s="37"/>
    </row>
    <row r="225" spans="1:5">
      <c r="A225" s="37"/>
      <c r="B225" s="37"/>
      <c r="C225" s="37"/>
      <c r="D225" s="37"/>
      <c r="E225" s="37"/>
    </row>
    <row r="226" spans="1:5">
      <c r="A226" s="37"/>
      <c r="B226" s="37"/>
      <c r="C226" s="37"/>
      <c r="D226" s="37"/>
      <c r="E226" s="37"/>
    </row>
    <row r="227" spans="1:5">
      <c r="A227" s="37"/>
      <c r="B227" s="37"/>
      <c r="C227" s="37"/>
      <c r="D227" s="37"/>
      <c r="E227" s="37"/>
    </row>
    <row r="228" spans="1:5">
      <c r="A228" s="37"/>
      <c r="B228" s="37"/>
      <c r="C228" s="37"/>
      <c r="D228" s="37"/>
      <c r="E228" s="37"/>
    </row>
    <row r="229" spans="1:5">
      <c r="A229" s="37"/>
      <c r="B229" s="37"/>
      <c r="C229" s="37"/>
      <c r="D229" s="37"/>
      <c r="E229" s="37"/>
    </row>
    <row r="230" spans="1:5">
      <c r="A230" s="37"/>
      <c r="B230" s="37"/>
      <c r="C230" s="37"/>
      <c r="D230" s="37"/>
      <c r="E230" s="37"/>
    </row>
    <row r="231" spans="1:5">
      <c r="A231" s="37"/>
      <c r="B231" s="37"/>
      <c r="C231" s="37"/>
      <c r="D231" s="37"/>
      <c r="E231" s="37"/>
    </row>
    <row r="232" spans="1:5">
      <c r="A232" s="37"/>
      <c r="B232" s="37"/>
      <c r="C232" s="37"/>
      <c r="D232" s="37"/>
      <c r="E232" s="37"/>
    </row>
    <row r="233" spans="1:5">
      <c r="A233" s="37"/>
      <c r="B233" s="37"/>
      <c r="C233" s="37"/>
      <c r="D233" s="37"/>
      <c r="E233" s="37"/>
    </row>
    <row r="234" spans="1:5">
      <c r="A234" s="37"/>
      <c r="B234" s="37"/>
      <c r="C234" s="37"/>
      <c r="D234" s="37"/>
      <c r="E234" s="37"/>
    </row>
    <row r="235" spans="1:5">
      <c r="A235" s="37"/>
      <c r="B235" s="37"/>
      <c r="C235" s="37"/>
      <c r="D235" s="37"/>
      <c r="E235" s="37"/>
    </row>
    <row r="236" spans="1:5">
      <c r="A236" s="37"/>
      <c r="B236" s="37"/>
      <c r="C236" s="37"/>
      <c r="D236" s="37"/>
      <c r="E236" s="37"/>
    </row>
    <row r="237" spans="1:5">
      <c r="A237" s="37"/>
      <c r="B237" s="37"/>
      <c r="C237" s="37"/>
      <c r="D237" s="37"/>
      <c r="E237" s="37"/>
    </row>
    <row r="238" spans="1:5">
      <c r="A238" s="37"/>
      <c r="B238" s="37"/>
      <c r="C238" s="37"/>
      <c r="D238" s="37"/>
      <c r="E238" s="37"/>
    </row>
    <row r="239" spans="1:5">
      <c r="A239" s="37"/>
      <c r="B239" s="37"/>
      <c r="C239" s="37"/>
      <c r="D239" s="37"/>
      <c r="E239" s="37"/>
    </row>
    <row r="240" spans="1:5">
      <c r="A240" s="37"/>
      <c r="B240" s="37"/>
      <c r="C240" s="37"/>
      <c r="D240" s="37"/>
      <c r="E240" s="37"/>
    </row>
    <row r="241" spans="1:5">
      <c r="A241" s="37"/>
      <c r="B241" s="37"/>
      <c r="C241" s="37"/>
      <c r="D241" s="37"/>
      <c r="E241" s="37"/>
    </row>
    <row r="242" spans="1:5">
      <c r="A242" s="37"/>
      <c r="B242" s="37"/>
      <c r="C242" s="37"/>
      <c r="D242" s="37"/>
      <c r="E242" s="37"/>
    </row>
    <row r="243" spans="1:5">
      <c r="A243" s="37"/>
      <c r="B243" s="37"/>
      <c r="C243" s="37"/>
      <c r="D243" s="37"/>
      <c r="E243" s="37"/>
    </row>
    <row r="244" spans="1:5">
      <c r="A244" s="37"/>
      <c r="B244" s="37"/>
      <c r="C244" s="37"/>
      <c r="D244" s="37"/>
      <c r="E244" s="37"/>
    </row>
    <row r="245" spans="1:5">
      <c r="A245" s="37"/>
      <c r="B245" s="37"/>
      <c r="C245" s="37"/>
      <c r="D245" s="37"/>
      <c r="E245" s="37"/>
    </row>
    <row r="246" spans="1:5">
      <c r="A246" s="37"/>
      <c r="B246" s="37"/>
      <c r="C246" s="37"/>
      <c r="D246" s="37"/>
      <c r="E246" s="37"/>
    </row>
    <row r="247" spans="1:5">
      <c r="A247" s="37"/>
      <c r="B247" s="37"/>
      <c r="C247" s="37"/>
      <c r="D247" s="37"/>
      <c r="E247" s="37"/>
    </row>
    <row r="248" spans="1:5">
      <c r="A248" s="37"/>
      <c r="B248" s="37"/>
      <c r="C248" s="37"/>
      <c r="D248" s="37"/>
      <c r="E248" s="37"/>
    </row>
    <row r="249" spans="1:5">
      <c r="A249" s="37"/>
      <c r="B249" s="37"/>
      <c r="C249" s="37"/>
      <c r="D249" s="37"/>
      <c r="E249" s="37"/>
    </row>
    <row r="250" spans="1:5">
      <c r="A250" s="37"/>
      <c r="B250" s="37"/>
      <c r="C250" s="37"/>
      <c r="D250" s="37"/>
      <c r="E250" s="37"/>
    </row>
    <row r="251" spans="1:5">
      <c r="A251" s="37"/>
      <c r="B251" s="37"/>
      <c r="C251" s="37"/>
      <c r="D251" s="37"/>
      <c r="E251" s="37"/>
    </row>
    <row r="252" spans="1:5">
      <c r="A252" s="37"/>
      <c r="B252" s="37"/>
      <c r="C252" s="37"/>
      <c r="D252" s="37"/>
      <c r="E252" s="37"/>
    </row>
    <row r="253" spans="1:5">
      <c r="A253" s="37"/>
      <c r="B253" s="37"/>
      <c r="C253" s="37"/>
      <c r="D253" s="37"/>
      <c r="E253" s="37"/>
    </row>
    <row r="254" spans="1:5">
      <c r="A254" s="37"/>
      <c r="B254" s="37"/>
      <c r="C254" s="37"/>
      <c r="D254" s="37"/>
      <c r="E254" s="37"/>
    </row>
    <row r="255" spans="1:5">
      <c r="A255" s="37"/>
      <c r="B255" s="37"/>
      <c r="C255" s="37"/>
      <c r="D255" s="37"/>
      <c r="E255" s="37"/>
    </row>
    <row r="256" spans="1:5">
      <c r="A256" s="37"/>
      <c r="B256" s="37"/>
      <c r="C256" s="37"/>
      <c r="D256" s="37"/>
      <c r="E256" s="37"/>
    </row>
    <row r="257" spans="1:5">
      <c r="A257" s="37"/>
      <c r="B257" s="37"/>
      <c r="C257" s="37"/>
      <c r="D257" s="37"/>
      <c r="E257" s="37"/>
    </row>
    <row r="258" spans="1:5">
      <c r="A258" s="37"/>
      <c r="B258" s="37"/>
      <c r="C258" s="37"/>
      <c r="D258" s="37"/>
      <c r="E258" s="37"/>
    </row>
    <row r="259" spans="1:5">
      <c r="A259" s="37"/>
      <c r="B259" s="37"/>
      <c r="C259" s="37"/>
      <c r="D259" s="37"/>
      <c r="E259" s="37"/>
    </row>
    <row r="260" spans="1:5">
      <c r="A260" s="37"/>
      <c r="B260" s="37"/>
      <c r="C260" s="37"/>
      <c r="D260" s="37"/>
      <c r="E260" s="37"/>
    </row>
    <row r="261" spans="1:5">
      <c r="A261" s="37"/>
      <c r="B261" s="37"/>
      <c r="C261" s="37"/>
      <c r="D261" s="37"/>
      <c r="E261" s="37"/>
    </row>
    <row r="262" spans="1:5">
      <c r="A262" s="37"/>
      <c r="B262" s="37"/>
      <c r="C262" s="37"/>
      <c r="D262" s="37"/>
      <c r="E262" s="37"/>
    </row>
    <row r="263" spans="1:5">
      <c r="A263" s="37"/>
      <c r="B263" s="37"/>
      <c r="C263" s="37"/>
      <c r="D263" s="37"/>
      <c r="E263" s="37"/>
    </row>
    <row r="264" spans="1:5">
      <c r="A264" s="37"/>
      <c r="B264" s="37"/>
      <c r="C264" s="37"/>
      <c r="D264" s="37"/>
      <c r="E264" s="37"/>
    </row>
    <row r="265" spans="1:5">
      <c r="A265" s="37"/>
      <c r="B265" s="37"/>
      <c r="C265" s="37"/>
      <c r="D265" s="37"/>
      <c r="E265" s="37"/>
    </row>
    <row r="266" spans="1:5">
      <c r="A266" s="37"/>
      <c r="B266" s="37"/>
      <c r="C266" s="37"/>
      <c r="D266" s="37"/>
      <c r="E266" s="37"/>
    </row>
    <row r="267" spans="1:5">
      <c r="A267" s="37"/>
      <c r="B267" s="37"/>
      <c r="C267" s="37"/>
      <c r="D267" s="37"/>
      <c r="E267" s="37"/>
    </row>
    <row r="268" spans="1:5">
      <c r="A268" s="37"/>
      <c r="B268" s="37"/>
      <c r="C268" s="37"/>
      <c r="D268" s="37"/>
      <c r="E268" s="37"/>
    </row>
    <row r="269" spans="1:5">
      <c r="A269" s="37"/>
      <c r="B269" s="37"/>
      <c r="C269" s="37"/>
      <c r="D269" s="37"/>
      <c r="E269" s="37"/>
    </row>
    <row r="270" spans="1:5">
      <c r="A270" s="37"/>
      <c r="B270" s="37"/>
      <c r="C270" s="37"/>
      <c r="D270" s="37"/>
      <c r="E270" s="37"/>
    </row>
    <row r="271" spans="1:5">
      <c r="A271" s="37"/>
      <c r="B271" s="37"/>
      <c r="C271" s="37"/>
      <c r="D271" s="37"/>
      <c r="E271" s="37"/>
    </row>
    <row r="272" spans="1:5">
      <c r="A272" s="37"/>
      <c r="B272" s="37"/>
      <c r="C272" s="37"/>
      <c r="D272" s="37"/>
      <c r="E272" s="37"/>
    </row>
    <row r="273" spans="1:5">
      <c r="A273" s="37"/>
      <c r="B273" s="37"/>
      <c r="C273" s="37"/>
      <c r="D273" s="37"/>
      <c r="E273" s="37"/>
    </row>
    <row r="274" spans="1:5">
      <c r="A274" s="37"/>
      <c r="B274" s="37"/>
      <c r="C274" s="37"/>
      <c r="D274" s="37"/>
      <c r="E274" s="37"/>
    </row>
    <row r="275" spans="1:5">
      <c r="A275" s="37"/>
      <c r="B275" s="37"/>
      <c r="C275" s="37"/>
      <c r="D275" s="37"/>
      <c r="E275" s="37"/>
    </row>
    <row r="276" spans="1:5">
      <c r="A276" s="37"/>
      <c r="B276" s="37"/>
      <c r="C276" s="37"/>
      <c r="D276" s="37"/>
      <c r="E276" s="37"/>
    </row>
    <row r="277" spans="1:5">
      <c r="A277" s="37"/>
      <c r="B277" s="37"/>
      <c r="C277" s="37"/>
      <c r="D277" s="37"/>
      <c r="E277" s="37"/>
    </row>
    <row r="278" spans="1:5">
      <c r="A278" s="37"/>
      <c r="B278" s="37"/>
      <c r="C278" s="37"/>
      <c r="D278" s="37"/>
      <c r="E278" s="37"/>
    </row>
    <row r="279" spans="1:5">
      <c r="A279" s="37"/>
      <c r="B279" s="37"/>
      <c r="C279" s="37"/>
      <c r="D279" s="37"/>
      <c r="E279" s="37"/>
    </row>
    <row r="280" spans="1:5">
      <c r="A280" s="37"/>
      <c r="B280" s="37"/>
      <c r="C280" s="37"/>
      <c r="D280" s="37"/>
      <c r="E280" s="37"/>
    </row>
    <row r="281" spans="1:5">
      <c r="A281" s="37"/>
      <c r="B281" s="37"/>
      <c r="C281" s="37"/>
      <c r="D281" s="37"/>
      <c r="E281" s="37"/>
    </row>
    <row r="282" spans="1:5">
      <c r="A282" s="37"/>
      <c r="B282" s="37"/>
      <c r="C282" s="37"/>
      <c r="D282" s="37"/>
      <c r="E282" s="37"/>
    </row>
    <row r="283" spans="1:5">
      <c r="A283" s="37"/>
      <c r="B283" s="37"/>
      <c r="C283" s="37"/>
      <c r="D283" s="37"/>
      <c r="E283" s="37"/>
    </row>
    <row r="284" spans="1:5">
      <c r="A284" s="37"/>
      <c r="B284" s="37"/>
      <c r="C284" s="37"/>
      <c r="D284" s="37"/>
      <c r="E284" s="37"/>
    </row>
    <row r="285" spans="1:5">
      <c r="A285" s="37"/>
      <c r="B285" s="37"/>
      <c r="C285" s="37"/>
      <c r="D285" s="37"/>
      <c r="E285" s="37"/>
    </row>
    <row r="286" spans="1:5">
      <c r="A286" s="37"/>
      <c r="B286" s="37"/>
      <c r="C286" s="37"/>
      <c r="D286" s="37"/>
      <c r="E286" s="37"/>
    </row>
    <row r="287" spans="1:5">
      <c r="A287" s="37"/>
      <c r="B287" s="37"/>
      <c r="C287" s="37"/>
      <c r="D287" s="37"/>
      <c r="E287" s="37"/>
    </row>
    <row r="288" spans="1:5">
      <c r="A288" s="37"/>
      <c r="B288" s="37"/>
      <c r="C288" s="37"/>
      <c r="D288" s="37"/>
      <c r="E288" s="37"/>
    </row>
    <row r="289" spans="1:5">
      <c r="A289" s="37"/>
      <c r="B289" s="37"/>
      <c r="C289" s="37"/>
      <c r="D289" s="37"/>
      <c r="E289" s="37"/>
    </row>
    <row r="290" spans="1:5">
      <c r="A290" s="37"/>
      <c r="B290" s="37"/>
      <c r="C290" s="37"/>
      <c r="D290" s="37"/>
      <c r="E290" s="37"/>
    </row>
    <row r="291" spans="1:5">
      <c r="A291" s="37"/>
      <c r="B291" s="37"/>
      <c r="C291" s="37"/>
      <c r="D291" s="37"/>
      <c r="E291" s="37"/>
    </row>
    <row r="292" spans="1:5">
      <c r="A292" s="37"/>
      <c r="B292" s="37"/>
      <c r="C292" s="37"/>
      <c r="D292" s="37"/>
      <c r="E292" s="37"/>
    </row>
    <row r="293" spans="1:5">
      <c r="A293" s="37"/>
      <c r="B293" s="37"/>
      <c r="C293" s="37"/>
      <c r="D293" s="37"/>
      <c r="E293" s="37"/>
    </row>
    <row r="294" spans="1:5">
      <c r="A294" s="37"/>
      <c r="B294" s="37"/>
      <c r="C294" s="37"/>
      <c r="D294" s="37"/>
      <c r="E294" s="37"/>
    </row>
    <row r="295" spans="1:5">
      <c r="A295" s="37"/>
      <c r="B295" s="37"/>
      <c r="C295" s="37"/>
      <c r="D295" s="37"/>
      <c r="E295" s="37"/>
    </row>
    <row r="296" spans="1:5">
      <c r="A296" s="37"/>
      <c r="B296" s="37"/>
      <c r="C296" s="37"/>
      <c r="D296" s="37"/>
      <c r="E296" s="37"/>
    </row>
    <row r="297" spans="1:5">
      <c r="A297" s="37"/>
      <c r="B297" s="37"/>
      <c r="C297" s="37"/>
      <c r="D297" s="37"/>
      <c r="E297" s="37"/>
    </row>
    <row r="298" spans="1:5">
      <c r="A298" s="37"/>
      <c r="B298" s="37"/>
      <c r="C298" s="37"/>
      <c r="D298" s="37"/>
      <c r="E298" s="37"/>
    </row>
    <row r="299" spans="1:5">
      <c r="A299" s="37"/>
      <c r="B299" s="37"/>
      <c r="C299" s="37"/>
      <c r="D299" s="37"/>
      <c r="E299" s="37"/>
    </row>
    <row r="300" spans="1:5">
      <c r="A300" s="37"/>
      <c r="B300" s="37"/>
      <c r="C300" s="37"/>
      <c r="D300" s="37"/>
      <c r="E300" s="37"/>
    </row>
    <row r="301" spans="1:5">
      <c r="A301" s="37"/>
      <c r="B301" s="37"/>
      <c r="C301" s="37"/>
      <c r="D301" s="37"/>
      <c r="E301" s="37"/>
    </row>
    <row r="302" spans="1:5">
      <c r="A302" s="37"/>
      <c r="B302" s="37"/>
      <c r="C302" s="37"/>
      <c r="D302" s="37"/>
      <c r="E302" s="37"/>
    </row>
    <row r="303" spans="1:5">
      <c r="A303" s="37"/>
      <c r="B303" s="37"/>
      <c r="C303" s="37"/>
      <c r="D303" s="37"/>
      <c r="E303" s="37"/>
    </row>
    <row r="304" spans="1:5">
      <c r="A304" s="37"/>
      <c r="B304" s="37"/>
      <c r="C304" s="37"/>
      <c r="D304" s="37"/>
      <c r="E304" s="37"/>
    </row>
    <row r="305" spans="1:5">
      <c r="A305" s="37"/>
      <c r="B305" s="37"/>
      <c r="C305" s="37"/>
      <c r="D305" s="37"/>
      <c r="E305" s="37"/>
    </row>
    <row r="306" spans="1:5">
      <c r="A306" s="37"/>
      <c r="B306" s="37"/>
      <c r="C306" s="37"/>
      <c r="D306" s="37"/>
      <c r="E306" s="37"/>
    </row>
    <row r="307" spans="1:5">
      <c r="A307" s="37"/>
      <c r="B307" s="37"/>
      <c r="C307" s="37"/>
      <c r="D307" s="37"/>
      <c r="E307" s="37"/>
    </row>
    <row r="308" spans="1:5">
      <c r="A308" s="37"/>
      <c r="B308" s="37"/>
      <c r="C308" s="37"/>
      <c r="D308" s="37"/>
      <c r="E308" s="37"/>
    </row>
    <row r="309" spans="1:5">
      <c r="A309" s="37"/>
      <c r="B309" s="37"/>
      <c r="C309" s="37"/>
      <c r="D309" s="37"/>
      <c r="E309" s="37"/>
    </row>
    <row r="310" spans="1:5">
      <c r="A310" s="37"/>
      <c r="B310" s="37"/>
      <c r="C310" s="37"/>
      <c r="D310" s="37"/>
      <c r="E310" s="37"/>
    </row>
    <row r="311" spans="1:5">
      <c r="A311" s="37"/>
      <c r="B311" s="37"/>
      <c r="C311" s="37"/>
      <c r="D311" s="37"/>
      <c r="E311" s="37"/>
    </row>
    <row r="312" spans="1:5">
      <c r="A312" s="37"/>
      <c r="B312" s="37"/>
      <c r="C312" s="37"/>
      <c r="D312" s="37"/>
      <c r="E312" s="37"/>
    </row>
    <row r="313" spans="1:5">
      <c r="A313" s="37"/>
      <c r="B313" s="37"/>
      <c r="C313" s="37"/>
      <c r="D313" s="37"/>
      <c r="E313" s="37"/>
    </row>
    <row r="314" spans="1:5">
      <c r="A314" s="37"/>
      <c r="B314" s="37"/>
      <c r="C314" s="37"/>
      <c r="D314" s="37"/>
      <c r="E314" s="37"/>
    </row>
    <row r="315" spans="1:5">
      <c r="A315" s="37"/>
      <c r="B315" s="37"/>
      <c r="C315" s="37"/>
      <c r="D315" s="37"/>
      <c r="E315" s="37"/>
    </row>
    <row r="316" spans="1:5">
      <c r="A316" s="37"/>
      <c r="B316" s="37"/>
      <c r="C316" s="37"/>
      <c r="D316" s="37"/>
      <c r="E316" s="37"/>
    </row>
    <row r="317" spans="1:5">
      <c r="A317" s="37"/>
      <c r="B317" s="37"/>
      <c r="C317" s="37"/>
      <c r="D317" s="37"/>
      <c r="E317" s="37"/>
    </row>
    <row r="318" spans="1:5">
      <c r="A318" s="37"/>
      <c r="B318" s="37"/>
      <c r="C318" s="37"/>
      <c r="D318" s="37"/>
      <c r="E318" s="37"/>
    </row>
    <row r="319" spans="1:5">
      <c r="A319" s="37"/>
      <c r="B319" s="37"/>
      <c r="C319" s="37"/>
      <c r="D319" s="37"/>
      <c r="E319" s="37"/>
    </row>
    <row r="320" spans="1:5">
      <c r="A320" s="37"/>
      <c r="B320" s="37"/>
      <c r="C320" s="37"/>
      <c r="D320" s="37"/>
      <c r="E320" s="37"/>
    </row>
    <row r="321" spans="1:5">
      <c r="A321" s="37"/>
      <c r="B321" s="37"/>
      <c r="C321" s="37"/>
      <c r="D321" s="37"/>
      <c r="E321" s="37"/>
    </row>
    <row r="322" spans="1:5">
      <c r="A322" s="37"/>
      <c r="B322" s="37"/>
      <c r="C322" s="37"/>
      <c r="D322" s="37"/>
      <c r="E322" s="37"/>
    </row>
    <row r="323" spans="1:5">
      <c r="A323" s="37"/>
      <c r="B323" s="37"/>
      <c r="C323" s="37"/>
      <c r="D323" s="37"/>
      <c r="E323" s="37"/>
    </row>
    <row r="324" spans="1:5">
      <c r="A324" s="37"/>
      <c r="B324" s="37"/>
      <c r="C324" s="37"/>
      <c r="D324" s="37"/>
      <c r="E324" s="37"/>
    </row>
    <row r="325" spans="1:5">
      <c r="A325" s="37"/>
      <c r="B325" s="37"/>
      <c r="C325" s="37"/>
      <c r="D325" s="37"/>
      <c r="E325" s="37"/>
    </row>
    <row r="326" spans="1:5">
      <c r="A326" s="37"/>
      <c r="B326" s="37"/>
      <c r="C326" s="37"/>
      <c r="D326" s="37"/>
      <c r="E326" s="37"/>
    </row>
    <row r="327" spans="1:5">
      <c r="A327" s="37"/>
      <c r="B327" s="37"/>
      <c r="C327" s="37"/>
      <c r="D327" s="37"/>
      <c r="E327" s="37"/>
    </row>
    <row r="328" spans="1:5">
      <c r="A328" s="37"/>
      <c r="B328" s="37"/>
      <c r="C328" s="37"/>
      <c r="D328" s="37"/>
      <c r="E328" s="37"/>
    </row>
    <row r="329" spans="1:5">
      <c r="A329" s="37"/>
      <c r="B329" s="37"/>
      <c r="C329" s="37"/>
      <c r="D329" s="37"/>
      <c r="E329" s="37"/>
    </row>
    <row r="330" spans="1:5">
      <c r="A330" s="37"/>
      <c r="B330" s="37"/>
      <c r="C330" s="37"/>
      <c r="D330" s="37"/>
      <c r="E330" s="37"/>
    </row>
    <row r="331" spans="1:5">
      <c r="A331" s="37"/>
      <c r="B331" s="37"/>
      <c r="C331" s="37"/>
      <c r="D331" s="37"/>
      <c r="E331" s="37"/>
    </row>
    <row r="332" spans="1:5">
      <c r="A332" s="37"/>
      <c r="B332" s="37"/>
      <c r="C332" s="37"/>
      <c r="D332" s="37"/>
      <c r="E332" s="37"/>
    </row>
    <row r="333" spans="1:5">
      <c r="A333" s="37"/>
      <c r="B333" s="37"/>
      <c r="C333" s="37"/>
      <c r="D333" s="37"/>
      <c r="E333" s="37"/>
    </row>
    <row r="334" spans="1:5">
      <c r="A334" s="37"/>
      <c r="B334" s="37"/>
      <c r="C334" s="37"/>
      <c r="D334" s="37"/>
      <c r="E334" s="37"/>
    </row>
    <row r="335" spans="1:5">
      <c r="A335" s="37"/>
      <c r="B335" s="37"/>
      <c r="C335" s="37"/>
      <c r="D335" s="37"/>
      <c r="E335" s="37"/>
    </row>
    <row r="336" spans="1:5">
      <c r="A336" s="37"/>
      <c r="B336" s="37"/>
      <c r="C336" s="37"/>
      <c r="D336" s="37"/>
      <c r="E336" s="37"/>
    </row>
    <row r="337" spans="1:5">
      <c r="A337" s="37"/>
      <c r="B337" s="37"/>
      <c r="C337" s="37"/>
      <c r="D337" s="37"/>
      <c r="E337" s="37"/>
    </row>
    <row r="338" spans="1:5">
      <c r="A338" s="37"/>
      <c r="B338" s="37"/>
      <c r="C338" s="37"/>
      <c r="D338" s="37"/>
      <c r="E338" s="37"/>
    </row>
    <row r="339" spans="1:5">
      <c r="A339" s="37"/>
      <c r="B339" s="37"/>
      <c r="C339" s="37"/>
      <c r="D339" s="37"/>
      <c r="E339" s="37"/>
    </row>
    <row r="340" spans="1:5">
      <c r="A340" s="37"/>
      <c r="B340" s="37"/>
      <c r="C340" s="37"/>
      <c r="D340" s="37"/>
      <c r="E340" s="37"/>
    </row>
    <row r="341" spans="1:5">
      <c r="A341" s="37"/>
      <c r="B341" s="37"/>
      <c r="C341" s="37"/>
      <c r="D341" s="37"/>
      <c r="E341" s="37"/>
    </row>
    <row r="342" spans="1:5">
      <c r="A342" s="37"/>
      <c r="B342" s="37"/>
      <c r="C342" s="37"/>
      <c r="D342" s="37"/>
      <c r="E342" s="37"/>
    </row>
    <row r="343" spans="1:5">
      <c r="A343" s="37"/>
      <c r="B343" s="37"/>
      <c r="C343" s="37"/>
      <c r="D343" s="37"/>
      <c r="E343" s="37"/>
    </row>
    <row r="344" spans="1:5">
      <c r="A344" s="37"/>
      <c r="B344" s="37"/>
      <c r="C344" s="37"/>
      <c r="D344" s="37"/>
      <c r="E344" s="37"/>
    </row>
    <row r="345" spans="1:5">
      <c r="A345" s="37"/>
      <c r="B345" s="37"/>
      <c r="C345" s="37"/>
      <c r="D345" s="37"/>
      <c r="E345" s="37"/>
    </row>
    <row r="346" spans="1:5">
      <c r="A346" s="37"/>
      <c r="B346" s="37"/>
      <c r="C346" s="37"/>
      <c r="D346" s="37"/>
      <c r="E346" s="37"/>
    </row>
    <row r="347" spans="1:5">
      <c r="A347" s="37"/>
      <c r="B347" s="37"/>
      <c r="C347" s="37"/>
      <c r="D347" s="37"/>
      <c r="E347" s="37"/>
    </row>
    <row r="348" spans="1:5">
      <c r="A348" s="37"/>
      <c r="B348" s="37"/>
      <c r="C348" s="37"/>
      <c r="D348" s="37"/>
      <c r="E348" s="37"/>
    </row>
    <row r="349" spans="1:5">
      <c r="A349" s="37"/>
      <c r="B349" s="37"/>
      <c r="C349" s="37"/>
      <c r="D349" s="37"/>
      <c r="E349" s="37"/>
    </row>
    <row r="350" spans="1:5">
      <c r="A350" s="37"/>
      <c r="B350" s="37"/>
      <c r="C350" s="37"/>
      <c r="D350" s="37"/>
      <c r="E350" s="37"/>
    </row>
    <row r="351" spans="1:5">
      <c r="A351" s="37"/>
      <c r="B351" s="37"/>
      <c r="C351" s="37"/>
      <c r="D351" s="37"/>
      <c r="E351" s="37"/>
    </row>
    <row r="352" spans="1:5">
      <c r="A352" s="37"/>
      <c r="B352" s="37"/>
      <c r="C352" s="37"/>
      <c r="D352" s="37"/>
      <c r="E352" s="37"/>
    </row>
    <row r="353" spans="1:5">
      <c r="A353" s="37"/>
      <c r="B353" s="37"/>
      <c r="C353" s="37"/>
      <c r="D353" s="37"/>
      <c r="E353" s="37"/>
    </row>
    <row r="354" spans="1:5">
      <c r="A354" s="37"/>
      <c r="B354" s="37"/>
      <c r="C354" s="37"/>
      <c r="D354" s="37"/>
      <c r="E354" s="37"/>
    </row>
    <row r="355" spans="1:5">
      <c r="A355" s="37"/>
      <c r="B355" s="37"/>
      <c r="C355" s="37"/>
      <c r="D355" s="37"/>
      <c r="E355" s="37"/>
    </row>
    <row r="356" spans="1:5">
      <c r="A356" s="37"/>
      <c r="B356" s="37"/>
      <c r="C356" s="37"/>
      <c r="D356" s="37"/>
      <c r="E356" s="37"/>
    </row>
    <row r="357" spans="1:5">
      <c r="A357" s="37"/>
      <c r="B357" s="37"/>
      <c r="C357" s="37"/>
      <c r="D357" s="37"/>
      <c r="E357" s="37"/>
    </row>
    <row r="358" spans="1:5">
      <c r="A358" s="37"/>
      <c r="B358" s="37"/>
      <c r="C358" s="37"/>
      <c r="D358" s="37"/>
      <c r="E358" s="37"/>
    </row>
    <row r="359" spans="1:5">
      <c r="A359" s="37"/>
      <c r="B359" s="37"/>
      <c r="C359" s="37"/>
      <c r="D359" s="37"/>
      <c r="E359" s="37"/>
    </row>
    <row r="360" spans="1:5">
      <c r="A360" s="37"/>
      <c r="B360" s="37"/>
      <c r="C360" s="37"/>
      <c r="D360" s="37"/>
      <c r="E360" s="37"/>
    </row>
    <row r="361" spans="1:5">
      <c r="A361" s="37"/>
      <c r="B361" s="37"/>
      <c r="C361" s="37"/>
      <c r="D361" s="37"/>
      <c r="E361" s="37"/>
    </row>
    <row r="362" spans="1:5">
      <c r="A362" s="37"/>
      <c r="B362" s="37"/>
      <c r="C362" s="37"/>
      <c r="D362" s="37"/>
      <c r="E362" s="37"/>
    </row>
    <row r="363" spans="1:5">
      <c r="A363" s="37"/>
      <c r="B363" s="37"/>
      <c r="C363" s="37"/>
      <c r="D363" s="37"/>
      <c r="E363" s="37"/>
    </row>
    <row r="364" spans="1:5">
      <c r="A364" s="37"/>
      <c r="B364" s="37"/>
      <c r="C364" s="37"/>
      <c r="D364" s="37"/>
      <c r="E364" s="37"/>
    </row>
    <row r="365" spans="1:5">
      <c r="A365" s="37"/>
      <c r="B365" s="37"/>
      <c r="C365" s="37"/>
      <c r="D365" s="37"/>
      <c r="E365" s="37"/>
    </row>
    <row r="366" spans="1:5">
      <c r="A366" s="37"/>
      <c r="B366" s="37"/>
      <c r="C366" s="37"/>
      <c r="D366" s="37"/>
      <c r="E366" s="37"/>
    </row>
    <row r="367" spans="1:5">
      <c r="A367" s="37"/>
      <c r="B367" s="37"/>
      <c r="C367" s="37"/>
      <c r="D367" s="37"/>
      <c r="E367" s="37"/>
    </row>
    <row r="368" spans="1:5">
      <c r="A368" s="37"/>
      <c r="B368" s="37"/>
      <c r="C368" s="37"/>
      <c r="D368" s="37"/>
      <c r="E368" s="37"/>
    </row>
    <row r="369" spans="1:5">
      <c r="A369" s="37"/>
      <c r="B369" s="37"/>
      <c r="C369" s="37"/>
      <c r="D369" s="37"/>
      <c r="E369" s="37"/>
    </row>
    <row r="370" spans="1:5">
      <c r="A370" s="37"/>
      <c r="B370" s="37"/>
      <c r="C370" s="37"/>
      <c r="D370" s="37"/>
      <c r="E370" s="37"/>
    </row>
    <row r="371" spans="1:5">
      <c r="A371" s="37"/>
      <c r="B371" s="37"/>
      <c r="C371" s="37"/>
      <c r="D371" s="37"/>
      <c r="E371" s="37"/>
    </row>
    <row r="372" spans="1:5">
      <c r="A372" s="37"/>
      <c r="B372" s="37"/>
      <c r="C372" s="37"/>
      <c r="D372" s="37"/>
      <c r="E372" s="37"/>
    </row>
    <row r="373" spans="1:5">
      <c r="A373" s="37"/>
      <c r="B373" s="37"/>
      <c r="C373" s="37"/>
      <c r="D373" s="37"/>
      <c r="E373" s="37"/>
    </row>
    <row r="374" spans="1:5">
      <c r="A374" s="37"/>
      <c r="B374" s="37"/>
      <c r="C374" s="37"/>
      <c r="D374" s="37"/>
      <c r="E374" s="37"/>
    </row>
    <row r="375" spans="1:5">
      <c r="A375" s="37"/>
      <c r="B375" s="37"/>
      <c r="C375" s="37"/>
      <c r="D375" s="37"/>
      <c r="E375" s="37"/>
    </row>
    <row r="376" spans="1:5">
      <c r="A376" s="37"/>
      <c r="B376" s="37"/>
      <c r="C376" s="37"/>
      <c r="D376" s="37"/>
      <c r="E376" s="37"/>
    </row>
    <row r="377" spans="1:5">
      <c r="A377" s="37"/>
      <c r="B377" s="37"/>
      <c r="C377" s="37"/>
      <c r="D377" s="37"/>
      <c r="E377" s="37"/>
    </row>
    <row r="378" spans="1:5">
      <c r="A378" s="37"/>
      <c r="B378" s="37"/>
      <c r="C378" s="37"/>
      <c r="D378" s="37"/>
      <c r="E378" s="37"/>
    </row>
    <row r="379" spans="1:5">
      <c r="A379" s="37"/>
      <c r="B379" s="37"/>
      <c r="C379" s="37"/>
      <c r="D379" s="37"/>
      <c r="E379" s="37"/>
    </row>
    <row r="380" spans="1:5">
      <c r="A380" s="37"/>
      <c r="B380" s="37"/>
      <c r="C380" s="37"/>
      <c r="D380" s="37"/>
      <c r="E380" s="37"/>
    </row>
    <row r="381" spans="1:5">
      <c r="A381" s="37"/>
      <c r="B381" s="37"/>
      <c r="C381" s="37"/>
      <c r="D381" s="37"/>
      <c r="E381" s="37"/>
    </row>
    <row r="382" spans="1:5">
      <c r="A382" s="37"/>
      <c r="B382" s="37"/>
      <c r="C382" s="37"/>
      <c r="D382" s="37"/>
      <c r="E382" s="37"/>
    </row>
    <row r="383" spans="1:5">
      <c r="A383" s="37"/>
      <c r="B383" s="37"/>
      <c r="C383" s="37"/>
      <c r="D383" s="37"/>
      <c r="E383" s="37"/>
    </row>
    <row r="384" spans="1:5">
      <c r="A384" s="37"/>
      <c r="B384" s="37"/>
      <c r="C384" s="37"/>
      <c r="D384" s="37"/>
      <c r="E384" s="37"/>
    </row>
    <row r="385" spans="1:5">
      <c r="A385" s="37"/>
      <c r="B385" s="37"/>
      <c r="C385" s="37"/>
      <c r="D385" s="37"/>
      <c r="E385" s="37"/>
    </row>
    <row r="386" spans="1:5">
      <c r="A386" s="37"/>
      <c r="B386" s="37"/>
      <c r="C386" s="37"/>
      <c r="D386" s="37"/>
      <c r="E386" s="37"/>
    </row>
    <row r="387" spans="1:5">
      <c r="A387" s="37"/>
      <c r="B387" s="37"/>
      <c r="C387" s="37"/>
      <c r="D387" s="37"/>
      <c r="E387" s="37"/>
    </row>
    <row r="388" spans="1:5">
      <c r="A388" s="37"/>
      <c r="B388" s="37"/>
      <c r="C388" s="37"/>
      <c r="D388" s="37"/>
      <c r="E388" s="37"/>
    </row>
    <row r="389" spans="1:5">
      <c r="A389" s="37"/>
      <c r="B389" s="37"/>
      <c r="C389" s="37"/>
      <c r="D389" s="37"/>
      <c r="E389" s="37"/>
    </row>
    <row r="390" spans="1:5">
      <c r="A390" s="37"/>
      <c r="B390" s="37"/>
      <c r="C390" s="37"/>
      <c r="D390" s="37"/>
      <c r="E390" s="37"/>
    </row>
    <row r="391" spans="1:5">
      <c r="A391" s="37"/>
      <c r="B391" s="37"/>
      <c r="C391" s="37"/>
      <c r="D391" s="37"/>
      <c r="E391" s="37"/>
    </row>
    <row r="392" spans="1:5">
      <c r="A392" s="37"/>
      <c r="B392" s="37"/>
      <c r="C392" s="37"/>
      <c r="D392" s="37"/>
      <c r="E392" s="37"/>
    </row>
    <row r="393" spans="1:5">
      <c r="A393" s="37"/>
      <c r="B393" s="37"/>
      <c r="C393" s="37"/>
      <c r="D393" s="37"/>
      <c r="E393" s="37"/>
    </row>
    <row r="394" spans="1:5">
      <c r="A394" s="37"/>
      <c r="B394" s="37"/>
      <c r="C394" s="37"/>
      <c r="D394" s="37"/>
      <c r="E394" s="37"/>
    </row>
    <row r="395" spans="1:5">
      <c r="A395" s="37"/>
      <c r="B395" s="37"/>
      <c r="C395" s="37"/>
      <c r="D395" s="37"/>
      <c r="E395" s="37"/>
    </row>
    <row r="396" spans="1:5">
      <c r="A396" s="37"/>
      <c r="B396" s="37"/>
      <c r="C396" s="37"/>
      <c r="D396" s="37"/>
      <c r="E396" s="37"/>
    </row>
    <row r="397" spans="1:5">
      <c r="A397" s="37"/>
      <c r="B397" s="37"/>
      <c r="C397" s="37"/>
      <c r="D397" s="37"/>
      <c r="E397" s="37"/>
    </row>
    <row r="398" spans="1:5">
      <c r="A398" s="37"/>
      <c r="B398" s="37"/>
      <c r="C398" s="37"/>
      <c r="D398" s="37"/>
      <c r="E398" s="37"/>
    </row>
    <row r="399" spans="1:5">
      <c r="A399" s="37"/>
      <c r="B399" s="37"/>
      <c r="C399" s="37"/>
      <c r="D399" s="37"/>
      <c r="E399" s="37"/>
    </row>
    <row r="400" spans="1:5">
      <c r="A400" s="37"/>
      <c r="B400" s="37"/>
      <c r="C400" s="37"/>
      <c r="D400" s="37"/>
      <c r="E400" s="37"/>
    </row>
    <row r="401" spans="1:5">
      <c r="A401" s="37"/>
      <c r="B401" s="37"/>
      <c r="C401" s="37"/>
      <c r="D401" s="37"/>
      <c r="E401" s="37"/>
    </row>
    <row r="402" spans="1:5">
      <c r="A402" s="37"/>
      <c r="B402" s="37"/>
      <c r="C402" s="37"/>
      <c r="D402" s="37"/>
      <c r="E402" s="37"/>
    </row>
    <row r="403" spans="1:5">
      <c r="A403" s="37"/>
      <c r="B403" s="37"/>
      <c r="C403" s="37"/>
      <c r="D403" s="37"/>
      <c r="E403" s="37"/>
    </row>
    <row r="404" spans="1:5">
      <c r="A404" s="37"/>
      <c r="B404" s="37"/>
      <c r="C404" s="37"/>
      <c r="D404" s="37"/>
      <c r="E404" s="37"/>
    </row>
    <row r="405" spans="1:5">
      <c r="A405" s="37"/>
      <c r="B405" s="37"/>
      <c r="C405" s="37"/>
      <c r="D405" s="37"/>
      <c r="E405" s="37"/>
    </row>
    <row r="406" spans="1:5">
      <c r="A406" s="37"/>
      <c r="B406" s="37"/>
      <c r="C406" s="37"/>
      <c r="D406" s="37"/>
      <c r="E406" s="37"/>
    </row>
    <row r="407" spans="1:5">
      <c r="A407" s="37"/>
      <c r="B407" s="37"/>
      <c r="C407" s="37"/>
      <c r="D407" s="37"/>
      <c r="E407" s="37"/>
    </row>
    <row r="408" spans="1:5">
      <c r="A408" s="37"/>
      <c r="B408" s="37"/>
      <c r="C408" s="37"/>
      <c r="D408" s="37"/>
      <c r="E408" s="37"/>
    </row>
    <row r="409" spans="1:5">
      <c r="A409" s="37"/>
      <c r="B409" s="37"/>
      <c r="C409" s="37"/>
      <c r="D409" s="37"/>
      <c r="E409" s="37"/>
    </row>
    <row r="410" spans="1:5">
      <c r="A410" s="37"/>
      <c r="B410" s="37"/>
      <c r="C410" s="37"/>
      <c r="D410" s="37"/>
      <c r="E410" s="37"/>
    </row>
    <row r="411" spans="1:5">
      <c r="A411" s="37"/>
      <c r="B411" s="37"/>
      <c r="C411" s="37"/>
      <c r="D411" s="37"/>
      <c r="E411" s="37"/>
    </row>
    <row r="412" spans="1:5">
      <c r="A412" s="37"/>
      <c r="B412" s="37"/>
      <c r="C412" s="37"/>
      <c r="D412" s="37"/>
      <c r="E412" s="37"/>
    </row>
    <row r="413" spans="1:5">
      <c r="A413" s="37"/>
      <c r="B413" s="37"/>
      <c r="C413" s="37"/>
      <c r="D413" s="37"/>
      <c r="E413" s="37"/>
    </row>
    <row r="414" spans="1:5">
      <c r="A414" s="37"/>
      <c r="B414" s="37"/>
      <c r="C414" s="37"/>
      <c r="D414" s="37"/>
      <c r="E414" s="37"/>
    </row>
    <row r="415" spans="1:5">
      <c r="A415" s="37"/>
      <c r="B415" s="37"/>
      <c r="C415" s="37"/>
      <c r="D415" s="37"/>
      <c r="E415" s="37"/>
    </row>
    <row r="416" spans="1:5">
      <c r="A416" s="37"/>
      <c r="B416" s="37"/>
      <c r="C416" s="37"/>
      <c r="D416" s="37"/>
      <c r="E416" s="37"/>
    </row>
    <row r="417" spans="1:5">
      <c r="A417" s="37"/>
      <c r="B417" s="37"/>
      <c r="C417" s="37"/>
      <c r="D417" s="37"/>
      <c r="E417" s="37"/>
    </row>
    <row r="418" spans="1:5">
      <c r="A418" s="37"/>
      <c r="B418" s="37"/>
      <c r="C418" s="37"/>
      <c r="D418" s="37"/>
      <c r="E418" s="37"/>
    </row>
    <row r="419" spans="1:5">
      <c r="A419" s="37"/>
      <c r="B419" s="37"/>
      <c r="C419" s="37"/>
      <c r="D419" s="37"/>
      <c r="E419" s="37"/>
    </row>
    <row r="420" spans="1:5">
      <c r="A420" s="37"/>
      <c r="B420" s="37"/>
      <c r="C420" s="37"/>
      <c r="D420" s="37"/>
      <c r="E420" s="37"/>
    </row>
    <row r="421" spans="1:5">
      <c r="A421" s="37"/>
      <c r="B421" s="37"/>
      <c r="C421" s="37"/>
      <c r="D421" s="37"/>
      <c r="E421" s="37"/>
    </row>
    <row r="422" spans="1:5">
      <c r="A422" s="37"/>
      <c r="B422" s="37"/>
      <c r="C422" s="37"/>
      <c r="D422" s="37"/>
      <c r="E422" s="37"/>
    </row>
    <row r="423" spans="1:5">
      <c r="A423" s="37"/>
      <c r="B423" s="37"/>
      <c r="C423" s="37"/>
      <c r="D423" s="37"/>
      <c r="E423" s="37"/>
    </row>
    <row r="424" spans="1:5">
      <c r="A424" s="37"/>
      <c r="B424" s="37"/>
      <c r="C424" s="37"/>
      <c r="D424" s="37"/>
      <c r="E424" s="37"/>
    </row>
    <row r="425" spans="1:5">
      <c r="A425" s="37"/>
      <c r="B425" s="37"/>
      <c r="C425" s="37"/>
      <c r="D425" s="37"/>
      <c r="E425" s="37"/>
    </row>
    <row r="426" spans="1:5">
      <c r="A426" s="37"/>
      <c r="B426" s="37"/>
      <c r="C426" s="37"/>
      <c r="D426" s="37"/>
      <c r="E426" s="37"/>
    </row>
    <row r="427" spans="1:5">
      <c r="A427" s="37"/>
      <c r="B427" s="37"/>
      <c r="C427" s="37"/>
      <c r="D427" s="37"/>
      <c r="E427" s="37"/>
    </row>
    <row r="428" spans="1:5">
      <c r="A428" s="37"/>
      <c r="B428" s="37"/>
      <c r="C428" s="37"/>
      <c r="D428" s="37"/>
      <c r="E428" s="37"/>
    </row>
    <row r="429" spans="1:5">
      <c r="A429" s="37"/>
      <c r="B429" s="37"/>
      <c r="C429" s="37"/>
      <c r="D429" s="37"/>
      <c r="E429" s="37"/>
    </row>
    <row r="430" spans="1:5">
      <c r="A430" s="37"/>
      <c r="B430" s="37"/>
      <c r="C430" s="37"/>
      <c r="D430" s="37"/>
      <c r="E430" s="37"/>
    </row>
    <row r="431" spans="1:5">
      <c r="A431" s="37"/>
      <c r="B431" s="37"/>
      <c r="C431" s="37"/>
      <c r="D431" s="37"/>
      <c r="E431" s="37"/>
    </row>
    <row r="432" spans="1:5">
      <c r="A432" s="37"/>
      <c r="B432" s="37"/>
      <c r="C432" s="37"/>
      <c r="D432" s="37"/>
      <c r="E432" s="37"/>
    </row>
    <row r="433" spans="1:5">
      <c r="A433" s="37"/>
      <c r="B433" s="37"/>
      <c r="C433" s="37"/>
      <c r="D433" s="37"/>
      <c r="E433" s="37"/>
    </row>
    <row r="434" spans="1:5">
      <c r="A434" s="37"/>
      <c r="B434" s="37"/>
      <c r="C434" s="37"/>
      <c r="D434" s="37"/>
      <c r="E434" s="37"/>
    </row>
    <row r="435" spans="1:5">
      <c r="A435" s="37"/>
      <c r="B435" s="37"/>
      <c r="C435" s="37"/>
      <c r="D435" s="37"/>
      <c r="E435" s="37"/>
    </row>
    <row r="436" spans="1:5">
      <c r="A436" s="37"/>
      <c r="B436" s="37"/>
      <c r="C436" s="37"/>
      <c r="D436" s="37"/>
      <c r="E436" s="37"/>
    </row>
    <row r="437" spans="1:5">
      <c r="A437" s="37"/>
      <c r="B437" s="37"/>
      <c r="C437" s="37"/>
      <c r="D437" s="37"/>
      <c r="E437" s="37"/>
    </row>
    <row r="438" spans="1:5">
      <c r="A438" s="37"/>
      <c r="B438" s="37"/>
      <c r="C438" s="37"/>
      <c r="D438" s="37"/>
      <c r="E438" s="37"/>
    </row>
    <row r="439" spans="1:5">
      <c r="A439" s="37"/>
      <c r="B439" s="37"/>
      <c r="C439" s="37"/>
      <c r="D439" s="37"/>
      <c r="E439" s="37"/>
    </row>
    <row r="440" spans="1:5">
      <c r="A440" s="37"/>
      <c r="B440" s="37"/>
      <c r="C440" s="37"/>
      <c r="D440" s="37"/>
      <c r="E440" s="37"/>
    </row>
    <row r="441" spans="1:5">
      <c r="A441" s="37"/>
      <c r="B441" s="37"/>
      <c r="C441" s="37"/>
      <c r="D441" s="37"/>
      <c r="E441" s="37"/>
    </row>
    <row r="442" spans="1:5">
      <c r="A442" s="37"/>
      <c r="B442" s="37"/>
      <c r="C442" s="37"/>
      <c r="D442" s="37"/>
      <c r="E442" s="37"/>
    </row>
    <row r="443" spans="1:5">
      <c r="A443" s="37"/>
      <c r="B443" s="37"/>
      <c r="C443" s="37"/>
      <c r="D443" s="37"/>
      <c r="E443" s="37"/>
    </row>
    <row r="444" spans="1:5">
      <c r="A444" s="37"/>
      <c r="B444" s="37"/>
      <c r="C444" s="37"/>
      <c r="D444" s="37"/>
      <c r="E444" s="37"/>
    </row>
    <row r="445" spans="1:5">
      <c r="A445" s="37"/>
      <c r="B445" s="37"/>
      <c r="C445" s="37"/>
      <c r="D445" s="37"/>
      <c r="E445" s="37"/>
    </row>
    <row r="446" spans="1:5">
      <c r="A446" s="37"/>
      <c r="B446" s="37"/>
      <c r="C446" s="37"/>
      <c r="D446" s="37"/>
      <c r="E446" s="37"/>
    </row>
    <row r="447" spans="1:5">
      <c r="A447" s="37"/>
      <c r="B447" s="37"/>
      <c r="C447" s="37"/>
      <c r="D447" s="37"/>
      <c r="E447" s="37"/>
    </row>
    <row r="448" spans="1:5">
      <c r="A448" s="37"/>
      <c r="B448" s="37"/>
      <c r="C448" s="37"/>
      <c r="D448" s="37"/>
      <c r="E448" s="37"/>
    </row>
    <row r="449" spans="1:5">
      <c r="A449" s="37"/>
      <c r="B449" s="37"/>
      <c r="C449" s="37"/>
      <c r="D449" s="37"/>
      <c r="E449" s="37"/>
    </row>
    <row r="450" spans="1:5">
      <c r="A450" s="37"/>
      <c r="B450" s="37"/>
      <c r="C450" s="37"/>
      <c r="D450" s="37"/>
      <c r="E450" s="37"/>
    </row>
    <row r="451" spans="1:5">
      <c r="A451" s="37"/>
      <c r="B451" s="37"/>
      <c r="C451" s="37"/>
      <c r="D451" s="37"/>
      <c r="E451" s="37"/>
    </row>
    <row r="452" spans="1:5">
      <c r="A452" s="37"/>
      <c r="B452" s="37"/>
      <c r="C452" s="37"/>
      <c r="D452" s="37"/>
      <c r="E452" s="37"/>
    </row>
    <row r="453" spans="1:5">
      <c r="A453" s="37"/>
      <c r="B453" s="37"/>
      <c r="C453" s="37"/>
      <c r="D453" s="37"/>
      <c r="E453" s="37"/>
    </row>
    <row r="454" spans="1:5">
      <c r="A454" s="37"/>
      <c r="B454" s="37"/>
      <c r="C454" s="37"/>
      <c r="D454" s="37"/>
      <c r="E454" s="37"/>
    </row>
    <row r="455" spans="1:5">
      <c r="A455" s="37"/>
      <c r="B455" s="37"/>
      <c r="C455" s="37"/>
      <c r="D455" s="37"/>
      <c r="E455" s="37"/>
    </row>
    <row r="456" spans="1:5">
      <c r="A456" s="37"/>
      <c r="B456" s="37"/>
      <c r="C456" s="37"/>
      <c r="D456" s="37"/>
      <c r="E456" s="37"/>
    </row>
    <row r="457" spans="1:5">
      <c r="A457" s="37"/>
      <c r="B457" s="37"/>
      <c r="C457" s="37"/>
      <c r="D457" s="37"/>
      <c r="E457" s="37"/>
    </row>
    <row r="458" spans="1:5">
      <c r="A458" s="37"/>
      <c r="B458" s="37"/>
      <c r="C458" s="37"/>
      <c r="D458" s="37"/>
      <c r="E458" s="37"/>
    </row>
    <row r="459" spans="1:5">
      <c r="A459" s="37"/>
      <c r="B459" s="37"/>
      <c r="C459" s="37"/>
      <c r="D459" s="37"/>
      <c r="E459" s="37"/>
    </row>
    <row r="460" spans="1:5">
      <c r="A460" s="37"/>
      <c r="B460" s="37"/>
      <c r="C460" s="37"/>
      <c r="D460" s="37"/>
      <c r="E460" s="37"/>
    </row>
    <row r="461" spans="1:5">
      <c r="A461" s="37"/>
      <c r="B461" s="37"/>
      <c r="C461" s="37"/>
      <c r="D461" s="37"/>
      <c r="E461" s="37"/>
    </row>
    <row r="462" spans="1:5">
      <c r="A462" s="37"/>
      <c r="B462" s="37"/>
      <c r="C462" s="37"/>
      <c r="D462" s="37"/>
      <c r="E462" s="37"/>
    </row>
    <row r="463" spans="1:5">
      <c r="A463" s="37"/>
      <c r="B463" s="37"/>
      <c r="C463" s="37"/>
      <c r="D463" s="37"/>
      <c r="E463" s="37"/>
    </row>
    <row r="464" spans="1:5">
      <c r="A464" s="37"/>
      <c r="B464" s="37"/>
      <c r="C464" s="37"/>
      <c r="D464" s="37"/>
      <c r="E464" s="37"/>
    </row>
    <row r="465" spans="1:5">
      <c r="A465" s="37"/>
      <c r="B465" s="37"/>
      <c r="C465" s="37"/>
      <c r="D465" s="37"/>
      <c r="E465" s="37"/>
    </row>
    <row r="466" spans="1:5">
      <c r="A466" s="37"/>
      <c r="B466" s="37"/>
      <c r="C466" s="37"/>
      <c r="D466" s="37"/>
      <c r="E466" s="37"/>
    </row>
    <row r="467" spans="1:5">
      <c r="A467" s="37"/>
      <c r="B467" s="37"/>
      <c r="C467" s="37"/>
      <c r="D467" s="37"/>
      <c r="E467" s="37"/>
    </row>
    <row r="468" spans="1:5">
      <c r="A468" s="37"/>
      <c r="B468" s="37"/>
      <c r="C468" s="37"/>
      <c r="D468" s="37"/>
      <c r="E468" s="37"/>
    </row>
    <row r="469" spans="1:5">
      <c r="A469" s="37"/>
      <c r="B469" s="37"/>
      <c r="C469" s="37"/>
      <c r="D469" s="37"/>
      <c r="E469" s="37"/>
    </row>
    <row r="470" spans="1:5">
      <c r="A470" s="37"/>
      <c r="B470" s="37"/>
      <c r="C470" s="37"/>
      <c r="D470" s="37"/>
      <c r="E470" s="37"/>
    </row>
    <row r="471" spans="1:5">
      <c r="A471" s="37"/>
      <c r="B471" s="37"/>
      <c r="C471" s="37"/>
      <c r="D471" s="37"/>
      <c r="E471" s="37"/>
    </row>
    <row r="472" spans="1:5">
      <c r="A472" s="37"/>
      <c r="B472" s="37"/>
      <c r="C472" s="37"/>
      <c r="D472" s="37"/>
      <c r="E472" s="37"/>
    </row>
    <row r="473" spans="1:5">
      <c r="A473" s="37"/>
      <c r="B473" s="37"/>
      <c r="C473" s="37"/>
      <c r="D473" s="37"/>
      <c r="E473" s="37"/>
    </row>
    <row r="474" spans="1:5">
      <c r="A474" s="37"/>
      <c r="B474" s="37"/>
      <c r="C474" s="37"/>
      <c r="D474" s="37"/>
      <c r="E474" s="37"/>
    </row>
    <row r="475" spans="1:5">
      <c r="A475" s="37"/>
      <c r="B475" s="37"/>
      <c r="C475" s="37"/>
      <c r="D475" s="37"/>
      <c r="E475" s="37"/>
    </row>
    <row r="476" spans="1:5">
      <c r="A476" s="37"/>
      <c r="B476" s="37"/>
      <c r="C476" s="37"/>
      <c r="D476" s="37"/>
      <c r="E476" s="37"/>
    </row>
    <row r="477" spans="1:5">
      <c r="A477" s="37"/>
      <c r="B477" s="37"/>
      <c r="C477" s="37"/>
      <c r="D477" s="37"/>
      <c r="E477" s="37"/>
    </row>
    <row r="478" spans="1:5">
      <c r="A478" s="37"/>
      <c r="B478" s="37"/>
      <c r="C478" s="37"/>
      <c r="D478" s="37"/>
      <c r="E478" s="37"/>
    </row>
    <row r="479" spans="1:5">
      <c r="A479" s="37"/>
      <c r="B479" s="37"/>
      <c r="C479" s="37"/>
      <c r="D479" s="37"/>
      <c r="E479" s="37"/>
    </row>
    <row r="480" spans="1:5">
      <c r="A480" s="37"/>
      <c r="B480" s="37"/>
      <c r="C480" s="37"/>
      <c r="D480" s="37"/>
      <c r="E480" s="37"/>
    </row>
    <row r="481" spans="1:5">
      <c r="A481" s="37"/>
      <c r="B481" s="37"/>
      <c r="C481" s="37"/>
      <c r="D481" s="37"/>
      <c r="E481" s="37"/>
    </row>
    <row r="482" spans="1:5">
      <c r="A482" s="37"/>
      <c r="B482" s="37"/>
      <c r="C482" s="37"/>
      <c r="D482" s="37"/>
      <c r="E482" s="37"/>
    </row>
    <row r="483" spans="1:5">
      <c r="A483" s="37"/>
      <c r="B483" s="37"/>
      <c r="C483" s="37"/>
      <c r="D483" s="37"/>
      <c r="E483" s="37"/>
    </row>
    <row r="484" spans="1:5">
      <c r="A484" s="37"/>
      <c r="B484" s="37"/>
      <c r="C484" s="37"/>
      <c r="D484" s="37"/>
      <c r="E484" s="37"/>
    </row>
    <row r="485" spans="1:5">
      <c r="A485" s="37"/>
      <c r="B485" s="37"/>
      <c r="C485" s="37"/>
      <c r="D485" s="37"/>
      <c r="E485" s="37"/>
    </row>
    <row r="486" spans="1:5">
      <c r="A486" s="37"/>
      <c r="B486" s="37"/>
      <c r="C486" s="37"/>
      <c r="D486" s="37"/>
      <c r="E486" s="37"/>
    </row>
    <row r="487" spans="1:5">
      <c r="A487" s="37"/>
      <c r="B487" s="37"/>
      <c r="C487" s="37"/>
      <c r="D487" s="37"/>
      <c r="E487" s="37"/>
    </row>
    <row r="488" spans="1:5">
      <c r="A488" s="37"/>
      <c r="B488" s="37"/>
      <c r="C488" s="37"/>
      <c r="D488" s="37"/>
      <c r="E488" s="37"/>
    </row>
    <row r="489" spans="1:5">
      <c r="A489" s="37"/>
      <c r="B489" s="37"/>
      <c r="C489" s="37"/>
      <c r="D489" s="37"/>
      <c r="E489" s="37"/>
    </row>
    <row r="490" spans="1:5">
      <c r="A490" s="37"/>
      <c r="B490" s="37"/>
      <c r="C490" s="37"/>
      <c r="D490" s="37"/>
      <c r="E490" s="37"/>
    </row>
    <row r="491" spans="1:5">
      <c r="A491" s="37"/>
      <c r="B491" s="37"/>
      <c r="C491" s="37"/>
      <c r="D491" s="37"/>
      <c r="E491" s="37"/>
    </row>
    <row r="492" spans="1:5">
      <c r="A492" s="37"/>
      <c r="B492" s="37"/>
      <c r="C492" s="37"/>
      <c r="D492" s="37"/>
      <c r="E492" s="37"/>
    </row>
    <row r="493" spans="1:5">
      <c r="A493" s="37"/>
      <c r="B493" s="37"/>
      <c r="C493" s="37"/>
      <c r="D493" s="37"/>
      <c r="E493" s="37"/>
    </row>
    <row r="494" spans="1:5">
      <c r="A494" s="37"/>
      <c r="B494" s="37"/>
      <c r="C494" s="37"/>
      <c r="D494" s="37"/>
      <c r="E494" s="37"/>
    </row>
    <row r="495" spans="1:5">
      <c r="A495" s="37"/>
      <c r="B495" s="37"/>
      <c r="C495" s="37"/>
      <c r="D495" s="37"/>
      <c r="E495" s="37"/>
    </row>
    <row r="496" spans="1:5">
      <c r="A496" s="37"/>
      <c r="B496" s="37"/>
      <c r="C496" s="37"/>
      <c r="D496" s="37"/>
      <c r="E496" s="37"/>
    </row>
    <row r="497" spans="1:5">
      <c r="A497" s="37"/>
      <c r="B497" s="37"/>
      <c r="C497" s="37"/>
      <c r="D497" s="37"/>
      <c r="E497" s="37"/>
    </row>
    <row r="498" spans="1:5">
      <c r="A498" s="37"/>
      <c r="B498" s="37"/>
      <c r="C498" s="37"/>
      <c r="D498" s="37"/>
      <c r="E498" s="37"/>
    </row>
    <row r="499" spans="1:5">
      <c r="A499" s="37"/>
      <c r="B499" s="37"/>
      <c r="C499" s="37"/>
      <c r="D499" s="37"/>
      <c r="E499" s="37"/>
    </row>
    <row r="500" spans="1:5">
      <c r="A500" s="37"/>
      <c r="B500" s="37"/>
      <c r="C500" s="37"/>
      <c r="D500" s="37"/>
      <c r="E500" s="37"/>
    </row>
    <row r="501" spans="1:5">
      <c r="A501" s="37"/>
      <c r="B501" s="37"/>
      <c r="C501" s="37"/>
      <c r="D501" s="37"/>
      <c r="E501" s="37"/>
    </row>
    <row r="502" spans="1:5">
      <c r="A502" s="37"/>
      <c r="B502" s="37"/>
      <c r="C502" s="37"/>
      <c r="D502" s="37"/>
      <c r="E502" s="37"/>
    </row>
    <row r="503" spans="1:5">
      <c r="A503" s="37"/>
      <c r="B503" s="37"/>
      <c r="C503" s="37"/>
      <c r="D503" s="37"/>
      <c r="E503" s="37"/>
    </row>
    <row r="504" spans="1:5">
      <c r="A504" s="37"/>
      <c r="B504" s="37"/>
      <c r="C504" s="37"/>
      <c r="D504" s="37"/>
      <c r="E504" s="37"/>
    </row>
    <row r="505" spans="1:5">
      <c r="A505" s="37"/>
      <c r="B505" s="37"/>
      <c r="C505" s="37"/>
      <c r="D505" s="37"/>
      <c r="E505" s="37"/>
    </row>
    <row r="506" spans="1:5">
      <c r="A506" s="37"/>
      <c r="B506" s="37"/>
      <c r="C506" s="37"/>
      <c r="D506" s="37"/>
      <c r="E506" s="37"/>
    </row>
    <row r="507" spans="1:5">
      <c r="A507" s="37"/>
      <c r="B507" s="37"/>
      <c r="C507" s="37"/>
      <c r="D507" s="37"/>
      <c r="E507" s="37"/>
    </row>
    <row r="508" spans="1:5">
      <c r="A508" s="37"/>
      <c r="B508" s="37"/>
      <c r="C508" s="37"/>
      <c r="D508" s="37"/>
      <c r="E508" s="37"/>
    </row>
    <row r="509" spans="1:5">
      <c r="A509" s="37"/>
      <c r="B509" s="37"/>
      <c r="C509" s="37"/>
      <c r="D509" s="37"/>
      <c r="E509" s="37"/>
    </row>
    <row r="510" spans="1:5">
      <c r="A510" s="37"/>
      <c r="B510" s="37"/>
      <c r="C510" s="37"/>
      <c r="D510" s="37"/>
      <c r="E510" s="37"/>
    </row>
    <row r="511" spans="1:5">
      <c r="A511" s="37"/>
      <c r="B511" s="37"/>
      <c r="C511" s="37"/>
      <c r="D511" s="37"/>
      <c r="E511" s="37"/>
    </row>
    <row r="512" spans="1:5">
      <c r="A512" s="37"/>
      <c r="B512" s="37"/>
      <c r="C512" s="37"/>
      <c r="D512" s="37"/>
      <c r="E512" s="37"/>
    </row>
    <row r="513" spans="1:5">
      <c r="A513" s="37"/>
      <c r="B513" s="37"/>
      <c r="C513" s="37"/>
      <c r="D513" s="37"/>
      <c r="E513" s="37"/>
    </row>
    <row r="514" spans="1:5">
      <c r="A514" s="37"/>
      <c r="B514" s="37"/>
      <c r="C514" s="37"/>
      <c r="D514" s="37"/>
      <c r="E514" s="37"/>
    </row>
    <row r="515" spans="1:5">
      <c r="A515" s="37"/>
      <c r="B515" s="37"/>
      <c r="C515" s="37"/>
      <c r="D515" s="37"/>
      <c r="E515" s="37"/>
    </row>
    <row r="516" spans="1:5">
      <c r="A516" s="37"/>
      <c r="B516" s="37"/>
      <c r="C516" s="37"/>
      <c r="D516" s="37"/>
      <c r="E516" s="37"/>
    </row>
    <row r="517" spans="1:5">
      <c r="A517" s="37"/>
      <c r="B517" s="37"/>
      <c r="C517" s="37"/>
      <c r="D517" s="37"/>
      <c r="E517" s="37"/>
    </row>
    <row r="518" spans="1:5">
      <c r="A518" s="37"/>
      <c r="B518" s="37"/>
      <c r="C518" s="37"/>
      <c r="D518" s="37"/>
      <c r="E518" s="37"/>
    </row>
    <row r="519" spans="1:5">
      <c r="A519" s="37"/>
      <c r="B519" s="37"/>
      <c r="C519" s="37"/>
      <c r="D519" s="37"/>
      <c r="E519" s="37"/>
    </row>
    <row r="520" spans="1:5">
      <c r="A520" s="37"/>
      <c r="B520" s="37"/>
      <c r="C520" s="37"/>
      <c r="D520" s="37"/>
      <c r="E520" s="37"/>
    </row>
    <row r="521" spans="1:5">
      <c r="A521" s="37"/>
      <c r="B521" s="37"/>
      <c r="C521" s="37"/>
      <c r="D521" s="37"/>
      <c r="E521" s="37"/>
    </row>
    <row r="522" spans="1:5">
      <c r="A522" s="37"/>
      <c r="B522" s="37"/>
      <c r="C522" s="37"/>
      <c r="D522" s="37"/>
      <c r="E522" s="37"/>
    </row>
    <row r="523" spans="1:5">
      <c r="A523" s="37"/>
      <c r="B523" s="37"/>
      <c r="C523" s="37"/>
      <c r="D523" s="37"/>
      <c r="E523" s="37"/>
    </row>
    <row r="524" spans="1:5">
      <c r="A524" s="37"/>
      <c r="B524" s="37"/>
      <c r="C524" s="37"/>
      <c r="D524" s="37"/>
      <c r="E524" s="37"/>
    </row>
    <row r="525" spans="1:5">
      <c r="A525" s="37"/>
      <c r="B525" s="37"/>
      <c r="C525" s="37"/>
      <c r="D525" s="37"/>
      <c r="E525" s="37"/>
    </row>
    <row r="526" spans="1:5">
      <c r="A526" s="37"/>
      <c r="B526" s="37"/>
      <c r="C526" s="37"/>
      <c r="D526" s="37"/>
      <c r="E526" s="37"/>
    </row>
    <row r="527" spans="1:5">
      <c r="A527" s="37"/>
      <c r="B527" s="37"/>
      <c r="C527" s="37"/>
      <c r="D527" s="37"/>
      <c r="E527" s="37"/>
    </row>
    <row r="528" spans="1:5">
      <c r="A528" s="37"/>
      <c r="B528" s="37"/>
      <c r="C528" s="37"/>
      <c r="D528" s="37"/>
      <c r="E528" s="37"/>
    </row>
    <row r="529" spans="1:5">
      <c r="A529" s="37"/>
      <c r="B529" s="37"/>
      <c r="C529" s="37"/>
      <c r="D529" s="37"/>
      <c r="E529" s="37"/>
    </row>
    <row r="530" spans="1:5">
      <c r="A530" s="37"/>
      <c r="B530" s="37"/>
      <c r="C530" s="37"/>
      <c r="D530" s="37"/>
      <c r="E530" s="37"/>
    </row>
    <row r="531" spans="1:5">
      <c r="A531" s="37"/>
      <c r="B531" s="37"/>
      <c r="C531" s="37"/>
      <c r="D531" s="37"/>
      <c r="E531" s="37"/>
    </row>
    <row r="532" spans="1:5">
      <c r="A532" s="37"/>
      <c r="B532" s="37"/>
      <c r="C532" s="37"/>
      <c r="D532" s="37"/>
      <c r="E532" s="37"/>
    </row>
    <row r="533" spans="1:5">
      <c r="A533" s="37"/>
      <c r="B533" s="37"/>
      <c r="C533" s="37"/>
      <c r="D533" s="37"/>
      <c r="E533" s="37"/>
    </row>
    <row r="534" spans="1:5">
      <c r="A534" s="37"/>
      <c r="B534" s="37"/>
      <c r="C534" s="37"/>
      <c r="D534" s="37"/>
      <c r="E534" s="37"/>
    </row>
    <row r="535" spans="1:5">
      <c r="A535" s="37"/>
      <c r="B535" s="37"/>
      <c r="C535" s="37"/>
      <c r="D535" s="37"/>
      <c r="E535" s="37"/>
    </row>
    <row r="536" spans="1:5">
      <c r="A536" s="37"/>
      <c r="B536" s="37"/>
      <c r="C536" s="37"/>
      <c r="D536" s="37"/>
      <c r="E536" s="37"/>
    </row>
    <row r="537" spans="1:5">
      <c r="A537" s="37"/>
      <c r="B537" s="37"/>
      <c r="C537" s="37"/>
      <c r="D537" s="37"/>
      <c r="E537" s="37"/>
    </row>
    <row r="538" spans="1:5">
      <c r="A538" s="37"/>
      <c r="B538" s="37"/>
      <c r="C538" s="37"/>
      <c r="D538" s="37"/>
      <c r="E538" s="37"/>
    </row>
    <row r="539" spans="1:5">
      <c r="A539" s="37"/>
      <c r="B539" s="37"/>
      <c r="C539" s="37"/>
      <c r="D539" s="37"/>
      <c r="E539" s="37"/>
    </row>
    <row r="540" spans="1:5">
      <c r="A540" s="37"/>
      <c r="B540" s="37"/>
      <c r="C540" s="37"/>
      <c r="D540" s="37"/>
      <c r="E540" s="37"/>
    </row>
    <row r="541" spans="1:5">
      <c r="A541" s="37"/>
      <c r="B541" s="37"/>
      <c r="C541" s="37"/>
      <c r="D541" s="37"/>
      <c r="E541" s="37"/>
    </row>
    <row r="542" spans="1:5">
      <c r="A542" s="37"/>
      <c r="B542" s="37"/>
      <c r="C542" s="37"/>
      <c r="D542" s="37"/>
      <c r="E542" s="37"/>
    </row>
    <row r="543" spans="1:5">
      <c r="A543" s="37"/>
      <c r="B543" s="37"/>
      <c r="C543" s="37"/>
      <c r="D543" s="37"/>
      <c r="E543" s="37"/>
    </row>
    <row r="544" spans="1:5">
      <c r="A544" s="37"/>
      <c r="B544" s="37"/>
      <c r="C544" s="37"/>
      <c r="D544" s="37"/>
      <c r="E544" s="37"/>
    </row>
    <row r="545" spans="1:5">
      <c r="A545" s="37"/>
      <c r="B545" s="37"/>
      <c r="C545" s="37"/>
      <c r="D545" s="37"/>
      <c r="E545" s="37"/>
    </row>
    <row r="546" spans="1:5">
      <c r="A546" s="37"/>
      <c r="B546" s="37"/>
      <c r="C546" s="37"/>
      <c r="D546" s="37"/>
      <c r="E546" s="37"/>
    </row>
    <row r="547" spans="1:5">
      <c r="A547" s="37"/>
      <c r="B547" s="37"/>
      <c r="C547" s="37"/>
      <c r="D547" s="37"/>
      <c r="E547" s="37"/>
    </row>
    <row r="548" spans="1:5">
      <c r="A548" s="37"/>
      <c r="B548" s="37"/>
      <c r="C548" s="37"/>
      <c r="D548" s="37"/>
      <c r="E548" s="37"/>
    </row>
    <row r="549" spans="1:5">
      <c r="A549" s="37"/>
      <c r="B549" s="37"/>
      <c r="C549" s="37"/>
      <c r="D549" s="37"/>
      <c r="E549" s="37"/>
    </row>
    <row r="550" spans="1:5">
      <c r="A550" s="37"/>
      <c r="B550" s="37"/>
      <c r="C550" s="37"/>
      <c r="D550" s="37"/>
      <c r="E550" s="37"/>
    </row>
    <row r="551" spans="1:5">
      <c r="A551" s="37"/>
      <c r="B551" s="37"/>
      <c r="C551" s="37"/>
      <c r="D551" s="37"/>
      <c r="E551" s="37"/>
    </row>
    <row r="552" spans="1:5">
      <c r="A552" s="37"/>
      <c r="B552" s="37"/>
      <c r="C552" s="37"/>
      <c r="D552" s="37"/>
      <c r="E552" s="37"/>
    </row>
    <row r="553" spans="1:5">
      <c r="A553" s="37"/>
      <c r="B553" s="37"/>
      <c r="C553" s="37"/>
      <c r="D553" s="37"/>
      <c r="E553" s="37"/>
    </row>
    <row r="554" spans="1:5">
      <c r="A554" s="37"/>
      <c r="B554" s="37"/>
      <c r="C554" s="37"/>
      <c r="D554" s="37"/>
      <c r="E554" s="37"/>
    </row>
    <row r="555" spans="1:5">
      <c r="A555" s="37"/>
      <c r="B555" s="37"/>
      <c r="C555" s="37"/>
      <c r="D555" s="37"/>
      <c r="E555" s="37"/>
    </row>
    <row r="556" spans="1:5">
      <c r="A556" s="37"/>
      <c r="B556" s="37"/>
      <c r="C556" s="37"/>
      <c r="D556" s="37"/>
      <c r="E556" s="37"/>
    </row>
    <row r="557" spans="1:5">
      <c r="A557" s="37"/>
      <c r="B557" s="37"/>
      <c r="C557" s="37"/>
      <c r="D557" s="37"/>
      <c r="E557" s="37"/>
    </row>
    <row r="558" spans="1:5">
      <c r="A558" s="37"/>
      <c r="B558" s="37"/>
      <c r="C558" s="37"/>
      <c r="D558" s="37"/>
      <c r="E558" s="37"/>
    </row>
    <row r="559" spans="1:5">
      <c r="A559" s="37"/>
      <c r="B559" s="37"/>
      <c r="C559" s="37"/>
      <c r="D559" s="37"/>
      <c r="E559" s="37"/>
    </row>
    <row r="560" spans="1:5">
      <c r="A560" s="37"/>
      <c r="B560" s="37"/>
      <c r="C560" s="37"/>
      <c r="D560" s="37"/>
      <c r="E560" s="37"/>
    </row>
    <row r="561" spans="1:5">
      <c r="A561" s="37"/>
      <c r="B561" s="37"/>
      <c r="C561" s="37"/>
      <c r="D561" s="37"/>
      <c r="E561" s="37"/>
    </row>
    <row r="562" spans="1:5">
      <c r="A562" s="37"/>
      <c r="B562" s="37"/>
      <c r="C562" s="37"/>
      <c r="D562" s="37"/>
      <c r="E562" s="37"/>
    </row>
    <row r="563" spans="1:5">
      <c r="A563" s="37"/>
      <c r="B563" s="37"/>
      <c r="C563" s="37"/>
      <c r="D563" s="37"/>
      <c r="E563" s="37"/>
    </row>
    <row r="564" spans="1:5">
      <c r="A564" s="37"/>
      <c r="B564" s="37"/>
      <c r="C564" s="37"/>
      <c r="D564" s="37"/>
      <c r="E564" s="37"/>
    </row>
    <row r="565" spans="1:5">
      <c r="A565" s="37"/>
      <c r="B565" s="37"/>
      <c r="C565" s="37"/>
      <c r="D565" s="37"/>
      <c r="E565" s="37"/>
    </row>
    <row r="566" spans="1:5">
      <c r="A566" s="37"/>
      <c r="B566" s="37"/>
      <c r="C566" s="37"/>
      <c r="D566" s="37"/>
      <c r="E566" s="37"/>
    </row>
    <row r="567" spans="1:5">
      <c r="A567" s="37"/>
      <c r="B567" s="37"/>
      <c r="C567" s="37"/>
      <c r="D567" s="37"/>
      <c r="E567" s="37"/>
    </row>
    <row r="568" spans="1:5">
      <c r="A568" s="37"/>
      <c r="B568" s="37"/>
      <c r="C568" s="37"/>
      <c r="D568" s="37"/>
      <c r="E568" s="37"/>
    </row>
    <row r="569" spans="1:5">
      <c r="A569" s="37"/>
      <c r="B569" s="37"/>
      <c r="C569" s="37"/>
      <c r="D569" s="37"/>
      <c r="E569" s="37"/>
    </row>
    <row r="570" spans="1:5">
      <c r="A570" s="37"/>
      <c r="B570" s="37"/>
      <c r="C570" s="37"/>
      <c r="D570" s="37"/>
      <c r="E570" s="37"/>
    </row>
    <row r="571" spans="1:5">
      <c r="A571" s="37"/>
      <c r="B571" s="37"/>
      <c r="C571" s="37"/>
      <c r="D571" s="37"/>
      <c r="E571" s="37"/>
    </row>
    <row r="572" spans="1:5">
      <c r="A572" s="37"/>
      <c r="B572" s="37"/>
      <c r="C572" s="37"/>
      <c r="D572" s="37"/>
      <c r="E572" s="37"/>
    </row>
    <row r="573" spans="1:5">
      <c r="A573" s="37"/>
      <c r="B573" s="37"/>
      <c r="C573" s="37"/>
      <c r="D573" s="37"/>
      <c r="E573" s="37"/>
    </row>
    <row r="574" spans="1:5">
      <c r="A574" s="37"/>
      <c r="B574" s="37"/>
      <c r="C574" s="37"/>
      <c r="D574" s="37"/>
      <c r="E574" s="37"/>
    </row>
    <row r="575" spans="1:5">
      <c r="A575" s="37"/>
      <c r="B575" s="37"/>
      <c r="C575" s="37"/>
      <c r="D575" s="37"/>
      <c r="E575" s="37"/>
    </row>
    <row r="576" spans="1:5">
      <c r="A576" s="37"/>
      <c r="B576" s="37"/>
      <c r="C576" s="37"/>
      <c r="D576" s="37"/>
      <c r="E576" s="37"/>
    </row>
    <row r="577" spans="1:5">
      <c r="A577" s="37"/>
      <c r="B577" s="37"/>
      <c r="C577" s="37"/>
      <c r="D577" s="37"/>
      <c r="E577" s="37"/>
    </row>
    <row r="578" spans="1:5">
      <c r="A578" s="37"/>
      <c r="B578" s="37"/>
      <c r="C578" s="37"/>
      <c r="D578" s="37"/>
      <c r="E578" s="37"/>
    </row>
    <row r="579" spans="1:5">
      <c r="A579" s="37"/>
      <c r="B579" s="37"/>
      <c r="C579" s="37"/>
      <c r="D579" s="37"/>
      <c r="E579" s="37"/>
    </row>
    <row r="580" spans="1:5">
      <c r="A580" s="37"/>
      <c r="B580" s="37"/>
      <c r="C580" s="37"/>
      <c r="D580" s="37"/>
      <c r="E580" s="37"/>
    </row>
    <row r="581" spans="1:5">
      <c r="A581" s="37"/>
      <c r="B581" s="37"/>
      <c r="C581" s="37"/>
      <c r="D581" s="37"/>
      <c r="E581" s="37"/>
    </row>
    <row r="582" spans="1:5">
      <c r="A582" s="37"/>
      <c r="B582" s="37"/>
      <c r="C582" s="37"/>
      <c r="D582" s="37"/>
      <c r="E582" s="37"/>
    </row>
    <row r="583" spans="1:5">
      <c r="A583" s="37"/>
      <c r="B583" s="37"/>
      <c r="C583" s="37"/>
      <c r="D583" s="37"/>
      <c r="E583" s="37"/>
    </row>
    <row r="584" spans="1:5">
      <c r="A584" s="37"/>
      <c r="B584" s="37"/>
      <c r="C584" s="37"/>
      <c r="D584" s="37"/>
      <c r="E584" s="37"/>
    </row>
    <row r="585" spans="1:5">
      <c r="A585" s="37"/>
      <c r="B585" s="37"/>
      <c r="C585" s="37"/>
      <c r="D585" s="37"/>
      <c r="E585" s="37"/>
    </row>
    <row r="586" spans="1:5">
      <c r="A586" s="37"/>
      <c r="B586" s="37"/>
      <c r="C586" s="37"/>
      <c r="D586" s="37"/>
      <c r="E586" s="37"/>
    </row>
    <row r="587" spans="1:5">
      <c r="A587" s="37"/>
      <c r="B587" s="37"/>
      <c r="C587" s="37"/>
      <c r="D587" s="37"/>
      <c r="E587" s="37"/>
    </row>
    <row r="588" spans="1:5">
      <c r="A588" s="37"/>
      <c r="B588" s="37"/>
      <c r="C588" s="37"/>
      <c r="D588" s="37"/>
      <c r="E588" s="37"/>
    </row>
    <row r="589" spans="1:5">
      <c r="A589" s="37"/>
      <c r="B589" s="37"/>
      <c r="C589" s="37"/>
      <c r="D589" s="37"/>
      <c r="E589" s="37"/>
    </row>
    <row r="590" spans="1:5">
      <c r="A590" s="37"/>
      <c r="B590" s="37"/>
      <c r="C590" s="37"/>
      <c r="D590" s="37"/>
      <c r="E590" s="37"/>
    </row>
    <row r="591" spans="1:5">
      <c r="A591" s="37"/>
      <c r="B591" s="37"/>
      <c r="C591" s="37"/>
      <c r="D591" s="37"/>
      <c r="E591" s="37"/>
    </row>
    <row r="592" spans="1:5">
      <c r="A592" s="37"/>
      <c r="B592" s="37"/>
      <c r="C592" s="37"/>
      <c r="D592" s="37"/>
      <c r="E592" s="37"/>
    </row>
    <row r="593" spans="1:5">
      <c r="A593" s="37"/>
      <c r="B593" s="37"/>
      <c r="C593" s="37"/>
      <c r="D593" s="37"/>
      <c r="E593" s="37"/>
    </row>
    <row r="594" spans="1:5">
      <c r="A594" s="37"/>
      <c r="B594" s="37"/>
      <c r="C594" s="37"/>
      <c r="D594" s="37"/>
      <c r="E594" s="37"/>
    </row>
    <row r="595" spans="1:5">
      <c r="A595" s="37"/>
      <c r="B595" s="37"/>
      <c r="C595" s="37"/>
      <c r="D595" s="37"/>
      <c r="E595" s="37"/>
    </row>
    <row r="596" spans="1:5">
      <c r="A596" s="37"/>
      <c r="B596" s="37"/>
      <c r="C596" s="37"/>
      <c r="D596" s="37"/>
      <c r="E596" s="37"/>
    </row>
    <row r="597" spans="1:5">
      <c r="A597" s="37"/>
      <c r="B597" s="37"/>
      <c r="C597" s="37"/>
      <c r="D597" s="37"/>
      <c r="E597" s="37"/>
    </row>
    <row r="598" spans="1:5">
      <c r="A598" s="37"/>
      <c r="B598" s="37"/>
      <c r="C598" s="37"/>
      <c r="D598" s="37"/>
      <c r="E598" s="37"/>
    </row>
    <row r="599" spans="1:5">
      <c r="A599" s="37"/>
      <c r="B599" s="37"/>
      <c r="C599" s="37"/>
      <c r="D599" s="37"/>
      <c r="E599" s="37"/>
    </row>
    <row r="600" spans="1:5">
      <c r="A600" s="37"/>
      <c r="B600" s="37"/>
      <c r="C600" s="37"/>
      <c r="D600" s="37"/>
      <c r="E600" s="37"/>
    </row>
    <row r="601" spans="1:5">
      <c r="A601" s="37"/>
      <c r="B601" s="37"/>
      <c r="C601" s="37"/>
      <c r="D601" s="37"/>
      <c r="E601" s="37"/>
    </row>
    <row r="602" spans="1:5">
      <c r="A602" s="37"/>
      <c r="B602" s="37"/>
      <c r="C602" s="37"/>
      <c r="D602" s="37"/>
      <c r="E602" s="37"/>
    </row>
    <row r="603" spans="1:5">
      <c r="A603" s="37"/>
      <c r="B603" s="37"/>
      <c r="C603" s="37"/>
      <c r="D603" s="37"/>
      <c r="E603" s="37"/>
    </row>
    <row r="604" spans="1:5">
      <c r="A604" s="37"/>
      <c r="B604" s="37"/>
      <c r="C604" s="37"/>
      <c r="D604" s="37"/>
      <c r="E604" s="37"/>
    </row>
    <row r="605" spans="1:5">
      <c r="A605" s="37"/>
      <c r="B605" s="37"/>
      <c r="C605" s="37"/>
      <c r="D605" s="37"/>
      <c r="E605" s="37"/>
    </row>
    <row r="606" spans="1:5">
      <c r="A606" s="37"/>
      <c r="B606" s="37"/>
      <c r="C606" s="37"/>
      <c r="D606" s="37"/>
      <c r="E606" s="37"/>
    </row>
    <row r="607" spans="1:5">
      <c r="A607" s="37"/>
      <c r="B607" s="37"/>
      <c r="C607" s="37"/>
      <c r="D607" s="37"/>
      <c r="E607" s="37"/>
    </row>
    <row r="608" spans="1:5">
      <c r="A608" s="37"/>
      <c r="B608" s="37"/>
      <c r="C608" s="37"/>
      <c r="D608" s="37"/>
      <c r="E608" s="37"/>
    </row>
    <row r="609" spans="1:5">
      <c r="A609" s="37"/>
      <c r="B609" s="37"/>
      <c r="C609" s="37"/>
      <c r="D609" s="37"/>
      <c r="E609" s="37"/>
    </row>
    <row r="610" spans="1:5">
      <c r="A610" s="37"/>
      <c r="B610" s="37"/>
      <c r="C610" s="37"/>
      <c r="D610" s="37"/>
      <c r="E610" s="37"/>
    </row>
    <row r="611" spans="1:5">
      <c r="A611" s="37"/>
      <c r="B611" s="37"/>
      <c r="C611" s="37"/>
      <c r="D611" s="37"/>
      <c r="E611" s="37"/>
    </row>
    <row r="612" spans="1:5">
      <c r="A612" s="37"/>
      <c r="B612" s="37"/>
      <c r="C612" s="37"/>
      <c r="D612" s="37"/>
      <c r="E612" s="37"/>
    </row>
    <row r="613" spans="1:5">
      <c r="A613" s="37"/>
      <c r="B613" s="37"/>
      <c r="C613" s="37"/>
      <c r="D613" s="37"/>
      <c r="E613" s="37"/>
    </row>
    <row r="614" spans="1:5">
      <c r="A614" s="37"/>
      <c r="B614" s="37"/>
      <c r="C614" s="37"/>
      <c r="D614" s="37"/>
      <c r="E614" s="37"/>
    </row>
    <row r="615" spans="1:5">
      <c r="A615" s="37"/>
      <c r="B615" s="37"/>
      <c r="C615" s="37"/>
      <c r="D615" s="37"/>
      <c r="E615" s="37"/>
    </row>
    <row r="616" spans="1:5">
      <c r="A616" s="37"/>
      <c r="B616" s="37"/>
      <c r="C616" s="37"/>
      <c r="D616" s="37"/>
      <c r="E616" s="37"/>
    </row>
    <row r="617" spans="1:5">
      <c r="A617" s="37"/>
      <c r="B617" s="37"/>
      <c r="C617" s="37"/>
      <c r="D617" s="37"/>
      <c r="E617" s="37"/>
    </row>
    <row r="618" spans="1:5">
      <c r="A618" s="37"/>
      <c r="B618" s="37"/>
      <c r="C618" s="37"/>
      <c r="D618" s="37"/>
      <c r="E618" s="37"/>
    </row>
    <row r="619" spans="1:5">
      <c r="A619" s="37"/>
      <c r="B619" s="37"/>
      <c r="C619" s="37"/>
      <c r="D619" s="37"/>
      <c r="E619" s="37"/>
    </row>
    <row r="620" spans="1:5">
      <c r="A620" s="37"/>
      <c r="B620" s="37"/>
      <c r="C620" s="37"/>
      <c r="D620" s="37"/>
      <c r="E620" s="37"/>
    </row>
    <row r="621" spans="1:5">
      <c r="A621" s="37"/>
      <c r="B621" s="37"/>
      <c r="C621" s="37"/>
      <c r="D621" s="37"/>
      <c r="E621" s="37"/>
    </row>
    <row r="622" spans="1:5">
      <c r="A622" s="37"/>
      <c r="B622" s="37"/>
      <c r="C622" s="37"/>
      <c r="D622" s="37"/>
      <c r="E622" s="37"/>
    </row>
    <row r="623" spans="1:5">
      <c r="A623" s="37"/>
      <c r="B623" s="37"/>
      <c r="C623" s="37"/>
      <c r="D623" s="37"/>
      <c r="E623" s="37"/>
    </row>
    <row r="624" spans="1:5">
      <c r="A624" s="37"/>
      <c r="B624" s="37"/>
      <c r="C624" s="37"/>
      <c r="D624" s="37"/>
      <c r="E624" s="37"/>
    </row>
    <row r="625" spans="1:5">
      <c r="A625" s="37"/>
      <c r="B625" s="37"/>
      <c r="C625" s="37"/>
      <c r="D625" s="37"/>
      <c r="E625" s="37"/>
    </row>
    <row r="626" spans="1:5">
      <c r="A626" s="37"/>
      <c r="B626" s="37"/>
      <c r="C626" s="37"/>
      <c r="D626" s="37"/>
      <c r="E626" s="37"/>
    </row>
    <row r="627" spans="1:5">
      <c r="A627" s="37"/>
      <c r="B627" s="37"/>
      <c r="C627" s="37"/>
      <c r="D627" s="37"/>
      <c r="E627" s="37"/>
    </row>
    <row r="628" spans="1:5">
      <c r="A628" s="37"/>
      <c r="B628" s="37"/>
      <c r="C628" s="37"/>
      <c r="D628" s="37"/>
      <c r="E628" s="37"/>
    </row>
    <row r="629" spans="1:5">
      <c r="A629" s="37"/>
      <c r="B629" s="37"/>
      <c r="C629" s="37"/>
      <c r="D629" s="37"/>
      <c r="E629" s="37"/>
    </row>
    <row r="630" spans="1:5">
      <c r="A630" s="37"/>
      <c r="B630" s="37"/>
      <c r="C630" s="37"/>
      <c r="D630" s="37"/>
      <c r="E630" s="37"/>
    </row>
    <row r="631" spans="1:5">
      <c r="A631" s="37"/>
      <c r="B631" s="37"/>
      <c r="C631" s="37"/>
      <c r="D631" s="37"/>
      <c r="E631" s="37"/>
    </row>
    <row r="632" spans="1:5">
      <c r="A632" s="37"/>
      <c r="B632" s="37"/>
      <c r="C632" s="37"/>
      <c r="D632" s="37"/>
      <c r="E632" s="37"/>
    </row>
    <row r="633" spans="1:5">
      <c r="A633" s="37"/>
      <c r="B633" s="37"/>
      <c r="C633" s="37"/>
      <c r="D633" s="37"/>
      <c r="E633" s="37"/>
    </row>
    <row r="634" spans="1:5">
      <c r="A634" s="37"/>
      <c r="B634" s="37"/>
      <c r="C634" s="37"/>
      <c r="D634" s="37"/>
      <c r="E634" s="37"/>
    </row>
    <row r="635" spans="1:5">
      <c r="A635" s="37"/>
      <c r="B635" s="37"/>
      <c r="C635" s="37"/>
      <c r="D635" s="37"/>
      <c r="E635" s="37"/>
    </row>
    <row r="636" spans="1:5">
      <c r="A636" s="37"/>
      <c r="B636" s="37"/>
      <c r="C636" s="37"/>
      <c r="D636" s="37"/>
      <c r="E636" s="37"/>
    </row>
    <row r="637" spans="1:5">
      <c r="A637" s="37"/>
      <c r="B637" s="37"/>
      <c r="C637" s="37"/>
      <c r="D637" s="37"/>
      <c r="E637" s="37"/>
    </row>
    <row r="638" spans="1:5">
      <c r="A638" s="37"/>
      <c r="B638" s="37"/>
      <c r="C638" s="37"/>
      <c r="D638" s="37"/>
      <c r="E638" s="37"/>
    </row>
    <row r="639" spans="1:5">
      <c r="A639" s="37"/>
      <c r="B639" s="37"/>
      <c r="C639" s="37"/>
      <c r="D639" s="37"/>
      <c r="E639" s="37"/>
    </row>
    <row r="640" spans="1:5">
      <c r="A640" s="37"/>
      <c r="B640" s="37"/>
      <c r="C640" s="37"/>
      <c r="D640" s="37"/>
      <c r="E640" s="37"/>
    </row>
    <row r="641" spans="1:5">
      <c r="A641" s="37"/>
      <c r="B641" s="37"/>
      <c r="C641" s="37"/>
      <c r="D641" s="37"/>
      <c r="E641" s="37"/>
    </row>
    <row r="642" spans="1:5">
      <c r="A642" s="37"/>
      <c r="B642" s="37"/>
      <c r="C642" s="37"/>
      <c r="D642" s="37"/>
      <c r="E642" s="37"/>
    </row>
    <row r="643" spans="1:5">
      <c r="A643" s="37"/>
      <c r="B643" s="37"/>
      <c r="C643" s="37"/>
      <c r="D643" s="37"/>
      <c r="E643" s="37"/>
    </row>
    <row r="644" spans="1:5">
      <c r="A644" s="37"/>
      <c r="B644" s="37"/>
      <c r="C644" s="37"/>
      <c r="D644" s="37"/>
      <c r="E644" s="37"/>
    </row>
    <row r="645" spans="1:5">
      <c r="A645" s="37"/>
      <c r="B645" s="37"/>
      <c r="C645" s="37"/>
      <c r="D645" s="37"/>
      <c r="E645" s="37"/>
    </row>
    <row r="646" spans="1:5">
      <c r="A646" s="37"/>
      <c r="B646" s="37"/>
      <c r="C646" s="37"/>
      <c r="D646" s="37"/>
      <c r="E646" s="37"/>
    </row>
    <row r="647" spans="1:5">
      <c r="A647" s="37"/>
      <c r="B647" s="37"/>
      <c r="C647" s="37"/>
      <c r="D647" s="37"/>
      <c r="E647" s="37"/>
    </row>
    <row r="648" spans="1:5">
      <c r="A648" s="37"/>
      <c r="B648" s="37"/>
      <c r="C648" s="37"/>
      <c r="D648" s="37"/>
      <c r="E648" s="37"/>
    </row>
    <row r="649" spans="1:5">
      <c r="A649" s="37"/>
      <c r="B649" s="37"/>
      <c r="C649" s="37"/>
      <c r="D649" s="37"/>
      <c r="E649" s="37"/>
    </row>
    <row r="650" spans="1:5">
      <c r="A650" s="37"/>
      <c r="B650" s="37"/>
      <c r="C650" s="37"/>
      <c r="D650" s="37"/>
      <c r="E650" s="37"/>
    </row>
    <row r="651" spans="1:5">
      <c r="A651" s="37"/>
      <c r="B651" s="37"/>
      <c r="C651" s="37"/>
      <c r="D651" s="37"/>
      <c r="E651" s="37"/>
    </row>
    <row r="652" spans="1:5">
      <c r="A652" s="37"/>
      <c r="B652" s="37"/>
      <c r="C652" s="37"/>
      <c r="D652" s="37"/>
      <c r="E652" s="37"/>
    </row>
    <row r="653" spans="1:5">
      <c r="A653" s="37"/>
      <c r="B653" s="37"/>
      <c r="C653" s="37"/>
      <c r="D653" s="37"/>
      <c r="E653" s="37"/>
    </row>
    <row r="654" spans="1:5">
      <c r="A654" s="37"/>
      <c r="B654" s="37"/>
      <c r="C654" s="37"/>
      <c r="D654" s="37"/>
      <c r="E654" s="37"/>
    </row>
    <row r="655" spans="1:5">
      <c r="A655" s="37"/>
      <c r="B655" s="37"/>
      <c r="C655" s="37"/>
      <c r="D655" s="37"/>
      <c r="E655" s="37"/>
    </row>
    <row r="656" spans="1:5">
      <c r="A656" s="37"/>
      <c r="B656" s="37"/>
      <c r="C656" s="37"/>
      <c r="D656" s="37"/>
      <c r="E656" s="37"/>
    </row>
    <row r="657" spans="1:5">
      <c r="A657" s="37"/>
      <c r="B657" s="37"/>
      <c r="C657" s="37"/>
      <c r="D657" s="37"/>
      <c r="E657" s="37"/>
    </row>
    <row r="658" spans="1:5">
      <c r="A658" s="37"/>
      <c r="B658" s="37"/>
      <c r="C658" s="37"/>
      <c r="D658" s="37"/>
      <c r="E658" s="37"/>
    </row>
    <row r="659" spans="1:5">
      <c r="A659" s="37"/>
      <c r="B659" s="37"/>
      <c r="C659" s="37"/>
      <c r="D659" s="37"/>
      <c r="E659" s="37"/>
    </row>
    <row r="660" spans="1:5">
      <c r="A660" s="37"/>
      <c r="B660" s="37"/>
      <c r="C660" s="37"/>
      <c r="D660" s="37"/>
      <c r="E660" s="37"/>
    </row>
    <row r="661" spans="1:5">
      <c r="A661" s="37"/>
      <c r="B661" s="37"/>
      <c r="C661" s="37"/>
      <c r="D661" s="37"/>
      <c r="E661" s="37"/>
    </row>
    <row r="662" spans="1:5">
      <c r="A662" s="37"/>
      <c r="B662" s="37"/>
      <c r="C662" s="37"/>
      <c r="D662" s="37"/>
      <c r="E662" s="37"/>
    </row>
    <row r="663" spans="1:5">
      <c r="A663" s="37"/>
      <c r="B663" s="37"/>
      <c r="C663" s="37"/>
      <c r="D663" s="37"/>
      <c r="E663" s="37"/>
    </row>
    <row r="664" spans="1:5">
      <c r="A664" s="37"/>
      <c r="B664" s="37"/>
      <c r="C664" s="37"/>
      <c r="D664" s="37"/>
      <c r="E664" s="37"/>
    </row>
    <row r="665" spans="1:5">
      <c r="A665" s="37"/>
      <c r="B665" s="37"/>
      <c r="C665" s="37"/>
      <c r="D665" s="37"/>
      <c r="E665" s="37"/>
    </row>
    <row r="666" spans="1:5">
      <c r="A666" s="37"/>
      <c r="B666" s="37"/>
      <c r="C666" s="37"/>
      <c r="D666" s="37"/>
      <c r="E666" s="37"/>
    </row>
    <row r="667" spans="1:5">
      <c r="A667" s="37"/>
      <c r="B667" s="37"/>
      <c r="C667" s="37"/>
      <c r="D667" s="37"/>
      <c r="E667" s="37"/>
    </row>
    <row r="668" spans="1:5">
      <c r="A668" s="37"/>
      <c r="B668" s="37"/>
      <c r="C668" s="37"/>
      <c r="D668" s="37"/>
      <c r="E668" s="37"/>
    </row>
    <row r="669" spans="1:5">
      <c r="A669" s="37"/>
      <c r="B669" s="37"/>
      <c r="C669" s="37"/>
      <c r="D669" s="37"/>
      <c r="E669" s="37"/>
    </row>
    <row r="670" spans="1:5">
      <c r="A670" s="37"/>
      <c r="B670" s="37"/>
      <c r="C670" s="37"/>
      <c r="D670" s="37"/>
      <c r="E670" s="37"/>
    </row>
    <row r="671" spans="1:5">
      <c r="A671" s="37"/>
      <c r="B671" s="37"/>
      <c r="C671" s="37"/>
      <c r="D671" s="37"/>
      <c r="E671" s="37"/>
    </row>
    <row r="672" spans="1:5">
      <c r="A672" s="37"/>
      <c r="B672" s="37"/>
      <c r="C672" s="37"/>
      <c r="D672" s="37"/>
      <c r="E672" s="37"/>
    </row>
    <row r="673" spans="1:5">
      <c r="A673" s="37"/>
      <c r="B673" s="37"/>
      <c r="C673" s="37"/>
      <c r="D673" s="37"/>
      <c r="E673" s="37"/>
    </row>
    <row r="674" spans="1:5">
      <c r="A674" s="37"/>
      <c r="B674" s="37"/>
      <c r="C674" s="37"/>
      <c r="D674" s="37"/>
      <c r="E674" s="37"/>
    </row>
    <row r="675" spans="1:5">
      <c r="A675" s="37"/>
      <c r="B675" s="37"/>
      <c r="C675" s="37"/>
      <c r="D675" s="37"/>
      <c r="E675" s="37"/>
    </row>
    <row r="676" spans="1:5">
      <c r="A676" s="37"/>
      <c r="B676" s="37"/>
      <c r="C676" s="37"/>
      <c r="D676" s="37"/>
      <c r="E676" s="37"/>
    </row>
    <row r="677" spans="1:5">
      <c r="A677" s="37"/>
      <c r="B677" s="37"/>
      <c r="C677" s="37"/>
      <c r="D677" s="37"/>
      <c r="E677" s="37"/>
    </row>
    <row r="678" spans="1:5">
      <c r="A678" s="37"/>
      <c r="B678" s="37"/>
      <c r="C678" s="37"/>
      <c r="D678" s="37"/>
      <c r="E678" s="37"/>
    </row>
    <row r="679" spans="1:5">
      <c r="A679" s="37"/>
      <c r="B679" s="37"/>
      <c r="C679" s="37"/>
      <c r="D679" s="37"/>
      <c r="E679" s="37"/>
    </row>
    <row r="680" spans="1:5">
      <c r="A680" s="37"/>
      <c r="B680" s="37"/>
      <c r="C680" s="37"/>
      <c r="D680" s="37"/>
      <c r="E680" s="37"/>
    </row>
    <row r="681" spans="1:5">
      <c r="A681" s="37"/>
      <c r="B681" s="37"/>
      <c r="C681" s="37"/>
      <c r="D681" s="37"/>
      <c r="E681" s="37"/>
    </row>
    <row r="682" spans="1:5">
      <c r="A682" s="37"/>
      <c r="B682" s="37"/>
      <c r="C682" s="37"/>
      <c r="D682" s="37"/>
      <c r="E682" s="37"/>
    </row>
    <row r="683" spans="1:5">
      <c r="A683" s="37"/>
      <c r="B683" s="37"/>
      <c r="C683" s="37"/>
      <c r="D683" s="37"/>
      <c r="E683" s="37"/>
    </row>
    <row r="684" spans="1:5">
      <c r="A684" s="37"/>
      <c r="B684" s="37"/>
      <c r="C684" s="37"/>
      <c r="D684" s="37"/>
      <c r="E684" s="37"/>
    </row>
    <row r="685" spans="1:5">
      <c r="A685" s="37"/>
      <c r="B685" s="37"/>
      <c r="C685" s="37"/>
      <c r="D685" s="37"/>
      <c r="E685" s="37"/>
    </row>
    <row r="686" spans="1:5">
      <c r="A686" s="37"/>
      <c r="B686" s="37"/>
      <c r="C686" s="37"/>
      <c r="D686" s="37"/>
      <c r="E686" s="37"/>
    </row>
    <row r="687" spans="1:5">
      <c r="A687" s="37"/>
      <c r="B687" s="37"/>
      <c r="C687" s="37"/>
      <c r="D687" s="37"/>
      <c r="E687" s="37"/>
    </row>
    <row r="688" spans="1:5">
      <c r="A688" s="37"/>
      <c r="B688" s="37"/>
      <c r="C688" s="37"/>
      <c r="D688" s="37"/>
      <c r="E688" s="37"/>
    </row>
    <row r="689" spans="1:5">
      <c r="A689" s="37"/>
      <c r="B689" s="37"/>
      <c r="C689" s="37"/>
      <c r="D689" s="37"/>
      <c r="E689" s="37"/>
    </row>
    <row r="690" spans="1:5">
      <c r="A690" s="37"/>
      <c r="B690" s="37"/>
      <c r="C690" s="37"/>
      <c r="D690" s="37"/>
      <c r="E690" s="37"/>
    </row>
    <row r="691" spans="1:5">
      <c r="A691" s="37"/>
      <c r="B691" s="37"/>
      <c r="C691" s="37"/>
      <c r="D691" s="37"/>
      <c r="E691" s="37"/>
    </row>
    <row r="692" spans="1:5">
      <c r="A692" s="37"/>
      <c r="B692" s="37"/>
      <c r="C692" s="37"/>
      <c r="D692" s="37"/>
      <c r="E692" s="37"/>
    </row>
    <row r="693" spans="1:5">
      <c r="A693" s="37"/>
      <c r="B693" s="37"/>
      <c r="C693" s="37"/>
      <c r="D693" s="37"/>
      <c r="E693" s="37"/>
    </row>
    <row r="694" spans="1:5">
      <c r="A694" s="37"/>
      <c r="B694" s="37"/>
      <c r="C694" s="37"/>
      <c r="D694" s="37"/>
      <c r="E694" s="37"/>
    </row>
    <row r="695" spans="1:5">
      <c r="A695" s="37"/>
      <c r="B695" s="37"/>
      <c r="C695" s="37"/>
      <c r="D695" s="37"/>
      <c r="E695" s="37"/>
    </row>
    <row r="696" spans="1:5">
      <c r="A696" s="37"/>
      <c r="B696" s="37"/>
      <c r="C696" s="37"/>
      <c r="D696" s="37"/>
      <c r="E696" s="37"/>
    </row>
    <row r="697" spans="1:5">
      <c r="A697" s="37"/>
      <c r="B697" s="37"/>
      <c r="C697" s="37"/>
      <c r="D697" s="37"/>
      <c r="E697" s="37"/>
    </row>
    <row r="698" spans="1:5">
      <c r="A698" s="37"/>
      <c r="B698" s="37"/>
      <c r="C698" s="37"/>
      <c r="D698" s="37"/>
      <c r="E698" s="37"/>
    </row>
    <row r="699" spans="1:5">
      <c r="A699" s="37"/>
      <c r="B699" s="37"/>
      <c r="C699" s="37"/>
      <c r="D699" s="37"/>
      <c r="E699" s="37"/>
    </row>
    <row r="700" spans="1:5">
      <c r="A700" s="37"/>
      <c r="B700" s="37"/>
      <c r="C700" s="37"/>
      <c r="D700" s="37"/>
      <c r="E700" s="37"/>
    </row>
    <row r="701" spans="1:5">
      <c r="A701" s="37"/>
      <c r="B701" s="37"/>
      <c r="C701" s="37"/>
      <c r="D701" s="37"/>
      <c r="E701" s="37"/>
    </row>
    <row r="702" spans="1:5">
      <c r="A702" s="37"/>
      <c r="B702" s="37"/>
      <c r="C702" s="37"/>
      <c r="D702" s="37"/>
      <c r="E702" s="37"/>
    </row>
    <row r="703" spans="1:5">
      <c r="A703" s="37"/>
      <c r="B703" s="37"/>
      <c r="C703" s="37"/>
      <c r="D703" s="37"/>
      <c r="E703" s="37"/>
    </row>
    <row r="704" spans="1:5">
      <c r="A704" s="37"/>
      <c r="B704" s="37"/>
      <c r="C704" s="37"/>
      <c r="D704" s="37"/>
      <c r="E704" s="37"/>
    </row>
    <row r="705" spans="1:5">
      <c r="A705" s="37"/>
      <c r="B705" s="37"/>
      <c r="C705" s="37"/>
      <c r="D705" s="37"/>
      <c r="E705" s="37"/>
    </row>
    <row r="706" spans="1:5">
      <c r="A706" s="37"/>
      <c r="B706" s="37"/>
      <c r="C706" s="37"/>
      <c r="D706" s="37"/>
      <c r="E706" s="37"/>
    </row>
    <row r="707" spans="1:5">
      <c r="A707" s="37"/>
      <c r="B707" s="37"/>
      <c r="C707" s="37"/>
      <c r="D707" s="37"/>
      <c r="E707" s="37"/>
    </row>
    <row r="708" spans="1:5">
      <c r="A708" s="37"/>
      <c r="B708" s="37"/>
      <c r="C708" s="37"/>
      <c r="D708" s="37"/>
      <c r="E708" s="37"/>
    </row>
    <row r="709" spans="1:5">
      <c r="A709" s="37"/>
      <c r="B709" s="37"/>
      <c r="C709" s="37"/>
      <c r="D709" s="37"/>
      <c r="E709" s="37"/>
    </row>
    <row r="710" spans="1:5">
      <c r="A710" s="37"/>
      <c r="B710" s="37"/>
      <c r="C710" s="37"/>
      <c r="D710" s="37"/>
      <c r="E710" s="37"/>
    </row>
    <row r="711" spans="1:5">
      <c r="A711" s="37"/>
      <c r="B711" s="37"/>
      <c r="C711" s="37"/>
      <c r="D711" s="37"/>
      <c r="E711" s="37"/>
    </row>
    <row r="712" spans="1:5">
      <c r="A712" s="37"/>
      <c r="B712" s="37"/>
      <c r="C712" s="37"/>
      <c r="D712" s="37"/>
      <c r="E712" s="37"/>
    </row>
    <row r="713" spans="1:5">
      <c r="A713" s="37"/>
      <c r="B713" s="37"/>
      <c r="C713" s="37"/>
      <c r="D713" s="37"/>
      <c r="E713" s="37"/>
    </row>
    <row r="714" spans="1:5">
      <c r="A714" s="37"/>
      <c r="B714" s="37"/>
      <c r="C714" s="37"/>
      <c r="D714" s="37"/>
      <c r="E714" s="37"/>
    </row>
    <row r="715" spans="1:5">
      <c r="A715" s="37"/>
      <c r="B715" s="37"/>
      <c r="C715" s="37"/>
      <c r="D715" s="37"/>
      <c r="E715" s="37"/>
    </row>
    <row r="716" spans="1:5">
      <c r="A716" s="37"/>
      <c r="B716" s="37"/>
      <c r="C716" s="37"/>
      <c r="D716" s="37"/>
      <c r="E716" s="37"/>
    </row>
    <row r="717" spans="1:5">
      <c r="A717" s="37"/>
      <c r="B717" s="37"/>
      <c r="C717" s="37"/>
      <c r="D717" s="37"/>
      <c r="E717" s="37"/>
    </row>
    <row r="718" spans="1:5">
      <c r="A718" s="37"/>
      <c r="B718" s="37"/>
      <c r="C718" s="37"/>
      <c r="D718" s="37"/>
      <c r="E718" s="37"/>
    </row>
    <row r="719" spans="1:5">
      <c r="A719" s="37"/>
      <c r="B719" s="37"/>
      <c r="C719" s="37"/>
      <c r="D719" s="37"/>
      <c r="E719" s="37"/>
    </row>
    <row r="720" spans="1:5">
      <c r="A720" s="37"/>
      <c r="B720" s="37"/>
      <c r="C720" s="37"/>
      <c r="D720" s="37"/>
      <c r="E720" s="37"/>
    </row>
    <row r="721" spans="1:5">
      <c r="A721" s="37"/>
      <c r="B721" s="37"/>
      <c r="C721" s="37"/>
      <c r="D721" s="37"/>
      <c r="E721" s="37"/>
    </row>
    <row r="722" spans="1:5">
      <c r="A722" s="37"/>
      <c r="B722" s="37"/>
      <c r="C722" s="37"/>
      <c r="D722" s="37"/>
      <c r="E722" s="37"/>
    </row>
    <row r="723" spans="1:5">
      <c r="A723" s="37"/>
      <c r="B723" s="37"/>
      <c r="C723" s="37"/>
      <c r="D723" s="37"/>
      <c r="E723" s="37"/>
    </row>
    <row r="724" spans="1:5">
      <c r="A724" s="37"/>
      <c r="B724" s="37"/>
      <c r="C724" s="37"/>
      <c r="D724" s="37"/>
      <c r="E724" s="37"/>
    </row>
    <row r="725" spans="1:5">
      <c r="A725" s="37"/>
      <c r="B725" s="37"/>
      <c r="C725" s="37"/>
      <c r="D725" s="37"/>
      <c r="E725" s="37"/>
    </row>
    <row r="726" spans="1:5">
      <c r="A726" s="37"/>
      <c r="B726" s="37"/>
      <c r="C726" s="37"/>
      <c r="D726" s="37"/>
      <c r="E726" s="37"/>
    </row>
    <row r="727" spans="1:5">
      <c r="A727" s="37"/>
      <c r="B727" s="37"/>
      <c r="C727" s="37"/>
      <c r="D727" s="37"/>
      <c r="E727" s="37"/>
    </row>
    <row r="728" spans="1:5">
      <c r="A728" s="37"/>
      <c r="B728" s="37"/>
      <c r="C728" s="37"/>
      <c r="D728" s="37"/>
      <c r="E728" s="37"/>
    </row>
    <row r="729" spans="1:5">
      <c r="A729" s="37"/>
      <c r="B729" s="37"/>
      <c r="C729" s="37"/>
      <c r="D729" s="37"/>
      <c r="E729" s="37"/>
    </row>
    <row r="730" spans="1:5">
      <c r="A730" s="37"/>
      <c r="B730" s="37"/>
      <c r="C730" s="37"/>
      <c r="D730" s="37"/>
      <c r="E730" s="37"/>
    </row>
    <row r="731" spans="1:5">
      <c r="A731" s="37"/>
      <c r="B731" s="37"/>
      <c r="C731" s="37"/>
      <c r="D731" s="37"/>
      <c r="E731" s="37"/>
    </row>
    <row r="732" spans="1:5">
      <c r="A732" s="37"/>
      <c r="B732" s="37"/>
      <c r="C732" s="37"/>
      <c r="D732" s="37"/>
      <c r="E732" s="37"/>
    </row>
    <row r="733" spans="1:5">
      <c r="A733" s="37"/>
      <c r="B733" s="37"/>
      <c r="C733" s="37"/>
      <c r="D733" s="37"/>
      <c r="E733" s="37"/>
    </row>
    <row r="734" spans="1:5">
      <c r="A734" s="37"/>
      <c r="B734" s="37"/>
      <c r="C734" s="37"/>
      <c r="D734" s="37"/>
      <c r="E734" s="37"/>
    </row>
    <row r="735" spans="1:5">
      <c r="A735" s="37"/>
      <c r="B735" s="37"/>
      <c r="C735" s="37"/>
      <c r="D735" s="37"/>
      <c r="E735" s="37"/>
    </row>
    <row r="736" spans="1:5">
      <c r="A736" s="37"/>
      <c r="B736" s="37"/>
      <c r="C736" s="37"/>
      <c r="D736" s="37"/>
      <c r="E736" s="37"/>
    </row>
    <row r="737" spans="1:5">
      <c r="A737" s="37"/>
      <c r="B737" s="37"/>
      <c r="C737" s="37"/>
      <c r="D737" s="37"/>
      <c r="E737" s="37"/>
    </row>
    <row r="738" spans="1:5">
      <c r="A738" s="37"/>
      <c r="B738" s="37"/>
      <c r="C738" s="37"/>
      <c r="D738" s="37"/>
      <c r="E738" s="37"/>
    </row>
    <row r="739" spans="1:5">
      <c r="A739" s="37"/>
      <c r="B739" s="37"/>
      <c r="C739" s="37"/>
      <c r="D739" s="37"/>
      <c r="E739" s="37"/>
    </row>
    <row r="740" spans="1:5">
      <c r="A740" s="37"/>
      <c r="B740" s="37"/>
      <c r="C740" s="37"/>
      <c r="D740" s="37"/>
      <c r="E740" s="37"/>
    </row>
    <row r="741" spans="1:5">
      <c r="A741" s="37"/>
      <c r="B741" s="37"/>
      <c r="C741" s="37"/>
      <c r="D741" s="37"/>
      <c r="E741" s="37"/>
    </row>
    <row r="742" spans="1:5">
      <c r="A742" s="37"/>
      <c r="B742" s="37"/>
      <c r="C742" s="37"/>
      <c r="D742" s="37"/>
      <c r="E742" s="37"/>
    </row>
    <row r="743" spans="1:5">
      <c r="A743" s="37"/>
      <c r="B743" s="37"/>
      <c r="C743" s="37"/>
      <c r="D743" s="37"/>
      <c r="E743" s="37"/>
    </row>
    <row r="744" spans="1:5">
      <c r="A744" s="37"/>
      <c r="B744" s="37"/>
      <c r="C744" s="37"/>
      <c r="D744" s="37"/>
      <c r="E744" s="37"/>
    </row>
    <row r="745" spans="1:5">
      <c r="A745" s="37"/>
      <c r="B745" s="37"/>
      <c r="C745" s="37"/>
      <c r="D745" s="37"/>
      <c r="E745" s="37"/>
    </row>
    <row r="746" spans="1:5">
      <c r="A746" s="37"/>
      <c r="B746" s="37"/>
      <c r="C746" s="37"/>
      <c r="D746" s="37"/>
      <c r="E746" s="37"/>
    </row>
    <row r="747" spans="1:5">
      <c r="A747" s="37"/>
      <c r="B747" s="37"/>
      <c r="C747" s="37"/>
      <c r="D747" s="37"/>
      <c r="E747" s="37"/>
    </row>
    <row r="748" spans="1:5">
      <c r="A748" s="37"/>
      <c r="B748" s="37"/>
      <c r="C748" s="37"/>
      <c r="D748" s="37"/>
      <c r="E748" s="37"/>
    </row>
    <row r="749" spans="1:5">
      <c r="A749" s="37"/>
      <c r="B749" s="37"/>
      <c r="C749" s="37"/>
      <c r="D749" s="37"/>
      <c r="E749" s="37"/>
    </row>
    <row r="750" spans="1:5">
      <c r="A750" s="37"/>
      <c r="B750" s="37"/>
      <c r="C750" s="37"/>
      <c r="D750" s="37"/>
      <c r="E750" s="37"/>
    </row>
    <row r="751" spans="1:5">
      <c r="A751" s="37"/>
      <c r="B751" s="37"/>
      <c r="C751" s="37"/>
      <c r="D751" s="37"/>
      <c r="E751" s="37"/>
    </row>
    <row r="752" spans="1:5">
      <c r="A752" s="37"/>
      <c r="B752" s="37"/>
      <c r="C752" s="37"/>
      <c r="D752" s="37"/>
      <c r="E752" s="37"/>
    </row>
    <row r="753" spans="1:5">
      <c r="A753" s="37"/>
      <c r="B753" s="37"/>
      <c r="C753" s="37"/>
      <c r="D753" s="37"/>
      <c r="E753" s="37"/>
    </row>
    <row r="754" spans="1:5">
      <c r="A754" s="37"/>
      <c r="B754" s="37"/>
      <c r="C754" s="37"/>
      <c r="D754" s="37"/>
      <c r="E754" s="37"/>
    </row>
    <row r="755" spans="1:5">
      <c r="A755" s="37"/>
      <c r="B755" s="37"/>
      <c r="C755" s="37"/>
      <c r="D755" s="37"/>
      <c r="E755" s="37"/>
    </row>
    <row r="756" spans="1:5">
      <c r="A756" s="37"/>
      <c r="B756" s="37"/>
      <c r="C756" s="37"/>
      <c r="D756" s="37"/>
      <c r="E756" s="37"/>
    </row>
    <row r="757" spans="1:5">
      <c r="A757" s="37"/>
      <c r="B757" s="37"/>
      <c r="C757" s="37"/>
      <c r="D757" s="37"/>
      <c r="E757" s="37"/>
    </row>
    <row r="758" spans="1:5">
      <c r="A758" s="37"/>
      <c r="B758" s="37"/>
      <c r="C758" s="37"/>
      <c r="D758" s="37"/>
      <c r="E758" s="37"/>
    </row>
    <row r="759" spans="1:5">
      <c r="A759" s="37"/>
      <c r="B759" s="37"/>
      <c r="C759" s="37"/>
      <c r="D759" s="37"/>
      <c r="E759" s="37"/>
    </row>
    <row r="760" spans="1:5">
      <c r="A760" s="37"/>
      <c r="B760" s="37"/>
      <c r="C760" s="37"/>
      <c r="D760" s="37"/>
      <c r="E760" s="37"/>
    </row>
    <row r="761" spans="1:5">
      <c r="A761" s="37"/>
      <c r="B761" s="37"/>
      <c r="C761" s="37"/>
      <c r="D761" s="37"/>
      <c r="E761" s="37"/>
    </row>
    <row r="762" spans="1:5">
      <c r="A762" s="37"/>
      <c r="B762" s="37"/>
      <c r="C762" s="37"/>
      <c r="D762" s="37"/>
      <c r="E762" s="37"/>
    </row>
    <row r="763" spans="1:5">
      <c r="A763" s="37"/>
      <c r="B763" s="37"/>
      <c r="C763" s="37"/>
      <c r="D763" s="37"/>
      <c r="E763" s="37"/>
    </row>
    <row r="764" spans="1:5">
      <c r="A764" s="37"/>
      <c r="B764" s="37"/>
      <c r="C764" s="37"/>
      <c r="D764" s="37"/>
      <c r="E764" s="37"/>
    </row>
    <row r="765" spans="1:5">
      <c r="A765" s="37"/>
      <c r="B765" s="37"/>
      <c r="C765" s="37"/>
      <c r="D765" s="37"/>
      <c r="E765" s="37"/>
    </row>
    <row r="766" spans="1:5">
      <c r="A766" s="37"/>
      <c r="B766" s="37"/>
      <c r="C766" s="37"/>
      <c r="D766" s="37"/>
      <c r="E766" s="37"/>
    </row>
    <row r="767" spans="1:5">
      <c r="A767" s="37"/>
      <c r="B767" s="37"/>
      <c r="C767" s="37"/>
      <c r="D767" s="37"/>
      <c r="E767" s="37"/>
    </row>
    <row r="768" spans="1:5">
      <c r="A768" s="37"/>
      <c r="B768" s="37"/>
      <c r="C768" s="37"/>
      <c r="D768" s="37"/>
      <c r="E768" s="37"/>
    </row>
    <row r="769" spans="1:5">
      <c r="A769" s="37"/>
      <c r="B769" s="37"/>
      <c r="C769" s="37"/>
      <c r="D769" s="37"/>
      <c r="E769" s="37"/>
    </row>
    <row r="770" spans="1:5">
      <c r="A770" s="37"/>
      <c r="B770" s="37"/>
      <c r="C770" s="37"/>
      <c r="D770" s="37"/>
      <c r="E770" s="37"/>
    </row>
    <row r="771" spans="1:5">
      <c r="A771" s="37"/>
      <c r="B771" s="37"/>
      <c r="C771" s="37"/>
      <c r="D771" s="37"/>
      <c r="E771" s="37"/>
    </row>
    <row r="772" spans="1:5">
      <c r="A772" s="37"/>
      <c r="B772" s="37"/>
      <c r="C772" s="37"/>
      <c r="D772" s="37"/>
      <c r="E772" s="37"/>
    </row>
    <row r="773" spans="1:5">
      <c r="A773" s="37"/>
      <c r="B773" s="37"/>
      <c r="C773" s="37"/>
      <c r="D773" s="37"/>
      <c r="E773" s="37"/>
    </row>
    <row r="774" spans="1:5">
      <c r="A774" s="37"/>
      <c r="B774" s="37"/>
      <c r="C774" s="37"/>
      <c r="D774" s="37"/>
      <c r="E774" s="37"/>
    </row>
    <row r="775" spans="1:5">
      <c r="A775" s="37"/>
      <c r="B775" s="37"/>
      <c r="C775" s="37"/>
      <c r="D775" s="37"/>
      <c r="E775" s="37"/>
    </row>
    <row r="776" spans="1:5">
      <c r="A776" s="37"/>
      <c r="B776" s="37"/>
      <c r="C776" s="37"/>
      <c r="D776" s="37"/>
      <c r="E776" s="37"/>
    </row>
    <row r="777" spans="1:5">
      <c r="A777" s="37"/>
      <c r="B777" s="37"/>
      <c r="C777" s="37"/>
      <c r="D777" s="37"/>
      <c r="E777" s="37"/>
    </row>
    <row r="778" spans="1:5">
      <c r="A778" s="37"/>
      <c r="B778" s="37"/>
      <c r="C778" s="37"/>
      <c r="D778" s="37"/>
      <c r="E778" s="37"/>
    </row>
    <row r="779" spans="1:5">
      <c r="A779" s="37"/>
      <c r="B779" s="37"/>
      <c r="C779" s="37"/>
      <c r="D779" s="37"/>
      <c r="E779" s="37"/>
    </row>
    <row r="780" spans="1:5">
      <c r="A780" s="37"/>
      <c r="B780" s="37"/>
      <c r="C780" s="37"/>
      <c r="D780" s="37"/>
      <c r="E780" s="37"/>
    </row>
    <row r="781" spans="1:5">
      <c r="A781" s="37"/>
      <c r="B781" s="37"/>
      <c r="C781" s="37"/>
      <c r="D781" s="37"/>
      <c r="E781" s="37"/>
    </row>
    <row r="782" spans="1:5">
      <c r="A782" s="37"/>
      <c r="B782" s="37"/>
      <c r="C782" s="37"/>
      <c r="D782" s="37"/>
      <c r="E782" s="37"/>
    </row>
    <row r="783" spans="1:5">
      <c r="A783" s="37"/>
      <c r="B783" s="37"/>
      <c r="C783" s="37"/>
      <c r="D783" s="37"/>
      <c r="E783" s="37"/>
    </row>
    <row r="784" spans="1:5">
      <c r="A784" s="37"/>
      <c r="B784" s="37"/>
      <c r="C784" s="37"/>
      <c r="D784" s="37"/>
      <c r="E784" s="37"/>
    </row>
    <row r="785" spans="1:5">
      <c r="A785" s="37"/>
      <c r="B785" s="37"/>
      <c r="C785" s="37"/>
      <c r="D785" s="37"/>
      <c r="E785" s="37"/>
    </row>
    <row r="786" spans="1:5">
      <c r="A786" s="37"/>
      <c r="B786" s="37"/>
      <c r="C786" s="37"/>
      <c r="D786" s="37"/>
      <c r="E786" s="37"/>
    </row>
    <row r="787" spans="1:5">
      <c r="A787" s="37"/>
      <c r="B787" s="37"/>
      <c r="C787" s="37"/>
      <c r="D787" s="37"/>
      <c r="E787" s="37"/>
    </row>
    <row r="788" spans="1:5">
      <c r="A788" s="37"/>
      <c r="B788" s="37"/>
      <c r="C788" s="37"/>
      <c r="D788" s="37"/>
      <c r="E788" s="37"/>
    </row>
    <row r="789" spans="1:5">
      <c r="A789" s="37"/>
      <c r="B789" s="37"/>
      <c r="C789" s="37"/>
      <c r="D789" s="37"/>
      <c r="E789" s="37"/>
    </row>
    <row r="790" spans="1:5">
      <c r="A790" s="37"/>
      <c r="B790" s="37"/>
      <c r="C790" s="37"/>
      <c r="D790" s="37"/>
      <c r="E790" s="37"/>
    </row>
    <row r="791" spans="1:5">
      <c r="A791" s="37"/>
      <c r="B791" s="37"/>
      <c r="C791" s="37"/>
      <c r="D791" s="37"/>
      <c r="E791" s="37"/>
    </row>
    <row r="792" spans="1:5">
      <c r="A792" s="37"/>
      <c r="B792" s="37"/>
      <c r="C792" s="37"/>
      <c r="D792" s="37"/>
      <c r="E792" s="37"/>
    </row>
    <row r="793" spans="1:5">
      <c r="A793" s="37"/>
      <c r="B793" s="37"/>
      <c r="C793" s="37"/>
      <c r="D793" s="37"/>
      <c r="E793" s="37"/>
    </row>
    <row r="794" spans="1:5">
      <c r="A794" s="37"/>
      <c r="B794" s="37"/>
      <c r="C794" s="37"/>
      <c r="D794" s="37"/>
      <c r="E794" s="37"/>
    </row>
    <row r="795" spans="1:5">
      <c r="A795" s="37"/>
      <c r="B795" s="37"/>
      <c r="C795" s="37"/>
      <c r="D795" s="37"/>
      <c r="E795" s="37"/>
    </row>
    <row r="796" spans="1:5">
      <c r="A796" s="37"/>
      <c r="B796" s="37"/>
      <c r="C796" s="37"/>
      <c r="D796" s="37"/>
      <c r="E796" s="37"/>
    </row>
    <row r="797" spans="1:5">
      <c r="A797" s="37"/>
      <c r="B797" s="37"/>
      <c r="C797" s="37"/>
      <c r="D797" s="37"/>
      <c r="E797" s="37"/>
    </row>
    <row r="798" spans="1:5">
      <c r="A798" s="37"/>
      <c r="B798" s="37"/>
      <c r="C798" s="37"/>
      <c r="D798" s="37"/>
      <c r="E798" s="37"/>
    </row>
    <row r="799" spans="1:5">
      <c r="A799" s="37"/>
      <c r="B799" s="37"/>
      <c r="C799" s="37"/>
      <c r="D799" s="37"/>
      <c r="E799" s="37"/>
    </row>
    <row r="800" spans="1:5">
      <c r="A800" s="37"/>
      <c r="B800" s="37"/>
      <c r="C800" s="37"/>
      <c r="D800" s="37"/>
      <c r="E800" s="37"/>
    </row>
    <row r="801" spans="1:5">
      <c r="A801" s="37"/>
      <c r="B801" s="37"/>
      <c r="C801" s="37"/>
      <c r="D801" s="37"/>
      <c r="E801" s="37"/>
    </row>
    <row r="802" spans="1:5">
      <c r="A802" s="37"/>
      <c r="B802" s="37"/>
      <c r="C802" s="37"/>
      <c r="D802" s="37"/>
      <c r="E802" s="37"/>
    </row>
    <row r="803" spans="1:5">
      <c r="A803" s="37"/>
      <c r="B803" s="37"/>
      <c r="C803" s="37"/>
      <c r="D803" s="37"/>
      <c r="E803" s="37"/>
    </row>
    <row r="804" spans="1:5">
      <c r="A804" s="37"/>
      <c r="B804" s="37"/>
      <c r="C804" s="37"/>
      <c r="D804" s="37"/>
      <c r="E804" s="37"/>
    </row>
    <row r="805" spans="1:5">
      <c r="A805" s="37"/>
      <c r="B805" s="37"/>
      <c r="C805" s="37"/>
      <c r="D805" s="37"/>
      <c r="E805" s="37"/>
    </row>
    <row r="806" spans="1:5">
      <c r="A806" s="37"/>
      <c r="B806" s="37"/>
      <c r="C806" s="37"/>
      <c r="D806" s="37"/>
      <c r="E806" s="37"/>
    </row>
    <row r="807" spans="1:5">
      <c r="A807" s="37"/>
      <c r="B807" s="37"/>
      <c r="C807" s="37"/>
      <c r="D807" s="37"/>
      <c r="E807" s="37"/>
    </row>
    <row r="808" spans="1:5">
      <c r="A808" s="37"/>
      <c r="B808" s="37"/>
      <c r="C808" s="37"/>
      <c r="D808" s="37"/>
      <c r="E808" s="37"/>
    </row>
    <row r="809" spans="1:5">
      <c r="A809" s="37"/>
      <c r="B809" s="37"/>
      <c r="C809" s="37"/>
      <c r="D809" s="37"/>
      <c r="E809" s="37"/>
    </row>
    <row r="810" spans="1:5">
      <c r="A810" s="37"/>
      <c r="B810" s="37"/>
      <c r="C810" s="37"/>
      <c r="D810" s="37"/>
      <c r="E810" s="37"/>
    </row>
    <row r="811" spans="1:5">
      <c r="A811" s="37"/>
      <c r="B811" s="37"/>
      <c r="C811" s="37"/>
      <c r="D811" s="37"/>
      <c r="E811" s="37"/>
    </row>
    <row r="812" spans="1:5">
      <c r="A812" s="37"/>
      <c r="B812" s="37"/>
      <c r="C812" s="37"/>
      <c r="D812" s="37"/>
      <c r="E812" s="37"/>
    </row>
    <row r="813" spans="1:5">
      <c r="A813" s="37"/>
      <c r="B813" s="37"/>
      <c r="C813" s="37"/>
      <c r="D813" s="37"/>
      <c r="E813" s="37"/>
    </row>
    <row r="814" spans="1:5">
      <c r="A814" s="37"/>
      <c r="B814" s="37"/>
      <c r="C814" s="37"/>
      <c r="D814" s="37"/>
      <c r="E814" s="37"/>
    </row>
    <row r="815" spans="1:5">
      <c r="A815" s="37"/>
      <c r="B815" s="37"/>
      <c r="C815" s="37"/>
      <c r="D815" s="37"/>
      <c r="E815" s="37"/>
    </row>
    <row r="816" spans="1:5">
      <c r="A816" s="37"/>
      <c r="B816" s="37"/>
      <c r="C816" s="37"/>
      <c r="D816" s="37"/>
      <c r="E816" s="37"/>
    </row>
    <row r="817" spans="1:5">
      <c r="A817" s="37"/>
      <c r="B817" s="37"/>
      <c r="C817" s="37"/>
      <c r="D817" s="37"/>
      <c r="E817" s="37"/>
    </row>
    <row r="818" spans="1:5">
      <c r="A818" s="37"/>
      <c r="B818" s="37"/>
      <c r="C818" s="37"/>
      <c r="D818" s="37"/>
      <c r="E818" s="37"/>
    </row>
    <row r="819" spans="1:5">
      <c r="A819" s="37"/>
      <c r="B819" s="37"/>
      <c r="C819" s="37"/>
      <c r="D819" s="37"/>
      <c r="E819" s="37"/>
    </row>
    <row r="820" spans="1:5">
      <c r="A820" s="37"/>
      <c r="B820" s="37"/>
      <c r="C820" s="37"/>
      <c r="D820" s="37"/>
      <c r="E820" s="37"/>
    </row>
    <row r="821" spans="1:5">
      <c r="A821" s="37"/>
      <c r="B821" s="37"/>
      <c r="C821" s="37"/>
      <c r="D821" s="37"/>
      <c r="E821" s="37"/>
    </row>
    <row r="822" spans="1:5">
      <c r="A822" s="37"/>
      <c r="B822" s="37"/>
      <c r="C822" s="37"/>
      <c r="D822" s="37"/>
      <c r="E822" s="37"/>
    </row>
    <row r="823" spans="1:5">
      <c r="A823" s="37"/>
      <c r="B823" s="37"/>
      <c r="C823" s="37"/>
      <c r="D823" s="37"/>
      <c r="E823" s="37"/>
    </row>
    <row r="824" spans="1:5">
      <c r="A824" s="37"/>
      <c r="B824" s="37"/>
      <c r="C824" s="37"/>
      <c r="D824" s="37"/>
      <c r="E824" s="37"/>
    </row>
    <row r="825" spans="1:5">
      <c r="A825" s="37"/>
      <c r="B825" s="37"/>
      <c r="C825" s="37"/>
      <c r="D825" s="37"/>
      <c r="E825" s="37"/>
    </row>
    <row r="826" spans="1:5">
      <c r="A826" s="37"/>
      <c r="B826" s="37"/>
      <c r="C826" s="37"/>
      <c r="D826" s="37"/>
      <c r="E826" s="37"/>
    </row>
    <row r="827" spans="1:5">
      <c r="A827" s="37"/>
      <c r="B827" s="37"/>
      <c r="C827" s="37"/>
      <c r="D827" s="37"/>
      <c r="E827" s="37"/>
    </row>
    <row r="828" spans="1:5">
      <c r="A828" s="37"/>
      <c r="B828" s="37"/>
      <c r="C828" s="37"/>
      <c r="D828" s="37"/>
      <c r="E828" s="37"/>
    </row>
    <row r="829" spans="1:5">
      <c r="A829" s="37"/>
      <c r="B829" s="37"/>
      <c r="C829" s="37"/>
      <c r="D829" s="37"/>
      <c r="E829" s="37"/>
    </row>
    <row r="830" spans="1:5">
      <c r="A830" s="37"/>
      <c r="B830" s="37"/>
      <c r="C830" s="37"/>
      <c r="D830" s="37"/>
      <c r="E830" s="37"/>
    </row>
    <row r="831" spans="1:5">
      <c r="A831" s="37"/>
      <c r="B831" s="37"/>
      <c r="C831" s="37"/>
      <c r="D831" s="37"/>
      <c r="E831" s="37"/>
    </row>
    <row r="832" spans="1:5">
      <c r="A832" s="37"/>
      <c r="B832" s="37"/>
      <c r="C832" s="37"/>
      <c r="D832" s="37"/>
      <c r="E832" s="37"/>
    </row>
    <row r="833" spans="1:5">
      <c r="A833" s="37"/>
      <c r="B833" s="37"/>
      <c r="C833" s="37"/>
      <c r="D833" s="37"/>
      <c r="E833" s="37"/>
    </row>
    <row r="834" spans="1:5">
      <c r="A834" s="37"/>
      <c r="B834" s="37"/>
      <c r="C834" s="37"/>
      <c r="D834" s="37"/>
      <c r="E834" s="37"/>
    </row>
    <row r="835" spans="1:5">
      <c r="A835" s="37"/>
      <c r="B835" s="37"/>
      <c r="C835" s="37"/>
      <c r="D835" s="37"/>
      <c r="E835" s="37"/>
    </row>
    <row r="836" spans="1:5">
      <c r="A836" s="37"/>
      <c r="B836" s="37"/>
      <c r="C836" s="37"/>
      <c r="D836" s="37"/>
      <c r="E836" s="37"/>
    </row>
    <row r="837" spans="1:5">
      <c r="A837" s="37"/>
      <c r="B837" s="37"/>
      <c r="C837" s="37"/>
      <c r="D837" s="37"/>
      <c r="E837" s="37"/>
    </row>
    <row r="838" spans="1:5">
      <c r="A838" s="37"/>
      <c r="B838" s="37"/>
      <c r="C838" s="37"/>
      <c r="D838" s="37"/>
      <c r="E838" s="37"/>
    </row>
    <row r="839" spans="1:5">
      <c r="A839" s="37"/>
      <c r="B839" s="37"/>
      <c r="C839" s="37"/>
      <c r="D839" s="37"/>
      <c r="E839" s="37"/>
    </row>
    <row r="840" spans="1:5">
      <c r="A840" s="37"/>
      <c r="B840" s="37"/>
      <c r="C840" s="37"/>
      <c r="D840" s="37"/>
      <c r="E840" s="37"/>
    </row>
    <row r="841" spans="1:5">
      <c r="A841" s="37"/>
      <c r="B841" s="37"/>
      <c r="C841" s="37"/>
      <c r="D841" s="37"/>
      <c r="E841" s="37"/>
    </row>
    <row r="842" spans="1:5">
      <c r="A842" s="37"/>
      <c r="B842" s="37"/>
      <c r="C842" s="37"/>
      <c r="D842" s="37"/>
      <c r="E842" s="37"/>
    </row>
    <row r="843" spans="1:5">
      <c r="A843" s="37"/>
      <c r="B843" s="37"/>
      <c r="C843" s="37"/>
      <c r="D843" s="37"/>
      <c r="E843" s="37"/>
    </row>
    <row r="844" spans="1:5">
      <c r="A844" s="37"/>
      <c r="B844" s="37"/>
      <c r="C844" s="37"/>
      <c r="D844" s="37"/>
      <c r="E844" s="37"/>
    </row>
    <row r="845" spans="1:5">
      <c r="A845" s="37"/>
      <c r="B845" s="37"/>
      <c r="C845" s="37"/>
      <c r="D845" s="37"/>
      <c r="E845" s="37"/>
    </row>
    <row r="846" spans="1:5">
      <c r="A846" s="37"/>
      <c r="B846" s="37"/>
      <c r="C846" s="37"/>
      <c r="D846" s="37"/>
      <c r="E846" s="37"/>
    </row>
    <row r="847" spans="1:5">
      <c r="A847" s="37"/>
      <c r="B847" s="37"/>
      <c r="C847" s="37"/>
      <c r="D847" s="37"/>
      <c r="E847" s="37"/>
    </row>
    <row r="848" spans="1:5">
      <c r="A848" s="37"/>
      <c r="B848" s="37"/>
      <c r="C848" s="37"/>
      <c r="D848" s="37"/>
      <c r="E848" s="37"/>
    </row>
    <row r="849" spans="1:5">
      <c r="A849" s="37"/>
      <c r="B849" s="37"/>
      <c r="C849" s="37"/>
      <c r="D849" s="37"/>
      <c r="E849" s="37"/>
    </row>
    <row r="850" spans="1:5">
      <c r="A850" s="37"/>
      <c r="B850" s="37"/>
      <c r="C850" s="37"/>
      <c r="D850" s="37"/>
      <c r="E850" s="37"/>
    </row>
    <row r="851" spans="1:5">
      <c r="A851" s="37"/>
      <c r="B851" s="37"/>
      <c r="C851" s="37"/>
      <c r="D851" s="37"/>
      <c r="E851" s="37"/>
    </row>
    <row r="852" spans="1:5">
      <c r="A852" s="37"/>
      <c r="B852" s="37"/>
      <c r="C852" s="37"/>
      <c r="D852" s="37"/>
      <c r="E852" s="37"/>
    </row>
    <row r="853" spans="1:5">
      <c r="A853" s="37"/>
      <c r="B853" s="37"/>
      <c r="C853" s="37"/>
      <c r="D853" s="37"/>
      <c r="E853" s="37"/>
    </row>
    <row r="854" spans="1:5">
      <c r="A854" s="37"/>
      <c r="B854" s="37"/>
      <c r="C854" s="37"/>
      <c r="D854" s="37"/>
      <c r="E854" s="37"/>
    </row>
    <row r="855" spans="1:5">
      <c r="A855" s="37"/>
      <c r="B855" s="37"/>
      <c r="C855" s="37"/>
      <c r="D855" s="37"/>
      <c r="E855" s="37"/>
    </row>
    <row r="856" spans="1:5">
      <c r="A856" s="37"/>
      <c r="B856" s="37"/>
      <c r="C856" s="37"/>
      <c r="D856" s="37"/>
      <c r="E856" s="37"/>
    </row>
    <row r="857" spans="1:5">
      <c r="A857" s="37"/>
      <c r="B857" s="37"/>
      <c r="C857" s="37"/>
      <c r="D857" s="37"/>
      <c r="E857" s="37"/>
    </row>
    <row r="858" spans="1:5">
      <c r="A858" s="37"/>
      <c r="B858" s="37"/>
      <c r="C858" s="37"/>
      <c r="D858" s="37"/>
      <c r="E858" s="37"/>
    </row>
    <row r="859" spans="1:5">
      <c r="A859" s="37"/>
      <c r="B859" s="37"/>
      <c r="C859" s="37"/>
      <c r="D859" s="37"/>
      <c r="E859" s="37"/>
    </row>
    <row r="860" spans="1:5">
      <c r="A860" s="37"/>
      <c r="B860" s="37"/>
      <c r="C860" s="37"/>
      <c r="D860" s="37"/>
      <c r="E860" s="37"/>
    </row>
    <row r="861" spans="1:5">
      <c r="A861" s="37"/>
      <c r="B861" s="37"/>
      <c r="C861" s="37"/>
      <c r="D861" s="37"/>
      <c r="E861" s="37"/>
    </row>
    <row r="862" spans="1:5">
      <c r="A862" s="37"/>
      <c r="B862" s="37"/>
      <c r="C862" s="37"/>
      <c r="D862" s="37"/>
      <c r="E862" s="37"/>
    </row>
    <row r="863" spans="1:5">
      <c r="A863" s="37"/>
      <c r="B863" s="37"/>
      <c r="C863" s="37"/>
      <c r="D863" s="37"/>
      <c r="E863" s="37"/>
    </row>
    <row r="864" spans="1:5">
      <c r="A864" s="37"/>
      <c r="B864" s="37"/>
      <c r="C864" s="37"/>
      <c r="D864" s="37"/>
      <c r="E864" s="37"/>
    </row>
    <row r="865" spans="1:5">
      <c r="A865" s="37"/>
      <c r="B865" s="37"/>
      <c r="C865" s="37"/>
      <c r="D865" s="37"/>
      <c r="E865" s="37"/>
    </row>
    <row r="866" spans="1:5">
      <c r="A866" s="37"/>
      <c r="B866" s="37"/>
      <c r="C866" s="37"/>
      <c r="D866" s="37"/>
      <c r="E866" s="37"/>
    </row>
    <row r="867" spans="1:5">
      <c r="A867" s="37"/>
      <c r="B867" s="37"/>
      <c r="C867" s="37"/>
      <c r="D867" s="37"/>
      <c r="E867" s="37"/>
    </row>
    <row r="868" spans="1:5">
      <c r="A868" s="37"/>
      <c r="B868" s="37"/>
      <c r="C868" s="37"/>
      <c r="D868" s="37"/>
      <c r="E868" s="37"/>
    </row>
    <row r="869" spans="1:5">
      <c r="A869" s="37"/>
      <c r="B869" s="37"/>
      <c r="C869" s="37"/>
      <c r="D869" s="37"/>
      <c r="E869" s="37"/>
    </row>
    <row r="870" spans="1:5">
      <c r="A870" s="37"/>
      <c r="B870" s="37"/>
      <c r="C870" s="37"/>
      <c r="D870" s="37"/>
      <c r="E870" s="37"/>
    </row>
    <row r="871" spans="1:5">
      <c r="A871" s="37"/>
      <c r="B871" s="37"/>
      <c r="C871" s="37"/>
      <c r="D871" s="37"/>
      <c r="E871" s="37"/>
    </row>
    <row r="872" spans="1:5">
      <c r="A872" s="37"/>
      <c r="B872" s="37"/>
      <c r="C872" s="37"/>
      <c r="D872" s="37"/>
      <c r="E872" s="37"/>
    </row>
    <row r="873" spans="1:5">
      <c r="A873" s="37"/>
      <c r="B873" s="37"/>
      <c r="C873" s="37"/>
      <c r="D873" s="37"/>
      <c r="E873" s="37"/>
    </row>
    <row r="874" spans="1:5">
      <c r="A874" s="37"/>
      <c r="B874" s="37"/>
      <c r="C874" s="37"/>
      <c r="D874" s="37"/>
      <c r="E874" s="37"/>
    </row>
    <row r="875" spans="1:5">
      <c r="A875" s="37"/>
      <c r="B875" s="37"/>
      <c r="C875" s="37"/>
      <c r="D875" s="37"/>
      <c r="E875" s="37"/>
    </row>
    <row r="876" spans="1:5">
      <c r="A876" s="37"/>
      <c r="B876" s="37"/>
      <c r="C876" s="37"/>
      <c r="D876" s="37"/>
      <c r="E876" s="37"/>
    </row>
    <row r="877" spans="1:5">
      <c r="A877" s="37"/>
      <c r="B877" s="37"/>
      <c r="C877" s="37"/>
      <c r="D877" s="37"/>
      <c r="E877" s="37"/>
    </row>
    <row r="878" spans="1:5">
      <c r="A878" s="37"/>
      <c r="B878" s="37"/>
      <c r="C878" s="37"/>
      <c r="D878" s="37"/>
      <c r="E878" s="37"/>
    </row>
    <row r="879" spans="1:5">
      <c r="A879" s="37"/>
      <c r="B879" s="37"/>
      <c r="C879" s="37"/>
      <c r="D879" s="37"/>
      <c r="E879" s="37"/>
    </row>
    <row r="880" spans="1:5">
      <c r="A880" s="37"/>
      <c r="B880" s="37"/>
      <c r="C880" s="37"/>
      <c r="D880" s="37"/>
      <c r="E880" s="37"/>
    </row>
    <row r="881" spans="1:5">
      <c r="A881" s="37"/>
      <c r="B881" s="37"/>
      <c r="C881" s="37"/>
      <c r="D881" s="37"/>
      <c r="E881" s="37"/>
    </row>
    <row r="882" spans="1:5">
      <c r="A882" s="37"/>
      <c r="B882" s="37"/>
      <c r="C882" s="37"/>
      <c r="D882" s="37"/>
      <c r="E882" s="37"/>
    </row>
    <row r="883" spans="1:5">
      <c r="A883" s="37"/>
      <c r="B883" s="37"/>
      <c r="C883" s="37"/>
      <c r="D883" s="37"/>
      <c r="E883" s="37"/>
    </row>
    <row r="884" spans="1:5">
      <c r="A884" s="37"/>
      <c r="B884" s="37"/>
      <c r="C884" s="37"/>
      <c r="D884" s="37"/>
      <c r="E884" s="37"/>
    </row>
    <row r="885" spans="1:5">
      <c r="A885" s="37"/>
      <c r="B885" s="37"/>
      <c r="C885" s="37"/>
      <c r="D885" s="37"/>
      <c r="E885" s="37"/>
    </row>
    <row r="886" spans="1:5">
      <c r="A886" s="37"/>
      <c r="B886" s="37"/>
      <c r="C886" s="37"/>
      <c r="D886" s="37"/>
      <c r="E886" s="37"/>
    </row>
    <row r="887" spans="1:5">
      <c r="A887" s="37"/>
      <c r="B887" s="37"/>
      <c r="C887" s="37"/>
      <c r="D887" s="37"/>
      <c r="E887" s="37"/>
    </row>
    <row r="888" spans="1:5">
      <c r="A888" s="37"/>
      <c r="B888" s="37"/>
      <c r="C888" s="37"/>
      <c r="D888" s="37"/>
      <c r="E888" s="37"/>
    </row>
    <row r="889" spans="1:5">
      <c r="A889" s="37"/>
      <c r="B889" s="37"/>
      <c r="C889" s="37"/>
      <c r="D889" s="37"/>
      <c r="E889" s="37"/>
    </row>
    <row r="890" spans="1:5">
      <c r="A890" s="37"/>
      <c r="B890" s="37"/>
      <c r="C890" s="37"/>
      <c r="D890" s="37"/>
      <c r="E890" s="37"/>
    </row>
    <row r="891" spans="1:5">
      <c r="A891" s="37"/>
      <c r="B891" s="37"/>
      <c r="C891" s="37"/>
      <c r="D891" s="37"/>
      <c r="E891" s="37"/>
    </row>
    <row r="892" spans="1:5">
      <c r="A892" s="37"/>
      <c r="B892" s="37"/>
      <c r="C892" s="37"/>
      <c r="D892" s="37"/>
      <c r="E892" s="37"/>
    </row>
    <row r="893" spans="1:5">
      <c r="A893" s="37"/>
      <c r="B893" s="37"/>
      <c r="C893" s="37"/>
      <c r="D893" s="37"/>
      <c r="E893" s="37"/>
    </row>
    <row r="894" spans="1:5">
      <c r="A894" s="37"/>
      <c r="B894" s="37"/>
      <c r="C894" s="37"/>
      <c r="D894" s="37"/>
      <c r="E894" s="37"/>
    </row>
    <row r="895" spans="1:5">
      <c r="A895" s="37"/>
      <c r="B895" s="37"/>
      <c r="C895" s="37"/>
      <c r="D895" s="37"/>
      <c r="E895" s="37"/>
    </row>
    <row r="896" spans="1:5">
      <c r="A896" s="37"/>
      <c r="B896" s="37"/>
      <c r="C896" s="37"/>
      <c r="D896" s="37"/>
      <c r="E896" s="37"/>
    </row>
    <row r="897" spans="1:5">
      <c r="A897" s="37"/>
      <c r="B897" s="37"/>
      <c r="C897" s="37"/>
      <c r="D897" s="37"/>
      <c r="E897" s="37"/>
    </row>
    <row r="898" spans="1:5">
      <c r="A898" s="37"/>
      <c r="B898" s="37"/>
      <c r="C898" s="37"/>
      <c r="D898" s="37"/>
      <c r="E898" s="37"/>
    </row>
    <row r="899" spans="1:5">
      <c r="A899" s="37"/>
      <c r="B899" s="37"/>
      <c r="C899" s="37"/>
      <c r="D899" s="37"/>
      <c r="E899" s="37"/>
    </row>
    <row r="900" spans="1:5">
      <c r="A900" s="37"/>
      <c r="B900" s="37"/>
      <c r="C900" s="37"/>
      <c r="D900" s="37"/>
      <c r="E900" s="37"/>
    </row>
    <row r="901" spans="1:5">
      <c r="A901" s="37"/>
      <c r="B901" s="37"/>
      <c r="C901" s="37"/>
      <c r="D901" s="37"/>
      <c r="E901" s="37"/>
    </row>
    <row r="902" spans="1:5">
      <c r="A902" s="37"/>
      <c r="B902" s="37"/>
      <c r="C902" s="37"/>
      <c r="D902" s="37"/>
      <c r="E902" s="37"/>
    </row>
    <row r="903" spans="1:5">
      <c r="A903" s="37"/>
      <c r="B903" s="37"/>
      <c r="C903" s="37"/>
      <c r="D903" s="37"/>
      <c r="E903" s="37"/>
    </row>
    <row r="904" spans="1:5">
      <c r="A904" s="37"/>
      <c r="B904" s="37"/>
      <c r="C904" s="37"/>
      <c r="D904" s="37"/>
      <c r="E904" s="37"/>
    </row>
    <row r="905" spans="1:5">
      <c r="A905" s="37"/>
      <c r="B905" s="37"/>
      <c r="C905" s="37"/>
      <c r="D905" s="37"/>
      <c r="E905" s="37"/>
    </row>
    <row r="906" spans="1:5">
      <c r="A906" s="37"/>
      <c r="B906" s="37"/>
      <c r="C906" s="37"/>
      <c r="D906" s="37"/>
      <c r="E906" s="37"/>
    </row>
    <row r="907" spans="1:5">
      <c r="A907" s="37"/>
      <c r="B907" s="37"/>
      <c r="C907" s="37"/>
      <c r="D907" s="37"/>
      <c r="E907" s="37"/>
    </row>
    <row r="908" spans="1:5">
      <c r="A908" s="37"/>
      <c r="B908" s="37"/>
      <c r="C908" s="37"/>
      <c r="D908" s="37"/>
      <c r="E908" s="37"/>
    </row>
    <row r="909" spans="1:5">
      <c r="A909" s="37"/>
      <c r="B909" s="37"/>
      <c r="C909" s="37"/>
      <c r="D909" s="37"/>
      <c r="E909" s="37"/>
    </row>
    <row r="910" spans="1:5">
      <c r="A910" s="37"/>
      <c r="B910" s="37"/>
      <c r="C910" s="37"/>
      <c r="D910" s="37"/>
      <c r="E910" s="37"/>
    </row>
    <row r="911" spans="1:5">
      <c r="A911" s="37"/>
      <c r="B911" s="37"/>
      <c r="C911" s="37"/>
      <c r="D911" s="37"/>
      <c r="E911" s="37"/>
    </row>
    <row r="912" spans="1:5">
      <c r="A912" s="37"/>
      <c r="B912" s="37"/>
      <c r="C912" s="37"/>
      <c r="D912" s="37"/>
      <c r="E912" s="37"/>
    </row>
    <row r="913" spans="1:5">
      <c r="A913" s="37"/>
      <c r="B913" s="37"/>
      <c r="C913" s="37"/>
      <c r="D913" s="37"/>
      <c r="E913" s="37"/>
    </row>
    <row r="914" spans="1:5">
      <c r="A914" s="37"/>
      <c r="B914" s="37"/>
      <c r="C914" s="37"/>
      <c r="D914" s="37"/>
      <c r="E914" s="37"/>
    </row>
    <row r="915" spans="1:5">
      <c r="A915" s="37"/>
      <c r="B915" s="37"/>
      <c r="C915" s="37"/>
      <c r="D915" s="37"/>
      <c r="E915" s="37"/>
    </row>
    <row r="916" spans="1:5">
      <c r="A916" s="37"/>
      <c r="B916" s="37"/>
      <c r="C916" s="37"/>
      <c r="D916" s="37"/>
      <c r="E916" s="37"/>
    </row>
    <row r="917" spans="1:5">
      <c r="A917" s="37"/>
      <c r="B917" s="37"/>
      <c r="C917" s="37"/>
      <c r="D917" s="37"/>
      <c r="E917" s="37"/>
    </row>
    <row r="918" spans="1:5">
      <c r="A918" s="37"/>
      <c r="B918" s="37"/>
      <c r="C918" s="37"/>
      <c r="D918" s="37"/>
      <c r="E918" s="37"/>
    </row>
    <row r="919" spans="1:5">
      <c r="A919" s="37"/>
      <c r="B919" s="37"/>
      <c r="C919" s="37"/>
      <c r="D919" s="37"/>
      <c r="E919" s="37"/>
    </row>
    <row r="920" spans="1:5">
      <c r="A920" s="37"/>
      <c r="B920" s="37"/>
      <c r="C920" s="37"/>
      <c r="D920" s="37"/>
      <c r="E920" s="37"/>
    </row>
    <row r="921" spans="1:5">
      <c r="A921" s="37"/>
      <c r="B921" s="37"/>
      <c r="C921" s="37"/>
      <c r="D921" s="37"/>
      <c r="E921" s="37"/>
    </row>
    <row r="922" spans="1:5">
      <c r="A922" s="37"/>
      <c r="B922" s="37"/>
      <c r="C922" s="37"/>
      <c r="D922" s="37"/>
      <c r="E922" s="37"/>
    </row>
    <row r="923" spans="1:5">
      <c r="A923" s="37"/>
      <c r="B923" s="37"/>
      <c r="C923" s="37"/>
      <c r="D923" s="37"/>
      <c r="E923" s="37"/>
    </row>
    <row r="924" spans="1:5">
      <c r="A924" s="37"/>
      <c r="B924" s="37"/>
      <c r="C924" s="37"/>
      <c r="D924" s="37"/>
      <c r="E924" s="37"/>
    </row>
    <row r="925" spans="1:5">
      <c r="A925" s="37"/>
      <c r="B925" s="37"/>
      <c r="C925" s="37"/>
      <c r="D925" s="37"/>
      <c r="E925" s="37"/>
    </row>
    <row r="926" spans="1:5">
      <c r="A926" s="37"/>
      <c r="B926" s="37"/>
      <c r="C926" s="37"/>
      <c r="D926" s="37"/>
      <c r="E926" s="37"/>
    </row>
    <row r="927" spans="1:5">
      <c r="A927" s="37"/>
      <c r="B927" s="37"/>
      <c r="C927" s="37"/>
      <c r="D927" s="37"/>
      <c r="E927" s="37"/>
    </row>
    <row r="928" spans="1:5">
      <c r="A928" s="37"/>
      <c r="B928" s="37"/>
      <c r="C928" s="37"/>
      <c r="D928" s="37"/>
      <c r="E928" s="37"/>
    </row>
    <row r="929" spans="1:5">
      <c r="A929" s="37"/>
      <c r="B929" s="37"/>
      <c r="C929" s="37"/>
      <c r="D929" s="37"/>
      <c r="E929" s="37"/>
    </row>
    <row r="930" spans="1:5">
      <c r="A930" s="37"/>
      <c r="B930" s="37"/>
      <c r="C930" s="37"/>
      <c r="D930" s="37"/>
      <c r="E930" s="37"/>
    </row>
    <row r="931" spans="1:5">
      <c r="A931" s="37"/>
      <c r="B931" s="37"/>
      <c r="C931" s="37"/>
      <c r="D931" s="37"/>
      <c r="E931" s="37"/>
    </row>
    <row r="932" spans="1:5">
      <c r="A932" s="37"/>
      <c r="B932" s="37"/>
      <c r="C932" s="37"/>
      <c r="D932" s="37"/>
      <c r="E932" s="37"/>
    </row>
    <row r="933" spans="1:5">
      <c r="A933" s="37"/>
      <c r="B933" s="37"/>
      <c r="C933" s="37"/>
      <c r="D933" s="37"/>
      <c r="E933" s="37"/>
    </row>
    <row r="934" spans="1:5">
      <c r="A934" s="37"/>
      <c r="B934" s="37"/>
      <c r="C934" s="37"/>
      <c r="D934" s="37"/>
      <c r="E934" s="37"/>
    </row>
    <row r="935" spans="1:5">
      <c r="A935" s="37"/>
      <c r="B935" s="37"/>
      <c r="C935" s="37"/>
      <c r="D935" s="37"/>
      <c r="E935" s="37"/>
    </row>
    <row r="936" spans="1:5">
      <c r="A936" s="37"/>
      <c r="B936" s="37"/>
      <c r="C936" s="37"/>
      <c r="D936" s="37"/>
      <c r="E936" s="37"/>
    </row>
    <row r="937" spans="1:5">
      <c r="A937" s="37"/>
      <c r="B937" s="37"/>
      <c r="C937" s="37"/>
      <c r="D937" s="37"/>
      <c r="E937" s="37"/>
    </row>
    <row r="938" spans="1:5">
      <c r="A938" s="37"/>
      <c r="B938" s="37"/>
      <c r="C938" s="37"/>
      <c r="D938" s="37"/>
      <c r="E938" s="37"/>
    </row>
    <row r="939" spans="1:5">
      <c r="A939" s="37"/>
      <c r="B939" s="37"/>
      <c r="C939" s="37"/>
      <c r="D939" s="37"/>
      <c r="E939" s="37"/>
    </row>
    <row r="940" spans="1:5">
      <c r="A940" s="37"/>
      <c r="B940" s="37"/>
      <c r="C940" s="37"/>
      <c r="D940" s="37"/>
      <c r="E940" s="37"/>
    </row>
    <row r="941" spans="1:5">
      <c r="A941" s="37"/>
      <c r="B941" s="37"/>
      <c r="C941" s="37"/>
      <c r="D941" s="37"/>
      <c r="E941" s="37"/>
    </row>
    <row r="942" spans="1:5">
      <c r="A942" s="37"/>
      <c r="B942" s="37"/>
      <c r="C942" s="37"/>
      <c r="D942" s="37"/>
      <c r="E942" s="37"/>
    </row>
    <row r="943" spans="1:5">
      <c r="A943" s="37"/>
      <c r="B943" s="37"/>
      <c r="C943" s="37"/>
      <c r="D943" s="37"/>
      <c r="E943" s="37"/>
    </row>
    <row r="944" spans="1:5">
      <c r="A944" s="37"/>
      <c r="B944" s="37"/>
      <c r="C944" s="37"/>
      <c r="D944" s="37"/>
      <c r="E944" s="37"/>
    </row>
    <row r="945" spans="1:5">
      <c r="A945" s="37"/>
      <c r="B945" s="37"/>
      <c r="C945" s="37"/>
      <c r="D945" s="37"/>
      <c r="E945" s="37"/>
    </row>
    <row r="946" spans="1:5">
      <c r="A946" s="37"/>
      <c r="B946" s="37"/>
      <c r="C946" s="37"/>
      <c r="D946" s="37"/>
      <c r="E946" s="37"/>
    </row>
    <row r="947" spans="1:5">
      <c r="A947" s="37"/>
      <c r="B947" s="37"/>
      <c r="C947" s="37"/>
      <c r="D947" s="37"/>
      <c r="E947" s="37"/>
    </row>
    <row r="948" spans="1:5">
      <c r="A948" s="37"/>
      <c r="B948" s="37"/>
      <c r="C948" s="37"/>
      <c r="D948" s="37"/>
      <c r="E948" s="37"/>
    </row>
    <row r="949" spans="1:5">
      <c r="A949" s="37"/>
      <c r="B949" s="37"/>
      <c r="C949" s="37"/>
      <c r="D949" s="37"/>
      <c r="E949" s="37"/>
    </row>
    <row r="950" spans="1:5">
      <c r="A950" s="37"/>
      <c r="B950" s="37"/>
      <c r="C950" s="37"/>
      <c r="D950" s="37"/>
      <c r="E950" s="37"/>
    </row>
    <row r="951" spans="1:5">
      <c r="A951" s="37"/>
      <c r="B951" s="37"/>
      <c r="C951" s="37"/>
      <c r="D951" s="37"/>
      <c r="E951" s="37"/>
    </row>
    <row r="952" spans="1:5">
      <c r="A952" s="37"/>
      <c r="B952" s="37"/>
      <c r="C952" s="37"/>
      <c r="D952" s="37"/>
      <c r="E952" s="37"/>
    </row>
    <row r="953" spans="1:5">
      <c r="A953" s="37"/>
      <c r="B953" s="37"/>
      <c r="C953" s="37"/>
      <c r="D953" s="37"/>
      <c r="E953" s="37"/>
    </row>
    <row r="954" spans="1:5">
      <c r="A954" s="37"/>
      <c r="B954" s="37"/>
      <c r="C954" s="37"/>
      <c r="D954" s="37"/>
      <c r="E954" s="37"/>
    </row>
    <row r="955" spans="1:5">
      <c r="A955" s="37"/>
      <c r="B955" s="37"/>
      <c r="C955" s="37"/>
      <c r="D955" s="37"/>
      <c r="E955" s="37"/>
    </row>
    <row r="956" spans="1:5">
      <c r="A956" s="37"/>
      <c r="B956" s="37"/>
      <c r="C956" s="37"/>
      <c r="D956" s="37"/>
      <c r="E956" s="37"/>
    </row>
    <row r="957" spans="1:5">
      <c r="A957" s="37"/>
      <c r="B957" s="37"/>
      <c r="C957" s="37"/>
      <c r="D957" s="37"/>
      <c r="E957" s="37"/>
    </row>
    <row r="958" spans="1:5">
      <c r="A958" s="37"/>
      <c r="B958" s="37"/>
      <c r="C958" s="37"/>
      <c r="D958" s="37"/>
      <c r="E958" s="37"/>
    </row>
    <row r="959" spans="1:5">
      <c r="A959" s="37"/>
      <c r="B959" s="37"/>
      <c r="C959" s="37"/>
      <c r="D959" s="37"/>
      <c r="E959" s="37"/>
    </row>
    <row r="960" spans="1:5">
      <c r="A960" s="37"/>
      <c r="B960" s="37"/>
      <c r="C960" s="37"/>
      <c r="D960" s="37"/>
      <c r="E960" s="37"/>
    </row>
    <row r="961" spans="1:5">
      <c r="A961" s="37"/>
      <c r="B961" s="37"/>
      <c r="C961" s="37"/>
      <c r="D961" s="37"/>
      <c r="E961" s="37"/>
    </row>
    <row r="962" spans="1:5">
      <c r="A962" s="37"/>
      <c r="B962" s="37"/>
      <c r="C962" s="37"/>
      <c r="D962" s="37"/>
      <c r="E962" s="37"/>
    </row>
    <row r="963" spans="1:5">
      <c r="A963" s="37"/>
      <c r="B963" s="37"/>
      <c r="C963" s="37"/>
      <c r="D963" s="37"/>
      <c r="E963" s="37"/>
    </row>
    <row r="964" spans="1:5">
      <c r="A964" s="37"/>
      <c r="B964" s="37"/>
      <c r="C964" s="37"/>
      <c r="D964" s="37"/>
      <c r="E964" s="37"/>
    </row>
    <row r="965" spans="1:5">
      <c r="A965" s="37"/>
      <c r="B965" s="37"/>
      <c r="C965" s="37"/>
      <c r="D965" s="37"/>
      <c r="E965" s="37"/>
    </row>
    <row r="966" spans="1:5">
      <c r="A966" s="37"/>
      <c r="B966" s="37"/>
      <c r="C966" s="37"/>
      <c r="D966" s="37"/>
      <c r="E966" s="37"/>
    </row>
    <row r="967" spans="1:5">
      <c r="A967" s="37"/>
      <c r="B967" s="37"/>
      <c r="C967" s="37"/>
      <c r="D967" s="37"/>
      <c r="E967" s="37"/>
    </row>
    <row r="968" spans="1:5">
      <c r="A968" s="37"/>
      <c r="B968" s="37"/>
      <c r="C968" s="37"/>
      <c r="D968" s="37"/>
      <c r="E968" s="37"/>
    </row>
    <row r="969" spans="1:5">
      <c r="A969" s="37"/>
      <c r="B969" s="37"/>
      <c r="C969" s="37"/>
      <c r="D969" s="37"/>
      <c r="E969" s="37"/>
    </row>
    <row r="970" spans="1:5">
      <c r="A970" s="37"/>
      <c r="B970" s="37"/>
      <c r="C970" s="37"/>
      <c r="D970" s="37"/>
      <c r="E970" s="37"/>
    </row>
    <row r="971" spans="1:5">
      <c r="A971" s="37"/>
      <c r="B971" s="37"/>
      <c r="C971" s="37"/>
      <c r="D971" s="37"/>
      <c r="E971" s="37"/>
    </row>
    <row r="972" spans="1:5">
      <c r="A972" s="37"/>
      <c r="B972" s="37"/>
      <c r="C972" s="37"/>
      <c r="D972" s="37"/>
      <c r="E972" s="37"/>
    </row>
    <row r="973" spans="1:5">
      <c r="A973" s="37"/>
      <c r="B973" s="37"/>
      <c r="C973" s="37"/>
      <c r="D973" s="37"/>
      <c r="E973" s="37"/>
    </row>
    <row r="974" spans="1:5">
      <c r="A974" s="37"/>
      <c r="B974" s="37"/>
      <c r="C974" s="37"/>
      <c r="D974" s="37"/>
      <c r="E974" s="37"/>
    </row>
    <row r="975" spans="1:5">
      <c r="A975" s="37"/>
      <c r="B975" s="37"/>
      <c r="C975" s="37"/>
      <c r="D975" s="37"/>
      <c r="E975" s="37"/>
    </row>
    <row r="976" spans="1:5">
      <c r="A976" s="37"/>
      <c r="B976" s="37"/>
      <c r="C976" s="37"/>
      <c r="D976" s="37"/>
      <c r="E976" s="37"/>
    </row>
    <row r="977" spans="1:5">
      <c r="A977" s="37"/>
      <c r="B977" s="37"/>
      <c r="C977" s="37"/>
      <c r="D977" s="37"/>
      <c r="E977" s="37"/>
    </row>
    <row r="978" spans="1:5">
      <c r="A978" s="37"/>
      <c r="B978" s="37"/>
      <c r="C978" s="37"/>
      <c r="D978" s="37"/>
      <c r="E978" s="37"/>
    </row>
    <row r="979" spans="1:5">
      <c r="A979" s="37"/>
      <c r="B979" s="37"/>
      <c r="C979" s="37"/>
      <c r="D979" s="37"/>
      <c r="E979" s="37"/>
    </row>
    <row r="980" spans="1:5">
      <c r="A980" s="37"/>
      <c r="B980" s="37"/>
      <c r="C980" s="37"/>
      <c r="D980" s="37"/>
      <c r="E980" s="37"/>
    </row>
    <row r="981" spans="1:5">
      <c r="A981" s="37"/>
      <c r="B981" s="37"/>
      <c r="C981" s="37"/>
      <c r="D981" s="37"/>
      <c r="E981" s="37"/>
    </row>
    <row r="982" spans="1:5">
      <c r="A982" s="37"/>
      <c r="B982" s="37"/>
      <c r="C982" s="37"/>
      <c r="D982" s="37"/>
      <c r="E982" s="37"/>
    </row>
    <row r="983" spans="1:5">
      <c r="A983" s="37"/>
      <c r="B983" s="37"/>
      <c r="C983" s="37"/>
      <c r="D983" s="37"/>
      <c r="E983" s="37"/>
    </row>
    <row r="984" spans="1:5">
      <c r="A984" s="37"/>
      <c r="B984" s="37"/>
      <c r="C984" s="37"/>
      <c r="D984" s="37"/>
      <c r="E984" s="37"/>
    </row>
    <row r="985" spans="1:5">
      <c r="A985" s="37"/>
      <c r="B985" s="37"/>
      <c r="C985" s="37"/>
      <c r="D985" s="37"/>
      <c r="E985" s="37"/>
    </row>
    <row r="986" spans="1:5">
      <c r="A986" s="37"/>
      <c r="B986" s="37"/>
      <c r="C986" s="37"/>
      <c r="D986" s="37"/>
      <c r="E986" s="37"/>
    </row>
    <row r="987" spans="1:5">
      <c r="A987" s="37"/>
      <c r="B987" s="37"/>
      <c r="C987" s="37"/>
      <c r="D987" s="37"/>
      <c r="E987" s="37"/>
    </row>
    <row r="988" spans="1:5">
      <c r="A988" s="37"/>
      <c r="B988" s="37"/>
      <c r="C988" s="37"/>
      <c r="D988" s="37"/>
      <c r="E988" s="37"/>
    </row>
    <row r="989" spans="1:5">
      <c r="A989" s="37"/>
      <c r="B989" s="37"/>
      <c r="C989" s="37"/>
      <c r="D989" s="37"/>
      <c r="E989" s="37"/>
    </row>
    <row r="990" spans="1:5">
      <c r="A990" s="37"/>
      <c r="B990" s="37"/>
      <c r="C990" s="37"/>
      <c r="D990" s="37"/>
      <c r="E990" s="37"/>
    </row>
    <row r="991" spans="1:5">
      <c r="A991" s="37"/>
      <c r="B991" s="37"/>
      <c r="C991" s="37"/>
      <c r="D991" s="37"/>
      <c r="E991" s="37"/>
    </row>
    <row r="992" spans="1:5">
      <c r="A992" s="37"/>
      <c r="B992" s="37"/>
      <c r="C992" s="37"/>
      <c r="D992" s="37"/>
      <c r="E992" s="37"/>
    </row>
    <row r="993" spans="1:5">
      <c r="A993" s="37"/>
      <c r="B993" s="37"/>
      <c r="C993" s="37"/>
      <c r="D993" s="37"/>
      <c r="E993" s="37"/>
    </row>
    <row r="994" spans="1:5">
      <c r="A994" s="37"/>
      <c r="B994" s="37"/>
      <c r="C994" s="37"/>
      <c r="D994" s="37"/>
      <c r="E994" s="37"/>
    </row>
    <row r="995" spans="1:5">
      <c r="A995" s="37"/>
      <c r="B995" s="37"/>
      <c r="C995" s="37"/>
      <c r="D995" s="37"/>
      <c r="E995" s="37"/>
    </row>
    <row r="996" spans="1:5">
      <c r="A996" s="37"/>
      <c r="B996" s="37"/>
      <c r="C996" s="37"/>
      <c r="D996" s="37"/>
      <c r="E996" s="37"/>
    </row>
    <row r="997" spans="1:5">
      <c r="A997" s="37"/>
      <c r="B997" s="37"/>
      <c r="C997" s="37"/>
      <c r="D997" s="37"/>
      <c r="E997" s="37"/>
    </row>
    <row r="998" spans="1:5">
      <c r="A998" s="37"/>
      <c r="B998" s="37"/>
      <c r="C998" s="37"/>
      <c r="D998" s="37"/>
      <c r="E998" s="37"/>
    </row>
    <row r="999" spans="1:5">
      <c r="A999" s="37"/>
      <c r="B999" s="37"/>
      <c r="C999" s="37"/>
      <c r="D999" s="37"/>
      <c r="E999" s="37"/>
    </row>
    <row r="1000" spans="1:5">
      <c r="A1000" s="37"/>
      <c r="B1000" s="37"/>
      <c r="C1000" s="37"/>
      <c r="D1000" s="37"/>
      <c r="E1000" s="37"/>
    </row>
    <row r="1001" spans="1:5">
      <c r="A1001" s="37"/>
      <c r="B1001" s="37"/>
      <c r="C1001" s="37"/>
      <c r="D1001" s="37"/>
      <c r="E1001" s="37"/>
    </row>
    <row r="1002" spans="1:5">
      <c r="A1002" s="37"/>
      <c r="B1002" s="37"/>
      <c r="C1002" s="37"/>
      <c r="D1002" s="37"/>
      <c r="E1002" s="37"/>
    </row>
    <row r="1003" spans="1:5">
      <c r="A1003" s="37"/>
      <c r="B1003" s="37"/>
      <c r="C1003" s="37"/>
      <c r="D1003" s="37"/>
      <c r="E1003" s="37"/>
    </row>
    <row r="1004" spans="1:5">
      <c r="A1004" s="37"/>
      <c r="B1004" s="37"/>
      <c r="C1004" s="37"/>
      <c r="D1004" s="37"/>
      <c r="E1004" s="37"/>
    </row>
    <row r="1005" spans="1:5">
      <c r="A1005" s="37"/>
      <c r="B1005" s="37"/>
      <c r="C1005" s="37"/>
      <c r="D1005" s="37"/>
      <c r="E1005" s="37"/>
    </row>
    <row r="1006" spans="1:5">
      <c r="A1006" s="37"/>
      <c r="B1006" s="37"/>
      <c r="C1006" s="37"/>
      <c r="D1006" s="37"/>
      <c r="E1006" s="37"/>
    </row>
    <row r="1007" spans="1:5">
      <c r="A1007" s="37"/>
      <c r="B1007" s="37"/>
      <c r="C1007" s="37"/>
      <c r="D1007" s="37"/>
      <c r="E1007" s="37"/>
    </row>
    <row r="1008" spans="1:5">
      <c r="A1008" s="37"/>
      <c r="B1008" s="37"/>
      <c r="C1008" s="37"/>
      <c r="D1008" s="37"/>
      <c r="E1008" s="37"/>
    </row>
    <row r="1009" spans="1:5">
      <c r="A1009" s="37"/>
      <c r="B1009" s="37"/>
      <c r="C1009" s="37"/>
      <c r="D1009" s="37"/>
      <c r="E1009" s="37"/>
    </row>
    <row r="1010" spans="1:5">
      <c r="A1010" s="37"/>
      <c r="B1010" s="37"/>
      <c r="C1010" s="37"/>
      <c r="D1010" s="37"/>
      <c r="E1010" s="37"/>
    </row>
    <row r="1011" spans="1:5">
      <c r="A1011" s="37"/>
      <c r="B1011" s="37"/>
      <c r="C1011" s="37"/>
      <c r="D1011" s="37"/>
      <c r="E1011" s="37"/>
    </row>
    <row r="1012" spans="1:5">
      <c r="A1012" s="37"/>
      <c r="B1012" s="37"/>
      <c r="C1012" s="37"/>
      <c r="D1012" s="37"/>
      <c r="E1012" s="37"/>
    </row>
    <row r="1013" spans="1:5">
      <c r="A1013" s="37"/>
      <c r="B1013" s="37"/>
      <c r="C1013" s="37"/>
      <c r="D1013" s="37"/>
      <c r="E1013" s="37"/>
    </row>
    <row r="1014" spans="1:5">
      <c r="A1014" s="37"/>
      <c r="B1014" s="37"/>
      <c r="C1014" s="37"/>
      <c r="D1014" s="37"/>
      <c r="E1014" s="37"/>
    </row>
    <row r="1015" spans="1:5">
      <c r="A1015" s="37"/>
      <c r="B1015" s="37"/>
      <c r="C1015" s="37"/>
      <c r="D1015" s="37"/>
      <c r="E1015" s="37"/>
    </row>
    <row r="1016" spans="1:5">
      <c r="A1016" s="37"/>
      <c r="B1016" s="37"/>
      <c r="C1016" s="37"/>
      <c r="D1016" s="37"/>
      <c r="E1016" s="37"/>
    </row>
    <row r="1017" spans="1:5">
      <c r="A1017" s="37"/>
      <c r="B1017" s="37"/>
      <c r="C1017" s="37"/>
      <c r="D1017" s="37"/>
      <c r="E1017" s="37"/>
    </row>
    <row r="1018" spans="1:5">
      <c r="A1018" s="37"/>
      <c r="B1018" s="37"/>
      <c r="C1018" s="37"/>
      <c r="D1018" s="37"/>
      <c r="E1018" s="37"/>
    </row>
    <row r="1019" spans="1:5">
      <c r="A1019" s="37"/>
      <c r="B1019" s="37"/>
      <c r="C1019" s="37"/>
      <c r="D1019" s="37"/>
      <c r="E1019" s="37"/>
    </row>
    <row r="1020" spans="1:5">
      <c r="A1020" s="37"/>
      <c r="B1020" s="37"/>
      <c r="C1020" s="37"/>
      <c r="D1020" s="37"/>
      <c r="E1020" s="37"/>
    </row>
    <row r="1021" spans="1:5">
      <c r="A1021" s="37"/>
      <c r="B1021" s="37"/>
      <c r="C1021" s="37"/>
      <c r="D1021" s="37"/>
      <c r="E1021" s="37"/>
    </row>
    <row r="1022" spans="1:5">
      <c r="A1022" s="37"/>
      <c r="B1022" s="37"/>
      <c r="C1022" s="37"/>
      <c r="D1022" s="37"/>
      <c r="E1022" s="37"/>
    </row>
    <row r="1023" spans="1:5">
      <c r="A1023" s="37"/>
      <c r="B1023" s="37"/>
      <c r="C1023" s="37"/>
      <c r="D1023" s="37"/>
      <c r="E1023" s="37"/>
    </row>
    <row r="1024" spans="1:5">
      <c r="A1024" s="37"/>
      <c r="B1024" s="37"/>
      <c r="C1024" s="37"/>
      <c r="D1024" s="37"/>
      <c r="E1024" s="37"/>
    </row>
    <row r="1025" spans="1:5">
      <c r="A1025" s="37"/>
      <c r="B1025" s="37"/>
      <c r="C1025" s="37"/>
      <c r="D1025" s="37"/>
      <c r="E1025" s="37"/>
    </row>
    <row r="1026" spans="1:5">
      <c r="A1026" s="37"/>
      <c r="B1026" s="37"/>
      <c r="C1026" s="37"/>
      <c r="D1026" s="37"/>
      <c r="E1026" s="37"/>
    </row>
    <row r="1027" spans="1:5">
      <c r="A1027" s="37"/>
      <c r="B1027" s="37"/>
      <c r="C1027" s="37"/>
      <c r="D1027" s="37"/>
      <c r="E1027" s="37"/>
    </row>
    <row r="1028" spans="1:5">
      <c r="A1028" s="37"/>
      <c r="B1028" s="37"/>
      <c r="C1028" s="37"/>
      <c r="D1028" s="37"/>
      <c r="E1028" s="37"/>
    </row>
    <row r="1029" spans="1:5">
      <c r="A1029" s="37"/>
      <c r="B1029" s="37"/>
      <c r="C1029" s="37"/>
      <c r="D1029" s="37"/>
      <c r="E1029" s="37"/>
    </row>
    <row r="1030" spans="1:5">
      <c r="A1030" s="37"/>
      <c r="B1030" s="37"/>
      <c r="C1030" s="37"/>
      <c r="D1030" s="37"/>
      <c r="E1030" s="37"/>
    </row>
    <row r="1031" spans="1:5">
      <c r="A1031" s="37"/>
      <c r="B1031" s="37"/>
      <c r="C1031" s="37"/>
      <c r="D1031" s="37"/>
      <c r="E1031" s="37"/>
    </row>
    <row r="1032" spans="1:5">
      <c r="A1032" s="37"/>
      <c r="B1032" s="37"/>
      <c r="C1032" s="37"/>
      <c r="D1032" s="37"/>
      <c r="E1032" s="37"/>
    </row>
    <row r="1033" spans="1:5">
      <c r="A1033" s="37"/>
      <c r="B1033" s="37"/>
      <c r="C1033" s="37"/>
      <c r="D1033" s="37"/>
      <c r="E1033" s="37"/>
    </row>
    <row r="1034" spans="1:5">
      <c r="A1034" s="37"/>
      <c r="B1034" s="37"/>
      <c r="C1034" s="37"/>
      <c r="D1034" s="37"/>
      <c r="E1034" s="37"/>
    </row>
    <row r="1035" spans="1:5">
      <c r="A1035" s="37"/>
      <c r="B1035" s="37"/>
      <c r="C1035" s="37"/>
      <c r="D1035" s="37"/>
      <c r="E1035" s="37"/>
    </row>
    <row r="1036" spans="1:5">
      <c r="A1036" s="37"/>
      <c r="B1036" s="37"/>
      <c r="C1036" s="37"/>
      <c r="D1036" s="37"/>
      <c r="E1036" s="37"/>
    </row>
    <row r="1037" spans="1:5">
      <c r="A1037" s="37"/>
      <c r="B1037" s="37"/>
      <c r="C1037" s="37"/>
      <c r="D1037" s="37"/>
      <c r="E1037" s="37"/>
    </row>
    <row r="1038" spans="1:5">
      <c r="A1038" s="37"/>
      <c r="B1038" s="37"/>
      <c r="C1038" s="37"/>
      <c r="D1038" s="37"/>
      <c r="E1038" s="37"/>
    </row>
    <row r="1039" spans="1:5">
      <c r="A1039" s="37"/>
      <c r="B1039" s="37"/>
      <c r="C1039" s="37"/>
      <c r="D1039" s="37"/>
      <c r="E1039" s="37"/>
    </row>
    <row r="1040" spans="1:5">
      <c r="A1040" s="37"/>
      <c r="B1040" s="37"/>
      <c r="C1040" s="37"/>
      <c r="D1040" s="37"/>
      <c r="E1040" s="37"/>
    </row>
    <row r="1041" spans="1:5">
      <c r="A1041" s="37"/>
      <c r="B1041" s="37"/>
      <c r="C1041" s="37"/>
      <c r="D1041" s="37"/>
      <c r="E1041" s="37"/>
    </row>
    <row r="1042" spans="1:5">
      <c r="A1042" s="37"/>
      <c r="B1042" s="37"/>
      <c r="C1042" s="37"/>
      <c r="D1042" s="37"/>
      <c r="E1042" s="37"/>
    </row>
    <row r="1043" spans="1:5">
      <c r="A1043" s="37"/>
      <c r="B1043" s="37"/>
      <c r="C1043" s="37"/>
      <c r="D1043" s="37"/>
      <c r="E1043" s="37"/>
    </row>
    <row r="1044" spans="1:5">
      <c r="A1044" s="37"/>
      <c r="B1044" s="37"/>
      <c r="C1044" s="37"/>
      <c r="D1044" s="37"/>
      <c r="E1044" s="37"/>
    </row>
    <row r="1045" spans="1:5">
      <c r="A1045" s="37"/>
      <c r="B1045" s="37"/>
      <c r="C1045" s="37"/>
      <c r="D1045" s="37"/>
      <c r="E1045" s="37"/>
    </row>
    <row r="1046" spans="1:5">
      <c r="A1046" s="37"/>
      <c r="B1046" s="37"/>
      <c r="C1046" s="37"/>
      <c r="D1046" s="37"/>
      <c r="E1046" s="37"/>
    </row>
    <row r="1047" spans="1:5">
      <c r="A1047" s="37"/>
      <c r="B1047" s="37"/>
      <c r="C1047" s="37"/>
      <c r="D1047" s="37"/>
      <c r="E1047" s="37"/>
    </row>
    <row r="1048" spans="1:5">
      <c r="A1048" s="37"/>
      <c r="B1048" s="37"/>
      <c r="C1048" s="37"/>
      <c r="D1048" s="37"/>
      <c r="E1048" s="37"/>
    </row>
    <row r="1049" spans="1:5">
      <c r="A1049" s="37"/>
      <c r="B1049" s="37"/>
      <c r="C1049" s="37"/>
      <c r="D1049" s="37"/>
      <c r="E1049" s="37"/>
    </row>
    <row r="1050" spans="1:5">
      <c r="A1050" s="37"/>
      <c r="B1050" s="37"/>
      <c r="C1050" s="37"/>
      <c r="D1050" s="37"/>
      <c r="E1050" s="37"/>
    </row>
    <row r="1051" spans="1:5">
      <c r="A1051" s="37"/>
      <c r="B1051" s="37"/>
      <c r="C1051" s="37"/>
      <c r="D1051" s="37"/>
      <c r="E1051" s="37"/>
    </row>
    <row r="1052" spans="1:5">
      <c r="A1052" s="37"/>
      <c r="B1052" s="37"/>
      <c r="C1052" s="37"/>
      <c r="D1052" s="37"/>
      <c r="E1052" s="37"/>
    </row>
    <row r="1053" spans="1:5">
      <c r="A1053" s="37"/>
      <c r="B1053" s="37"/>
      <c r="C1053" s="37"/>
      <c r="D1053" s="37"/>
      <c r="E1053" s="37"/>
    </row>
    <row r="1054" spans="1:5">
      <c r="A1054" s="37"/>
      <c r="B1054" s="37"/>
      <c r="C1054" s="37"/>
      <c r="D1054" s="37"/>
      <c r="E1054" s="37"/>
    </row>
    <row r="1055" spans="1:5">
      <c r="A1055" s="37"/>
      <c r="B1055" s="37"/>
      <c r="C1055" s="37"/>
      <c r="D1055" s="37"/>
      <c r="E1055" s="37"/>
    </row>
    <row r="1056" spans="1:5">
      <c r="A1056" s="37"/>
      <c r="B1056" s="37"/>
      <c r="C1056" s="37"/>
      <c r="D1056" s="37"/>
      <c r="E1056" s="37"/>
    </row>
    <row r="1057" spans="1:5">
      <c r="A1057" s="37"/>
      <c r="B1057" s="37"/>
      <c r="C1057" s="37"/>
      <c r="D1057" s="37"/>
      <c r="E1057" s="37"/>
    </row>
    <row r="1058" spans="1:5">
      <c r="A1058" s="37"/>
      <c r="B1058" s="37"/>
      <c r="C1058" s="37"/>
      <c r="D1058" s="37"/>
      <c r="E1058" s="37"/>
    </row>
    <row r="1059" spans="1:5">
      <c r="A1059" s="37"/>
      <c r="B1059" s="37"/>
      <c r="C1059" s="37"/>
      <c r="D1059" s="37"/>
      <c r="E1059" s="37"/>
    </row>
    <row r="1060" spans="1:5">
      <c r="A1060" s="37"/>
      <c r="B1060" s="37"/>
      <c r="C1060" s="37"/>
      <c r="D1060" s="37"/>
      <c r="E1060" s="37"/>
    </row>
    <row r="1061" spans="1:5">
      <c r="A1061" s="37"/>
      <c r="B1061" s="37"/>
      <c r="C1061" s="37"/>
      <c r="D1061" s="37"/>
      <c r="E1061" s="37"/>
    </row>
    <row r="1062" spans="1:5">
      <c r="A1062" s="37"/>
      <c r="B1062" s="37"/>
      <c r="C1062" s="37"/>
      <c r="D1062" s="37"/>
      <c r="E1062" s="37"/>
    </row>
    <row r="1063" spans="1:5">
      <c r="A1063" s="37"/>
      <c r="B1063" s="37"/>
      <c r="C1063" s="37"/>
      <c r="D1063" s="37"/>
      <c r="E1063" s="37"/>
    </row>
    <row r="1064" spans="1:5">
      <c r="A1064" s="37"/>
      <c r="B1064" s="37"/>
      <c r="C1064" s="37"/>
      <c r="D1064" s="37"/>
      <c r="E1064" s="37"/>
    </row>
    <row r="1065" spans="1:5">
      <c r="A1065" s="37"/>
      <c r="B1065" s="37"/>
      <c r="C1065" s="37"/>
      <c r="D1065" s="37"/>
      <c r="E1065" s="37"/>
    </row>
    <row r="1066" spans="1:5">
      <c r="A1066" s="37"/>
      <c r="B1066" s="37"/>
      <c r="C1066" s="37"/>
      <c r="D1066" s="37"/>
      <c r="E1066" s="37"/>
    </row>
    <row r="1067" spans="1:5">
      <c r="A1067" s="37"/>
      <c r="B1067" s="37"/>
      <c r="C1067" s="37"/>
      <c r="D1067" s="37"/>
      <c r="E1067" s="37"/>
    </row>
    <row r="1068" spans="1:5">
      <c r="A1068" s="37"/>
      <c r="B1068" s="37"/>
      <c r="C1068" s="37"/>
      <c r="D1068" s="37"/>
      <c r="E1068" s="37"/>
    </row>
    <row r="1069" spans="1:5">
      <c r="A1069" s="37"/>
      <c r="B1069" s="37"/>
      <c r="C1069" s="37"/>
      <c r="D1069" s="37"/>
      <c r="E1069" s="37"/>
    </row>
    <row r="1070" spans="1:5">
      <c r="A1070" s="37"/>
      <c r="B1070" s="37"/>
      <c r="C1070" s="37"/>
      <c r="D1070" s="37"/>
      <c r="E1070" s="37"/>
    </row>
    <row r="1071" spans="1:5">
      <c r="A1071" s="37"/>
      <c r="B1071" s="37"/>
      <c r="C1071" s="37"/>
      <c r="D1071" s="37"/>
      <c r="E1071" s="37"/>
    </row>
    <row r="1072" spans="1:5">
      <c r="A1072" s="37"/>
      <c r="B1072" s="37"/>
      <c r="C1072" s="37"/>
      <c r="D1072" s="37"/>
      <c r="E1072" s="37"/>
    </row>
    <row r="1073" spans="1:5">
      <c r="A1073" s="37"/>
      <c r="B1073" s="37"/>
      <c r="C1073" s="37"/>
      <c r="D1073" s="37"/>
      <c r="E1073" s="37"/>
    </row>
    <row r="1074" spans="1:5">
      <c r="A1074" s="37"/>
      <c r="B1074" s="37"/>
      <c r="C1074" s="37"/>
      <c r="D1074" s="37"/>
      <c r="E1074" s="37"/>
    </row>
    <row r="1075" spans="1:5">
      <c r="A1075" s="37"/>
      <c r="B1075" s="37"/>
      <c r="C1075" s="37"/>
      <c r="D1075" s="37"/>
      <c r="E1075" s="37"/>
    </row>
    <row r="1076" spans="1:5">
      <c r="A1076" s="37"/>
      <c r="B1076" s="37"/>
      <c r="C1076" s="37"/>
      <c r="D1076" s="37"/>
      <c r="E1076" s="37"/>
    </row>
    <row r="1077" spans="1:5">
      <c r="A1077" s="37"/>
      <c r="B1077" s="37"/>
      <c r="C1077" s="37"/>
      <c r="D1077" s="37"/>
      <c r="E1077" s="37"/>
    </row>
    <row r="1078" spans="1:5">
      <c r="A1078" s="37"/>
      <c r="B1078" s="37"/>
      <c r="C1078" s="37"/>
      <c r="D1078" s="37"/>
      <c r="E1078" s="37"/>
    </row>
    <row r="1079" spans="1:5">
      <c r="A1079" s="37"/>
      <c r="B1079" s="37"/>
      <c r="C1079" s="37"/>
      <c r="D1079" s="37"/>
      <c r="E1079" s="37"/>
    </row>
    <row r="1080" spans="1:5">
      <c r="A1080" s="37"/>
      <c r="B1080" s="37"/>
      <c r="C1080" s="37"/>
      <c r="D1080" s="37"/>
      <c r="E1080" s="37"/>
    </row>
    <row r="1081" spans="1:5">
      <c r="A1081" s="37"/>
      <c r="B1081" s="37"/>
      <c r="C1081" s="37"/>
      <c r="D1081" s="37"/>
      <c r="E1081" s="37"/>
    </row>
    <row r="1082" spans="1:5">
      <c r="A1082" s="37"/>
      <c r="B1082" s="37"/>
      <c r="C1082" s="37"/>
      <c r="D1082" s="37"/>
      <c r="E1082" s="37"/>
    </row>
    <row r="1083" spans="1:5">
      <c r="A1083" s="37"/>
      <c r="B1083" s="37"/>
      <c r="C1083" s="37"/>
      <c r="D1083" s="37"/>
      <c r="E1083" s="37"/>
    </row>
    <row r="1084" spans="1:5">
      <c r="A1084" s="37"/>
      <c r="B1084" s="37"/>
      <c r="C1084" s="37"/>
      <c r="D1084" s="37"/>
      <c r="E1084" s="37"/>
    </row>
    <row r="1085" spans="1:5">
      <c r="A1085" s="37"/>
      <c r="B1085" s="37"/>
      <c r="C1085" s="37"/>
      <c r="D1085" s="37"/>
      <c r="E1085" s="37"/>
    </row>
    <row r="1086" spans="1:5">
      <c r="A1086" s="37"/>
      <c r="B1086" s="37"/>
      <c r="C1086" s="37"/>
      <c r="D1086" s="37"/>
      <c r="E1086" s="37"/>
    </row>
    <row r="1087" spans="1:5">
      <c r="A1087" s="37"/>
      <c r="B1087" s="37"/>
      <c r="C1087" s="37"/>
      <c r="D1087" s="37"/>
      <c r="E1087" s="37"/>
    </row>
    <row r="1088" spans="1:5">
      <c r="A1088" s="37"/>
      <c r="B1088" s="37"/>
      <c r="C1088" s="37"/>
      <c r="D1088" s="37"/>
      <c r="E1088" s="37"/>
    </row>
    <row r="1089" spans="1:5">
      <c r="A1089" s="37"/>
      <c r="B1089" s="37"/>
      <c r="C1089" s="37"/>
      <c r="D1089" s="37"/>
      <c r="E1089" s="37"/>
    </row>
    <row r="1090" spans="1:5">
      <c r="A1090" s="37"/>
      <c r="B1090" s="37"/>
      <c r="C1090" s="37"/>
      <c r="D1090" s="37"/>
      <c r="E1090" s="37"/>
    </row>
    <row r="1091" spans="1:5">
      <c r="A1091" s="37"/>
      <c r="B1091" s="37"/>
      <c r="C1091" s="37"/>
      <c r="D1091" s="37"/>
      <c r="E1091" s="37"/>
    </row>
    <row r="1092" spans="1:5">
      <c r="A1092" s="37"/>
      <c r="B1092" s="37"/>
      <c r="C1092" s="37"/>
      <c r="D1092" s="37"/>
      <c r="E1092" s="37"/>
    </row>
    <row r="1093" spans="1:5">
      <c r="A1093" s="37"/>
      <c r="B1093" s="37"/>
      <c r="C1093" s="37"/>
      <c r="D1093" s="37"/>
      <c r="E1093" s="37"/>
    </row>
    <row r="1094" spans="1:5">
      <c r="A1094" s="37"/>
      <c r="B1094" s="37"/>
      <c r="C1094" s="37"/>
      <c r="D1094" s="37"/>
      <c r="E1094" s="37"/>
    </row>
    <row r="1095" spans="1:5">
      <c r="A1095" s="37"/>
      <c r="B1095" s="37"/>
      <c r="C1095" s="37"/>
      <c r="D1095" s="37"/>
      <c r="E1095" s="37"/>
    </row>
    <row r="1096" spans="1:5">
      <c r="A1096" s="37"/>
      <c r="B1096" s="37"/>
      <c r="C1096" s="37"/>
      <c r="D1096" s="37"/>
      <c r="E1096" s="37"/>
    </row>
    <row r="1097" spans="1:5">
      <c r="A1097" s="37"/>
      <c r="B1097" s="37"/>
      <c r="C1097" s="37"/>
      <c r="D1097" s="37"/>
      <c r="E1097" s="37"/>
    </row>
    <row r="1098" spans="1:5">
      <c r="A1098" s="37"/>
      <c r="B1098" s="37"/>
      <c r="C1098" s="37"/>
      <c r="D1098" s="37"/>
      <c r="E1098" s="37"/>
    </row>
    <row r="1099" spans="1:5">
      <c r="A1099" s="37"/>
      <c r="B1099" s="37"/>
      <c r="C1099" s="37"/>
      <c r="D1099" s="37"/>
      <c r="E1099" s="37"/>
    </row>
    <row r="1100" spans="1:5">
      <c r="A1100" s="37"/>
      <c r="B1100" s="37"/>
      <c r="C1100" s="37"/>
      <c r="D1100" s="37"/>
      <c r="E1100" s="37"/>
    </row>
    <row r="1101" spans="1:5">
      <c r="A1101" s="37"/>
      <c r="B1101" s="37"/>
      <c r="C1101" s="37"/>
      <c r="D1101" s="37"/>
      <c r="E1101" s="37"/>
    </row>
  </sheetData>
  <sheetProtection formatColumns="0"/>
  <protectedRanges>
    <protectedRange sqref="A31:E32" name="MAINDOEUVRE"/>
  </protectedRanges>
  <customSheetViews>
    <customSheetView guid="{4C05D42E-3E5C-4FA0-B17F-90B6C7E70693}" hiddenColumns="1">
      <selection activeCell="K18" sqref="K18"/>
      <pageMargins left="0.7" right="0.7" top="0.75" bottom="0.75" header="0.3" footer="0.3"/>
    </customSheetView>
  </customSheetViews>
  <mergeCells count="4">
    <mergeCell ref="B1:C1"/>
    <mergeCell ref="D1:E1"/>
    <mergeCell ref="D2:E2"/>
    <mergeCell ref="B2:C2"/>
  </mergeCells>
  <phoneticPr fontId="12" type="noConversion"/>
  <pageMargins left="0.7" right="0.7" top="0.75" bottom="0.75" header="0.3" footer="0.3"/>
  <pageSetup paperSize="9" orientation="portrait" r:id="rId1"/>
  <ignoredErrors>
    <ignoredError sqref="C10:D10 C15:D16" formula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D861EA-0005-493C-9C32-3A1543ADB66E}">
  <sheetPr>
    <tabColor theme="7"/>
    <pageSetUpPr fitToPage="1"/>
  </sheetPr>
  <dimension ref="A1:J64"/>
  <sheetViews>
    <sheetView showGridLines="0" tabSelected="1" view="pageBreakPreview" topLeftCell="A34" zoomScale="115" zoomScaleNormal="100" zoomScaleSheetLayoutView="115" workbookViewId="0">
      <selection activeCell="C49" sqref="C49"/>
    </sheetView>
  </sheetViews>
  <sheetFormatPr defaultColWidth="9.109375" defaultRowHeight="14.4"/>
  <cols>
    <col min="1" max="1" width="13.88671875" style="1" bestFit="1" customWidth="1"/>
    <col min="2" max="2" width="13.33203125" customWidth="1"/>
    <col min="3" max="3" width="73.44140625" style="1" bestFit="1" customWidth="1"/>
    <col min="4" max="4" width="7.88671875" customWidth="1"/>
    <col min="5" max="5" width="7" customWidth="1"/>
    <col min="6" max="6" width="12.33203125" bestFit="1" customWidth="1"/>
    <col min="7" max="7" width="14.88671875" bestFit="1" customWidth="1"/>
    <col min="8" max="8" width="10.33203125" bestFit="1" customWidth="1"/>
    <col min="10" max="10" width="24" bestFit="1" customWidth="1"/>
  </cols>
  <sheetData>
    <row r="1" spans="1:10" ht="37.65" customHeight="1">
      <c r="B1" s="418" t="str">
        <f ca="1">CONCATENATE("Devis quantitatif et estimatif n°",B9," de référence: ",B11,"  -  édition du : ",TEXT(E8,"jj-mm-aaaa"),"  -  opération : ",B10)</f>
        <v>Devis quantitatif et estimatif n°14 de référence: MARMANDE MONTAIGNE  -  édition du : jj-12-marți  -  opération : MARMANDE MONTAIGNE</v>
      </c>
      <c r="C1" s="418"/>
      <c r="D1" s="418"/>
      <c r="E1" s="418"/>
      <c r="F1" s="418"/>
      <c r="G1" s="418"/>
    </row>
    <row r="2" spans="1:10" ht="18.75" customHeight="1">
      <c r="A2" s="423" t="s">
        <v>245</v>
      </c>
      <c r="B2" s="1"/>
      <c r="D2" s="1"/>
      <c r="E2" s="1"/>
      <c r="F2" s="1"/>
      <c r="G2" s="1"/>
    </row>
    <row r="3" spans="1:10">
      <c r="A3" s="423"/>
      <c r="B3" s="1"/>
      <c r="D3" s="1"/>
      <c r="E3" s="1"/>
      <c r="F3" s="1"/>
      <c r="G3" s="1"/>
    </row>
    <row r="4" spans="1:10">
      <c r="A4" s="423"/>
      <c r="B4" s="1"/>
      <c r="D4" s="1"/>
      <c r="E4" s="1"/>
      <c r="F4" s="1"/>
      <c r="G4" s="1"/>
    </row>
    <row r="5" spans="1:10" ht="15.75" customHeight="1">
      <c r="A5" s="423"/>
      <c r="B5" s="1"/>
      <c r="D5" s="1"/>
      <c r="E5" s="1"/>
      <c r="F5" s="1"/>
      <c r="G5" s="1"/>
    </row>
    <row r="6" spans="1:10" ht="15.75" customHeight="1">
      <c r="A6" s="423"/>
      <c r="B6" s="1"/>
      <c r="D6" s="1"/>
      <c r="E6" s="1"/>
      <c r="F6" s="1"/>
      <c r="G6" s="1"/>
    </row>
    <row r="7" spans="1:10">
      <c r="A7" s="423"/>
      <c r="B7" s="1"/>
      <c r="D7" s="1"/>
      <c r="E7" s="1"/>
      <c r="F7" s="1"/>
      <c r="G7" s="1"/>
    </row>
    <row r="8" spans="1:10" ht="21">
      <c r="A8" s="423"/>
      <c r="B8" s="424" t="s">
        <v>11</v>
      </c>
      <c r="C8" s="425"/>
      <c r="D8" s="2" t="s">
        <v>12</v>
      </c>
      <c r="E8" s="426">
        <f ca="1">TODAY()</f>
        <v>45993</v>
      </c>
      <c r="F8" s="426"/>
      <c r="G8" s="3"/>
    </row>
    <row r="9" spans="1:10" ht="15.6">
      <c r="A9" s="423"/>
      <c r="B9" s="427" t="s">
        <v>623</v>
      </c>
      <c r="C9" s="428"/>
      <c r="D9" s="429"/>
      <c r="E9" s="430"/>
      <c r="F9" s="430"/>
      <c r="G9" s="431"/>
    </row>
    <row r="10" spans="1:10" ht="15.6">
      <c r="A10" s="423"/>
      <c r="B10" s="432" t="s">
        <v>624</v>
      </c>
      <c r="C10" s="433"/>
      <c r="D10" s="434" t="s">
        <v>621</v>
      </c>
      <c r="E10" s="435"/>
      <c r="F10" s="435"/>
      <c r="G10" s="436"/>
    </row>
    <row r="11" spans="1:10" ht="15.6">
      <c r="A11" s="423"/>
      <c r="B11" s="419" t="s">
        <v>624</v>
      </c>
      <c r="C11" s="420"/>
      <c r="D11" s="174"/>
      <c r="E11" s="374" t="s">
        <v>622</v>
      </c>
      <c r="F11" s="175"/>
      <c r="G11" s="176"/>
    </row>
    <row r="12" spans="1:10" ht="15" customHeight="1">
      <c r="A12" s="423"/>
      <c r="B12" s="437" t="s">
        <v>640</v>
      </c>
      <c r="C12" s="438"/>
      <c r="D12" s="434"/>
      <c r="E12" s="448"/>
      <c r="F12" s="448"/>
      <c r="G12" s="449"/>
    </row>
    <row r="13" spans="1:10">
      <c r="A13" s="423"/>
      <c r="B13" s="450" t="s">
        <v>15</v>
      </c>
      <c r="C13" s="451"/>
      <c r="D13" s="451"/>
      <c r="E13" s="451"/>
      <c r="F13" s="451"/>
      <c r="G13" s="452"/>
      <c r="J13" s="222"/>
    </row>
    <row r="14" spans="1:10" ht="15" customHeight="1" thickBot="1">
      <c r="A14" s="439" t="s">
        <v>244</v>
      </c>
      <c r="B14" s="439" t="s">
        <v>176</v>
      </c>
      <c r="C14" s="441" t="s">
        <v>16</v>
      </c>
      <c r="D14" s="421" t="s">
        <v>17</v>
      </c>
      <c r="E14" s="421" t="s">
        <v>18</v>
      </c>
      <c r="F14" s="421" t="s">
        <v>19</v>
      </c>
      <c r="G14" s="421" t="s">
        <v>20</v>
      </c>
      <c r="J14" s="170">
        <f>GESTION!$B$9</f>
        <v>7.0000000000000007E-2</v>
      </c>
    </row>
    <row r="15" spans="1:10" ht="15" thickBot="1">
      <c r="A15" s="440"/>
      <c r="B15" s="422"/>
      <c r="C15" s="442"/>
      <c r="D15" s="422"/>
      <c r="E15" s="422"/>
      <c r="F15" s="422"/>
      <c r="G15" s="422"/>
      <c r="J15" s="169">
        <f ca="1">SUM(J16:J48)*J14</f>
        <v>45189.991560000002</v>
      </c>
    </row>
    <row r="16" spans="1:10">
      <c r="B16" s="83"/>
      <c r="C16" s="217" t="s">
        <v>187</v>
      </c>
      <c r="D16" s="85"/>
      <c r="E16" s="85"/>
      <c r="F16" s="85"/>
      <c r="G16" s="85"/>
      <c r="H16" s="159"/>
      <c r="J16" s="167"/>
    </row>
    <row r="17" spans="1:10">
      <c r="B17" s="83"/>
      <c r="C17" s="217"/>
      <c r="D17" s="85"/>
      <c r="E17" s="85"/>
      <c r="F17" s="85"/>
      <c r="G17" s="85"/>
      <c r="H17" s="159"/>
      <c r="J17" s="167"/>
    </row>
    <row r="18" spans="1:10">
      <c r="B18" s="83"/>
      <c r="C18" s="217"/>
      <c r="D18" s="85"/>
      <c r="E18" s="85"/>
      <c r="F18" s="85"/>
      <c r="G18" s="85"/>
      <c r="H18" s="159"/>
      <c r="J18" s="167"/>
    </row>
    <row r="19" spans="1:10">
      <c r="B19" s="457" t="s">
        <v>613</v>
      </c>
      <c r="C19" s="458"/>
      <c r="D19" s="85"/>
      <c r="E19" s="85"/>
      <c r="F19" s="289"/>
      <c r="G19" s="290"/>
      <c r="H19" s="159" t="str">
        <f ca="1">IFERROR(VLOOKUP($C19,INDIRECT(CONCATENATE("MATRICE_",$A19)),2,FALSE),"")</f>
        <v/>
      </c>
      <c r="J19" s="167"/>
    </row>
    <row r="20" spans="1:10" ht="28.8">
      <c r="A20" s="1" t="s">
        <v>35</v>
      </c>
      <c r="B20" s="83" t="str">
        <f ca="1">IF(H20=0,"",H20)</f>
        <v>PE-15</v>
      </c>
      <c r="C20" s="173" t="s">
        <v>547</v>
      </c>
      <c r="D20" s="161" t="str">
        <f t="shared" ref="D20:D45" ca="1" si="0">IFERROR(VLOOKUP($C20,INDIRECT(CONCATENATE("MATRICE_",$A20)),3,FALSE),"")</f>
        <v>m2</v>
      </c>
      <c r="E20" s="308">
        <f>5636-225-62</f>
        <v>5349</v>
      </c>
      <c r="F20" s="291">
        <f ca="1">IFERROR(ROUNDUP(IF(C20="FORFAIT QUINCAILLERIE",$J$15,VLOOKUP($C20,INDIRECT(CONCATENATE("MATRICE_",$A20)),4,FALSE)),0),"")</f>
        <v>84</v>
      </c>
      <c r="G20" s="292">
        <f t="shared" ref="G20:G26" ca="1" si="1">IFERROR(F20*E20,"")</f>
        <v>449316</v>
      </c>
      <c r="H20" s="159" t="str">
        <f ca="1">IFERROR(VLOOKUP($C20,INDIRECT(CONCATENATE("MATRICE_",$A20)),2,FALSE),"")</f>
        <v>PE-15</v>
      </c>
      <c r="I20">
        <f>(150+12+10)/1000*(E20+155)</f>
        <v>946.68799999999987</v>
      </c>
      <c r="J20" s="168">
        <f t="shared" ref="J20:J26" ca="1" si="2">IF(OR(A20="COMPOSITION",A20="ARTICLE"),G20,"")</f>
        <v>449316</v>
      </c>
    </row>
    <row r="21" spans="1:10">
      <c r="A21" s="1" t="s">
        <v>35</v>
      </c>
      <c r="B21" s="83" t="str">
        <f t="shared" ref="B21:B33" ca="1" si="3">IF(H21=0,"",H21)</f>
        <v>PEST-10</v>
      </c>
      <c r="C21" s="173" t="s">
        <v>548</v>
      </c>
      <c r="D21" s="161" t="str">
        <f t="shared" ca="1" si="0"/>
        <v>m2</v>
      </c>
      <c r="E21" s="308">
        <v>385</v>
      </c>
      <c r="F21" s="291">
        <f t="shared" ref="F21:F26" ca="1" si="4">IFERROR(ROUNDUP(IF(C21="FORFAIT QUINCAILLERIE",$J$15,VLOOKUP($C21,INDIRECT(CONCATENATE("MATRICE_",$A21)),4,FALSE)),0),"")</f>
        <v>64</v>
      </c>
      <c r="G21" s="292">
        <f t="shared" ca="1" si="1"/>
        <v>24640</v>
      </c>
      <c r="H21" s="159" t="str">
        <f t="shared" ref="H21:H33" ca="1" si="5">IFERROR(VLOOKUP($C21,INDIRECT(CONCATENATE("MATRICE_",$A21)),2,FALSE),"")</f>
        <v>PEST-10</v>
      </c>
      <c r="I21">
        <f>(100+12+10)/1000*E21</f>
        <v>46.97</v>
      </c>
      <c r="J21" s="168">
        <f t="shared" ca="1" si="2"/>
        <v>24640</v>
      </c>
    </row>
    <row r="22" spans="1:10">
      <c r="A22" s="1" t="s">
        <v>35</v>
      </c>
      <c r="B22" s="83" t="str">
        <f t="shared" ca="1" si="3"/>
        <v>PP-625</v>
      </c>
      <c r="C22" s="173" t="s">
        <v>629</v>
      </c>
      <c r="D22" s="161" t="str">
        <f t="shared" ca="1" si="0"/>
        <v>m2</v>
      </c>
      <c r="E22" s="308">
        <v>612</v>
      </c>
      <c r="F22" s="291">
        <f t="shared" ca="1" si="4"/>
        <v>63</v>
      </c>
      <c r="G22" s="292">
        <f t="shared" ca="1" si="1"/>
        <v>38556</v>
      </c>
      <c r="H22" s="159" t="str">
        <f t="shared" ca="1" si="5"/>
        <v>PP-625</v>
      </c>
      <c r="I22">
        <f>1*0.145*0.045*E22</f>
        <v>3.9932999999999996</v>
      </c>
      <c r="J22" s="168">
        <f t="shared" ca="1" si="2"/>
        <v>38556</v>
      </c>
    </row>
    <row r="23" spans="1:10" ht="15" customHeight="1">
      <c r="A23" s="1" t="s">
        <v>35</v>
      </c>
      <c r="B23" s="83" t="str">
        <f t="shared" ca="1" si="3"/>
        <v>PP-313</v>
      </c>
      <c r="C23" s="173" t="s">
        <v>630</v>
      </c>
      <c r="D23" s="161" t="str">
        <f t="shared" ca="1" si="0"/>
        <v>m2</v>
      </c>
      <c r="E23" s="308">
        <v>1104</v>
      </c>
      <c r="F23" s="291">
        <f t="shared" ca="1" si="4"/>
        <v>82</v>
      </c>
      <c r="G23" s="292">
        <f t="shared" ca="1" si="1"/>
        <v>90528</v>
      </c>
      <c r="H23" s="159" t="str">
        <f t="shared" ca="1" si="5"/>
        <v>PP-313</v>
      </c>
      <c r="I23">
        <f>1*0.145*0.045*E23</f>
        <v>7.2035999999999998</v>
      </c>
      <c r="J23" s="168">
        <f t="shared" ca="1" si="2"/>
        <v>90528</v>
      </c>
    </row>
    <row r="24" spans="1:10" ht="15" customHeight="1">
      <c r="A24" s="1" t="s">
        <v>134</v>
      </c>
      <c r="B24" s="83" t="str">
        <f t="shared" ca="1" si="3"/>
        <v/>
      </c>
      <c r="C24" s="173" t="s">
        <v>297</v>
      </c>
      <c r="D24" s="161" t="str">
        <f t="shared" ca="1" si="0"/>
        <v>m3</v>
      </c>
      <c r="E24" s="308">
        <f>2.539+10.198+5.651</f>
        <v>18.387999999999998</v>
      </c>
      <c r="F24" s="291">
        <f t="shared" ca="1" si="4"/>
        <v>1591</v>
      </c>
      <c r="G24" s="292">
        <f t="shared" ca="1" si="1"/>
        <v>29255.307999999997</v>
      </c>
      <c r="H24" s="159">
        <f t="shared" ca="1" si="5"/>
        <v>0</v>
      </c>
      <c r="J24" s="168">
        <f t="shared" ca="1" si="2"/>
        <v>29255.307999999997</v>
      </c>
    </row>
    <row r="25" spans="1:10" ht="15" customHeight="1">
      <c r="A25" s="1" t="s">
        <v>134</v>
      </c>
      <c r="B25" s="83" t="str">
        <f t="shared" ca="1" si="3"/>
        <v/>
      </c>
      <c r="C25" s="173" t="s">
        <v>633</v>
      </c>
      <c r="D25" s="161" t="str">
        <f t="shared" ca="1" si="0"/>
        <v>ml</v>
      </c>
      <c r="E25" s="308">
        <v>620</v>
      </c>
      <c r="F25" s="291">
        <f t="shared" ca="1" si="4"/>
        <v>8</v>
      </c>
      <c r="G25" s="292">
        <f t="shared" ca="1" si="1"/>
        <v>4960</v>
      </c>
      <c r="H25" s="159">
        <f t="shared" ca="1" si="5"/>
        <v>0</v>
      </c>
      <c r="J25" s="168">
        <f t="shared" ca="1" si="2"/>
        <v>4960</v>
      </c>
    </row>
    <row r="26" spans="1:10" ht="15" customHeight="1">
      <c r="A26" s="1" t="s">
        <v>134</v>
      </c>
      <c r="B26" s="83"/>
      <c r="C26" s="173" t="s">
        <v>553</v>
      </c>
      <c r="D26" s="161" t="str">
        <f t="shared" ca="1" si="0"/>
        <v>ml</v>
      </c>
      <c r="E26" s="308">
        <v>924</v>
      </c>
      <c r="F26" s="291">
        <f t="shared" ca="1" si="4"/>
        <v>9</v>
      </c>
      <c r="G26" s="292">
        <f t="shared" ca="1" si="1"/>
        <v>8316</v>
      </c>
      <c r="H26">
        <f>(13.6*2.8*2.4)*0.9</f>
        <v>82.252799999999993</v>
      </c>
      <c r="I26">
        <f>SUM(I20:I25)</f>
        <v>1004.8548999999999</v>
      </c>
      <c r="J26" s="168">
        <f t="shared" ca="1" si="2"/>
        <v>8316</v>
      </c>
    </row>
    <row r="27" spans="1:10" ht="15" customHeight="1" thickBot="1">
      <c r="A27" s="1" t="s">
        <v>224</v>
      </c>
      <c r="B27" s="83"/>
      <c r="C27" s="173" t="s">
        <v>258</v>
      </c>
      <c r="D27" s="161" t="str">
        <f t="shared" ca="1" si="0"/>
        <v>ft</v>
      </c>
      <c r="E27" s="9">
        <v>1</v>
      </c>
      <c r="F27" s="291">
        <f ca="1">IFERROR(ROUNDUP(IF(C27="FORFAIT QUINCAILLERIE",$J$15,VLOOKUP($C27,INDIRECT(CONCATENATE("MATRICE_",$A27)),4,FALSE)),0),"")</f>
        <v>45190</v>
      </c>
      <c r="G27" s="292">
        <f t="shared" ref="G27" ca="1" si="6">IFERROR(F27*E27,"")</f>
        <v>45190</v>
      </c>
      <c r="H27">
        <f>I26/H26</f>
        <v>12.21666496459695</v>
      </c>
      <c r="J27" s="168"/>
    </row>
    <row r="28" spans="1:10" ht="15" customHeight="1" thickBot="1">
      <c r="B28" s="83"/>
      <c r="C28" s="297"/>
      <c r="D28" s="453" t="s">
        <v>611</v>
      </c>
      <c r="E28" s="454"/>
      <c r="F28" s="455"/>
      <c r="G28" s="353">
        <f ca="1">SUM(G20:G27)</f>
        <v>690761.30799999996</v>
      </c>
      <c r="J28" s="168"/>
    </row>
    <row r="29" spans="1:10" ht="15" customHeight="1">
      <c r="A29" s="1" t="s">
        <v>224</v>
      </c>
      <c r="B29" s="51"/>
      <c r="C29" s="173"/>
      <c r="D29" s="161" t="str">
        <f t="shared" ca="1" si="0"/>
        <v/>
      </c>
      <c r="E29" s="308"/>
      <c r="F29" s="291" t="str">
        <f t="shared" ref="F29" ca="1" si="7">IFERROR(ROUNDUP(IF(C29="FORFAIT QUINCAILLERIE",$J$15,VLOOKUP($C29,INDIRECT(CONCATENATE("MATRICE_",$A29)),4,FALSE)),0),"")</f>
        <v/>
      </c>
      <c r="G29" s="292" t="str">
        <f t="shared" ref="G29" ca="1" si="8">IFERROR(F29*E29,"")</f>
        <v/>
      </c>
      <c r="H29">
        <f>(13.6*2.8*2.4)*0.9</f>
        <v>82.252799999999993</v>
      </c>
      <c r="I29" t="e">
        <f>SUM(#REF!)</f>
        <v>#REF!</v>
      </c>
      <c r="J29" s="168" t="str">
        <f t="shared" ref="J29:J48" si="9">IF(OR(A29="COMPOSITION",A29="ARTICLE"),G29,"")</f>
        <v/>
      </c>
    </row>
    <row r="30" spans="1:10">
      <c r="B30" s="457" t="s">
        <v>642</v>
      </c>
      <c r="C30" s="458"/>
      <c r="D30" s="161" t="str">
        <f t="shared" ca="1" si="0"/>
        <v/>
      </c>
      <c r="E30" s="308"/>
      <c r="F30" s="291" t="str">
        <f t="shared" ref="F30" ca="1" si="10">IFERROR(ROUNDUP(IF(C30="FORFAIT QUINCAILLERIE",$J$15,VLOOKUP($C30,INDIRECT(CONCATENATE("MATRICE_",$A30)),4,FALSE)),0),"")</f>
        <v/>
      </c>
      <c r="G30" s="292" t="str">
        <f t="shared" ref="G30" ca="1" si="11">IFERROR(F30*E30,"")</f>
        <v/>
      </c>
      <c r="H30" s="250"/>
      <c r="J30" s="168"/>
    </row>
    <row r="31" spans="1:10" ht="28.8">
      <c r="A31" s="1" t="s">
        <v>35</v>
      </c>
      <c r="B31" s="83" t="str">
        <f t="shared" ca="1" si="3"/>
        <v>PEST-10-BARDAGE</v>
      </c>
      <c r="C31" s="352" t="s">
        <v>558</v>
      </c>
      <c r="D31" s="161" t="str">
        <f t="shared" ca="1" si="0"/>
        <v>m2</v>
      </c>
      <c r="E31" s="308">
        <v>527</v>
      </c>
      <c r="F31" s="291">
        <f t="shared" ref="F31" ca="1" si="12">IFERROR(ROUNDUP(IF(C31="FORFAIT QUINCAILLERIE",$J$15,VLOOKUP($C31,INDIRECT(CONCATENATE("MATRICE_",$A31)),4,FALSE)),0),"")</f>
        <v>62</v>
      </c>
      <c r="G31" s="292">
        <f t="shared" ref="G31" ca="1" si="13">IFERROR(F31*E31,"")</f>
        <v>32674</v>
      </c>
      <c r="H31" s="159" t="str">
        <f t="shared" ca="1" si="5"/>
        <v>PEST-10-BARDAGE</v>
      </c>
      <c r="J31" s="168"/>
    </row>
    <row r="32" spans="1:10" ht="43.2">
      <c r="A32" s="1" t="s">
        <v>35</v>
      </c>
      <c r="B32" s="83" t="str">
        <f t="shared" ca="1" si="3"/>
        <v>PEST-10-BARDAGE PIGNON</v>
      </c>
      <c r="C32" s="352" t="s">
        <v>559</v>
      </c>
      <c r="D32" s="161" t="str">
        <f t="shared" ca="1" si="0"/>
        <v>m2</v>
      </c>
      <c r="E32" s="308">
        <v>100</v>
      </c>
      <c r="F32" s="291">
        <f ca="1">IFERROR(ROUNDUP(IF(C32="FORFAIT QUINCAILLERIE",$J$15,VLOOKUP($C32,INDIRECT(CONCATENATE("MATRICE_",$A32)),4,FALSE)),0),"")-1</f>
        <v>79</v>
      </c>
      <c r="G32" s="292">
        <f t="shared" ref="G32:G33" ca="1" si="14">IFERROR(F32*E32,"")</f>
        <v>7900</v>
      </c>
      <c r="H32" s="159" t="str">
        <f t="shared" ca="1" si="5"/>
        <v>PEST-10-BARDAGE PIGNON</v>
      </c>
      <c r="J32" s="168"/>
    </row>
    <row r="33" spans="1:10">
      <c r="B33" s="83" t="str">
        <f t="shared" ca="1" si="3"/>
        <v/>
      </c>
      <c r="C33" s="372" t="s">
        <v>620</v>
      </c>
      <c r="D33" s="161" t="str">
        <f t="shared" ca="1" si="0"/>
        <v/>
      </c>
      <c r="E33" s="308">
        <v>96</v>
      </c>
      <c r="F33" s="291">
        <v>216</v>
      </c>
      <c r="G33" s="292">
        <f t="shared" si="14"/>
        <v>20736</v>
      </c>
      <c r="H33" s="159" t="str">
        <f t="shared" ca="1" si="5"/>
        <v/>
      </c>
      <c r="J33" s="168"/>
    </row>
    <row r="34" spans="1:10" ht="15" thickBot="1">
      <c r="A34" s="1" t="s">
        <v>224</v>
      </c>
      <c r="B34" s="83" t="str">
        <f t="shared" ref="B34" si="15">IF(H34=0,"",H34)</f>
        <v/>
      </c>
      <c r="C34" s="173" t="s">
        <v>258</v>
      </c>
      <c r="D34" s="161" t="str">
        <f t="shared" ca="1" si="0"/>
        <v>ft</v>
      </c>
      <c r="E34" s="9">
        <v>1</v>
      </c>
      <c r="F34" s="291">
        <f ca="1">SUM(G31:G32)*7%</f>
        <v>2840.1800000000003</v>
      </c>
      <c r="G34" s="292">
        <f t="shared" ref="G34" ca="1" si="16">IFERROR(F34*E34,"")</f>
        <v>2840.1800000000003</v>
      </c>
      <c r="H34" s="250"/>
      <c r="J34" s="168"/>
    </row>
    <row r="35" spans="1:10" ht="15" thickBot="1">
      <c r="B35" s="51"/>
      <c r="C35" s="173"/>
      <c r="D35" s="453" t="s">
        <v>641</v>
      </c>
      <c r="E35" s="454"/>
      <c r="F35" s="455"/>
      <c r="G35" s="353">
        <f ca="1">SUM(G31:G34)</f>
        <v>64150.18</v>
      </c>
      <c r="H35" s="159"/>
      <c r="J35" s="168"/>
    </row>
    <row r="36" spans="1:10" ht="15" thickBot="1">
      <c r="B36" s="51"/>
      <c r="C36" s="173"/>
      <c r="D36" s="161"/>
      <c r="E36" s="9"/>
      <c r="F36" s="291"/>
      <c r="G36" s="375"/>
      <c r="H36" s="159"/>
      <c r="J36" s="168"/>
    </row>
    <row r="37" spans="1:10" ht="15" thickBot="1">
      <c r="B37" s="51"/>
      <c r="C37" s="173"/>
      <c r="D37" s="453" t="s">
        <v>639</v>
      </c>
      <c r="E37" s="454"/>
      <c r="F37" s="455"/>
      <c r="G37" s="353">
        <f ca="1">G28+G35</f>
        <v>754911.48800000001</v>
      </c>
      <c r="H37" s="159"/>
      <c r="J37" s="168"/>
    </row>
    <row r="38" spans="1:10">
      <c r="B38" s="51"/>
      <c r="C38" s="173"/>
      <c r="D38" s="161"/>
      <c r="E38" s="9"/>
      <c r="F38" s="291"/>
      <c r="G38" s="163"/>
      <c r="H38" s="159"/>
      <c r="J38" s="168"/>
    </row>
    <row r="39" spans="1:10">
      <c r="A39" s="1" t="s">
        <v>224</v>
      </c>
      <c r="B39" s="51"/>
      <c r="C39" s="173" t="s">
        <v>226</v>
      </c>
      <c r="D39" s="161" t="str">
        <f ca="1">IFERROR(VLOOKUP($C39,INDIRECT(CONCATENATE("MATRICE_",$A39)),3,FALSE),"")</f>
        <v>ft</v>
      </c>
      <c r="E39" s="9">
        <v>14</v>
      </c>
      <c r="F39" s="10">
        <f ca="1">IFERROR(ROUNDUP(IF(C39="FORFAIT QUINCAILLERIE",$J$15,VLOOKUP($C39,INDIRECT(CONCATENATE("MATRICE_",$A39)),4,FALSE)),0),"")</f>
        <v>3850</v>
      </c>
      <c r="G39" s="163">
        <f ca="1">IFERROR(F39*E39,"")</f>
        <v>53900</v>
      </c>
      <c r="H39" s="159"/>
      <c r="J39" s="168"/>
    </row>
    <row r="40" spans="1:10" ht="15" thickBot="1">
      <c r="A40" s="1" t="s">
        <v>224</v>
      </c>
      <c r="B40" s="51"/>
      <c r="C40" s="173" t="s">
        <v>227</v>
      </c>
      <c r="D40" s="161" t="str">
        <f ca="1">IFERROR(VLOOKUP($C40,INDIRECT(CONCATENATE("MATRICE_",$A40)),3,FALSE),"")</f>
        <v>ft</v>
      </c>
      <c r="E40" s="9">
        <v>9</v>
      </c>
      <c r="F40" s="10">
        <f ca="1">IFERROR(ROUNDUP(IF(C40="FORFAIT QUINCAILLERIE",$J$15,VLOOKUP($C40,INDIRECT(CONCATENATE("MATRICE_",$A40)),4,FALSE)),0),"")</f>
        <v>4235</v>
      </c>
      <c r="G40" s="163">
        <f ca="1">IFERROR(F40*E40,"")</f>
        <v>38115</v>
      </c>
      <c r="H40" s="159"/>
      <c r="J40" s="168"/>
    </row>
    <row r="41" spans="1:10" ht="15" thickBot="1">
      <c r="B41" s="51"/>
      <c r="C41" s="173"/>
      <c r="D41" s="453" t="s">
        <v>609</v>
      </c>
      <c r="E41" s="454"/>
      <c r="F41" s="455"/>
      <c r="G41" s="353">
        <f ca="1">SUM(G39:G40)</f>
        <v>92015</v>
      </c>
      <c r="H41" s="159"/>
      <c r="J41" s="168"/>
    </row>
    <row r="42" spans="1:10">
      <c r="B42" s="51"/>
      <c r="C42" s="173"/>
      <c r="D42" s="161"/>
      <c r="E42" s="9"/>
      <c r="F42" s="291"/>
      <c r="G42" s="163"/>
      <c r="H42" s="159"/>
      <c r="J42" s="168"/>
    </row>
    <row r="43" spans="1:10">
      <c r="B43" s="51"/>
      <c r="C43" s="173"/>
      <c r="D43" s="161"/>
      <c r="E43" s="9"/>
      <c r="F43" s="291"/>
      <c r="G43" s="163"/>
      <c r="H43" s="159"/>
      <c r="J43" s="168"/>
    </row>
    <row r="44" spans="1:10">
      <c r="B44" s="83"/>
      <c r="C44" s="173" t="s">
        <v>637</v>
      </c>
      <c r="D44" s="161"/>
      <c r="E44" s="308"/>
      <c r="F44" s="10"/>
      <c r="G44" s="163"/>
      <c r="H44" s="159"/>
      <c r="J44" s="168"/>
    </row>
    <row r="45" spans="1:10">
      <c r="A45" s="181"/>
      <c r="B45" s="51"/>
      <c r="C45" s="182" t="s">
        <v>273</v>
      </c>
      <c r="D45" s="161" t="str">
        <f t="shared" ca="1" si="0"/>
        <v/>
      </c>
      <c r="E45" s="9"/>
      <c r="F45" s="10" t="str">
        <f t="shared" ref="F45" ca="1" si="17">IFERROR(ROUNDUP(IF(C45="FORFAIT QUINCAILLERIE",$J$15,VLOOKUP($C45,INDIRECT(CONCATENATE("MATRICE_",$A45)),4,FALSE)),0),"")</f>
        <v/>
      </c>
      <c r="G45" s="163" t="str">
        <f t="shared" ref="G45" ca="1" si="18">IFERROR(F45*E45,"")</f>
        <v/>
      </c>
      <c r="J45" s="168" t="str">
        <f t="shared" si="9"/>
        <v/>
      </c>
    </row>
    <row r="46" spans="1:10">
      <c r="B46" s="83"/>
      <c r="C46" s="182" t="s">
        <v>515</v>
      </c>
      <c r="D46" s="85"/>
      <c r="E46" s="85"/>
      <c r="F46" s="85"/>
      <c r="G46" s="162"/>
      <c r="H46" s="159"/>
      <c r="J46" s="167" t="str">
        <f t="shared" si="9"/>
        <v/>
      </c>
    </row>
    <row r="47" spans="1:10">
      <c r="B47" s="83"/>
      <c r="C47" s="182" t="s">
        <v>274</v>
      </c>
      <c r="D47" s="85"/>
      <c r="E47" s="85"/>
      <c r="F47" s="85"/>
      <c r="G47" s="162"/>
      <c r="H47" s="159"/>
      <c r="J47" s="167" t="str">
        <f t="shared" si="9"/>
        <v/>
      </c>
    </row>
    <row r="48" spans="1:10">
      <c r="B48" s="83"/>
      <c r="C48" s="182" t="s">
        <v>638</v>
      </c>
      <c r="D48" s="85"/>
      <c r="E48" s="85"/>
      <c r="F48" s="85"/>
      <c r="G48" s="162"/>
      <c r="H48" s="159"/>
      <c r="J48" s="167" t="str">
        <f t="shared" si="9"/>
        <v/>
      </c>
    </row>
    <row r="49" spans="2:10">
      <c r="B49" s="83"/>
      <c r="C49" s="182" t="s">
        <v>643</v>
      </c>
      <c r="D49" s="85"/>
      <c r="E49" s="306"/>
      <c r="F49" s="85"/>
      <c r="G49" s="252"/>
      <c r="H49" s="250"/>
    </row>
    <row r="50" spans="2:10" ht="18.75" customHeight="1">
      <c r="B50" s="12"/>
      <c r="C50" s="456" t="s">
        <v>30</v>
      </c>
      <c r="D50" s="456"/>
      <c r="E50" s="13"/>
      <c r="F50" s="14"/>
      <c r="G50" s="164">
        <f ca="1">G37+G41</f>
        <v>846926.48800000001</v>
      </c>
      <c r="H50" s="29"/>
    </row>
    <row r="51" spans="2:10" ht="18">
      <c r="B51" s="15"/>
      <c r="C51" s="16">
        <v>0</v>
      </c>
      <c r="D51" s="17"/>
      <c r="E51" s="18"/>
      <c r="F51" s="19"/>
      <c r="G51" s="20">
        <f ca="1">G50*C51/100</f>
        <v>0</v>
      </c>
      <c r="H51" s="307"/>
    </row>
    <row r="52" spans="2:10" ht="18">
      <c r="B52" s="21"/>
      <c r="C52" s="22" t="s">
        <v>31</v>
      </c>
      <c r="D52" s="22"/>
      <c r="E52" s="23"/>
      <c r="F52" s="24"/>
      <c r="G52" s="25">
        <f ca="1">G51+G50</f>
        <v>846926.48800000001</v>
      </c>
    </row>
    <row r="53" spans="2:10" ht="18">
      <c r="B53" s="15"/>
      <c r="C53" s="180" t="s">
        <v>624</v>
      </c>
      <c r="D53" s="443" t="s">
        <v>624</v>
      </c>
      <c r="E53" s="444"/>
      <c r="F53" s="444"/>
      <c r="G53" s="445"/>
      <c r="J53" s="133"/>
    </row>
    <row r="54" spans="2:10" ht="15.6">
      <c r="B54" s="27"/>
      <c r="C54" s="1" t="s">
        <v>32</v>
      </c>
      <c r="D54" s="446" t="str">
        <f>B9</f>
        <v>14</v>
      </c>
      <c r="E54" s="446"/>
      <c r="F54" s="446"/>
      <c r="G54" s="447"/>
      <c r="J54" s="133"/>
    </row>
    <row r="55" spans="2:10">
      <c r="B55" s="27"/>
      <c r="C55" s="4" t="s">
        <v>33</v>
      </c>
      <c r="D55" s="4" t="s">
        <v>34</v>
      </c>
      <c r="E55" s="5"/>
      <c r="F55" s="5"/>
      <c r="G55" s="26"/>
      <c r="J55" s="133"/>
    </row>
    <row r="56" spans="2:10">
      <c r="B56" s="27"/>
      <c r="C56" s="27"/>
      <c r="D56" s="27"/>
      <c r="E56" s="1"/>
      <c r="F56" s="1"/>
      <c r="G56" s="28"/>
    </row>
    <row r="57" spans="2:10">
      <c r="B57" s="27"/>
      <c r="C57" s="6"/>
      <c r="D57" s="6"/>
      <c r="E57" s="7"/>
      <c r="F57" s="7"/>
      <c r="G57" s="8"/>
    </row>
    <row r="58" spans="2:10">
      <c r="B58" s="27"/>
      <c r="C58" s="1" t="s">
        <v>268</v>
      </c>
      <c r="D58" s="1"/>
      <c r="E58" s="1"/>
      <c r="F58" s="1"/>
      <c r="G58" s="28"/>
      <c r="J58" s="133"/>
    </row>
    <row r="59" spans="2:10">
      <c r="B59" s="27"/>
      <c r="C59" s="4" t="s">
        <v>33</v>
      </c>
      <c r="D59" s="4" t="s">
        <v>34</v>
      </c>
      <c r="E59" s="5"/>
      <c r="F59" s="5"/>
      <c r="G59" s="26"/>
      <c r="J59" s="133"/>
    </row>
    <row r="60" spans="2:10">
      <c r="B60" s="27"/>
      <c r="C60" s="27"/>
      <c r="D60" s="27"/>
      <c r="E60" s="1"/>
      <c r="F60" s="1"/>
      <c r="G60" s="28"/>
    </row>
    <row r="61" spans="2:10">
      <c r="B61" s="27"/>
      <c r="C61" s="6"/>
      <c r="D61" s="6"/>
      <c r="E61" s="7"/>
      <c r="F61" s="7"/>
      <c r="G61" s="8"/>
    </row>
    <row r="62" spans="2:10">
      <c r="B62" s="6"/>
      <c r="C62" s="7"/>
      <c r="D62" s="7"/>
      <c r="E62" s="7"/>
      <c r="F62" s="7"/>
      <c r="G62" s="8"/>
    </row>
    <row r="64" spans="2:10">
      <c r="C64" s="1" t="s">
        <v>612</v>
      </c>
    </row>
  </sheetData>
  <sheetProtection formatColumns="0" insertRows="0" deleteRows="0"/>
  <protectedRanges>
    <protectedRange sqref="A45" name="Plage2"/>
    <protectedRange sqref="B9:C12" name="Plage1_1_1"/>
  </protectedRanges>
  <mergeCells count="28">
    <mergeCell ref="E14:E15"/>
    <mergeCell ref="D53:G53"/>
    <mergeCell ref="D54:G54"/>
    <mergeCell ref="D12:G12"/>
    <mergeCell ref="B13:G13"/>
    <mergeCell ref="D28:F28"/>
    <mergeCell ref="C50:D50"/>
    <mergeCell ref="B19:C19"/>
    <mergeCell ref="B30:C30"/>
    <mergeCell ref="D35:F35"/>
    <mergeCell ref="D41:F41"/>
    <mergeCell ref="D37:F37"/>
    <mergeCell ref="B1:G1"/>
    <mergeCell ref="B11:C11"/>
    <mergeCell ref="F14:F15"/>
    <mergeCell ref="G14:G15"/>
    <mergeCell ref="A2:A13"/>
    <mergeCell ref="B8:C8"/>
    <mergeCell ref="E8:F8"/>
    <mergeCell ref="B9:C9"/>
    <mergeCell ref="D9:G9"/>
    <mergeCell ref="B10:C10"/>
    <mergeCell ref="D10:G10"/>
    <mergeCell ref="B12:C12"/>
    <mergeCell ref="A14:A15"/>
    <mergeCell ref="B14:B15"/>
    <mergeCell ref="C14:C15"/>
    <mergeCell ref="D14:D15"/>
  </mergeCells>
  <phoneticPr fontId="12" type="noConversion"/>
  <dataValidations count="2">
    <dataValidation type="list" allowBlank="1" showInputMessage="1" showErrorMessage="1" sqref="C20:C29 C31:C44" xr:uid="{91728861-45C0-457E-A4E1-0073C822C24E}">
      <formula1>INDIRECT(A20)</formula1>
    </dataValidation>
    <dataValidation type="list" allowBlank="1" showInputMessage="1" showErrorMessage="1" sqref="A16:A51" xr:uid="{888F2A61-B14E-4714-A9AB-C0FF965B11F1}">
      <formula1>PRESTATION</formula1>
    </dataValidation>
  </dataValidations>
  <pageMargins left="0.23622047244094491" right="0.23622047244094491" top="0.74803149606299213" bottom="0.74803149606299213" header="0.31496062992125984" footer="0.31496062992125984"/>
  <pageSetup paperSize="9" scale="74" orientation="portrait" r:id="rId1"/>
  <headerFooter>
    <oddFooter>&amp;L&amp;"Century Gothic,Normal"&amp;K00-049&amp;P / &amp;N&amp;C&amp;"Century Gothic,Normal"&amp;K00-048S.C LAROX WOOD HOUSE SRL - Botosani - Romania - N° Intracom : RO 34 11 41 07
contact@loftwood.fr - www.loftwood.fr - 05 61 35 20 34&amp;R&amp;"Century Gothic,Normal"&amp;K00-049&amp;D</oddFooter>
  </headerFooter>
  <drawing r:id="rId2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68A246-559B-4F23-9C77-5DE898561664}">
  <sheetPr>
    <tabColor theme="7"/>
    <pageSetUpPr fitToPage="1"/>
  </sheetPr>
  <dimension ref="A1:J64"/>
  <sheetViews>
    <sheetView showGridLines="0" view="pageBreakPreview" topLeftCell="A36" zoomScale="115" zoomScaleNormal="100" zoomScaleSheetLayoutView="115" workbookViewId="0">
      <selection activeCell="C45" sqref="C45:C49"/>
    </sheetView>
  </sheetViews>
  <sheetFormatPr defaultColWidth="9.109375" defaultRowHeight="14.4"/>
  <cols>
    <col min="1" max="1" width="13.88671875" style="1" bestFit="1" customWidth="1"/>
    <col min="2" max="2" width="13.33203125" customWidth="1"/>
    <col min="3" max="3" width="73.44140625" style="1" bestFit="1" customWidth="1"/>
    <col min="4" max="4" width="7.88671875" customWidth="1"/>
    <col min="5" max="5" width="7" customWidth="1"/>
    <col min="6" max="6" width="12.33203125" bestFit="1" customWidth="1"/>
    <col min="7" max="7" width="14.88671875" bestFit="1" customWidth="1"/>
    <col min="8" max="8" width="10.33203125" bestFit="1" customWidth="1"/>
    <col min="10" max="10" width="24" bestFit="1" customWidth="1"/>
  </cols>
  <sheetData>
    <row r="1" spans="1:10" ht="37.65" customHeight="1">
      <c r="B1" s="418" t="str">
        <f ca="1">CONCATENATE("Devis quantitatif et estimatif n°",B9," de référence: ",B11,"  -  édition du : ",TEXT(E8,"jj-mm-aaaa"),"  -  opération : ",B10)</f>
        <v>Devis quantitatif et estimatif n°14 de référence: MARMANDE MONTAIGNE  -  édition du : jj-12-marți  -  opération : MARMANDE MONTAIGNE</v>
      </c>
      <c r="C1" s="418"/>
      <c r="D1" s="418"/>
      <c r="E1" s="418"/>
      <c r="F1" s="418"/>
      <c r="G1" s="418"/>
    </row>
    <row r="2" spans="1:10" ht="18.75" customHeight="1">
      <c r="A2" s="423" t="s">
        <v>245</v>
      </c>
      <c r="B2" s="1"/>
      <c r="D2" s="1"/>
      <c r="E2" s="1"/>
      <c r="F2" s="1"/>
      <c r="G2" s="1"/>
    </row>
    <row r="3" spans="1:10">
      <c r="A3" s="423"/>
      <c r="B3" s="19" t="s">
        <v>615</v>
      </c>
      <c r="D3" s="1"/>
      <c r="E3" s="1"/>
      <c r="F3" s="1"/>
      <c r="G3" s="1"/>
    </row>
    <row r="4" spans="1:10">
      <c r="A4" s="423"/>
      <c r="B4" s="19" t="s">
        <v>616</v>
      </c>
      <c r="D4" s="1"/>
      <c r="E4" s="1"/>
      <c r="F4" s="1"/>
      <c r="G4" s="1"/>
    </row>
    <row r="5" spans="1:10" ht="15.75" customHeight="1">
      <c r="A5" s="423"/>
      <c r="B5" s="19" t="s">
        <v>617</v>
      </c>
      <c r="D5" s="1"/>
      <c r="E5" s="1"/>
      <c r="F5" s="1"/>
      <c r="G5" s="1"/>
    </row>
    <row r="6" spans="1:10" ht="15.75" customHeight="1">
      <c r="A6" s="423"/>
      <c r="B6" s="19" t="s">
        <v>618</v>
      </c>
      <c r="D6" s="1"/>
      <c r="E6" s="1"/>
      <c r="F6" s="1"/>
      <c r="G6" s="1"/>
    </row>
    <row r="7" spans="1:10">
      <c r="A7" s="423"/>
      <c r="B7" s="1"/>
      <c r="D7" s="1"/>
      <c r="E7" s="1"/>
      <c r="F7" s="1"/>
      <c r="G7" s="1"/>
    </row>
    <row r="8" spans="1:10" ht="21">
      <c r="A8" s="423"/>
      <c r="B8" s="424" t="s">
        <v>11</v>
      </c>
      <c r="C8" s="425"/>
      <c r="D8" s="2" t="s">
        <v>12</v>
      </c>
      <c r="E8" s="426">
        <f ca="1">TODAY()</f>
        <v>45993</v>
      </c>
      <c r="F8" s="426"/>
      <c r="G8" s="3"/>
    </row>
    <row r="9" spans="1:10" ht="15.6">
      <c r="A9" s="423"/>
      <c r="B9" s="427" t="s">
        <v>623</v>
      </c>
      <c r="C9" s="428"/>
      <c r="D9" s="429"/>
      <c r="E9" s="430"/>
      <c r="F9" s="430"/>
      <c r="G9" s="431"/>
    </row>
    <row r="10" spans="1:10" ht="15.6">
      <c r="A10" s="423"/>
      <c r="B10" s="432" t="s">
        <v>624</v>
      </c>
      <c r="C10" s="433"/>
      <c r="D10" s="429" t="s">
        <v>614</v>
      </c>
      <c r="E10" s="430"/>
      <c r="F10" s="430"/>
      <c r="G10" s="431"/>
    </row>
    <row r="11" spans="1:10" ht="15.6">
      <c r="A11" s="423"/>
      <c r="B11" s="419" t="s">
        <v>624</v>
      </c>
      <c r="C11" s="420"/>
      <c r="D11" s="174"/>
      <c r="E11" s="175"/>
      <c r="F11" s="175"/>
      <c r="G11" s="176"/>
    </row>
    <row r="12" spans="1:10" ht="15" customHeight="1">
      <c r="A12" s="423"/>
      <c r="B12" s="437" t="s">
        <v>610</v>
      </c>
      <c r="C12" s="438"/>
      <c r="D12" s="434"/>
      <c r="E12" s="448"/>
      <c r="F12" s="448"/>
      <c r="G12" s="449"/>
    </row>
    <row r="13" spans="1:10">
      <c r="A13" s="423"/>
      <c r="B13" s="450" t="s">
        <v>15</v>
      </c>
      <c r="C13" s="451"/>
      <c r="D13" s="451"/>
      <c r="E13" s="451"/>
      <c r="F13" s="451"/>
      <c r="G13" s="452"/>
      <c r="J13" s="222"/>
    </row>
    <row r="14" spans="1:10" ht="15" customHeight="1" thickBot="1">
      <c r="A14" s="439" t="s">
        <v>244</v>
      </c>
      <c r="B14" s="439" t="s">
        <v>176</v>
      </c>
      <c r="C14" s="441" t="s">
        <v>16</v>
      </c>
      <c r="D14" s="421" t="s">
        <v>17</v>
      </c>
      <c r="E14" s="421" t="s">
        <v>18</v>
      </c>
      <c r="F14" s="421" t="s">
        <v>19</v>
      </c>
      <c r="G14" s="421" t="s">
        <v>20</v>
      </c>
      <c r="J14" s="170">
        <f>GESTION!$B$9</f>
        <v>7.0000000000000007E-2</v>
      </c>
    </row>
    <row r="15" spans="1:10" ht="15" thickBot="1">
      <c r="A15" s="440"/>
      <c r="B15" s="422"/>
      <c r="C15" s="442"/>
      <c r="D15" s="422"/>
      <c r="E15" s="422"/>
      <c r="F15" s="422"/>
      <c r="G15" s="422"/>
      <c r="J15" s="169">
        <f ca="1">SUM(J16:J48)*J14</f>
        <v>45189.991560000002</v>
      </c>
    </row>
    <row r="16" spans="1:10">
      <c r="B16" s="83"/>
      <c r="C16" s="217" t="s">
        <v>187</v>
      </c>
      <c r="D16" s="85"/>
      <c r="E16" s="85"/>
      <c r="F16" s="85"/>
      <c r="G16" s="85"/>
      <c r="H16" s="159"/>
      <c r="J16" s="167"/>
    </row>
    <row r="17" spans="1:10">
      <c r="B17" s="83"/>
      <c r="C17" s="217"/>
      <c r="D17" s="85"/>
      <c r="E17" s="85"/>
      <c r="F17" s="85"/>
      <c r="G17" s="85"/>
      <c r="H17" s="159"/>
      <c r="J17" s="167"/>
    </row>
    <row r="18" spans="1:10">
      <c r="B18" s="83"/>
      <c r="C18" s="217"/>
      <c r="D18" s="85"/>
      <c r="E18" s="85"/>
      <c r="F18" s="85"/>
      <c r="G18" s="85"/>
      <c r="H18" s="159"/>
      <c r="J18" s="167"/>
    </row>
    <row r="19" spans="1:10">
      <c r="B19" s="457" t="s">
        <v>632</v>
      </c>
      <c r="C19" s="458"/>
      <c r="D19" s="85"/>
      <c r="E19" s="85"/>
      <c r="F19" s="289"/>
      <c r="G19" s="290"/>
      <c r="H19" s="159" t="str">
        <f ca="1">IFERROR(VLOOKUP($C19,INDIRECT(CONCATENATE("MATRICE_",$A19)),2,FALSE),"")</f>
        <v/>
      </c>
      <c r="J19" s="167"/>
    </row>
    <row r="20" spans="1:10" ht="28.8">
      <c r="A20" s="1" t="s">
        <v>35</v>
      </c>
      <c r="B20" s="83" t="str">
        <f ca="1">IF(H20=0,"",H20)</f>
        <v>PE-15</v>
      </c>
      <c r="C20" s="173" t="s">
        <v>547</v>
      </c>
      <c r="D20" s="161" t="str">
        <f t="shared" ref="D20:D45" ca="1" si="0">IFERROR(VLOOKUP($C20,INDIRECT(CONCATENATE("MATRICE_",$A20)),3,FALSE),"")</f>
        <v>m2</v>
      </c>
      <c r="E20" s="308">
        <f>5636-225-62</f>
        <v>5349</v>
      </c>
      <c r="F20" s="291">
        <f ca="1">IFERROR(ROUNDUP(IF(C20="FORFAIT QUINCAILLERIE",$J$15,VLOOKUP($C20,INDIRECT(CONCATENATE("MATRICE_",$A20)),4,FALSE)),0),"")</f>
        <v>84</v>
      </c>
      <c r="G20" s="292">
        <f t="shared" ref="G20:G27" ca="1" si="1">IFERROR(F20*E20,"")</f>
        <v>449316</v>
      </c>
      <c r="H20" s="159" t="str">
        <f ca="1">IFERROR(VLOOKUP($C20,INDIRECT(CONCATENATE("MATRICE_",$A20)),2,FALSE),"")</f>
        <v>PE-15</v>
      </c>
      <c r="I20">
        <f>(150+12+10)/1000*(E20+155)</f>
        <v>946.68799999999987</v>
      </c>
      <c r="J20" s="168">
        <f t="shared" ref="J20:J48" ca="1" si="2">IF(OR(A20="COMPOSITION",A20="ARTICLE"),G20,"")</f>
        <v>449316</v>
      </c>
    </row>
    <row r="21" spans="1:10">
      <c r="A21" s="1" t="s">
        <v>35</v>
      </c>
      <c r="B21" s="83" t="str">
        <f t="shared" ref="B21:B32" ca="1" si="3">IF(H21=0,"",H21)</f>
        <v>PEST-10</v>
      </c>
      <c r="C21" s="173" t="s">
        <v>548</v>
      </c>
      <c r="D21" s="161" t="str">
        <f t="shared" ca="1" si="0"/>
        <v>m2</v>
      </c>
      <c r="E21" s="308">
        <v>385</v>
      </c>
      <c r="F21" s="291">
        <f t="shared" ref="F21:F45" ca="1" si="4">IFERROR(ROUNDUP(IF(C21="FORFAIT QUINCAILLERIE",$J$15,VLOOKUP($C21,INDIRECT(CONCATENATE("MATRICE_",$A21)),4,FALSE)),0),"")</f>
        <v>64</v>
      </c>
      <c r="G21" s="292">
        <f t="shared" ca="1" si="1"/>
        <v>24640</v>
      </c>
      <c r="H21" s="159" t="str">
        <f t="shared" ref="H21:H32" ca="1" si="5">IFERROR(VLOOKUP($C21,INDIRECT(CONCATENATE("MATRICE_",$A21)),2,FALSE),"")</f>
        <v>PEST-10</v>
      </c>
      <c r="I21">
        <f>(100+12+10)/1000*E21</f>
        <v>46.97</v>
      </c>
      <c r="J21" s="168">
        <f t="shared" ca="1" si="2"/>
        <v>24640</v>
      </c>
    </row>
    <row r="22" spans="1:10">
      <c r="A22" s="1" t="s">
        <v>35</v>
      </c>
      <c r="B22" s="83" t="str">
        <f t="shared" ref="B22:B23" ca="1" si="6">IF(H22=0,"",H22)</f>
        <v>PP-625</v>
      </c>
      <c r="C22" s="173" t="s">
        <v>629</v>
      </c>
      <c r="D22" s="161" t="str">
        <f t="shared" ca="1" si="0"/>
        <v>m2</v>
      </c>
      <c r="E22" s="308">
        <v>612</v>
      </c>
      <c r="F22" s="291">
        <f t="shared" ref="F22:F23" ca="1" si="7">IFERROR(ROUNDUP(IF(C22="FORFAIT QUINCAILLERIE",$J$15,VLOOKUP($C22,INDIRECT(CONCATENATE("MATRICE_",$A22)),4,FALSE)),0),"")</f>
        <v>63</v>
      </c>
      <c r="G22" s="292">
        <f t="shared" ref="G22:G23" ca="1" si="8">IFERROR(F22*E22,"")</f>
        <v>38556</v>
      </c>
      <c r="H22" s="159" t="str">
        <f t="shared" ca="1" si="5"/>
        <v>PP-625</v>
      </c>
      <c r="I22">
        <f t="shared" ref="I22:I23" si="9">(100+12+10)/1000*E22</f>
        <v>74.664000000000001</v>
      </c>
      <c r="J22" s="168">
        <f t="shared" ca="1" si="2"/>
        <v>38556</v>
      </c>
    </row>
    <row r="23" spans="1:10">
      <c r="A23" s="1" t="s">
        <v>35</v>
      </c>
      <c r="B23" s="83" t="str">
        <f t="shared" ca="1" si="6"/>
        <v>PP-313</v>
      </c>
      <c r="C23" s="173" t="s">
        <v>630</v>
      </c>
      <c r="D23" s="161" t="str">
        <f t="shared" ca="1" si="0"/>
        <v>m2</v>
      </c>
      <c r="E23" s="308">
        <v>1104</v>
      </c>
      <c r="F23" s="291">
        <f t="shared" ca="1" si="7"/>
        <v>82</v>
      </c>
      <c r="G23" s="292">
        <f t="shared" ca="1" si="8"/>
        <v>90528</v>
      </c>
      <c r="H23" s="159" t="str">
        <f t="shared" ca="1" si="5"/>
        <v>PP-313</v>
      </c>
      <c r="I23">
        <f t="shared" si="9"/>
        <v>134.68799999999999</v>
      </c>
      <c r="J23" s="168">
        <f t="shared" ca="1" si="2"/>
        <v>90528</v>
      </c>
    </row>
    <row r="24" spans="1:10">
      <c r="A24" s="1" t="s">
        <v>134</v>
      </c>
      <c r="B24" s="83"/>
      <c r="C24" s="173" t="s">
        <v>297</v>
      </c>
      <c r="D24" s="161" t="str">
        <f t="shared" ca="1" si="0"/>
        <v>m3</v>
      </c>
      <c r="E24" s="308">
        <f>2.539+10.198+5.651</f>
        <v>18.387999999999998</v>
      </c>
      <c r="F24" s="291">
        <f t="shared" ref="F24" ca="1" si="10">IFERROR(ROUNDUP(IF(C24="FORFAIT QUINCAILLERIE",$J$15,VLOOKUP($C24,INDIRECT(CONCATENATE("MATRICE_",$A24)),4,FALSE)),0),"")</f>
        <v>1591</v>
      </c>
      <c r="G24" s="292">
        <f t="shared" ref="G24" ca="1" si="11">IFERROR(F24*E24,"")</f>
        <v>29255.307999999997</v>
      </c>
      <c r="H24" s="159"/>
      <c r="J24" s="168">
        <f t="shared" ca="1" si="2"/>
        <v>29255.307999999997</v>
      </c>
    </row>
    <row r="25" spans="1:10">
      <c r="A25" s="1" t="s">
        <v>134</v>
      </c>
      <c r="B25" s="83"/>
      <c r="C25" s="173" t="s">
        <v>633</v>
      </c>
      <c r="D25" s="161" t="str">
        <f t="shared" ca="1" si="0"/>
        <v>ml</v>
      </c>
      <c r="E25" s="308">
        <v>620</v>
      </c>
      <c r="F25" s="291">
        <f t="shared" ref="F25" ca="1" si="12">IFERROR(ROUNDUP(IF(C25="FORFAIT QUINCAILLERIE",$J$15,VLOOKUP($C25,INDIRECT(CONCATENATE("MATRICE_",$A25)),4,FALSE)),0),"")</f>
        <v>8</v>
      </c>
      <c r="G25" s="292">
        <f t="shared" ref="G25" ca="1" si="13">IFERROR(F25*E25,"")</f>
        <v>4960</v>
      </c>
      <c r="H25" s="159"/>
      <c r="J25" s="168">
        <f t="shared" ca="1" si="2"/>
        <v>4960</v>
      </c>
    </row>
    <row r="26" spans="1:10">
      <c r="A26" s="1" t="s">
        <v>134</v>
      </c>
      <c r="B26" s="83" t="str">
        <f t="shared" ca="1" si="3"/>
        <v/>
      </c>
      <c r="C26" s="173" t="s">
        <v>553</v>
      </c>
      <c r="D26" s="161" t="str">
        <f t="shared" ca="1" si="0"/>
        <v>ml</v>
      </c>
      <c r="E26" s="308">
        <v>924</v>
      </c>
      <c r="F26" s="291">
        <f t="shared" ca="1" si="4"/>
        <v>9</v>
      </c>
      <c r="G26" s="292">
        <f t="shared" ca="1" si="1"/>
        <v>8316</v>
      </c>
      <c r="H26" s="159">
        <f t="shared" ca="1" si="5"/>
        <v>0</v>
      </c>
      <c r="I26">
        <f>1*0.145*0.045*E26</f>
        <v>6.0290999999999997</v>
      </c>
      <c r="J26" s="168">
        <f t="shared" ca="1" si="2"/>
        <v>8316</v>
      </c>
    </row>
    <row r="27" spans="1:10" ht="15" customHeight="1" thickBot="1">
      <c r="A27" s="1" t="s">
        <v>224</v>
      </c>
      <c r="B27" s="83"/>
      <c r="C27" s="173" t="s">
        <v>258</v>
      </c>
      <c r="D27" s="161" t="str">
        <f t="shared" ca="1" si="0"/>
        <v>ft</v>
      </c>
      <c r="E27" s="9">
        <v>1</v>
      </c>
      <c r="F27" s="291">
        <f ca="1">IFERROR(ROUNDUP(IF(C27="FORFAIT QUINCAILLERIE",$J$15,VLOOKUP($C27,INDIRECT(CONCATENATE("MATRICE_",$A27)),4,FALSE)),0),"")</f>
        <v>45190</v>
      </c>
      <c r="G27" s="292">
        <f t="shared" ca="1" si="1"/>
        <v>45190</v>
      </c>
      <c r="I27">
        <f>1*0.145*0.045*E27</f>
        <v>6.5249999999999996E-3</v>
      </c>
      <c r="J27" s="168" t="str">
        <f t="shared" si="2"/>
        <v/>
      </c>
    </row>
    <row r="28" spans="1:10" ht="15" customHeight="1" thickBot="1">
      <c r="B28" s="83"/>
      <c r="C28" s="297"/>
      <c r="D28" s="453" t="s">
        <v>636</v>
      </c>
      <c r="E28" s="454"/>
      <c r="F28" s="455"/>
      <c r="G28" s="353">
        <f ca="1">SUM(G20:G27)</f>
        <v>690761.30799999996</v>
      </c>
      <c r="J28" s="168"/>
    </row>
    <row r="29" spans="1:10" ht="15" customHeight="1">
      <c r="A29" s="1" t="s">
        <v>224</v>
      </c>
      <c r="B29" s="51"/>
      <c r="C29" s="173"/>
      <c r="D29" s="161" t="str">
        <f t="shared" ca="1" si="0"/>
        <v/>
      </c>
      <c r="E29" s="308"/>
      <c r="F29" s="291" t="str">
        <f t="shared" ref="F29:F31" ca="1" si="14">IFERROR(ROUNDUP(IF(C29="FORFAIT QUINCAILLERIE",$J$15,VLOOKUP($C29,INDIRECT(CONCATENATE("MATRICE_",$A29)),4,FALSE)),0),"")</f>
        <v/>
      </c>
      <c r="G29" s="292" t="str">
        <f t="shared" ref="G29:G33" ca="1" si="15">IFERROR(F29*E29,"")</f>
        <v/>
      </c>
      <c r="J29" s="168" t="str">
        <f t="shared" si="2"/>
        <v/>
      </c>
    </row>
    <row r="30" spans="1:10">
      <c r="B30" s="457" t="s">
        <v>631</v>
      </c>
      <c r="C30" s="458"/>
      <c r="D30" s="161" t="str">
        <f t="shared" ca="1" si="0"/>
        <v/>
      </c>
      <c r="E30" s="308"/>
      <c r="F30" s="291" t="str">
        <f t="shared" ca="1" si="14"/>
        <v/>
      </c>
      <c r="G30" s="292" t="str">
        <f t="shared" ca="1" si="15"/>
        <v/>
      </c>
      <c r="H30" s="250"/>
      <c r="J30" s="168"/>
    </row>
    <row r="31" spans="1:10">
      <c r="A31" s="1" t="s">
        <v>35</v>
      </c>
      <c r="B31" s="83" t="str">
        <f t="shared" ca="1" si="3"/>
        <v/>
      </c>
      <c r="C31" s="352" t="s">
        <v>627</v>
      </c>
      <c r="D31" s="161" t="str">
        <f t="shared" ca="1" si="0"/>
        <v/>
      </c>
      <c r="E31" s="308">
        <v>527</v>
      </c>
      <c r="F31" s="291" t="str">
        <f t="shared" ca="1" si="14"/>
        <v/>
      </c>
      <c r="G31" s="292" t="str">
        <f t="shared" ca="1" si="15"/>
        <v/>
      </c>
      <c r="H31" s="159" t="str">
        <f t="shared" ca="1" si="5"/>
        <v/>
      </c>
      <c r="I31">
        <f>(100+20+10)/1000*E31</f>
        <v>68.510000000000005</v>
      </c>
      <c r="J31" s="168"/>
    </row>
    <row r="32" spans="1:10">
      <c r="A32" s="1" t="s">
        <v>35</v>
      </c>
      <c r="B32" s="83" t="str">
        <f t="shared" ca="1" si="3"/>
        <v/>
      </c>
      <c r="C32" s="352" t="s">
        <v>628</v>
      </c>
      <c r="D32" s="161" t="str">
        <f t="shared" ca="1" si="0"/>
        <v/>
      </c>
      <c r="E32" s="308">
        <v>100</v>
      </c>
      <c r="F32" s="291" t="str">
        <f ca="1">IFERROR(ROUNDUP(IF(C32="FORFAIT QUINCAILLERIE",$J$15,VLOOKUP($C32,INDIRECT(CONCATENATE("MATRICE_",$A32)),4,FALSE)),0),"")</f>
        <v/>
      </c>
      <c r="G32" s="292" t="str">
        <f t="shared" ca="1" si="15"/>
        <v/>
      </c>
      <c r="H32" s="159" t="str">
        <f t="shared" ca="1" si="5"/>
        <v/>
      </c>
      <c r="I32">
        <f>(100+20+10)/1000*E32</f>
        <v>13</v>
      </c>
      <c r="J32" s="168"/>
    </row>
    <row r="33" spans="1:10">
      <c r="B33" s="83"/>
      <c r="C33" s="372" t="s">
        <v>620</v>
      </c>
      <c r="D33" s="28" t="s">
        <v>28</v>
      </c>
      <c r="E33" s="308">
        <v>45</v>
      </c>
      <c r="F33" s="291">
        <v>216</v>
      </c>
      <c r="G33" s="292">
        <f t="shared" si="15"/>
        <v>9720</v>
      </c>
      <c r="H33" s="250"/>
      <c r="J33" s="168"/>
    </row>
    <row r="34" spans="1:10" ht="15" thickBot="1">
      <c r="A34" s="1" t="s">
        <v>224</v>
      </c>
      <c r="B34" s="51"/>
      <c r="C34" s="173" t="s">
        <v>258</v>
      </c>
      <c r="D34" s="161" t="str">
        <f t="shared" ca="1" si="0"/>
        <v>ft</v>
      </c>
      <c r="E34" s="9">
        <v>1</v>
      </c>
      <c r="F34" s="291">
        <f ca="1">SUM(G31:G32)*7%</f>
        <v>0</v>
      </c>
      <c r="G34" s="163">
        <f ca="1">IFERROR(F34*E34,"")</f>
        <v>0</v>
      </c>
      <c r="H34" s="159"/>
      <c r="J34" s="168"/>
    </row>
    <row r="35" spans="1:10" ht="15" thickBot="1">
      <c r="B35" s="51"/>
      <c r="C35" s="173"/>
      <c r="D35" s="453" t="s">
        <v>635</v>
      </c>
      <c r="E35" s="454"/>
      <c r="F35" s="455"/>
      <c r="G35" s="353">
        <f ca="1">SUM(G31:G34)</f>
        <v>9720</v>
      </c>
      <c r="H35">
        <f>(13.6*2.8*2.4)*0.9</f>
        <v>82.252799999999993</v>
      </c>
      <c r="I35">
        <f>SUM(I20:I34)</f>
        <v>1290.5556249999997</v>
      </c>
      <c r="J35" s="168"/>
    </row>
    <row r="36" spans="1:10" ht="15" thickBot="1">
      <c r="B36" s="51"/>
      <c r="C36" s="173"/>
      <c r="D36" s="161"/>
      <c r="E36" s="9"/>
      <c r="F36" s="291"/>
      <c r="G36" s="163"/>
      <c r="J36" s="168"/>
    </row>
    <row r="37" spans="1:10" ht="15" thickBot="1">
      <c r="B37" s="51"/>
      <c r="C37" s="173"/>
      <c r="D37" s="453" t="s">
        <v>639</v>
      </c>
      <c r="E37" s="454"/>
      <c r="F37" s="455"/>
      <c r="G37" s="353">
        <f ca="1">G28+G35</f>
        <v>700481.30799999996</v>
      </c>
      <c r="J37" s="168"/>
    </row>
    <row r="38" spans="1:10">
      <c r="B38" s="51"/>
      <c r="C38" s="173"/>
      <c r="D38" s="161"/>
      <c r="E38" s="9"/>
      <c r="F38" s="291"/>
      <c r="G38" s="163"/>
      <c r="H38" s="159"/>
      <c r="J38" s="168"/>
    </row>
    <row r="39" spans="1:10">
      <c r="A39" s="1" t="s">
        <v>224</v>
      </c>
      <c r="B39" s="51"/>
      <c r="C39" s="173" t="s">
        <v>226</v>
      </c>
      <c r="D39" s="161" t="str">
        <f ca="1">IFERROR(VLOOKUP($C39,INDIRECT(CONCATENATE("MATRICE_",$A39)),3,FALSE),"")</f>
        <v>ft</v>
      </c>
      <c r="E39" s="9">
        <v>14</v>
      </c>
      <c r="F39" s="10">
        <f ca="1">IFERROR(ROUNDUP(IF(C39="FORFAIT QUINCAILLERIE",$J$15,VLOOKUP($C39,INDIRECT(CONCATENATE("MATRICE_",$A39)),4,FALSE)),0),"")</f>
        <v>3850</v>
      </c>
      <c r="G39" s="163">
        <f ca="1">IFERROR(F39*E39,"")</f>
        <v>53900</v>
      </c>
      <c r="H39">
        <f>I35/H35</f>
        <v>15.690111765192187</v>
      </c>
      <c r="J39" s="168"/>
    </row>
    <row r="40" spans="1:10" ht="15" thickBot="1">
      <c r="A40" s="1" t="s">
        <v>224</v>
      </c>
      <c r="B40" s="51"/>
      <c r="C40" s="173" t="s">
        <v>227</v>
      </c>
      <c r="D40" s="161" t="str">
        <f ca="1">IFERROR(VLOOKUP($C40,INDIRECT(CONCATENATE("MATRICE_",$A40)),3,FALSE),"")</f>
        <v>ft</v>
      </c>
      <c r="E40" s="9">
        <v>9</v>
      </c>
      <c r="F40" s="10">
        <f ca="1">IFERROR(ROUNDUP(IF(C40="FORFAIT QUINCAILLERIE",$J$15,VLOOKUP($C40,INDIRECT(CONCATENATE("MATRICE_",$A40)),4,FALSE)),0),"")</f>
        <v>4235</v>
      </c>
      <c r="G40" s="163">
        <f ca="1">IFERROR(F40*E40,"")</f>
        <v>38115</v>
      </c>
      <c r="H40" s="159"/>
      <c r="J40" s="168"/>
    </row>
    <row r="41" spans="1:10" ht="29.4" customHeight="1" thickBot="1">
      <c r="B41" s="51"/>
      <c r="C41" s="459"/>
      <c r="D41" s="453" t="s">
        <v>609</v>
      </c>
      <c r="E41" s="454"/>
      <c r="F41" s="455"/>
      <c r="G41" s="353">
        <f ca="1">SUM(G39:G40)</f>
        <v>92015</v>
      </c>
      <c r="H41" s="159"/>
      <c r="J41" s="168"/>
    </row>
    <row r="42" spans="1:10">
      <c r="B42" s="51"/>
      <c r="C42" s="459"/>
      <c r="D42" s="161"/>
      <c r="E42" s="9"/>
      <c r="F42" s="291"/>
      <c r="G42" s="163"/>
      <c r="H42" s="159"/>
      <c r="J42" s="168"/>
    </row>
    <row r="43" spans="1:10">
      <c r="B43" s="51"/>
      <c r="C43" s="173"/>
      <c r="D43" s="161"/>
      <c r="E43" s="9"/>
      <c r="F43" s="291"/>
      <c r="G43" s="163"/>
      <c r="H43" s="159"/>
      <c r="J43" s="168"/>
    </row>
    <row r="44" spans="1:10">
      <c r="B44" s="83"/>
      <c r="C44" s="11"/>
      <c r="D44" s="161"/>
      <c r="E44" s="308"/>
      <c r="F44" s="10"/>
      <c r="G44" s="163"/>
      <c r="H44" s="159"/>
      <c r="J44" s="168"/>
    </row>
    <row r="45" spans="1:10">
      <c r="A45" s="181"/>
      <c r="B45" s="51"/>
      <c r="C45" s="173" t="s">
        <v>637</v>
      </c>
      <c r="D45" s="161" t="str">
        <f t="shared" ca="1" si="0"/>
        <v/>
      </c>
      <c r="E45" s="9"/>
      <c r="F45" s="10" t="str">
        <f t="shared" ca="1" si="4"/>
        <v/>
      </c>
      <c r="G45" s="163" t="str">
        <f t="shared" ref="G45" ca="1" si="16">IFERROR(F45*E45,"")</f>
        <v/>
      </c>
      <c r="J45" s="168" t="str">
        <f t="shared" si="2"/>
        <v/>
      </c>
    </row>
    <row r="46" spans="1:10">
      <c r="B46" s="83"/>
      <c r="C46" s="182" t="s">
        <v>273</v>
      </c>
      <c r="D46" s="85"/>
      <c r="E46" s="85"/>
      <c r="F46" s="85"/>
      <c r="G46" s="162"/>
      <c r="H46" s="159"/>
      <c r="J46" s="167" t="str">
        <f t="shared" si="2"/>
        <v/>
      </c>
    </row>
    <row r="47" spans="1:10">
      <c r="B47" s="83"/>
      <c r="C47" s="182" t="s">
        <v>515</v>
      </c>
      <c r="D47" s="85"/>
      <c r="E47" s="85"/>
      <c r="F47" s="85"/>
      <c r="G47" s="162"/>
      <c r="H47" s="159"/>
      <c r="J47" s="167" t="str">
        <f t="shared" si="2"/>
        <v/>
      </c>
    </row>
    <row r="48" spans="1:10">
      <c r="B48" s="83"/>
      <c r="C48" s="182" t="s">
        <v>274</v>
      </c>
      <c r="D48" s="85"/>
      <c r="E48" s="85"/>
      <c r="F48" s="85"/>
      <c r="G48" s="162"/>
      <c r="H48" s="159"/>
      <c r="J48" s="167" t="str">
        <f t="shared" si="2"/>
        <v/>
      </c>
    </row>
    <row r="49" spans="2:10">
      <c r="B49" s="83"/>
      <c r="C49" s="182" t="s">
        <v>638</v>
      </c>
      <c r="D49" s="85"/>
      <c r="E49" s="306"/>
      <c r="F49" s="85"/>
      <c r="G49" s="252"/>
      <c r="H49" s="250"/>
    </row>
    <row r="50" spans="2:10" ht="18.75" customHeight="1">
      <c r="B50" s="12"/>
      <c r="C50" s="456" t="s">
        <v>30</v>
      </c>
      <c r="D50" s="456"/>
      <c r="E50" s="13"/>
      <c r="F50" s="14"/>
      <c r="G50" s="164">
        <f ca="1">G37+G41</f>
        <v>792496.30799999996</v>
      </c>
      <c r="H50" s="29">
        <v>181155.44</v>
      </c>
      <c r="I50" s="29">
        <f ca="1">G50-H50</f>
        <v>611340.86800000002</v>
      </c>
    </row>
    <row r="51" spans="2:10" ht="18">
      <c r="B51" s="15"/>
      <c r="C51" s="16">
        <v>0</v>
      </c>
      <c r="D51" s="17"/>
      <c r="E51" s="18"/>
      <c r="F51" s="19"/>
      <c r="G51" s="20">
        <f ca="1">G50*C51/100</f>
        <v>0</v>
      </c>
      <c r="H51" s="307"/>
    </row>
    <row r="52" spans="2:10" ht="18">
      <c r="B52" s="21"/>
      <c r="C52" s="22" t="s">
        <v>31</v>
      </c>
      <c r="D52" s="22"/>
      <c r="E52" s="23"/>
      <c r="F52" s="24"/>
      <c r="G52" s="25">
        <f ca="1">G51+G50</f>
        <v>792496.30799999996</v>
      </c>
    </row>
    <row r="53" spans="2:10" ht="18">
      <c r="B53" s="15"/>
      <c r="C53" s="180" t="s">
        <v>624</v>
      </c>
      <c r="D53" s="443" t="s">
        <v>624</v>
      </c>
      <c r="E53" s="444"/>
      <c r="F53" s="444"/>
      <c r="G53" s="445"/>
      <c r="J53" s="133"/>
    </row>
    <row r="54" spans="2:10" ht="15.6">
      <c r="B54" s="27"/>
      <c r="C54" s="1" t="s">
        <v>619</v>
      </c>
      <c r="D54" s="446" t="str">
        <f>B9</f>
        <v>14</v>
      </c>
      <c r="E54" s="446"/>
      <c r="F54" s="446"/>
      <c r="G54" s="447"/>
      <c r="J54" s="133"/>
    </row>
    <row r="55" spans="2:10">
      <c r="B55" s="27"/>
      <c r="C55" s="4" t="s">
        <v>33</v>
      </c>
      <c r="D55" s="4" t="s">
        <v>34</v>
      </c>
      <c r="E55" s="5"/>
      <c r="F55" s="5"/>
      <c r="G55" s="26"/>
      <c r="J55" s="133"/>
    </row>
    <row r="56" spans="2:10">
      <c r="B56" s="27"/>
      <c r="C56" s="27"/>
      <c r="D56" s="27"/>
      <c r="E56" s="1"/>
      <c r="F56" s="1"/>
      <c r="G56" s="28"/>
    </row>
    <row r="57" spans="2:10">
      <c r="B57" s="27"/>
      <c r="C57" s="6"/>
      <c r="D57" s="6"/>
      <c r="E57" s="7"/>
      <c r="F57" s="7"/>
      <c r="G57" s="8"/>
    </row>
    <row r="58" spans="2:10">
      <c r="B58" s="27"/>
      <c r="C58" s="1" t="s">
        <v>268</v>
      </c>
      <c r="D58" s="1"/>
      <c r="E58" s="1"/>
      <c r="F58" s="1"/>
      <c r="G58" s="28"/>
      <c r="J58" s="133"/>
    </row>
    <row r="59" spans="2:10">
      <c r="B59" s="27"/>
      <c r="C59" s="4" t="s">
        <v>33</v>
      </c>
      <c r="D59" s="4" t="s">
        <v>34</v>
      </c>
      <c r="E59" s="5"/>
      <c r="F59" s="5"/>
      <c r="G59" s="26"/>
      <c r="J59" s="133"/>
    </row>
    <row r="60" spans="2:10">
      <c r="B60" s="27"/>
      <c r="C60" s="27"/>
      <c r="D60" s="27"/>
      <c r="E60" s="1"/>
      <c r="F60" s="1"/>
      <c r="G60" s="28"/>
    </row>
    <row r="61" spans="2:10">
      <c r="B61" s="27"/>
      <c r="C61" s="6"/>
      <c r="D61" s="6"/>
      <c r="E61" s="7"/>
      <c r="F61" s="7"/>
      <c r="G61" s="8"/>
    </row>
    <row r="62" spans="2:10">
      <c r="B62" s="6"/>
      <c r="C62" s="7"/>
      <c r="D62" s="7"/>
      <c r="E62" s="7"/>
      <c r="F62" s="7"/>
      <c r="G62" s="8"/>
    </row>
    <row r="64" spans="2:10">
      <c r="C64" s="1" t="s">
        <v>612</v>
      </c>
    </row>
  </sheetData>
  <sheetProtection formatColumns="0" insertRows="0" deleteRows="0"/>
  <protectedRanges>
    <protectedRange sqref="A45" name="Plage2"/>
    <protectedRange sqref="B9:C12" name="Plage1_1"/>
  </protectedRanges>
  <mergeCells count="29">
    <mergeCell ref="B1:G1"/>
    <mergeCell ref="A2:A13"/>
    <mergeCell ref="B8:C8"/>
    <mergeCell ref="E8:F8"/>
    <mergeCell ref="B9:C9"/>
    <mergeCell ref="D9:G9"/>
    <mergeCell ref="B10:C10"/>
    <mergeCell ref="D10:G10"/>
    <mergeCell ref="B11:C11"/>
    <mergeCell ref="B12:C12"/>
    <mergeCell ref="D12:G12"/>
    <mergeCell ref="B13:G13"/>
    <mergeCell ref="A14:A15"/>
    <mergeCell ref="B14:B15"/>
    <mergeCell ref="C14:C15"/>
    <mergeCell ref="D14:D15"/>
    <mergeCell ref="E14:E15"/>
    <mergeCell ref="F14:F15"/>
    <mergeCell ref="G14:G15"/>
    <mergeCell ref="D53:G53"/>
    <mergeCell ref="D54:G54"/>
    <mergeCell ref="B19:C19"/>
    <mergeCell ref="D28:F28"/>
    <mergeCell ref="B30:C30"/>
    <mergeCell ref="D35:F35"/>
    <mergeCell ref="D41:F41"/>
    <mergeCell ref="C50:D50"/>
    <mergeCell ref="C41:C42"/>
    <mergeCell ref="D37:F37"/>
  </mergeCells>
  <dataValidations count="2">
    <dataValidation type="list" allowBlank="1" showInputMessage="1" showErrorMessage="1" sqref="C43:C45 C31:C41 C20:C29" xr:uid="{8780F4CE-735C-4FC4-81B0-37FAF02E0BFA}">
      <formula1>INDIRECT(A20)</formula1>
    </dataValidation>
    <dataValidation type="list" allowBlank="1" showInputMessage="1" showErrorMessage="1" sqref="A16:A51" xr:uid="{9F6152EE-7EEA-4C35-9733-AA1434A6ABDF}">
      <formula1>PRESTATION</formula1>
    </dataValidation>
  </dataValidations>
  <pageMargins left="0.23622047244094491" right="0.23622047244094491" top="0.74803149606299213" bottom="0.74803149606299213" header="0.31496062992125984" footer="0.31496062992125984"/>
  <pageSetup paperSize="9" scale="76" orientation="portrait" r:id="rId1"/>
  <headerFooter>
    <oddFooter>&amp;L&amp;"Century Gothic,Obișnuit"&amp;K00-048&amp;P / &amp;N&amp;C&amp;"Century Gothic,Obișnuit"&amp;K00-047S.C TEHNIC DESIGN MC SRL - Botosani - Romania - N° Intracom : RO 22365504&amp;R&amp;"Century Gothic,Obișnuit"&amp;K00-048&amp;D</oddFooter>
  </headerFooter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B2811C-0297-4B90-A9D0-0BCCD1A7345C}">
  <sheetPr>
    <tabColor theme="7"/>
    <pageSetUpPr fitToPage="1"/>
  </sheetPr>
  <dimension ref="A1:J122"/>
  <sheetViews>
    <sheetView showGridLines="0" view="pageBreakPreview" topLeftCell="A93" zoomScale="115" zoomScaleNormal="100" zoomScaleSheetLayoutView="115" workbookViewId="0">
      <selection activeCell="G111" sqref="G111"/>
    </sheetView>
  </sheetViews>
  <sheetFormatPr defaultColWidth="9.109375" defaultRowHeight="14.4"/>
  <cols>
    <col min="1" max="1" width="13.88671875" style="1" bestFit="1" customWidth="1"/>
    <col min="2" max="2" width="13.33203125" customWidth="1"/>
    <col min="3" max="3" width="73.44140625" style="1" bestFit="1" customWidth="1"/>
    <col min="4" max="4" width="7.88671875" customWidth="1"/>
    <col min="5" max="5" width="7" customWidth="1"/>
    <col min="6" max="6" width="12.33203125" bestFit="1" customWidth="1"/>
    <col min="7" max="7" width="14.88671875" bestFit="1" customWidth="1"/>
    <col min="8" max="8" width="10.33203125" bestFit="1" customWidth="1"/>
    <col min="10" max="10" width="24" bestFit="1" customWidth="1"/>
  </cols>
  <sheetData>
    <row r="1" spans="1:10" ht="37.65" customHeight="1">
      <c r="B1" s="418" t="str">
        <f ca="1">CONCATENATE("Devis quantitatif et estimatif n°",B9," de référence: ",B11,"  -  édition du : ",TEXT(E8,"jj-mm-aaaa"),"  -  opération : ",B10)</f>
        <v>Devis quantitatif et estimatif n°  de référence: RAZAC - 24 VILLAS  -  édition du : jj-12-marți  -  opération : RAZAC - 24 VILLAS</v>
      </c>
      <c r="C1" s="418"/>
      <c r="D1" s="418"/>
      <c r="E1" s="418"/>
      <c r="F1" s="418"/>
      <c r="G1" s="418"/>
    </row>
    <row r="2" spans="1:10" ht="18.75" customHeight="1">
      <c r="A2" s="423" t="s">
        <v>245</v>
      </c>
      <c r="B2" s="1"/>
      <c r="D2" s="1"/>
      <c r="E2" s="1"/>
      <c r="F2" s="1"/>
      <c r="G2" s="1"/>
    </row>
    <row r="3" spans="1:10">
      <c r="A3" s="423"/>
      <c r="B3" s="1"/>
      <c r="D3" s="1"/>
      <c r="E3" s="1"/>
      <c r="F3" s="1"/>
      <c r="G3" s="1"/>
    </row>
    <row r="4" spans="1:10">
      <c r="A4" s="423"/>
      <c r="B4" s="1"/>
      <c r="D4" s="1"/>
      <c r="E4" s="1"/>
      <c r="F4" s="1"/>
      <c r="G4" s="1"/>
    </row>
    <row r="5" spans="1:10" ht="15.75" customHeight="1">
      <c r="A5" s="423"/>
      <c r="B5" s="1"/>
      <c r="D5" s="1"/>
      <c r="E5" s="1"/>
      <c r="F5" s="1"/>
      <c r="G5" s="1"/>
    </row>
    <row r="6" spans="1:10" ht="15.75" customHeight="1">
      <c r="A6" s="423"/>
      <c r="B6" s="1"/>
      <c r="D6" s="1"/>
      <c r="E6" s="1"/>
      <c r="F6" s="1"/>
      <c r="G6" s="1"/>
    </row>
    <row r="7" spans="1:10">
      <c r="A7" s="423"/>
      <c r="B7" s="1"/>
      <c r="D7" s="1"/>
      <c r="E7" s="1"/>
      <c r="F7" s="1"/>
      <c r="G7" s="1"/>
    </row>
    <row r="8" spans="1:10" ht="21">
      <c r="A8" s="423"/>
      <c r="B8" s="424" t="s">
        <v>11</v>
      </c>
      <c r="C8" s="425"/>
      <c r="D8" s="2" t="s">
        <v>12</v>
      </c>
      <c r="E8" s="426">
        <f ca="1">TODAY()</f>
        <v>45993</v>
      </c>
      <c r="F8" s="426"/>
      <c r="G8" s="3"/>
    </row>
    <row r="9" spans="1:10" ht="15.6">
      <c r="A9" s="423"/>
      <c r="B9" s="427" t="s">
        <v>266</v>
      </c>
      <c r="C9" s="428"/>
      <c r="D9" s="429" t="s">
        <v>550</v>
      </c>
      <c r="E9" s="430"/>
      <c r="F9" s="430"/>
      <c r="G9" s="431"/>
    </row>
    <row r="10" spans="1:10" ht="15.6">
      <c r="A10" s="423"/>
      <c r="B10" s="432" t="s">
        <v>537</v>
      </c>
      <c r="C10" s="433"/>
      <c r="D10" s="434" t="s">
        <v>551</v>
      </c>
      <c r="E10" s="435"/>
      <c r="F10" s="435"/>
      <c r="G10" s="436"/>
    </row>
    <row r="11" spans="1:10" ht="15.6">
      <c r="A11" s="423"/>
      <c r="B11" s="419" t="s">
        <v>537</v>
      </c>
      <c r="C11" s="420"/>
      <c r="D11" s="174"/>
      <c r="E11" s="175"/>
      <c r="F11" s="175">
        <v>31140</v>
      </c>
      <c r="G11" s="176"/>
    </row>
    <row r="12" spans="1:10" ht="15" customHeight="1">
      <c r="A12" s="423"/>
      <c r="B12" s="437" t="s">
        <v>538</v>
      </c>
      <c r="C12" s="438"/>
      <c r="D12" s="434" t="s">
        <v>552</v>
      </c>
      <c r="E12" s="448"/>
      <c r="F12" s="448"/>
      <c r="G12" s="449"/>
    </row>
    <row r="13" spans="1:10">
      <c r="A13" s="423"/>
      <c r="B13" s="450" t="s">
        <v>15</v>
      </c>
      <c r="C13" s="451"/>
      <c r="D13" s="451"/>
      <c r="E13" s="451"/>
      <c r="F13" s="451"/>
      <c r="G13" s="452"/>
      <c r="J13" s="222"/>
    </row>
    <row r="14" spans="1:10" ht="15" customHeight="1" thickBot="1">
      <c r="A14" s="439" t="s">
        <v>244</v>
      </c>
      <c r="B14" s="439" t="s">
        <v>176</v>
      </c>
      <c r="C14" s="441" t="s">
        <v>16</v>
      </c>
      <c r="D14" s="421" t="s">
        <v>17</v>
      </c>
      <c r="E14" s="421" t="s">
        <v>18</v>
      </c>
      <c r="F14" s="421" t="s">
        <v>19</v>
      </c>
      <c r="G14" s="421" t="s">
        <v>20</v>
      </c>
      <c r="J14" s="170">
        <f>GESTION!$B$9</f>
        <v>7.0000000000000007E-2</v>
      </c>
    </row>
    <row r="15" spans="1:10" ht="15" thickBot="1">
      <c r="A15" s="440"/>
      <c r="B15" s="422"/>
      <c r="C15" s="442"/>
      <c r="D15" s="422"/>
      <c r="E15" s="422"/>
      <c r="F15" s="422"/>
      <c r="G15" s="422"/>
      <c r="J15" s="169">
        <f ca="1">SUM(J16:J108)*J14</f>
        <v>9635.01</v>
      </c>
    </row>
    <row r="16" spans="1:10">
      <c r="B16" s="83"/>
      <c r="C16" s="217" t="s">
        <v>187</v>
      </c>
      <c r="D16" s="85"/>
      <c r="E16" s="85"/>
      <c r="F16" s="85"/>
      <c r="G16" s="85"/>
      <c r="H16" s="159"/>
      <c r="J16" s="167"/>
    </row>
    <row r="17" spans="1:10">
      <c r="B17" s="457" t="s">
        <v>591</v>
      </c>
      <c r="C17" s="458"/>
      <c r="D17" s="85"/>
      <c r="E17" s="85"/>
      <c r="F17" s="289"/>
      <c r="G17" s="290"/>
      <c r="H17" s="159" t="str">
        <f ca="1">IFERROR(VLOOKUP($C17,INDIRECT(CONCATENATE("MATRICE_",$A17)),2,FALSE),"")</f>
        <v/>
      </c>
      <c r="J17" s="167"/>
    </row>
    <row r="18" spans="1:10" ht="28.8">
      <c r="A18" s="1" t="s">
        <v>35</v>
      </c>
      <c r="B18" s="83" t="str">
        <f ca="1">IF(H18=0,"",H18)</f>
        <v>PE-15</v>
      </c>
      <c r="C18" s="173" t="s">
        <v>547</v>
      </c>
      <c r="D18" s="161" t="str">
        <f t="shared" ref="D18:D105" ca="1" si="0">IFERROR(VLOOKUP($C18,INDIRECT(CONCATENATE("MATRICE_",$A18)),3,FALSE),"")</f>
        <v>m2</v>
      </c>
      <c r="E18" s="308">
        <f>309-25</f>
        <v>284</v>
      </c>
      <c r="F18" s="291">
        <f ca="1">IFERROR(ROUNDUP(IF(C18="FORFAIT QUINCAILLERIE",$J$15,VLOOKUP($C18,INDIRECT(CONCATENATE("MATRICE_",$A18)),4,FALSE)),0),"")</f>
        <v>84</v>
      </c>
      <c r="G18" s="292">
        <f t="shared" ref="G18:G35" ca="1" si="1">IFERROR(F18*E18,"")</f>
        <v>23856</v>
      </c>
      <c r="H18" s="159" t="str">
        <f ca="1">IFERROR(VLOOKUP($C18,INDIRECT(CONCATENATE("MATRICE_",$A18)),2,FALSE),"")</f>
        <v>PE-15</v>
      </c>
      <c r="I18">
        <f>(150+12+10)/1000*(E18+155)</f>
        <v>75.507999999999996</v>
      </c>
      <c r="J18" s="168">
        <f t="shared" ref="J18:J37" ca="1" si="2">IF(OR(A18="COMPOSITION",A18="ARTICLE"),G18,"")</f>
        <v>23856</v>
      </c>
    </row>
    <row r="19" spans="1:10">
      <c r="A19" s="1" t="s">
        <v>35</v>
      </c>
      <c r="B19" s="83" t="str">
        <f t="shared" ref="B19:B34" ca="1" si="3">IF(H19=0,"",H19)</f>
        <v>PEST-10</v>
      </c>
      <c r="C19" s="173" t="s">
        <v>548</v>
      </c>
      <c r="D19" s="161" t="str">
        <f t="shared" ca="1" si="0"/>
        <v>m2</v>
      </c>
      <c r="E19" s="308">
        <v>15</v>
      </c>
      <c r="F19" s="291">
        <f t="shared" ref="F19:F105" ca="1" si="4">IFERROR(ROUNDUP(IF(C19="FORFAIT QUINCAILLERIE",$J$15,VLOOKUP($C19,INDIRECT(CONCATENATE("MATRICE_",$A19)),4,FALSE)),0),"")</f>
        <v>64</v>
      </c>
      <c r="G19" s="292">
        <f t="shared" ca="1" si="1"/>
        <v>960</v>
      </c>
      <c r="H19" s="159" t="str">
        <f t="shared" ref="H19:H34" ca="1" si="5">IFERROR(VLOOKUP($C19,INDIRECT(CONCATENATE("MATRICE_",$A19)),2,FALSE),"")</f>
        <v>PEST-10</v>
      </c>
      <c r="I19">
        <f>(100+12+10)/1000*E19</f>
        <v>1.83</v>
      </c>
      <c r="J19" s="168">
        <f t="shared" ca="1" si="2"/>
        <v>960</v>
      </c>
    </row>
    <row r="20" spans="1:10">
      <c r="A20" s="1" t="s">
        <v>134</v>
      </c>
      <c r="B20" s="83" t="str">
        <f t="shared" ca="1" si="3"/>
        <v/>
      </c>
      <c r="C20" s="173" t="s">
        <v>542</v>
      </c>
      <c r="D20" s="161" t="str">
        <f t="shared" ca="1" si="0"/>
        <v>ml</v>
      </c>
      <c r="E20" s="308">
        <v>83</v>
      </c>
      <c r="F20" s="291">
        <f t="shared" ca="1" si="4"/>
        <v>9</v>
      </c>
      <c r="G20" s="292">
        <f t="shared" ca="1" si="1"/>
        <v>747</v>
      </c>
      <c r="H20" s="159">
        <f t="shared" ca="1" si="5"/>
        <v>0</v>
      </c>
      <c r="I20">
        <f>1*0.145*0.045*E20</f>
        <v>0.54157499999999992</v>
      </c>
      <c r="J20" s="168">
        <f t="shared" ca="1" si="2"/>
        <v>747</v>
      </c>
    </row>
    <row r="21" spans="1:10" ht="15" customHeight="1">
      <c r="A21" s="1" t="s">
        <v>134</v>
      </c>
      <c r="B21" s="83"/>
      <c r="C21" s="173" t="s">
        <v>553</v>
      </c>
      <c r="D21" s="161" t="str">
        <f t="shared" ca="1" si="0"/>
        <v>ml</v>
      </c>
      <c r="E21" s="9">
        <v>100</v>
      </c>
      <c r="F21" s="291">
        <f t="shared" ca="1" si="4"/>
        <v>9</v>
      </c>
      <c r="G21" s="292">
        <f t="shared" ca="1" si="1"/>
        <v>900</v>
      </c>
      <c r="I21">
        <f>1*0.145*0.045*E21</f>
        <v>0.65249999999999997</v>
      </c>
      <c r="J21" s="168">
        <f t="shared" ca="1" si="2"/>
        <v>900</v>
      </c>
    </row>
    <row r="22" spans="1:10" ht="15" customHeight="1" thickBot="1">
      <c r="A22" s="1" t="s">
        <v>224</v>
      </c>
      <c r="B22" s="83"/>
      <c r="C22" s="173" t="s">
        <v>258</v>
      </c>
      <c r="D22" s="161" t="str">
        <f t="shared" ca="1" si="0"/>
        <v>ft</v>
      </c>
      <c r="E22" s="9">
        <v>1</v>
      </c>
      <c r="F22" s="291">
        <f ca="1">SUM(G18:G21)*7%</f>
        <v>1852.41</v>
      </c>
      <c r="G22" s="292">
        <f t="shared" ca="1" si="1"/>
        <v>1852.41</v>
      </c>
      <c r="J22" s="168"/>
    </row>
    <row r="23" spans="1:10" ht="15" customHeight="1" thickBot="1">
      <c r="B23" s="83"/>
      <c r="C23" s="297"/>
      <c r="D23" s="460" t="s">
        <v>592</v>
      </c>
      <c r="E23" s="461"/>
      <c r="F23" s="462"/>
      <c r="G23" s="371">
        <f ca="1">SUM(G18:G22)</f>
        <v>28315.41</v>
      </c>
      <c r="J23" s="168"/>
    </row>
    <row r="24" spans="1:10" ht="14.4" customHeight="1">
      <c r="B24" s="457" t="s">
        <v>605</v>
      </c>
      <c r="C24" s="458"/>
      <c r="D24" s="18"/>
      <c r="E24" s="354"/>
      <c r="F24" s="355"/>
      <c r="G24" s="356"/>
      <c r="H24" s="250"/>
      <c r="J24" s="168"/>
    </row>
    <row r="25" spans="1:10" ht="14.4" customHeight="1">
      <c r="A25" s="1" t="s">
        <v>35</v>
      </c>
      <c r="B25" s="83" t="str">
        <f ca="1">IF(H25=0,"",H25)</f>
        <v>PEST-10-BARDAGE</v>
      </c>
      <c r="C25" s="352" t="s">
        <v>558</v>
      </c>
      <c r="D25" s="161" t="str">
        <f t="shared" ca="1" si="0"/>
        <v>m2</v>
      </c>
      <c r="E25" s="308">
        <f>15*5</f>
        <v>75</v>
      </c>
      <c r="F25" s="291">
        <f t="shared" ref="F25" ca="1" si="6">IFERROR(ROUNDUP(IF(C25="FORFAIT QUINCAILLERIE",$J$15,VLOOKUP($C25,INDIRECT(CONCATENATE("MATRICE_",$A25)),4,FALSE)),0),"")</f>
        <v>62</v>
      </c>
      <c r="G25" s="292">
        <f t="shared" ref="G25:G28" ca="1" si="7">IFERROR(F25*E25,"")</f>
        <v>4650</v>
      </c>
      <c r="H25" s="159" t="str">
        <f ca="1">IFERROR(VLOOKUP($C25,INDIRECT(CONCATENATE("MATRICE_",$A25)),2,FALSE),"")</f>
        <v>PEST-10-BARDAGE</v>
      </c>
      <c r="J25" s="168"/>
    </row>
    <row r="26" spans="1:10" ht="14.4" customHeight="1">
      <c r="A26" s="1" t="s">
        <v>35</v>
      </c>
      <c r="B26" s="83" t="str">
        <f ca="1">IF(H26=0,"",H26)</f>
        <v>PEST-10-BARDAGE PIGNON</v>
      </c>
      <c r="C26" s="352" t="s">
        <v>559</v>
      </c>
      <c r="D26" s="161" t="str">
        <f t="shared" ca="1" si="0"/>
        <v>m2</v>
      </c>
      <c r="E26" s="308">
        <f>12*5</f>
        <v>60</v>
      </c>
      <c r="F26" s="291">
        <f ca="1">IFERROR(ROUNDUP(IF(C26="FORFAIT QUINCAILLERIE",$J$15,VLOOKUP($C26,INDIRECT(CONCATENATE("MATRICE_",$A26)),4,FALSE)),0),"")-1</f>
        <v>79</v>
      </c>
      <c r="G26" s="292">
        <f t="shared" ca="1" si="7"/>
        <v>4740</v>
      </c>
      <c r="H26" s="159" t="str">
        <f ca="1">IFERROR(VLOOKUP($C26,INDIRECT(CONCATENATE("MATRICE_",$A26)),2,FALSE),"")</f>
        <v>PEST-10-BARDAGE PIGNON</v>
      </c>
      <c r="J26" s="168"/>
    </row>
    <row r="27" spans="1:10">
      <c r="A27" s="1" t="s">
        <v>35</v>
      </c>
      <c r="B27" s="83" t="str">
        <f ca="1">IF(H27=0,"",H27)</f>
        <v/>
      </c>
      <c r="C27" s="352" t="s">
        <v>523</v>
      </c>
      <c r="D27" s="161" t="str">
        <f t="shared" ca="1" si="0"/>
        <v/>
      </c>
      <c r="E27" s="308">
        <f>7*5</f>
        <v>35</v>
      </c>
      <c r="F27" s="291" t="e">
        <f ca="1">IFERROR(ROUNDUP(IF(C27="FORFAIT QUINCAILLERIE",$J$15,VLOOKUP($C27,INDIRECT(CONCATENATE("MATRICE_",$A27)),4,FALSE)),0),"")+1</f>
        <v>#VALUE!</v>
      </c>
      <c r="G27" s="292" t="str">
        <f t="shared" ca="1" si="7"/>
        <v/>
      </c>
      <c r="H27" s="159" t="str">
        <f ca="1">IFERROR(VLOOKUP($C27,INDIRECT(CONCATENATE("MATRICE_",$A27)),2,FALSE),"")</f>
        <v/>
      </c>
      <c r="J27" s="168"/>
    </row>
    <row r="28" spans="1:10">
      <c r="A28" s="1" t="s">
        <v>134</v>
      </c>
      <c r="B28" s="83" t="str">
        <f>IF(H28=0,"",H28)</f>
        <v/>
      </c>
      <c r="C28" s="173" t="s">
        <v>542</v>
      </c>
      <c r="D28" s="161" t="str">
        <f t="shared" ca="1" si="0"/>
        <v>ml</v>
      </c>
      <c r="E28" s="308">
        <f>10*5</f>
        <v>50</v>
      </c>
      <c r="F28" s="291">
        <f t="shared" ref="F28" ca="1" si="8">IFERROR(ROUNDUP(IF(C28="FORFAIT QUINCAILLERIE",$J$15,VLOOKUP($C28,INDIRECT(CONCATENATE("MATRICE_",$A28)),4,FALSE)),0),"")</f>
        <v>9</v>
      </c>
      <c r="G28" s="292">
        <f t="shared" ca="1" si="7"/>
        <v>450</v>
      </c>
      <c r="H28" s="250"/>
      <c r="J28" s="168"/>
    </row>
    <row r="29" spans="1:10" ht="15" thickBot="1">
      <c r="A29" s="1" t="s">
        <v>224</v>
      </c>
      <c r="B29" s="51"/>
      <c r="C29" s="173" t="s">
        <v>258</v>
      </c>
      <c r="D29" s="161" t="str">
        <f t="shared" ca="1" si="0"/>
        <v>ft</v>
      </c>
      <c r="E29" s="9">
        <v>1</v>
      </c>
      <c r="F29" s="291">
        <f ca="1">SUM(G25:G28)*7%</f>
        <v>688.80000000000007</v>
      </c>
      <c r="G29" s="163">
        <f ca="1">IFERROR(F29*E29,"")</f>
        <v>688.80000000000007</v>
      </c>
      <c r="H29" s="159"/>
      <c r="J29" s="168"/>
    </row>
    <row r="30" spans="1:10" ht="15" thickBot="1">
      <c r="B30" s="51"/>
      <c r="C30" s="173"/>
      <c r="D30" s="460" t="s">
        <v>606</v>
      </c>
      <c r="E30" s="461"/>
      <c r="F30" s="462"/>
      <c r="G30" s="371">
        <f ca="1">SUM(G25:G29)</f>
        <v>10528.8</v>
      </c>
      <c r="H30" s="159"/>
      <c r="J30" s="168"/>
    </row>
    <row r="31" spans="1:10" ht="14.4" customHeight="1">
      <c r="B31" s="457" t="s">
        <v>593</v>
      </c>
      <c r="C31" s="458"/>
      <c r="D31" s="161" t="str">
        <f t="shared" ca="1" si="0"/>
        <v/>
      </c>
      <c r="E31" s="9"/>
      <c r="F31" s="291" t="str">
        <f t="shared" ref="F31:F35" ca="1" si="9">IFERROR(ROUNDUP(IF(C31="FORFAIT QUINCAILLERIE",$J$15,VLOOKUP($C31,INDIRECT(CONCATENATE("MATRICE_",$A31)),4,FALSE)),0),"")</f>
        <v/>
      </c>
      <c r="G31" s="292" t="str">
        <f t="shared" ca="1" si="1"/>
        <v/>
      </c>
      <c r="H31" s="159" t="str">
        <f t="shared" ca="1" si="5"/>
        <v/>
      </c>
      <c r="J31" s="168" t="str">
        <f t="shared" si="2"/>
        <v/>
      </c>
    </row>
    <row r="32" spans="1:10" ht="28.8">
      <c r="A32" s="1" t="s">
        <v>35</v>
      </c>
      <c r="B32" s="83" t="str">
        <f t="shared" ca="1" si="3"/>
        <v>PE-15</v>
      </c>
      <c r="C32" s="173" t="s">
        <v>547</v>
      </c>
      <c r="D32" s="161" t="str">
        <f t="shared" ca="1" si="0"/>
        <v>m2</v>
      </c>
      <c r="E32" s="308">
        <f>323-25</f>
        <v>298</v>
      </c>
      <c r="F32" s="291">
        <f t="shared" ca="1" si="9"/>
        <v>84</v>
      </c>
      <c r="G32" s="292">
        <f t="shared" ca="1" si="1"/>
        <v>25032</v>
      </c>
      <c r="H32" s="159" t="str">
        <f t="shared" ca="1" si="5"/>
        <v>PE-15</v>
      </c>
      <c r="I32">
        <f>(100+12+22+10)/1000*E32</f>
        <v>42.911999999999999</v>
      </c>
      <c r="J32" s="168">
        <f t="shared" ca="1" si="2"/>
        <v>25032</v>
      </c>
    </row>
    <row r="33" spans="1:10">
      <c r="A33" s="1" t="s">
        <v>35</v>
      </c>
      <c r="B33" s="83" t="str">
        <f t="shared" ca="1" si="3"/>
        <v>PEST-10</v>
      </c>
      <c r="C33" s="173" t="s">
        <v>548</v>
      </c>
      <c r="D33" s="161" t="str">
        <f t="shared" ca="1" si="0"/>
        <v>m2</v>
      </c>
      <c r="E33" s="308">
        <v>8</v>
      </c>
      <c r="F33" s="291">
        <f t="shared" ca="1" si="9"/>
        <v>64</v>
      </c>
      <c r="G33" s="292">
        <f t="shared" ca="1" si="1"/>
        <v>512</v>
      </c>
      <c r="H33" s="159" t="str">
        <f t="shared" ca="1" si="5"/>
        <v>PEST-10</v>
      </c>
      <c r="I33">
        <f>(100+12+22+10)/1000*E33</f>
        <v>1.1519999999999999</v>
      </c>
      <c r="J33" s="168">
        <f t="shared" ca="1" si="2"/>
        <v>512</v>
      </c>
    </row>
    <row r="34" spans="1:10">
      <c r="A34" s="1" t="s">
        <v>134</v>
      </c>
      <c r="B34" s="83" t="str">
        <f t="shared" ca="1" si="3"/>
        <v/>
      </c>
      <c r="C34" s="173" t="s">
        <v>542</v>
      </c>
      <c r="D34" s="161" t="str">
        <f t="shared" ca="1" si="0"/>
        <v>ml</v>
      </c>
      <c r="E34" s="308">
        <v>84</v>
      </c>
      <c r="F34" s="291">
        <f t="shared" ca="1" si="9"/>
        <v>9</v>
      </c>
      <c r="G34" s="292">
        <f t="shared" ca="1" si="1"/>
        <v>756</v>
      </c>
      <c r="H34" s="159">
        <f t="shared" ca="1" si="5"/>
        <v>0</v>
      </c>
      <c r="I34">
        <f>(150+12+20+10)/1000*E34</f>
        <v>16.128</v>
      </c>
      <c r="J34" s="168">
        <f t="shared" ca="1" si="2"/>
        <v>756</v>
      </c>
    </row>
    <row r="35" spans="1:10">
      <c r="A35" s="1" t="s">
        <v>134</v>
      </c>
      <c r="B35" s="51"/>
      <c r="C35" s="173" t="s">
        <v>553</v>
      </c>
      <c r="D35" s="161" t="str">
        <f t="shared" ca="1" si="0"/>
        <v>ml</v>
      </c>
      <c r="E35" s="9">
        <v>115</v>
      </c>
      <c r="F35" s="291">
        <f t="shared" ca="1" si="9"/>
        <v>9</v>
      </c>
      <c r="G35" s="292">
        <f t="shared" ca="1" si="1"/>
        <v>1035</v>
      </c>
      <c r="I35">
        <f>1*0.1*0.045*E35</f>
        <v>0.51749999999999996</v>
      </c>
      <c r="J35" s="168">
        <f t="shared" ca="1" si="2"/>
        <v>1035</v>
      </c>
    </row>
    <row r="36" spans="1:10" ht="15" thickBot="1">
      <c r="A36" s="1" t="s">
        <v>224</v>
      </c>
      <c r="B36" s="51"/>
      <c r="C36" s="173" t="s">
        <v>258</v>
      </c>
      <c r="D36" s="161" t="str">
        <f t="shared" ca="1" si="0"/>
        <v>ft</v>
      </c>
      <c r="E36" s="9">
        <v>1</v>
      </c>
      <c r="F36" s="291">
        <f ca="1">SUM(G32:G35)*7%</f>
        <v>1913.4500000000003</v>
      </c>
      <c r="G36" s="163">
        <f ca="1">IFERROR(F36*E36,"")</f>
        <v>1913.4500000000003</v>
      </c>
      <c r="J36" s="168" t="str">
        <f t="shared" si="2"/>
        <v/>
      </c>
    </row>
    <row r="37" spans="1:10" ht="15" thickBot="1">
      <c r="A37" s="1" t="s">
        <v>224</v>
      </c>
      <c r="B37" s="51" t="str">
        <f t="shared" ref="B37" si="10">IF(H37=0,"",H37)</f>
        <v/>
      </c>
      <c r="C37" s="352"/>
      <c r="D37" s="460" t="s">
        <v>595</v>
      </c>
      <c r="E37" s="461"/>
      <c r="F37" s="462"/>
      <c r="G37" s="371">
        <f ca="1">SUM(G32:G36)</f>
        <v>29248.45</v>
      </c>
      <c r="H37" s="250"/>
      <c r="J37" s="168" t="str">
        <f t="shared" si="2"/>
        <v/>
      </c>
    </row>
    <row r="38" spans="1:10" ht="14.4" customHeight="1">
      <c r="B38" s="457" t="s">
        <v>605</v>
      </c>
      <c r="C38" s="458"/>
      <c r="D38" s="18"/>
      <c r="E38" s="354"/>
      <c r="F38" s="355"/>
      <c r="G38" s="356"/>
      <c r="H38" s="250"/>
      <c r="J38" s="168"/>
    </row>
    <row r="39" spans="1:10" ht="14.4" customHeight="1">
      <c r="A39" s="1" t="s">
        <v>35</v>
      </c>
      <c r="B39" s="83" t="str">
        <f ca="1">IF(H39=0,"",H39)</f>
        <v>PEST-10-BARDAGE</v>
      </c>
      <c r="C39" s="352" t="s">
        <v>558</v>
      </c>
      <c r="D39" s="161" t="str">
        <f t="shared" ca="1" si="0"/>
        <v>m2</v>
      </c>
      <c r="E39" s="308">
        <f>15*5</f>
        <v>75</v>
      </c>
      <c r="F39" s="291">
        <f t="shared" ref="F39" ca="1" si="11">IFERROR(ROUNDUP(IF(C39="FORFAIT QUINCAILLERIE",$J$15,VLOOKUP($C39,INDIRECT(CONCATENATE("MATRICE_",$A39)),4,FALSE)),0),"")</f>
        <v>62</v>
      </c>
      <c r="G39" s="292">
        <f t="shared" ref="G39:G42" ca="1" si="12">IFERROR(F39*E39,"")</f>
        <v>4650</v>
      </c>
      <c r="H39" s="159" t="str">
        <f ca="1">IFERROR(VLOOKUP($C39,INDIRECT(CONCATENATE("MATRICE_",$A39)),2,FALSE),"")</f>
        <v>PEST-10-BARDAGE</v>
      </c>
      <c r="J39" s="168"/>
    </row>
    <row r="40" spans="1:10" ht="14.4" customHeight="1">
      <c r="A40" s="1" t="s">
        <v>35</v>
      </c>
      <c r="B40" s="83" t="str">
        <f ca="1">IF(H40=0,"",H40)</f>
        <v>PEST-10-BARDAGE PIGNON</v>
      </c>
      <c r="C40" s="352" t="s">
        <v>559</v>
      </c>
      <c r="D40" s="161" t="str">
        <f t="shared" ca="1" si="0"/>
        <v>m2</v>
      </c>
      <c r="E40" s="308">
        <f>12*5</f>
        <v>60</v>
      </c>
      <c r="F40" s="291">
        <f ca="1">IFERROR(ROUNDUP(IF(C40="FORFAIT QUINCAILLERIE",$J$15,VLOOKUP($C40,INDIRECT(CONCATENATE("MATRICE_",$A40)),4,FALSE)),0),"")-1</f>
        <v>79</v>
      </c>
      <c r="G40" s="292">
        <f t="shared" ca="1" si="12"/>
        <v>4740</v>
      </c>
      <c r="H40" s="159" t="str">
        <f ca="1">IFERROR(VLOOKUP($C40,INDIRECT(CONCATENATE("MATRICE_",$A40)),2,FALSE),"")</f>
        <v>PEST-10-BARDAGE PIGNON</v>
      </c>
      <c r="J40" s="168"/>
    </row>
    <row r="41" spans="1:10">
      <c r="A41" s="1" t="s">
        <v>35</v>
      </c>
      <c r="B41" s="83" t="str">
        <f ca="1">IF(H41=0,"",H41)</f>
        <v/>
      </c>
      <c r="C41" s="352" t="s">
        <v>523</v>
      </c>
      <c r="D41" s="161" t="str">
        <f t="shared" ca="1" si="0"/>
        <v/>
      </c>
      <c r="E41" s="308">
        <f>7*5</f>
        <v>35</v>
      </c>
      <c r="F41" s="291" t="e">
        <f ca="1">IFERROR(ROUNDUP(IF(C41="FORFAIT QUINCAILLERIE",$J$15,VLOOKUP($C41,INDIRECT(CONCATENATE("MATRICE_",$A41)),4,FALSE)),0),"")+1</f>
        <v>#VALUE!</v>
      </c>
      <c r="G41" s="292" t="str">
        <f t="shared" ca="1" si="12"/>
        <v/>
      </c>
      <c r="H41" s="159" t="str">
        <f ca="1">IFERROR(VLOOKUP($C41,INDIRECT(CONCATENATE("MATRICE_",$A41)),2,FALSE),"")</f>
        <v/>
      </c>
      <c r="J41" s="168"/>
    </row>
    <row r="42" spans="1:10">
      <c r="A42" s="1" t="s">
        <v>134</v>
      </c>
      <c r="B42" s="83" t="str">
        <f>IF(H42=0,"",H42)</f>
        <v/>
      </c>
      <c r="C42" s="173" t="s">
        <v>542</v>
      </c>
      <c r="D42" s="161" t="str">
        <f t="shared" ca="1" si="0"/>
        <v>ml</v>
      </c>
      <c r="E42" s="308">
        <f>10*5</f>
        <v>50</v>
      </c>
      <c r="F42" s="291">
        <f t="shared" ref="F42" ca="1" si="13">IFERROR(ROUNDUP(IF(C42="FORFAIT QUINCAILLERIE",$J$15,VLOOKUP($C42,INDIRECT(CONCATENATE("MATRICE_",$A42)),4,FALSE)),0),"")</f>
        <v>9</v>
      </c>
      <c r="G42" s="292">
        <f t="shared" ca="1" si="12"/>
        <v>450</v>
      </c>
      <c r="H42" s="250"/>
      <c r="J42" s="168"/>
    </row>
    <row r="43" spans="1:10" ht="15" thickBot="1">
      <c r="A43" s="1" t="s">
        <v>224</v>
      </c>
      <c r="B43" s="51"/>
      <c r="C43" s="173" t="s">
        <v>258</v>
      </c>
      <c r="D43" s="161" t="str">
        <f t="shared" ca="1" si="0"/>
        <v>ft</v>
      </c>
      <c r="E43" s="9">
        <v>1</v>
      </c>
      <c r="F43" s="291">
        <f ca="1">SUM(G39:G42)*7%</f>
        <v>688.80000000000007</v>
      </c>
      <c r="G43" s="163">
        <f ca="1">IFERROR(F43*E43,"")</f>
        <v>688.80000000000007</v>
      </c>
      <c r="H43" s="159"/>
      <c r="J43" s="168"/>
    </row>
    <row r="44" spans="1:10" ht="15" thickBot="1">
      <c r="B44" s="51"/>
      <c r="C44" s="173"/>
      <c r="D44" s="460" t="s">
        <v>606</v>
      </c>
      <c r="E44" s="461"/>
      <c r="F44" s="462"/>
      <c r="G44" s="371">
        <f ca="1">SUM(G39:G43)</f>
        <v>10528.8</v>
      </c>
      <c r="H44" s="159"/>
      <c r="J44" s="168"/>
    </row>
    <row r="45" spans="1:10">
      <c r="B45" s="457" t="s">
        <v>594</v>
      </c>
      <c r="C45" s="458"/>
      <c r="D45" s="85"/>
      <c r="E45" s="85"/>
      <c r="F45" s="289"/>
      <c r="G45" s="290"/>
      <c r="H45" s="159" t="str">
        <f ca="1">IFERROR(VLOOKUP($C45,INDIRECT(CONCATENATE("MATRICE_",$A45)),2,FALSE),"")</f>
        <v/>
      </c>
      <c r="J45" s="167"/>
    </row>
    <row r="46" spans="1:10" ht="28.8">
      <c r="A46" s="1" t="s">
        <v>35</v>
      </c>
      <c r="B46" s="83" t="str">
        <f ca="1">IF(H46=0,"",H46)</f>
        <v>PE-15</v>
      </c>
      <c r="C46" s="173" t="s">
        <v>547</v>
      </c>
      <c r="D46" s="161" t="str">
        <f t="shared" ca="1" si="0"/>
        <v>m2</v>
      </c>
      <c r="E46" s="308">
        <f>145-10</f>
        <v>135</v>
      </c>
      <c r="F46" s="291">
        <f ca="1">IFERROR(ROUNDUP(IF(C46="FORFAIT QUINCAILLERIE",$J$15,VLOOKUP($C46,INDIRECT(CONCATENATE("MATRICE_",$A46)),4,FALSE)),0),"")</f>
        <v>84</v>
      </c>
      <c r="G46" s="292">
        <f t="shared" ref="G46:G50" ca="1" si="14">IFERROR(F46*E46,"")</f>
        <v>11340</v>
      </c>
      <c r="H46" s="159" t="str">
        <f ca="1">IFERROR(VLOOKUP($C46,INDIRECT(CONCATENATE("MATRICE_",$A46)),2,FALSE),"")</f>
        <v>PE-15</v>
      </c>
      <c r="I46">
        <f>(150+12+10)/1000*(E46+155)</f>
        <v>49.879999999999995</v>
      </c>
      <c r="J46" s="168">
        <f t="shared" ref="J46:J49" ca="1" si="15">IF(OR(A46="COMPOSITION",A46="ARTICLE"),G46,"")</f>
        <v>11340</v>
      </c>
    </row>
    <row r="47" spans="1:10">
      <c r="A47" s="1" t="s">
        <v>35</v>
      </c>
      <c r="B47" s="83" t="str">
        <f t="shared" ref="B47:B48" ca="1" si="16">IF(H47=0,"",H47)</f>
        <v>PEST-10</v>
      </c>
      <c r="C47" s="173" t="s">
        <v>548</v>
      </c>
      <c r="D47" s="161" t="str">
        <f t="shared" ca="1" si="0"/>
        <v>m2</v>
      </c>
      <c r="E47" s="308">
        <v>8</v>
      </c>
      <c r="F47" s="291">
        <f t="shared" ref="F47:F49" ca="1" si="17">IFERROR(ROUNDUP(IF(C47="FORFAIT QUINCAILLERIE",$J$15,VLOOKUP($C47,INDIRECT(CONCATENATE("MATRICE_",$A47)),4,FALSE)),0),"")</f>
        <v>64</v>
      </c>
      <c r="G47" s="292">
        <f t="shared" ca="1" si="14"/>
        <v>512</v>
      </c>
      <c r="H47" s="159" t="str">
        <f t="shared" ref="H47:H48" ca="1" si="18">IFERROR(VLOOKUP($C47,INDIRECT(CONCATENATE("MATRICE_",$A47)),2,FALSE),"")</f>
        <v>PEST-10</v>
      </c>
      <c r="I47">
        <f>(100+12+10)/1000*E47</f>
        <v>0.97599999999999998</v>
      </c>
      <c r="J47" s="168">
        <f t="shared" ca="1" si="15"/>
        <v>512</v>
      </c>
    </row>
    <row r="48" spans="1:10">
      <c r="A48" s="1" t="s">
        <v>134</v>
      </c>
      <c r="B48" s="83" t="str">
        <f t="shared" ca="1" si="16"/>
        <v/>
      </c>
      <c r="C48" s="173" t="s">
        <v>542</v>
      </c>
      <c r="D48" s="161" t="str">
        <f t="shared" ca="1" si="0"/>
        <v>ml</v>
      </c>
      <c r="E48" s="308">
        <v>40</v>
      </c>
      <c r="F48" s="291">
        <f t="shared" ca="1" si="17"/>
        <v>9</v>
      </c>
      <c r="G48" s="292">
        <f t="shared" ca="1" si="14"/>
        <v>360</v>
      </c>
      <c r="H48" s="159">
        <f t="shared" ca="1" si="18"/>
        <v>0</v>
      </c>
      <c r="I48">
        <f>1*0.145*0.045*E48</f>
        <v>0.26100000000000001</v>
      </c>
      <c r="J48" s="168">
        <f t="shared" ca="1" si="15"/>
        <v>360</v>
      </c>
    </row>
    <row r="49" spans="1:10" ht="15" customHeight="1">
      <c r="A49" s="1" t="s">
        <v>134</v>
      </c>
      <c r="B49" s="83"/>
      <c r="C49" s="173" t="s">
        <v>553</v>
      </c>
      <c r="D49" s="161" t="str">
        <f t="shared" ca="1" si="0"/>
        <v>ml</v>
      </c>
      <c r="E49" s="9">
        <v>46</v>
      </c>
      <c r="F49" s="291">
        <f t="shared" ca="1" si="17"/>
        <v>9</v>
      </c>
      <c r="G49" s="292">
        <f t="shared" ca="1" si="14"/>
        <v>414</v>
      </c>
      <c r="I49">
        <f>1*0.145*0.045*E49</f>
        <v>0.30014999999999997</v>
      </c>
      <c r="J49" s="168">
        <f t="shared" ca="1" si="15"/>
        <v>414</v>
      </c>
    </row>
    <row r="50" spans="1:10" ht="15" customHeight="1" thickBot="1">
      <c r="A50" s="1" t="s">
        <v>224</v>
      </c>
      <c r="B50" s="83"/>
      <c r="C50" s="173" t="s">
        <v>258</v>
      </c>
      <c r="D50" s="161" t="str">
        <f t="shared" ca="1" si="0"/>
        <v>ft</v>
      </c>
      <c r="E50" s="9">
        <v>1</v>
      </c>
      <c r="F50" s="291">
        <f ca="1">SUM(G46:G49)*7%</f>
        <v>883.82</v>
      </c>
      <c r="G50" s="292">
        <f t="shared" ca="1" si="14"/>
        <v>883.82</v>
      </c>
      <c r="J50" s="168"/>
    </row>
    <row r="51" spans="1:10" ht="15" customHeight="1" thickBot="1">
      <c r="B51" s="83"/>
      <c r="C51" s="297"/>
      <c r="D51" s="460" t="s">
        <v>596</v>
      </c>
      <c r="E51" s="461"/>
      <c r="F51" s="462"/>
      <c r="G51" s="371">
        <f ca="1">SUM(G46:G50)</f>
        <v>13509.82</v>
      </c>
      <c r="J51" s="168"/>
    </row>
    <row r="52" spans="1:10" ht="14.4" customHeight="1">
      <c r="B52" s="457" t="s">
        <v>607</v>
      </c>
      <c r="C52" s="458"/>
      <c r="D52" s="18"/>
      <c r="E52" s="354"/>
      <c r="F52" s="355"/>
      <c r="G52" s="356"/>
      <c r="H52" s="250"/>
      <c r="J52" s="168"/>
    </row>
    <row r="53" spans="1:10" ht="14.4" customHeight="1">
      <c r="A53" s="1" t="s">
        <v>35</v>
      </c>
      <c r="B53" s="83" t="str">
        <f ca="1">IF(H53=0,"",H53)</f>
        <v>PEST-10-BARDAGE</v>
      </c>
      <c r="C53" s="352" t="s">
        <v>558</v>
      </c>
      <c r="D53" s="161" t="str">
        <f t="shared" ca="1" si="0"/>
        <v>m2</v>
      </c>
      <c r="E53" s="308">
        <f>15*2</f>
        <v>30</v>
      </c>
      <c r="F53" s="291">
        <f t="shared" ref="F53" ca="1" si="19">IFERROR(ROUNDUP(IF(C53="FORFAIT QUINCAILLERIE",$J$15,VLOOKUP($C53,INDIRECT(CONCATENATE("MATRICE_",$A53)),4,FALSE)),0),"")</f>
        <v>62</v>
      </c>
      <c r="G53" s="292">
        <f t="shared" ref="G53:G56" ca="1" si="20">IFERROR(F53*E53,"")</f>
        <v>1860</v>
      </c>
      <c r="H53" s="159" t="str">
        <f ca="1">IFERROR(VLOOKUP($C53,INDIRECT(CONCATENATE("MATRICE_",$A53)),2,FALSE),"")</f>
        <v>PEST-10-BARDAGE</v>
      </c>
      <c r="J53" s="168"/>
    </row>
    <row r="54" spans="1:10" ht="14.4" customHeight="1">
      <c r="A54" s="1" t="s">
        <v>35</v>
      </c>
      <c r="B54" s="83" t="str">
        <f ca="1">IF(H54=0,"",H54)</f>
        <v>PEST-10-BARDAGE PIGNON</v>
      </c>
      <c r="C54" s="352" t="s">
        <v>559</v>
      </c>
      <c r="D54" s="161" t="str">
        <f t="shared" ca="1" si="0"/>
        <v>m2</v>
      </c>
      <c r="E54" s="308">
        <f>12*2</f>
        <v>24</v>
      </c>
      <c r="F54" s="291">
        <f ca="1">IFERROR(ROUNDUP(IF(C54="FORFAIT QUINCAILLERIE",$J$15,VLOOKUP($C54,INDIRECT(CONCATENATE("MATRICE_",$A54)),4,FALSE)),0),"")-1</f>
        <v>79</v>
      </c>
      <c r="G54" s="292">
        <f t="shared" ca="1" si="20"/>
        <v>1896</v>
      </c>
      <c r="H54" s="159" t="str">
        <f ca="1">IFERROR(VLOOKUP($C54,INDIRECT(CONCATENATE("MATRICE_",$A54)),2,FALSE),"")</f>
        <v>PEST-10-BARDAGE PIGNON</v>
      </c>
      <c r="J54" s="168"/>
    </row>
    <row r="55" spans="1:10">
      <c r="A55" s="1" t="s">
        <v>35</v>
      </c>
      <c r="B55" s="83" t="str">
        <f ca="1">IF(H55=0,"",H55)</f>
        <v/>
      </c>
      <c r="C55" s="352" t="s">
        <v>523</v>
      </c>
      <c r="D55" s="161" t="str">
        <f t="shared" ca="1" si="0"/>
        <v/>
      </c>
      <c r="E55" s="308">
        <f>7*2</f>
        <v>14</v>
      </c>
      <c r="F55" s="291" t="e">
        <f ca="1">IFERROR(ROUNDUP(IF(C55="FORFAIT QUINCAILLERIE",$J$15,VLOOKUP($C55,INDIRECT(CONCATENATE("MATRICE_",$A55)),4,FALSE)),0),"")+1</f>
        <v>#VALUE!</v>
      </c>
      <c r="G55" s="292" t="str">
        <f t="shared" ca="1" si="20"/>
        <v/>
      </c>
      <c r="H55" s="159" t="str">
        <f ca="1">IFERROR(VLOOKUP($C55,INDIRECT(CONCATENATE("MATRICE_",$A55)),2,FALSE),"")</f>
        <v/>
      </c>
      <c r="J55" s="168"/>
    </row>
    <row r="56" spans="1:10">
      <c r="A56" s="1" t="s">
        <v>134</v>
      </c>
      <c r="B56" s="83" t="str">
        <f>IF(H56=0,"",H56)</f>
        <v/>
      </c>
      <c r="C56" s="173" t="s">
        <v>542</v>
      </c>
      <c r="D56" s="161" t="str">
        <f t="shared" ca="1" si="0"/>
        <v>ml</v>
      </c>
      <c r="E56" s="308">
        <f>10*2</f>
        <v>20</v>
      </c>
      <c r="F56" s="291">
        <f t="shared" ref="F56" ca="1" si="21">IFERROR(ROUNDUP(IF(C56="FORFAIT QUINCAILLERIE",$J$15,VLOOKUP($C56,INDIRECT(CONCATENATE("MATRICE_",$A56)),4,FALSE)),0),"")</f>
        <v>9</v>
      </c>
      <c r="G56" s="292">
        <f t="shared" ca="1" si="20"/>
        <v>180</v>
      </c>
      <c r="H56" s="250"/>
      <c r="J56" s="168"/>
    </row>
    <row r="57" spans="1:10" ht="15" thickBot="1">
      <c r="A57" s="1" t="s">
        <v>224</v>
      </c>
      <c r="B57" s="51"/>
      <c r="C57" s="173" t="s">
        <v>258</v>
      </c>
      <c r="D57" s="161" t="str">
        <f t="shared" ca="1" si="0"/>
        <v>ft</v>
      </c>
      <c r="E57" s="9">
        <v>1</v>
      </c>
      <c r="F57" s="291">
        <f ca="1">SUM(G53:G56)*7%</f>
        <v>275.52000000000004</v>
      </c>
      <c r="G57" s="163">
        <f ca="1">IFERROR(F57*E57,"")</f>
        <v>275.52000000000004</v>
      </c>
      <c r="H57" s="159"/>
      <c r="J57" s="168"/>
    </row>
    <row r="58" spans="1:10" ht="15" thickBot="1">
      <c r="B58" s="51"/>
      <c r="C58" s="173"/>
      <c r="D58" s="460" t="s">
        <v>608</v>
      </c>
      <c r="E58" s="461"/>
      <c r="F58" s="462"/>
      <c r="G58" s="371">
        <f ca="1">SUM(G53:G57)</f>
        <v>4211.5200000000004</v>
      </c>
      <c r="H58" s="159"/>
      <c r="J58" s="168"/>
    </row>
    <row r="59" spans="1:10">
      <c r="B59" s="457" t="s">
        <v>597</v>
      </c>
      <c r="C59" s="458"/>
      <c r="D59" s="85"/>
      <c r="E59" s="85"/>
      <c r="F59" s="289"/>
      <c r="G59" s="290"/>
      <c r="H59" s="159" t="str">
        <f ca="1">IFERROR(VLOOKUP($C59,INDIRECT(CONCATENATE("MATRICE_",$A59)),2,FALSE),"")</f>
        <v/>
      </c>
      <c r="J59" s="167"/>
    </row>
    <row r="60" spans="1:10" ht="28.8">
      <c r="A60" s="1" t="s">
        <v>35</v>
      </c>
      <c r="B60" s="83" t="str">
        <f ca="1">IF(H60=0,"",H60)</f>
        <v>PE-15</v>
      </c>
      <c r="C60" s="173" t="s">
        <v>547</v>
      </c>
      <c r="D60" s="161" t="str">
        <f t="shared" ca="1" si="0"/>
        <v>m2</v>
      </c>
      <c r="E60" s="308">
        <f>272-20</f>
        <v>252</v>
      </c>
      <c r="F60" s="291">
        <f ca="1">IFERROR(ROUNDUP(IF(C60="FORFAIT QUINCAILLERIE",$J$15,VLOOKUP($C60,INDIRECT(CONCATENATE("MATRICE_",$A60)),4,FALSE)),0),"")</f>
        <v>84</v>
      </c>
      <c r="G60" s="292">
        <f t="shared" ref="G60:G64" ca="1" si="22">IFERROR(F60*E60,"")</f>
        <v>21168</v>
      </c>
      <c r="H60" s="159" t="str">
        <f ca="1">IFERROR(VLOOKUP($C60,INDIRECT(CONCATENATE("MATRICE_",$A60)),2,FALSE),"")</f>
        <v>PE-15</v>
      </c>
      <c r="I60">
        <f>(150+12+10)/1000*(E60+155)</f>
        <v>70.003999999999991</v>
      </c>
      <c r="J60" s="168">
        <f t="shared" ref="J60:J63" ca="1" si="23">IF(OR(A60="COMPOSITION",A60="ARTICLE"),G60,"")</f>
        <v>21168</v>
      </c>
    </row>
    <row r="61" spans="1:10">
      <c r="A61" s="1" t="s">
        <v>35</v>
      </c>
      <c r="B61" s="83" t="str">
        <f t="shared" ref="B61:B62" ca="1" si="24">IF(H61=0,"",H61)</f>
        <v>PEST-10</v>
      </c>
      <c r="C61" s="173" t="s">
        <v>548</v>
      </c>
      <c r="D61" s="161" t="str">
        <f t="shared" ca="1" si="0"/>
        <v>m2</v>
      </c>
      <c r="E61" s="308">
        <v>15</v>
      </c>
      <c r="F61" s="291">
        <f t="shared" ref="F61:F63" ca="1" si="25">IFERROR(ROUNDUP(IF(C61="FORFAIT QUINCAILLERIE",$J$15,VLOOKUP($C61,INDIRECT(CONCATENATE("MATRICE_",$A61)),4,FALSE)),0),"")</f>
        <v>64</v>
      </c>
      <c r="G61" s="292">
        <f t="shared" ca="1" si="22"/>
        <v>960</v>
      </c>
      <c r="H61" s="159" t="str">
        <f t="shared" ref="H61:H62" ca="1" si="26">IFERROR(VLOOKUP($C61,INDIRECT(CONCATENATE("MATRICE_",$A61)),2,FALSE),"")</f>
        <v>PEST-10</v>
      </c>
      <c r="I61">
        <f>(100+12+10)/1000*E61</f>
        <v>1.83</v>
      </c>
      <c r="J61" s="168">
        <f t="shared" ca="1" si="23"/>
        <v>960</v>
      </c>
    </row>
    <row r="62" spans="1:10">
      <c r="A62" s="1" t="s">
        <v>134</v>
      </c>
      <c r="B62" s="83" t="str">
        <f t="shared" ca="1" si="24"/>
        <v/>
      </c>
      <c r="C62" s="173" t="s">
        <v>542</v>
      </c>
      <c r="D62" s="161" t="str">
        <f t="shared" ca="1" si="0"/>
        <v>ml</v>
      </c>
      <c r="E62" s="308">
        <v>74</v>
      </c>
      <c r="F62" s="291">
        <f t="shared" ca="1" si="25"/>
        <v>9</v>
      </c>
      <c r="G62" s="292">
        <f t="shared" ca="1" si="22"/>
        <v>666</v>
      </c>
      <c r="H62" s="159">
        <f t="shared" ca="1" si="26"/>
        <v>0</v>
      </c>
      <c r="I62">
        <f>1*0.145*0.045*E62</f>
        <v>0.48284999999999995</v>
      </c>
      <c r="J62" s="168">
        <f t="shared" ca="1" si="23"/>
        <v>666</v>
      </c>
    </row>
    <row r="63" spans="1:10" ht="15" customHeight="1">
      <c r="A63" s="1" t="s">
        <v>134</v>
      </c>
      <c r="B63" s="83"/>
      <c r="C63" s="173" t="s">
        <v>553</v>
      </c>
      <c r="D63" s="161" t="str">
        <f t="shared" ca="1" si="0"/>
        <v>ml</v>
      </c>
      <c r="E63" s="9">
        <v>87</v>
      </c>
      <c r="F63" s="291">
        <f t="shared" ca="1" si="25"/>
        <v>9</v>
      </c>
      <c r="G63" s="292">
        <f t="shared" ca="1" si="22"/>
        <v>783</v>
      </c>
      <c r="I63">
        <f>1*0.145*0.045*E63</f>
        <v>0.56767499999999993</v>
      </c>
      <c r="J63" s="168">
        <f t="shared" ca="1" si="23"/>
        <v>783</v>
      </c>
    </row>
    <row r="64" spans="1:10" ht="15" customHeight="1" thickBot="1">
      <c r="A64" s="1" t="s">
        <v>224</v>
      </c>
      <c r="B64" s="83"/>
      <c r="C64" s="173" t="s">
        <v>258</v>
      </c>
      <c r="D64" s="161" t="str">
        <f t="shared" ca="1" si="0"/>
        <v>ft</v>
      </c>
      <c r="E64" s="9">
        <v>1</v>
      </c>
      <c r="F64" s="291">
        <f ca="1">SUM(G60:G63)*7%</f>
        <v>1650.39</v>
      </c>
      <c r="G64" s="292">
        <f t="shared" ca="1" si="22"/>
        <v>1650.39</v>
      </c>
      <c r="J64" s="168"/>
    </row>
    <row r="65" spans="1:10" ht="15" customHeight="1" thickBot="1">
      <c r="B65" s="83"/>
      <c r="C65" s="297"/>
      <c r="D65" s="460" t="s">
        <v>598</v>
      </c>
      <c r="E65" s="461"/>
      <c r="F65" s="462"/>
      <c r="G65" s="371">
        <f ca="1">SUM(G60:G64)</f>
        <v>25227.39</v>
      </c>
      <c r="J65" s="168"/>
    </row>
    <row r="66" spans="1:10" ht="14.4" customHeight="1">
      <c r="B66" s="457" t="s">
        <v>603</v>
      </c>
      <c r="C66" s="458"/>
      <c r="D66" s="18"/>
      <c r="E66" s="354"/>
      <c r="F66" s="355"/>
      <c r="G66" s="356"/>
      <c r="H66" s="250"/>
      <c r="J66" s="168"/>
    </row>
    <row r="67" spans="1:10" ht="14.4" customHeight="1">
      <c r="A67" s="1" t="s">
        <v>35</v>
      </c>
      <c r="B67" s="83" t="str">
        <f ca="1">IF(H67=0,"",H67)</f>
        <v>PEST-10-BARDAGE</v>
      </c>
      <c r="C67" s="352" t="s">
        <v>558</v>
      </c>
      <c r="D67" s="161" t="str">
        <f t="shared" ca="1" si="0"/>
        <v>m2</v>
      </c>
      <c r="E67" s="308">
        <f>15*4</f>
        <v>60</v>
      </c>
      <c r="F67" s="291">
        <f t="shared" ref="F67" ca="1" si="27">IFERROR(ROUNDUP(IF(C67="FORFAIT QUINCAILLERIE",$J$15,VLOOKUP($C67,INDIRECT(CONCATENATE("MATRICE_",$A67)),4,FALSE)),0),"")</f>
        <v>62</v>
      </c>
      <c r="G67" s="292">
        <f t="shared" ref="G67:G70" ca="1" si="28">IFERROR(F67*E67,"")</f>
        <v>3720</v>
      </c>
      <c r="H67" s="159" t="str">
        <f ca="1">IFERROR(VLOOKUP($C67,INDIRECT(CONCATENATE("MATRICE_",$A67)),2,FALSE),"")</f>
        <v>PEST-10-BARDAGE</v>
      </c>
      <c r="J67" s="168"/>
    </row>
    <row r="68" spans="1:10" ht="14.4" customHeight="1">
      <c r="A68" s="1" t="s">
        <v>35</v>
      </c>
      <c r="B68" s="83" t="str">
        <f ca="1">IF(H68=0,"",H68)</f>
        <v>PEST-10-BARDAGE PIGNON</v>
      </c>
      <c r="C68" s="352" t="s">
        <v>559</v>
      </c>
      <c r="D68" s="161" t="str">
        <f t="shared" ca="1" si="0"/>
        <v>m2</v>
      </c>
      <c r="E68" s="308">
        <f>12*4</f>
        <v>48</v>
      </c>
      <c r="F68" s="291">
        <f ca="1">IFERROR(ROUNDUP(IF(C68="FORFAIT QUINCAILLERIE",$J$15,VLOOKUP($C68,INDIRECT(CONCATENATE("MATRICE_",$A68)),4,FALSE)),0),"")-1</f>
        <v>79</v>
      </c>
      <c r="G68" s="292">
        <f t="shared" ca="1" si="28"/>
        <v>3792</v>
      </c>
      <c r="H68" s="159" t="str">
        <f ca="1">IFERROR(VLOOKUP($C68,INDIRECT(CONCATENATE("MATRICE_",$A68)),2,FALSE),"")</f>
        <v>PEST-10-BARDAGE PIGNON</v>
      </c>
      <c r="J68" s="168"/>
    </row>
    <row r="69" spans="1:10">
      <c r="A69" s="1" t="s">
        <v>35</v>
      </c>
      <c r="B69" s="83" t="str">
        <f ca="1">IF(H69=0,"",H69)</f>
        <v/>
      </c>
      <c r="C69" s="352" t="s">
        <v>523</v>
      </c>
      <c r="D69" s="161" t="str">
        <f t="shared" ca="1" si="0"/>
        <v/>
      </c>
      <c r="E69" s="308">
        <f>7*4</f>
        <v>28</v>
      </c>
      <c r="F69" s="291" t="e">
        <f ca="1">IFERROR(ROUNDUP(IF(C69="FORFAIT QUINCAILLERIE",$J$15,VLOOKUP($C69,INDIRECT(CONCATENATE("MATRICE_",$A69)),4,FALSE)),0),"")+1</f>
        <v>#VALUE!</v>
      </c>
      <c r="G69" s="292" t="str">
        <f t="shared" ca="1" si="28"/>
        <v/>
      </c>
      <c r="H69" s="159" t="str">
        <f ca="1">IFERROR(VLOOKUP($C69,INDIRECT(CONCATENATE("MATRICE_",$A69)),2,FALSE),"")</f>
        <v/>
      </c>
      <c r="J69" s="168"/>
    </row>
    <row r="70" spans="1:10">
      <c r="A70" s="1" t="s">
        <v>134</v>
      </c>
      <c r="B70" s="83" t="str">
        <f>IF(H70=0,"",H70)</f>
        <v/>
      </c>
      <c r="C70" s="173" t="s">
        <v>542</v>
      </c>
      <c r="D70" s="161" t="str">
        <f t="shared" ca="1" si="0"/>
        <v>ml</v>
      </c>
      <c r="E70" s="308">
        <f>10*4</f>
        <v>40</v>
      </c>
      <c r="F70" s="291">
        <f t="shared" ref="F70" ca="1" si="29">IFERROR(ROUNDUP(IF(C70="FORFAIT QUINCAILLERIE",$J$15,VLOOKUP($C70,INDIRECT(CONCATENATE("MATRICE_",$A70)),4,FALSE)),0),"")</f>
        <v>9</v>
      </c>
      <c r="G70" s="292">
        <f t="shared" ca="1" si="28"/>
        <v>360</v>
      </c>
      <c r="H70" s="250"/>
      <c r="J70" s="168"/>
    </row>
    <row r="71" spans="1:10" ht="15" thickBot="1">
      <c r="A71" s="1" t="s">
        <v>224</v>
      </c>
      <c r="B71" s="51"/>
      <c r="C71" s="173" t="s">
        <v>258</v>
      </c>
      <c r="D71" s="161" t="str">
        <f t="shared" ca="1" si="0"/>
        <v>ft</v>
      </c>
      <c r="E71" s="9">
        <v>1</v>
      </c>
      <c r="F71" s="291">
        <f ca="1">SUM(G67:G70)*7%</f>
        <v>551.04000000000008</v>
      </c>
      <c r="G71" s="163">
        <f ca="1">IFERROR(F71*E71,"")</f>
        <v>551.04000000000008</v>
      </c>
      <c r="H71" s="159"/>
      <c r="J71" s="168"/>
    </row>
    <row r="72" spans="1:10" ht="15" thickBot="1">
      <c r="B72" s="51"/>
      <c r="C72" s="173"/>
      <c r="D72" s="460" t="s">
        <v>604</v>
      </c>
      <c r="E72" s="461"/>
      <c r="F72" s="462"/>
      <c r="G72" s="371">
        <f ca="1">SUM(G67:G71)</f>
        <v>8423.0400000000009</v>
      </c>
      <c r="H72" s="159"/>
      <c r="J72" s="168"/>
    </row>
    <row r="73" spans="1:10">
      <c r="B73" s="457" t="s">
        <v>599</v>
      </c>
      <c r="C73" s="458"/>
      <c r="D73" s="85"/>
      <c r="E73" s="85"/>
      <c r="F73" s="289"/>
      <c r="G73" s="290"/>
      <c r="H73" s="159" t="str">
        <f ca="1">IFERROR(VLOOKUP($C73,INDIRECT(CONCATENATE("MATRICE_",$A73)),2,FALSE),"")</f>
        <v/>
      </c>
      <c r="J73" s="167"/>
    </row>
    <row r="74" spans="1:10" ht="28.8">
      <c r="A74" s="1" t="s">
        <v>35</v>
      </c>
      <c r="B74" s="83" t="str">
        <f ca="1">IF(H74=0,"",H74)</f>
        <v>PE-15</v>
      </c>
      <c r="C74" s="173" t="s">
        <v>547</v>
      </c>
      <c r="D74" s="161" t="str">
        <f t="shared" ca="1" si="0"/>
        <v>m2</v>
      </c>
      <c r="E74" s="308">
        <f>273-20</f>
        <v>253</v>
      </c>
      <c r="F74" s="291">
        <f ca="1">IFERROR(ROUNDUP(IF(C74="FORFAIT QUINCAILLERIE",$J$15,VLOOKUP($C74,INDIRECT(CONCATENATE("MATRICE_",$A74)),4,FALSE)),0),"")</f>
        <v>84</v>
      </c>
      <c r="G74" s="292">
        <f t="shared" ref="G74:G78" ca="1" si="30">IFERROR(F74*E74,"")</f>
        <v>21252</v>
      </c>
      <c r="H74" s="159" t="str">
        <f ca="1">IFERROR(VLOOKUP($C74,INDIRECT(CONCATENATE("MATRICE_",$A74)),2,FALSE),"")</f>
        <v>PE-15</v>
      </c>
      <c r="I74">
        <f>(150+12+10)/1000*(E74+155)</f>
        <v>70.175999999999988</v>
      </c>
      <c r="J74" s="168">
        <f t="shared" ref="J74:J77" ca="1" si="31">IF(OR(A74="COMPOSITION",A74="ARTICLE"),G74,"")</f>
        <v>21252</v>
      </c>
    </row>
    <row r="75" spans="1:10">
      <c r="A75" s="1" t="s">
        <v>35</v>
      </c>
      <c r="B75" s="83" t="str">
        <f t="shared" ref="B75:B76" ca="1" si="32">IF(H75=0,"",H75)</f>
        <v>PEST-10</v>
      </c>
      <c r="C75" s="173" t="s">
        <v>548</v>
      </c>
      <c r="D75" s="161" t="str">
        <f t="shared" ca="1" si="0"/>
        <v>m2</v>
      </c>
      <c r="E75" s="308">
        <v>15</v>
      </c>
      <c r="F75" s="291">
        <f t="shared" ref="F75:F77" ca="1" si="33">IFERROR(ROUNDUP(IF(C75="FORFAIT QUINCAILLERIE",$J$15,VLOOKUP($C75,INDIRECT(CONCATENATE("MATRICE_",$A75)),4,FALSE)),0),"")</f>
        <v>64</v>
      </c>
      <c r="G75" s="292">
        <f t="shared" ca="1" si="30"/>
        <v>960</v>
      </c>
      <c r="H75" s="159" t="str">
        <f t="shared" ref="H75:H76" ca="1" si="34">IFERROR(VLOOKUP($C75,INDIRECT(CONCATENATE("MATRICE_",$A75)),2,FALSE),"")</f>
        <v>PEST-10</v>
      </c>
      <c r="I75">
        <f>(100+12+10)/1000*E75</f>
        <v>1.83</v>
      </c>
      <c r="J75" s="168">
        <f t="shared" ca="1" si="31"/>
        <v>960</v>
      </c>
    </row>
    <row r="76" spans="1:10">
      <c r="A76" s="1" t="s">
        <v>134</v>
      </c>
      <c r="B76" s="83" t="str">
        <f t="shared" ca="1" si="32"/>
        <v/>
      </c>
      <c r="C76" s="173" t="s">
        <v>542</v>
      </c>
      <c r="D76" s="161" t="str">
        <f t="shared" ca="1" si="0"/>
        <v>ml</v>
      </c>
      <c r="E76" s="308">
        <v>74</v>
      </c>
      <c r="F76" s="291">
        <f t="shared" ca="1" si="33"/>
        <v>9</v>
      </c>
      <c r="G76" s="292">
        <f t="shared" ca="1" si="30"/>
        <v>666</v>
      </c>
      <c r="H76" s="159">
        <f t="shared" ca="1" si="34"/>
        <v>0</v>
      </c>
      <c r="I76">
        <f>1*0.145*0.045*E76</f>
        <v>0.48284999999999995</v>
      </c>
      <c r="J76" s="168">
        <f t="shared" ca="1" si="31"/>
        <v>666</v>
      </c>
    </row>
    <row r="77" spans="1:10" ht="15" customHeight="1">
      <c r="A77" s="1" t="s">
        <v>134</v>
      </c>
      <c r="B77" s="83"/>
      <c r="C77" s="173" t="s">
        <v>553</v>
      </c>
      <c r="D77" s="161" t="str">
        <f t="shared" ca="1" si="0"/>
        <v>ml</v>
      </c>
      <c r="E77" s="9">
        <v>87</v>
      </c>
      <c r="F77" s="291">
        <f t="shared" ca="1" si="33"/>
        <v>9</v>
      </c>
      <c r="G77" s="292">
        <f t="shared" ca="1" si="30"/>
        <v>783</v>
      </c>
      <c r="I77">
        <f>1*0.145*0.045*E77</f>
        <v>0.56767499999999993</v>
      </c>
      <c r="J77" s="168">
        <f t="shared" ca="1" si="31"/>
        <v>783</v>
      </c>
    </row>
    <row r="78" spans="1:10" ht="15" customHeight="1" thickBot="1">
      <c r="A78" s="1" t="s">
        <v>224</v>
      </c>
      <c r="B78" s="83"/>
      <c r="C78" s="173" t="s">
        <v>258</v>
      </c>
      <c r="D78" s="161" t="str">
        <f t="shared" ca="1" si="0"/>
        <v>ft</v>
      </c>
      <c r="E78" s="9">
        <v>1</v>
      </c>
      <c r="F78" s="291">
        <f ca="1">SUM(G74:G77)*7%</f>
        <v>1656.2700000000002</v>
      </c>
      <c r="G78" s="292">
        <f t="shared" ca="1" si="30"/>
        <v>1656.2700000000002</v>
      </c>
      <c r="J78" s="168"/>
    </row>
    <row r="79" spans="1:10" ht="15" customHeight="1" thickBot="1">
      <c r="B79" s="83"/>
      <c r="C79" s="297"/>
      <c r="D79" s="460" t="s">
        <v>600</v>
      </c>
      <c r="E79" s="461"/>
      <c r="F79" s="462"/>
      <c r="G79" s="371">
        <f ca="1">SUM(G74:G78)</f>
        <v>25317.27</v>
      </c>
      <c r="J79" s="168"/>
    </row>
    <row r="80" spans="1:10" ht="14.4" customHeight="1">
      <c r="B80" s="457" t="s">
        <v>603</v>
      </c>
      <c r="C80" s="458"/>
      <c r="D80" s="18"/>
      <c r="E80" s="354"/>
      <c r="F80" s="355"/>
      <c r="G80" s="356"/>
      <c r="H80" s="250"/>
      <c r="J80" s="168"/>
    </row>
    <row r="81" spans="1:10" ht="14.4" customHeight="1">
      <c r="A81" s="1" t="s">
        <v>35</v>
      </c>
      <c r="B81" s="83" t="str">
        <f ca="1">IF(H81=0,"",H81)</f>
        <v>PEST-10-BARDAGE</v>
      </c>
      <c r="C81" s="352" t="s">
        <v>558</v>
      </c>
      <c r="D81" s="161" t="str">
        <f t="shared" ca="1" si="0"/>
        <v>m2</v>
      </c>
      <c r="E81" s="308">
        <f>15*4</f>
        <v>60</v>
      </c>
      <c r="F81" s="291">
        <f t="shared" ref="F81" ca="1" si="35">IFERROR(ROUNDUP(IF(C81="FORFAIT QUINCAILLERIE",$J$15,VLOOKUP($C81,INDIRECT(CONCATENATE("MATRICE_",$A81)),4,FALSE)),0),"")</f>
        <v>62</v>
      </c>
      <c r="G81" s="292">
        <f t="shared" ref="G81:G84" ca="1" si="36">IFERROR(F81*E81,"")</f>
        <v>3720</v>
      </c>
      <c r="H81" s="159" t="str">
        <f ca="1">IFERROR(VLOOKUP($C81,INDIRECT(CONCATENATE("MATRICE_",$A81)),2,FALSE),"")</f>
        <v>PEST-10-BARDAGE</v>
      </c>
      <c r="J81" s="168"/>
    </row>
    <row r="82" spans="1:10" ht="14.4" customHeight="1">
      <c r="A82" s="1" t="s">
        <v>35</v>
      </c>
      <c r="B82" s="83" t="str">
        <f ca="1">IF(H82=0,"",H82)</f>
        <v>PEST-10-BARDAGE PIGNON</v>
      </c>
      <c r="C82" s="352" t="s">
        <v>559</v>
      </c>
      <c r="D82" s="161" t="str">
        <f t="shared" ca="1" si="0"/>
        <v>m2</v>
      </c>
      <c r="E82" s="308">
        <f>12*4</f>
        <v>48</v>
      </c>
      <c r="F82" s="291">
        <f ca="1">IFERROR(ROUNDUP(IF(C82="FORFAIT QUINCAILLERIE",$J$15,VLOOKUP($C82,INDIRECT(CONCATENATE("MATRICE_",$A82)),4,FALSE)),0),"")-1</f>
        <v>79</v>
      </c>
      <c r="G82" s="292">
        <f t="shared" ca="1" si="36"/>
        <v>3792</v>
      </c>
      <c r="H82" s="159" t="str">
        <f ca="1">IFERROR(VLOOKUP($C82,INDIRECT(CONCATENATE("MATRICE_",$A82)),2,FALSE),"")</f>
        <v>PEST-10-BARDAGE PIGNON</v>
      </c>
      <c r="J82" s="168"/>
    </row>
    <row r="83" spans="1:10">
      <c r="A83" s="1" t="s">
        <v>35</v>
      </c>
      <c r="B83" s="83" t="str">
        <f ca="1">IF(H83=0,"",H83)</f>
        <v/>
      </c>
      <c r="C83" s="352" t="s">
        <v>523</v>
      </c>
      <c r="D83" s="161" t="str">
        <f t="shared" ca="1" si="0"/>
        <v/>
      </c>
      <c r="E83" s="308">
        <f>7*4</f>
        <v>28</v>
      </c>
      <c r="F83" s="291" t="e">
        <f ca="1">IFERROR(ROUNDUP(IF(C83="FORFAIT QUINCAILLERIE",$J$15,VLOOKUP($C83,INDIRECT(CONCATENATE("MATRICE_",$A83)),4,FALSE)),0),"")+1</f>
        <v>#VALUE!</v>
      </c>
      <c r="G83" s="292" t="str">
        <f t="shared" ca="1" si="36"/>
        <v/>
      </c>
      <c r="H83" s="159" t="str">
        <f ca="1">IFERROR(VLOOKUP($C83,INDIRECT(CONCATENATE("MATRICE_",$A83)),2,FALSE),"")</f>
        <v/>
      </c>
      <c r="J83" s="168"/>
    </row>
    <row r="84" spans="1:10">
      <c r="A84" s="1" t="s">
        <v>134</v>
      </c>
      <c r="B84" s="83" t="str">
        <f>IF(H84=0,"",H84)</f>
        <v/>
      </c>
      <c r="C84" s="173" t="s">
        <v>542</v>
      </c>
      <c r="D84" s="161" t="str">
        <f t="shared" ca="1" si="0"/>
        <v>ml</v>
      </c>
      <c r="E84" s="308">
        <f>10*4</f>
        <v>40</v>
      </c>
      <c r="F84" s="291">
        <f t="shared" ref="F84" ca="1" si="37">IFERROR(ROUNDUP(IF(C84="FORFAIT QUINCAILLERIE",$J$15,VLOOKUP($C84,INDIRECT(CONCATENATE("MATRICE_",$A84)),4,FALSE)),0),"")</f>
        <v>9</v>
      </c>
      <c r="G84" s="292">
        <f t="shared" ca="1" si="36"/>
        <v>360</v>
      </c>
      <c r="H84" s="250"/>
      <c r="J84" s="168"/>
    </row>
    <row r="85" spans="1:10" ht="15" thickBot="1">
      <c r="A85" s="1" t="s">
        <v>224</v>
      </c>
      <c r="B85" s="51"/>
      <c r="C85" s="173" t="s">
        <v>258</v>
      </c>
      <c r="D85" s="161" t="str">
        <f t="shared" ca="1" si="0"/>
        <v>ft</v>
      </c>
      <c r="E85" s="9">
        <v>1</v>
      </c>
      <c r="F85" s="291">
        <f ca="1">SUM(G81:G84)*7%</f>
        <v>551.04000000000008</v>
      </c>
      <c r="G85" s="163">
        <f ca="1">IFERROR(F85*E85,"")</f>
        <v>551.04000000000008</v>
      </c>
      <c r="H85" s="159"/>
      <c r="J85" s="168"/>
    </row>
    <row r="86" spans="1:10" ht="15" thickBot="1">
      <c r="B86" s="51"/>
      <c r="C86" s="173"/>
      <c r="D86" s="460" t="s">
        <v>604</v>
      </c>
      <c r="E86" s="461"/>
      <c r="F86" s="462"/>
      <c r="G86" s="371">
        <f ca="1">SUM(G81:G85)</f>
        <v>8423.0400000000009</v>
      </c>
      <c r="H86" s="159"/>
      <c r="J86" s="168"/>
    </row>
    <row r="87" spans="1:10">
      <c r="B87" s="457" t="s">
        <v>601</v>
      </c>
      <c r="C87" s="458"/>
      <c r="D87" s="85"/>
      <c r="E87" s="85"/>
      <c r="F87" s="289"/>
      <c r="G87" s="290"/>
      <c r="H87" s="159" t="str">
        <f ca="1">IFERROR(VLOOKUP($C87,INDIRECT(CONCATENATE("MATRICE_",$A87)),2,FALSE),"")</f>
        <v/>
      </c>
      <c r="J87" s="167"/>
    </row>
    <row r="88" spans="1:10" ht="28.8">
      <c r="A88" s="1" t="s">
        <v>35</v>
      </c>
      <c r="B88" s="83" t="str">
        <f ca="1">IF(H88=0,"",H88)</f>
        <v>PE-15</v>
      </c>
      <c r="C88" s="173" t="s">
        <v>547</v>
      </c>
      <c r="D88" s="161" t="str">
        <f t="shared" ca="1" si="0"/>
        <v>m2</v>
      </c>
      <c r="E88" s="308">
        <f>273-20</f>
        <v>253</v>
      </c>
      <c r="F88" s="291">
        <f ca="1">IFERROR(ROUNDUP(IF(C88="FORFAIT QUINCAILLERIE",$J$15,VLOOKUP($C88,INDIRECT(CONCATENATE("MATRICE_",$A88)),4,FALSE)),0),"")</f>
        <v>84</v>
      </c>
      <c r="G88" s="292">
        <f t="shared" ref="G88:G92" ca="1" si="38">IFERROR(F88*E88,"")</f>
        <v>21252</v>
      </c>
      <c r="H88" s="159" t="str">
        <f ca="1">IFERROR(VLOOKUP($C88,INDIRECT(CONCATENATE("MATRICE_",$A88)),2,FALSE),"")</f>
        <v>PE-15</v>
      </c>
      <c r="I88">
        <f>(150+12+10)/1000*(E88+155)</f>
        <v>70.175999999999988</v>
      </c>
      <c r="J88" s="168">
        <f t="shared" ref="J88:J91" ca="1" si="39">IF(OR(A88="COMPOSITION",A88="ARTICLE"),G88,"")</f>
        <v>21252</v>
      </c>
    </row>
    <row r="89" spans="1:10">
      <c r="A89" s="1" t="s">
        <v>35</v>
      </c>
      <c r="B89" s="83" t="str">
        <f t="shared" ref="B89:B90" ca="1" si="40">IF(H89=0,"",H89)</f>
        <v>PEST-10</v>
      </c>
      <c r="C89" s="173" t="s">
        <v>548</v>
      </c>
      <c r="D89" s="161" t="str">
        <f t="shared" ca="1" si="0"/>
        <v>m2</v>
      </c>
      <c r="E89" s="308">
        <v>15</v>
      </c>
      <c r="F89" s="291">
        <f t="shared" ref="F89:F91" ca="1" si="41">IFERROR(ROUNDUP(IF(C89="FORFAIT QUINCAILLERIE",$J$15,VLOOKUP($C89,INDIRECT(CONCATENATE("MATRICE_",$A89)),4,FALSE)),0),"")</f>
        <v>64</v>
      </c>
      <c r="G89" s="292">
        <f t="shared" ca="1" si="38"/>
        <v>960</v>
      </c>
      <c r="H89" s="159" t="str">
        <f t="shared" ref="H89:H90" ca="1" si="42">IFERROR(VLOOKUP($C89,INDIRECT(CONCATENATE("MATRICE_",$A89)),2,FALSE),"")</f>
        <v>PEST-10</v>
      </c>
      <c r="I89">
        <f>(100+12+10)/1000*E89</f>
        <v>1.83</v>
      </c>
      <c r="J89" s="168">
        <f t="shared" ca="1" si="39"/>
        <v>960</v>
      </c>
    </row>
    <row r="90" spans="1:10">
      <c r="A90" s="1" t="s">
        <v>134</v>
      </c>
      <c r="B90" s="83" t="str">
        <f t="shared" ca="1" si="40"/>
        <v/>
      </c>
      <c r="C90" s="173" t="s">
        <v>542</v>
      </c>
      <c r="D90" s="161" t="str">
        <f t="shared" ca="1" si="0"/>
        <v>ml</v>
      </c>
      <c r="E90" s="308">
        <v>74</v>
      </c>
      <c r="F90" s="291">
        <f t="shared" ca="1" si="41"/>
        <v>9</v>
      </c>
      <c r="G90" s="292">
        <f t="shared" ca="1" si="38"/>
        <v>666</v>
      </c>
      <c r="H90" s="159">
        <f t="shared" ca="1" si="42"/>
        <v>0</v>
      </c>
      <c r="I90">
        <f>1*0.145*0.045*E90</f>
        <v>0.48284999999999995</v>
      </c>
      <c r="J90" s="168">
        <f t="shared" ca="1" si="39"/>
        <v>666</v>
      </c>
    </row>
    <row r="91" spans="1:10" ht="15" customHeight="1">
      <c r="A91" s="1" t="s">
        <v>134</v>
      </c>
      <c r="B91" s="83"/>
      <c r="C91" s="173" t="s">
        <v>553</v>
      </c>
      <c r="D91" s="161" t="str">
        <f t="shared" ca="1" si="0"/>
        <v>ml</v>
      </c>
      <c r="E91" s="9">
        <v>87</v>
      </c>
      <c r="F91" s="291">
        <f t="shared" ca="1" si="41"/>
        <v>9</v>
      </c>
      <c r="G91" s="292">
        <f t="shared" ca="1" si="38"/>
        <v>783</v>
      </c>
      <c r="I91">
        <f>1*0.145*0.045*E91</f>
        <v>0.56767499999999993</v>
      </c>
      <c r="J91" s="168">
        <f t="shared" ca="1" si="39"/>
        <v>783</v>
      </c>
    </row>
    <row r="92" spans="1:10" ht="15" customHeight="1" thickBot="1">
      <c r="A92" s="1" t="s">
        <v>224</v>
      </c>
      <c r="B92" s="83"/>
      <c r="C92" s="173" t="s">
        <v>258</v>
      </c>
      <c r="D92" s="161" t="str">
        <f t="shared" ca="1" si="0"/>
        <v>ft</v>
      </c>
      <c r="E92" s="9">
        <v>1</v>
      </c>
      <c r="F92" s="291">
        <f ca="1">SUM(G88:G91)*7%</f>
        <v>1656.2700000000002</v>
      </c>
      <c r="G92" s="292">
        <f t="shared" ca="1" si="38"/>
        <v>1656.2700000000002</v>
      </c>
      <c r="J92" s="168"/>
    </row>
    <row r="93" spans="1:10" ht="15" customHeight="1" thickBot="1">
      <c r="B93" s="83"/>
      <c r="C93" s="297"/>
      <c r="D93" s="460" t="s">
        <v>602</v>
      </c>
      <c r="E93" s="461"/>
      <c r="F93" s="462"/>
      <c r="G93" s="371">
        <f ca="1">SUM(G88:G92)</f>
        <v>25317.27</v>
      </c>
      <c r="J93" s="168"/>
    </row>
    <row r="94" spans="1:10" ht="14.4" customHeight="1">
      <c r="B94" s="457" t="s">
        <v>603</v>
      </c>
      <c r="C94" s="458"/>
      <c r="D94" s="18"/>
      <c r="E94" s="354"/>
      <c r="F94" s="355"/>
      <c r="G94" s="356"/>
      <c r="H94" s="250"/>
      <c r="J94" s="168"/>
    </row>
    <row r="95" spans="1:10" ht="14.4" customHeight="1">
      <c r="A95" s="1" t="s">
        <v>35</v>
      </c>
      <c r="B95" s="83" t="str">
        <f ca="1">IF(H95=0,"",H95)</f>
        <v>PEST-10-BARDAGE</v>
      </c>
      <c r="C95" s="352" t="s">
        <v>558</v>
      </c>
      <c r="D95" s="161" t="str">
        <f t="shared" ca="1" si="0"/>
        <v>m2</v>
      </c>
      <c r="E95" s="308">
        <f>15*4</f>
        <v>60</v>
      </c>
      <c r="F95" s="291">
        <f t="shared" ref="F95" ca="1" si="43">IFERROR(ROUNDUP(IF(C95="FORFAIT QUINCAILLERIE",$J$15,VLOOKUP($C95,INDIRECT(CONCATENATE("MATRICE_",$A95)),4,FALSE)),0),"")</f>
        <v>62</v>
      </c>
      <c r="G95" s="292">
        <f t="shared" ref="G95:G98" ca="1" si="44">IFERROR(F95*E95,"")</f>
        <v>3720</v>
      </c>
      <c r="H95" s="159" t="str">
        <f ca="1">IFERROR(VLOOKUP($C95,INDIRECT(CONCATENATE("MATRICE_",$A95)),2,FALSE),"")</f>
        <v>PEST-10-BARDAGE</v>
      </c>
      <c r="J95" s="168"/>
    </row>
    <row r="96" spans="1:10" ht="14.4" customHeight="1">
      <c r="A96" s="1" t="s">
        <v>35</v>
      </c>
      <c r="B96" s="83" t="str">
        <f ca="1">IF(H96=0,"",H96)</f>
        <v>PEST-10-BARDAGE PIGNON</v>
      </c>
      <c r="C96" s="352" t="s">
        <v>559</v>
      </c>
      <c r="D96" s="161" t="str">
        <f t="shared" ca="1" si="0"/>
        <v>m2</v>
      </c>
      <c r="E96" s="308">
        <f>12*4</f>
        <v>48</v>
      </c>
      <c r="F96" s="291">
        <f ca="1">IFERROR(ROUNDUP(IF(C96="FORFAIT QUINCAILLERIE",$J$15,VLOOKUP($C96,INDIRECT(CONCATENATE("MATRICE_",$A96)),4,FALSE)),0),"")-1</f>
        <v>79</v>
      </c>
      <c r="G96" s="292">
        <f t="shared" ca="1" si="44"/>
        <v>3792</v>
      </c>
      <c r="H96" s="159" t="str">
        <f ca="1">IFERROR(VLOOKUP($C96,INDIRECT(CONCATENATE("MATRICE_",$A96)),2,FALSE),"")</f>
        <v>PEST-10-BARDAGE PIGNON</v>
      </c>
      <c r="J96" s="168"/>
    </row>
    <row r="97" spans="1:10">
      <c r="A97" s="1" t="s">
        <v>35</v>
      </c>
      <c r="B97" s="83" t="str">
        <f ca="1">IF(H97=0,"",H97)</f>
        <v/>
      </c>
      <c r="C97" s="352" t="s">
        <v>523</v>
      </c>
      <c r="D97" s="161" t="str">
        <f t="shared" ca="1" si="0"/>
        <v/>
      </c>
      <c r="E97" s="308">
        <f>7*4</f>
        <v>28</v>
      </c>
      <c r="F97" s="291" t="e">
        <f ca="1">IFERROR(ROUNDUP(IF(C97="FORFAIT QUINCAILLERIE",$J$15,VLOOKUP($C97,INDIRECT(CONCATENATE("MATRICE_",$A97)),4,FALSE)),0),"")+1</f>
        <v>#VALUE!</v>
      </c>
      <c r="G97" s="292" t="str">
        <f t="shared" ca="1" si="44"/>
        <v/>
      </c>
      <c r="H97" s="159" t="str">
        <f ca="1">IFERROR(VLOOKUP($C97,INDIRECT(CONCATENATE("MATRICE_",$A97)),2,FALSE),"")</f>
        <v/>
      </c>
      <c r="J97" s="168"/>
    </row>
    <row r="98" spans="1:10">
      <c r="A98" s="1" t="s">
        <v>134</v>
      </c>
      <c r="B98" s="83" t="str">
        <f>IF(H98=0,"",H98)</f>
        <v/>
      </c>
      <c r="C98" s="173" t="s">
        <v>542</v>
      </c>
      <c r="D98" s="161" t="str">
        <f t="shared" ca="1" si="0"/>
        <v>ml</v>
      </c>
      <c r="E98" s="308">
        <f>10*4</f>
        <v>40</v>
      </c>
      <c r="F98" s="291">
        <f t="shared" ref="F98" ca="1" si="45">IFERROR(ROUNDUP(IF(C98="FORFAIT QUINCAILLERIE",$J$15,VLOOKUP($C98,INDIRECT(CONCATENATE("MATRICE_",$A98)),4,FALSE)),0),"")</f>
        <v>9</v>
      </c>
      <c r="G98" s="292">
        <f t="shared" ca="1" si="44"/>
        <v>360</v>
      </c>
      <c r="H98" s="250"/>
      <c r="J98" s="168"/>
    </row>
    <row r="99" spans="1:10" ht="15" thickBot="1">
      <c r="A99" s="1" t="s">
        <v>224</v>
      </c>
      <c r="B99" s="51"/>
      <c r="C99" s="173" t="s">
        <v>258</v>
      </c>
      <c r="D99" s="161" t="str">
        <f t="shared" ca="1" si="0"/>
        <v>ft</v>
      </c>
      <c r="E99" s="9">
        <v>1</v>
      </c>
      <c r="F99" s="291">
        <f ca="1">SUM(G95:G98)*7%</f>
        <v>551.04000000000008</v>
      </c>
      <c r="G99" s="163">
        <f ca="1">IFERROR(F99*E99,"")</f>
        <v>551.04000000000008</v>
      </c>
      <c r="H99" s="159"/>
      <c r="J99" s="168"/>
    </row>
    <row r="100" spans="1:10" ht="15" thickBot="1">
      <c r="B100" s="51"/>
      <c r="C100" s="173"/>
      <c r="D100" s="460" t="s">
        <v>604</v>
      </c>
      <c r="E100" s="461"/>
      <c r="F100" s="462"/>
      <c r="G100" s="371">
        <f ca="1">SUM(G95:G99)</f>
        <v>8423.0400000000009</v>
      </c>
      <c r="H100" s="159"/>
      <c r="J100" s="168"/>
    </row>
    <row r="101" spans="1:10">
      <c r="A101" s="1" t="s">
        <v>224</v>
      </c>
      <c r="B101" s="83" t="str">
        <f>IF(H101=0,"",H101)</f>
        <v/>
      </c>
      <c r="C101" s="173" t="s">
        <v>226</v>
      </c>
      <c r="D101" s="161" t="str">
        <f t="shared" ca="1" si="0"/>
        <v>ft</v>
      </c>
      <c r="E101" s="308">
        <v>3</v>
      </c>
      <c r="F101" s="291">
        <f t="shared" ref="F101:F102" ca="1" si="46">IFERROR(ROUNDUP(IF(C101="FORFAIT QUINCAILLERIE",$J$15,VLOOKUP($C101,INDIRECT(CONCATENATE("MATRICE_",$A101)),4,FALSE)),0),"")</f>
        <v>3850</v>
      </c>
      <c r="G101" s="292">
        <f t="shared" ref="G101" ca="1" si="47">IFERROR(F101*E101,"")</f>
        <v>11550</v>
      </c>
      <c r="H101" s="250"/>
      <c r="J101" s="168"/>
    </row>
    <row r="102" spans="1:10" ht="15" thickBot="1">
      <c r="A102" s="1" t="s">
        <v>224</v>
      </c>
      <c r="B102" s="51"/>
      <c r="C102" s="173" t="s">
        <v>227</v>
      </c>
      <c r="D102" s="161" t="str">
        <f t="shared" ca="1" si="0"/>
        <v>ft</v>
      </c>
      <c r="E102" s="9">
        <v>2</v>
      </c>
      <c r="F102" s="291">
        <f t="shared" ca="1" si="46"/>
        <v>4235</v>
      </c>
      <c r="G102" s="163">
        <f ca="1">IFERROR(F102*E102,"")</f>
        <v>8470</v>
      </c>
      <c r="H102" s="159"/>
      <c r="J102" s="168"/>
    </row>
    <row r="103" spans="1:10" ht="15" thickBot="1">
      <c r="B103" s="51"/>
      <c r="C103" s="173"/>
      <c r="D103" s="460" t="s">
        <v>609</v>
      </c>
      <c r="E103" s="461"/>
      <c r="F103" s="462"/>
      <c r="G103" s="371">
        <f ca="1">SUM(G101:G102)</f>
        <v>20020</v>
      </c>
      <c r="H103" s="159"/>
      <c r="J103" s="168"/>
    </row>
    <row r="104" spans="1:10">
      <c r="A104" s="1" t="s">
        <v>134</v>
      </c>
      <c r="B104" s="83" t="str">
        <f ca="1">IF(H104=0,"",H104)</f>
        <v/>
      </c>
      <c r="C104" s="11" t="s">
        <v>543</v>
      </c>
      <c r="D104" s="161" t="str">
        <f t="shared" ca="1" si="0"/>
        <v>u</v>
      </c>
      <c r="E104" s="308">
        <v>2</v>
      </c>
      <c r="F104" s="10">
        <f t="shared" ref="F104" ca="1" si="48">IFERROR(ROUNDUP(IF(C104="FORFAIT QUINCAILLERIE",$J$15,VLOOKUP($C104,INDIRECT(CONCATENATE("MATRICE_",$A104)),4,FALSE)),0),"")</f>
        <v>160</v>
      </c>
      <c r="G104" s="163">
        <f t="shared" ref="G104" ca="1" si="49">IFERROR(F104*E104,"")</f>
        <v>320</v>
      </c>
      <c r="H104" s="159">
        <f ca="1">IFERROR(VLOOKUP($C104,INDIRECT(CONCATENATE("MATRICE_",$A104)),2,FALSE),"")</f>
        <v>0</v>
      </c>
      <c r="J104" s="168">
        <f ca="1">IF(OR(A104="COMPOSITION",A104="ARTICLE"),G104,"")</f>
        <v>320</v>
      </c>
    </row>
    <row r="105" spans="1:10">
      <c r="A105" s="181"/>
      <c r="B105" s="51"/>
      <c r="C105" s="173" t="s">
        <v>554</v>
      </c>
      <c r="D105" s="161" t="str">
        <f t="shared" ca="1" si="0"/>
        <v/>
      </c>
      <c r="E105" s="9"/>
      <c r="F105" s="10" t="str">
        <f t="shared" ca="1" si="4"/>
        <v/>
      </c>
      <c r="G105" s="163" t="str">
        <f t="shared" ref="G105" ca="1" si="50">IFERROR(F105*E105,"")</f>
        <v/>
      </c>
      <c r="J105" s="168" t="str">
        <f>IF(OR(A105="COMPOSITION",A105="ARTICLE"),G105,"")</f>
        <v/>
      </c>
    </row>
    <row r="106" spans="1:10">
      <c r="B106" s="83"/>
      <c r="C106" s="182" t="s">
        <v>273</v>
      </c>
      <c r="D106" s="85"/>
      <c r="E106" s="85"/>
      <c r="F106" s="85"/>
      <c r="G106" s="162"/>
      <c r="H106" s="159"/>
      <c r="J106" s="167" t="str">
        <f>IF(OR(A106="COMPOSITION",A106="ARTICLE"),G106,"")</f>
        <v/>
      </c>
    </row>
    <row r="107" spans="1:10">
      <c r="B107" s="83"/>
      <c r="C107" s="182" t="s">
        <v>515</v>
      </c>
      <c r="D107" s="85"/>
      <c r="E107" s="85"/>
      <c r="F107" s="85"/>
      <c r="G107" s="162"/>
      <c r="H107" s="159"/>
      <c r="J107" s="167" t="str">
        <f>IF(OR(A107="COMPOSITION",A107="ARTICLE"),G107,"")</f>
        <v/>
      </c>
    </row>
    <row r="108" spans="1:10">
      <c r="B108" s="83"/>
      <c r="C108" s="182" t="s">
        <v>274</v>
      </c>
      <c r="D108" s="85"/>
      <c r="E108" s="85"/>
      <c r="F108" s="85"/>
      <c r="G108" s="162"/>
      <c r="H108" s="159"/>
      <c r="J108" s="167" t="str">
        <f>IF(OR(A108="COMPOSITION",A108="ARTICLE"),G108,"")</f>
        <v/>
      </c>
    </row>
    <row r="109" spans="1:10">
      <c r="B109" s="83"/>
      <c r="C109" s="182" t="s">
        <v>544</v>
      </c>
      <c r="D109" s="85"/>
      <c r="E109" s="306"/>
      <c r="F109" s="85"/>
      <c r="G109" s="252"/>
      <c r="H109" s="250"/>
    </row>
    <row r="110" spans="1:10" ht="18.75" customHeight="1">
      <c r="B110" s="12"/>
      <c r="C110" s="456" t="s">
        <v>30</v>
      </c>
      <c r="D110" s="456"/>
      <c r="E110" s="13"/>
      <c r="F110" s="14"/>
      <c r="G110" s="164">
        <f ca="1">G104+G103+G100+G93+G86+G79+G72+G65+G58+G51+G44+G37+G30+G23</f>
        <v>217813.85</v>
      </c>
      <c r="H110" s="29"/>
    </row>
    <row r="111" spans="1:10" ht="18">
      <c r="B111" s="15"/>
      <c r="C111" s="16">
        <v>0</v>
      </c>
      <c r="D111" s="17"/>
      <c r="E111" s="18"/>
      <c r="F111" s="19"/>
      <c r="G111" s="20">
        <f ca="1">G110*C111/100</f>
        <v>0</v>
      </c>
      <c r="H111" s="307"/>
    </row>
    <row r="112" spans="1:10" ht="18">
      <c r="B112" s="21"/>
      <c r="C112" s="22" t="s">
        <v>31</v>
      </c>
      <c r="D112" s="22"/>
      <c r="E112" s="23"/>
      <c r="F112" s="24"/>
      <c r="G112" s="25">
        <f ca="1">G111+G110</f>
        <v>217813.85</v>
      </c>
    </row>
    <row r="113" spans="2:10" ht="18">
      <c r="B113" s="15"/>
      <c r="C113" s="180" t="s">
        <v>537</v>
      </c>
      <c r="D113" s="443" t="s">
        <v>537</v>
      </c>
      <c r="E113" s="444"/>
      <c r="F113" s="444"/>
      <c r="G113" s="445"/>
      <c r="J113" s="133"/>
    </row>
    <row r="114" spans="2:10" ht="15.6">
      <c r="B114" s="27"/>
      <c r="C114" s="1" t="s">
        <v>32</v>
      </c>
      <c r="D114" s="446" t="str">
        <f>B9</f>
        <v xml:space="preserve"> </v>
      </c>
      <c r="E114" s="446"/>
      <c r="F114" s="446"/>
      <c r="G114" s="447"/>
      <c r="J114" s="133"/>
    </row>
    <row r="115" spans="2:10">
      <c r="B115" s="27"/>
      <c r="C115" s="4" t="s">
        <v>33</v>
      </c>
      <c r="D115" s="4" t="s">
        <v>34</v>
      </c>
      <c r="E115" s="5"/>
      <c r="F115" s="5"/>
      <c r="G115" s="26"/>
      <c r="J115" s="133"/>
    </row>
    <row r="116" spans="2:10">
      <c r="B116" s="27"/>
      <c r="C116" s="27"/>
      <c r="D116" s="27"/>
      <c r="E116" s="1"/>
      <c r="F116" s="1"/>
      <c r="G116" s="28"/>
    </row>
    <row r="117" spans="2:10">
      <c r="B117" s="27"/>
      <c r="C117" s="6"/>
      <c r="D117" s="6"/>
      <c r="E117" s="7"/>
      <c r="F117" s="7"/>
      <c r="G117" s="8"/>
    </row>
    <row r="118" spans="2:10">
      <c r="B118" s="27"/>
      <c r="C118" s="1" t="s">
        <v>268</v>
      </c>
      <c r="D118" s="1"/>
      <c r="E118" s="1"/>
      <c r="F118" s="1"/>
      <c r="G118" s="28"/>
      <c r="J118" s="133"/>
    </row>
    <row r="119" spans="2:10">
      <c r="B119" s="27"/>
      <c r="C119" s="4" t="s">
        <v>33</v>
      </c>
      <c r="D119" s="4" t="s">
        <v>34</v>
      </c>
      <c r="E119" s="5"/>
      <c r="F119" s="5"/>
      <c r="G119" s="26"/>
      <c r="J119" s="133"/>
    </row>
    <row r="120" spans="2:10">
      <c r="B120" s="27"/>
      <c r="C120" s="27"/>
      <c r="D120" s="27"/>
      <c r="E120" s="1"/>
      <c r="F120" s="1"/>
      <c r="G120" s="28"/>
    </row>
    <row r="121" spans="2:10">
      <c r="B121" s="27"/>
      <c r="C121" s="6"/>
      <c r="D121" s="6"/>
      <c r="E121" s="7"/>
      <c r="F121" s="7"/>
      <c r="G121" s="8"/>
    </row>
    <row r="122" spans="2:10">
      <c r="B122" s="6"/>
      <c r="C122" s="7"/>
      <c r="D122" s="7"/>
      <c r="E122" s="7"/>
      <c r="F122" s="7"/>
      <c r="G122" s="8"/>
    </row>
  </sheetData>
  <sheetProtection formatColumns="0" insertRows="0" deleteRows="0"/>
  <protectedRanges>
    <protectedRange sqref="A105" name="Plage2"/>
    <protectedRange sqref="B9:C12" name="Plage1_1"/>
  </protectedRanges>
  <mergeCells count="47">
    <mergeCell ref="B1:G1"/>
    <mergeCell ref="A2:A13"/>
    <mergeCell ref="B8:C8"/>
    <mergeCell ref="E8:F8"/>
    <mergeCell ref="B9:C9"/>
    <mergeCell ref="D9:G9"/>
    <mergeCell ref="B10:C10"/>
    <mergeCell ref="D10:G10"/>
    <mergeCell ref="B11:C11"/>
    <mergeCell ref="B12:C12"/>
    <mergeCell ref="D12:G12"/>
    <mergeCell ref="B13:G13"/>
    <mergeCell ref="A14:A15"/>
    <mergeCell ref="B14:B15"/>
    <mergeCell ref="C14:C15"/>
    <mergeCell ref="D14:D15"/>
    <mergeCell ref="E14:E15"/>
    <mergeCell ref="F14:F15"/>
    <mergeCell ref="G14:G15"/>
    <mergeCell ref="B17:C17"/>
    <mergeCell ref="D23:F23"/>
    <mergeCell ref="B31:C31"/>
    <mergeCell ref="B24:C24"/>
    <mergeCell ref="D30:F30"/>
    <mergeCell ref="D37:F37"/>
    <mergeCell ref="D103:F103"/>
    <mergeCell ref="B87:C87"/>
    <mergeCell ref="D93:F93"/>
    <mergeCell ref="C110:D110"/>
    <mergeCell ref="B38:C38"/>
    <mergeCell ref="D44:F44"/>
    <mergeCell ref="D113:G113"/>
    <mergeCell ref="D114:G114"/>
    <mergeCell ref="B45:C45"/>
    <mergeCell ref="D51:F51"/>
    <mergeCell ref="B59:C59"/>
    <mergeCell ref="D65:F65"/>
    <mergeCell ref="B73:C73"/>
    <mergeCell ref="D79:F79"/>
    <mergeCell ref="D100:F100"/>
    <mergeCell ref="B52:C52"/>
    <mergeCell ref="D58:F58"/>
    <mergeCell ref="B66:C66"/>
    <mergeCell ref="D72:F72"/>
    <mergeCell ref="B80:C80"/>
    <mergeCell ref="D86:F86"/>
    <mergeCell ref="B94:C94"/>
  </mergeCells>
  <dataValidations count="2">
    <dataValidation type="list" allowBlank="1" showInputMessage="1" showErrorMessage="1" sqref="C25:C30 C39:C44 C53:C58 C67:C72 C81:C86 C18:C23 C32:C37 C46:C51 C60:C65 C74:C79 C88:C93 C95:C105" xr:uid="{EDC661F3-2CA2-440D-BC58-66A06C6C7BCB}">
      <formula1>INDIRECT(A18)</formula1>
    </dataValidation>
    <dataValidation type="list" allowBlank="1" showInputMessage="1" showErrorMessage="1" sqref="A16:A111" xr:uid="{EB77FD50-8CFC-4D74-9A7A-44ABD645F239}">
      <formula1>PRESTATION</formula1>
    </dataValidation>
  </dataValidations>
  <pageMargins left="0.23622047244094491" right="0.23622047244094491" top="0.74803149606299213" bottom="0.74803149606299213" header="0.31496062992125984" footer="0.31496062992125984"/>
  <pageSetup paperSize="9" scale="77" fitToHeight="0" orientation="portrait" r:id="rId1"/>
  <headerFooter>
    <oddFooter>&amp;L&amp;"Century Gothic,Normal"&amp;K00-049&amp;P / &amp;N&amp;C&amp;"Century Gothic,Normal"&amp;K00-048S.C LAROX WOOD HOUSE SRL - Botosani - Romania - N° Intracom : RO 34 11 41 07
contact@loftwood.fr - www.loftwood.fr - 05 61 35 20 34&amp;R&amp;"Century Gothic,Normal"&amp;K00-049&amp;D</oddFooter>
  </headerFooter>
  <drawing r:id="rId2"/>
  <legacy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1A6093-6CB9-4444-A6A4-FC3A54EC9EEC}">
  <sheetPr>
    <tabColor theme="7"/>
    <pageSetUpPr fitToPage="1"/>
  </sheetPr>
  <dimension ref="A1:J63"/>
  <sheetViews>
    <sheetView showGridLines="0" view="pageBreakPreview" topLeftCell="A15" zoomScale="115" zoomScaleNormal="100" zoomScaleSheetLayoutView="115" workbookViewId="0">
      <selection activeCell="F29" sqref="F29"/>
    </sheetView>
  </sheetViews>
  <sheetFormatPr defaultColWidth="9.109375" defaultRowHeight="14.4"/>
  <cols>
    <col min="1" max="1" width="13.88671875" style="1" bestFit="1" customWidth="1"/>
    <col min="2" max="2" width="15.77734375" bestFit="1" customWidth="1"/>
    <col min="3" max="3" width="73.44140625" style="1" bestFit="1" customWidth="1"/>
    <col min="4" max="4" width="7.88671875" customWidth="1"/>
    <col min="5" max="5" width="7" customWidth="1"/>
    <col min="6" max="6" width="12.33203125" bestFit="1" customWidth="1"/>
    <col min="7" max="7" width="14.88671875" bestFit="1" customWidth="1"/>
    <col min="8" max="8" width="10.33203125" bestFit="1" customWidth="1"/>
    <col min="10" max="10" width="24" bestFit="1" customWidth="1"/>
  </cols>
  <sheetData>
    <row r="1" spans="1:10" ht="37.65" customHeight="1">
      <c r="B1" s="418" t="str">
        <f ca="1">CONCATENATE("Devis quantitatif et estimatif n°",B10," de référence: ",B12,"  -  édition du : ",TEXT(E8,"jj-mm-aaaa"),"  -  opération : ",B11)</f>
        <v>Devis quantitatif et estimatif n°  de référence:  KALISTE - 7 VILLAS ACCOLEES  -  édition du : jj-12-marți  -  opération :  KALISTE - 7 VILLAS ACCOLEES</v>
      </c>
      <c r="C1" s="418"/>
      <c r="D1" s="418"/>
      <c r="E1" s="418"/>
      <c r="F1" s="418"/>
      <c r="G1" s="418"/>
    </row>
    <row r="2" spans="1:10" ht="18.75" customHeight="1">
      <c r="A2" s="423" t="s">
        <v>245</v>
      </c>
      <c r="B2" s="1"/>
      <c r="D2" s="1"/>
      <c r="E2" s="1"/>
      <c r="F2" s="1"/>
      <c r="G2" s="1"/>
    </row>
    <row r="3" spans="1:10">
      <c r="A3" s="423"/>
      <c r="B3" s="1"/>
      <c r="D3" s="1"/>
      <c r="E3" s="1"/>
      <c r="F3" s="1"/>
      <c r="G3" s="1"/>
    </row>
    <row r="4" spans="1:10">
      <c r="A4" s="423"/>
      <c r="B4" s="1"/>
      <c r="D4" s="1"/>
      <c r="E4" s="1"/>
      <c r="F4" s="1"/>
      <c r="G4" s="1"/>
    </row>
    <row r="5" spans="1:10" ht="15.75" customHeight="1">
      <c r="A5" s="423"/>
      <c r="B5" s="1"/>
      <c r="D5" s="1"/>
      <c r="E5" s="1"/>
      <c r="F5" s="1"/>
      <c r="G5" s="1"/>
    </row>
    <row r="6" spans="1:10" ht="15.75" customHeight="1">
      <c r="A6" s="423"/>
      <c r="B6" s="1"/>
      <c r="D6" s="1"/>
      <c r="E6" s="1"/>
      <c r="F6" s="1"/>
      <c r="G6" s="1"/>
    </row>
    <row r="7" spans="1:10">
      <c r="A7" s="423"/>
      <c r="B7" s="1"/>
      <c r="D7" s="1"/>
      <c r="E7" s="1"/>
      <c r="F7" s="1"/>
      <c r="G7" s="1"/>
    </row>
    <row r="8" spans="1:10" ht="21">
      <c r="A8" s="423"/>
      <c r="B8" s="424" t="s">
        <v>11</v>
      </c>
      <c r="C8" s="425"/>
      <c r="D8" s="2" t="s">
        <v>12</v>
      </c>
      <c r="E8" s="426">
        <f ca="1">TODAY()</f>
        <v>45993</v>
      </c>
      <c r="F8" s="426"/>
      <c r="G8" s="3"/>
    </row>
    <row r="9" spans="1:10" ht="15.6">
      <c r="A9" s="423"/>
      <c r="B9" s="4"/>
      <c r="C9" s="5"/>
      <c r="D9" s="463"/>
      <c r="E9" s="464"/>
      <c r="F9" s="464"/>
      <c r="G9" s="465"/>
    </row>
    <row r="10" spans="1:10" ht="15.6">
      <c r="A10" s="423"/>
      <c r="B10" s="427" t="s">
        <v>266</v>
      </c>
      <c r="C10" s="428"/>
      <c r="D10" s="429" t="s">
        <v>529</v>
      </c>
      <c r="E10" s="430"/>
      <c r="F10" s="430"/>
      <c r="G10" s="431"/>
    </row>
    <row r="11" spans="1:10" ht="15.6">
      <c r="A11" s="423"/>
      <c r="B11" s="432" t="s">
        <v>517</v>
      </c>
      <c r="C11" s="433"/>
      <c r="D11" s="434" t="s">
        <v>14</v>
      </c>
      <c r="E11" s="435"/>
      <c r="F11" s="435"/>
      <c r="G11" s="436"/>
    </row>
    <row r="12" spans="1:10" ht="15.6">
      <c r="A12" s="423"/>
      <c r="B12" s="419" t="s">
        <v>517</v>
      </c>
      <c r="C12" s="466"/>
      <c r="D12" s="174"/>
      <c r="E12" s="175"/>
      <c r="F12" s="175">
        <v>31150</v>
      </c>
      <c r="G12" s="176"/>
    </row>
    <row r="13" spans="1:10" ht="15" customHeight="1">
      <c r="A13" s="423"/>
      <c r="B13" s="437" t="s">
        <v>514</v>
      </c>
      <c r="C13" s="438"/>
      <c r="D13" s="469" t="s">
        <v>267</v>
      </c>
      <c r="E13" s="448"/>
      <c r="F13" s="448"/>
      <c r="G13" s="449"/>
    </row>
    <row r="14" spans="1:10" ht="15" customHeight="1">
      <c r="A14" s="423"/>
      <c r="B14" s="437"/>
      <c r="C14" s="438"/>
      <c r="D14" s="469"/>
      <c r="E14" s="448"/>
      <c r="F14" s="448"/>
      <c r="G14" s="449"/>
    </row>
    <row r="15" spans="1:10" ht="14.4" customHeight="1">
      <c r="A15" s="423"/>
      <c r="B15" s="467"/>
      <c r="C15" s="468"/>
      <c r="D15" s="6"/>
      <c r="E15" s="7"/>
      <c r="F15" s="7"/>
      <c r="G15" s="8"/>
    </row>
    <row r="16" spans="1:10">
      <c r="A16" s="423"/>
      <c r="B16" s="450" t="s">
        <v>15</v>
      </c>
      <c r="C16" s="451"/>
      <c r="D16" s="451"/>
      <c r="E16" s="451"/>
      <c r="F16" s="451"/>
      <c r="G16" s="452"/>
      <c r="J16" s="222"/>
    </row>
    <row r="17" spans="1:10" ht="15" customHeight="1" thickBot="1">
      <c r="A17" s="439" t="s">
        <v>244</v>
      </c>
      <c r="B17" s="439" t="s">
        <v>176</v>
      </c>
      <c r="C17" s="441" t="s">
        <v>16</v>
      </c>
      <c r="D17" s="421" t="s">
        <v>17</v>
      </c>
      <c r="E17" s="421" t="s">
        <v>18</v>
      </c>
      <c r="F17" s="421" t="s">
        <v>19</v>
      </c>
      <c r="G17" s="421" t="s">
        <v>20</v>
      </c>
      <c r="J17" s="170">
        <f>GESTION!$B$9</f>
        <v>7.0000000000000007E-2</v>
      </c>
    </row>
    <row r="18" spans="1:10" ht="15" thickBot="1">
      <c r="A18" s="440"/>
      <c r="B18" s="422"/>
      <c r="C18" s="442"/>
      <c r="D18" s="422"/>
      <c r="E18" s="422"/>
      <c r="F18" s="422"/>
      <c r="G18" s="422"/>
      <c r="J18" s="169">
        <f ca="1">SUM(J19:J44)*J17</f>
        <v>597.38000000000011</v>
      </c>
    </row>
    <row r="19" spans="1:10">
      <c r="B19" s="154"/>
      <c r="C19" s="171"/>
      <c r="D19" s="172"/>
      <c r="E19" s="172"/>
      <c r="F19" s="172"/>
      <c r="G19" s="172"/>
      <c r="H19" s="159" t="str">
        <f t="shared" ref="H19:H23" ca="1" si="0">IFERROR(VLOOKUP($C19,INDIRECT(CONCATENATE("MATRICE_",$A19)),2,FALSE),"")</f>
        <v/>
      </c>
      <c r="J19" s="167"/>
    </row>
    <row r="20" spans="1:10">
      <c r="B20" s="83"/>
      <c r="C20" s="217" t="s">
        <v>187</v>
      </c>
      <c r="D20" s="85"/>
      <c r="E20" s="85"/>
      <c r="F20" s="85"/>
      <c r="G20" s="85"/>
      <c r="H20" s="159"/>
      <c r="J20" s="167"/>
    </row>
    <row r="21" spans="1:10">
      <c r="B21" s="83"/>
      <c r="C21" s="182"/>
      <c r="D21" s="85"/>
      <c r="E21" s="85"/>
      <c r="F21" s="289"/>
      <c r="G21" s="290"/>
      <c r="H21" s="159"/>
      <c r="J21" s="167"/>
    </row>
    <row r="22" spans="1:10">
      <c r="B22" s="457" t="s">
        <v>175</v>
      </c>
      <c r="C22" s="458"/>
      <c r="D22" s="85"/>
      <c r="E22" s="85"/>
      <c r="F22" s="289"/>
      <c r="G22" s="290"/>
      <c r="H22" s="159" t="str">
        <f ca="1">IFERROR(VLOOKUP($C22,INDIRECT(CONCATENATE("MATRICE_",$A22)),2,FALSE),"")</f>
        <v/>
      </c>
      <c r="J22" s="167"/>
    </row>
    <row r="23" spans="1:10" ht="15" customHeight="1">
      <c r="B23" s="457"/>
      <c r="C23" s="458"/>
      <c r="D23" s="10"/>
      <c r="E23" s="9"/>
      <c r="F23" s="291"/>
      <c r="G23" s="292"/>
      <c r="H23" s="159" t="str">
        <f t="shared" ca="1" si="0"/>
        <v/>
      </c>
      <c r="J23" s="167"/>
    </row>
    <row r="24" spans="1:10">
      <c r="A24" s="1" t="s">
        <v>35</v>
      </c>
      <c r="B24" s="83" t="str">
        <f ca="1">IF(H24=0,"",H24)</f>
        <v/>
      </c>
      <c r="C24" s="173" t="s">
        <v>524</v>
      </c>
      <c r="D24" s="161" t="str">
        <f t="shared" ref="D24:D41" ca="1" si="1">IFERROR(VLOOKUP($C24,INDIRECT(CONCATENATE("MATRICE_",$A24)),3,FALSE),"")</f>
        <v/>
      </c>
      <c r="E24" s="308">
        <f>543-37</f>
        <v>506</v>
      </c>
      <c r="F24" s="291" t="str">
        <f ca="1">IFERROR(ROUNDUP(IF(C24="FORFAIT QUINCAILLERIE",$J$18,VLOOKUP($C24,INDIRECT(CONCATENATE("MATRICE_",$A24)),4,FALSE)),0),"")</f>
        <v/>
      </c>
      <c r="G24" s="292" t="str">
        <f t="shared" ref="G24:G33" ca="1" si="2">IFERROR(F24*E24,"")</f>
        <v/>
      </c>
      <c r="H24" s="159" t="str">
        <f ca="1">IFERROR(VLOOKUP($C24,INDIRECT(CONCATENATE("MATRICE_",$A24)),2,FALSE),"")</f>
        <v/>
      </c>
      <c r="I24">
        <f>(150+12+10)/1000*E24</f>
        <v>87.031999999999996</v>
      </c>
      <c r="J24" s="168" t="str">
        <f t="shared" ref="J24:J44" ca="1" si="3">IF(OR(A24="COMPOSITION",A24="ARTICLE"),G24,"")</f>
        <v/>
      </c>
    </row>
    <row r="25" spans="1:10">
      <c r="A25" s="1" t="s">
        <v>35</v>
      </c>
      <c r="B25" s="83" t="str">
        <f t="shared" ref="B25:B38" ca="1" si="4">IF(H25=0,"",H25)</f>
        <v/>
      </c>
      <c r="C25" s="173" t="s">
        <v>449</v>
      </c>
      <c r="D25" s="161" t="str">
        <f t="shared" ca="1" si="1"/>
        <v/>
      </c>
      <c r="E25" s="9">
        <v>33</v>
      </c>
      <c r="F25" s="291" t="str">
        <f t="shared" ref="F25:F41" ca="1" si="5">IFERROR(ROUNDUP(IF(C25="FORFAIT QUINCAILLERIE",$J$18,VLOOKUP($C25,INDIRECT(CONCATENATE("MATRICE_",$A25)),4,FALSE)),0),"")</f>
        <v/>
      </c>
      <c r="G25" s="292" t="str">
        <f t="shared" ca="1" si="2"/>
        <v/>
      </c>
      <c r="H25" s="159" t="str">
        <f t="shared" ref="H25:H38" ca="1" si="6">IFERROR(VLOOKUP($C25,INDIRECT(CONCATENATE("MATRICE_",$A25)),2,FALSE),"")</f>
        <v/>
      </c>
      <c r="I25">
        <f>(100+12+10)/1000*E25</f>
        <v>4.0259999999999998</v>
      </c>
      <c r="J25" s="168" t="str">
        <f t="shared" ca="1" si="3"/>
        <v/>
      </c>
    </row>
    <row r="26" spans="1:10">
      <c r="A26" s="1" t="s">
        <v>35</v>
      </c>
      <c r="B26" s="83" t="str">
        <f t="shared" ca="1" si="4"/>
        <v/>
      </c>
      <c r="C26" s="173" t="s">
        <v>522</v>
      </c>
      <c r="D26" s="161" t="str">
        <f t="shared" ca="1" si="1"/>
        <v/>
      </c>
      <c r="E26" s="9">
        <v>105</v>
      </c>
      <c r="F26" s="291" t="str">
        <f t="shared" ca="1" si="5"/>
        <v/>
      </c>
      <c r="G26" s="292" t="str">
        <f t="shared" ca="1" si="2"/>
        <v/>
      </c>
      <c r="H26" s="159" t="str">
        <f t="shared" ca="1" si="6"/>
        <v/>
      </c>
      <c r="I26">
        <f>(100+12+10)/1000*E26</f>
        <v>12.81</v>
      </c>
      <c r="J26" s="168" t="str">
        <f t="shared" ca="1" si="3"/>
        <v/>
      </c>
    </row>
    <row r="27" spans="1:10" ht="15" customHeight="1">
      <c r="A27" s="1" t="s">
        <v>134</v>
      </c>
      <c r="B27" s="83" t="str">
        <f t="shared" ca="1" si="4"/>
        <v/>
      </c>
      <c r="C27" s="173" t="s">
        <v>2</v>
      </c>
      <c r="D27" s="161" t="str">
        <f t="shared" ca="1" si="1"/>
        <v>m2</v>
      </c>
      <c r="E27" s="9">
        <f>574+(128-37)-(E25+E26)</f>
        <v>527</v>
      </c>
      <c r="F27" s="291">
        <f t="shared" ca="1" si="5"/>
        <v>12</v>
      </c>
      <c r="G27" s="292">
        <f t="shared" ca="1" si="2"/>
        <v>6324</v>
      </c>
      <c r="H27" s="159">
        <f t="shared" ca="1" si="6"/>
        <v>0</v>
      </c>
      <c r="J27" s="168">
        <f t="shared" ca="1" si="3"/>
        <v>6324</v>
      </c>
    </row>
    <row r="28" spans="1:10">
      <c r="A28" s="1" t="s">
        <v>134</v>
      </c>
      <c r="B28" s="51" t="str">
        <f t="shared" ca="1" si="4"/>
        <v/>
      </c>
      <c r="C28" s="173" t="s">
        <v>403</v>
      </c>
      <c r="D28" s="161" t="str">
        <f t="shared" ca="1" si="1"/>
        <v>m2</v>
      </c>
      <c r="E28" s="9">
        <f>(104+111)*4</f>
        <v>860</v>
      </c>
      <c r="F28" s="291">
        <f ca="1">IFERROR(ROUNDUP(IF(C28="FORFAIT QUINCAILLERIE",$J$18,VLOOKUP($C28,INDIRECT(CONCATENATE("MATRICE_",$A28)),4,FALSE)),0),"")</f>
        <v>2</v>
      </c>
      <c r="G28" s="292">
        <f t="shared" ca="1" si="2"/>
        <v>1720</v>
      </c>
      <c r="H28" s="159">
        <f t="shared" ca="1" si="6"/>
        <v>0</v>
      </c>
      <c r="J28" s="168">
        <f t="shared" ca="1" si="3"/>
        <v>1720</v>
      </c>
    </row>
    <row r="29" spans="1:10">
      <c r="A29" s="1" t="s">
        <v>134</v>
      </c>
      <c r="B29" s="51" t="str">
        <f t="shared" ca="1" si="4"/>
        <v/>
      </c>
      <c r="C29" s="173" t="s">
        <v>525</v>
      </c>
      <c r="D29" s="161" t="str">
        <f t="shared" ca="1" si="1"/>
        <v>u</v>
      </c>
      <c r="E29" s="9">
        <v>200</v>
      </c>
      <c r="F29" s="291">
        <f ca="1">IFERROR(ROUNDUP(IF(C29="FORFAIT QUINCAILLERIE",$J$18,VLOOKUP($C29,INDIRECT(CONCATENATE("MATRICE_",$A29)),4,FALSE)),0),"")</f>
        <v>2</v>
      </c>
      <c r="G29" s="292">
        <f t="shared" ca="1" si="2"/>
        <v>400</v>
      </c>
      <c r="H29" s="159">
        <f t="shared" ca="1" si="6"/>
        <v>0</v>
      </c>
      <c r="I29">
        <f>(750*100*45)/1000000000*E29</f>
        <v>0.67500000000000004</v>
      </c>
      <c r="J29" s="168">
        <f t="shared" ca="1" si="3"/>
        <v>400</v>
      </c>
    </row>
    <row r="30" spans="1:10">
      <c r="B30" s="51" t="str">
        <f t="shared" ca="1" si="4"/>
        <v/>
      </c>
      <c r="C30" s="173" t="s">
        <v>528</v>
      </c>
      <c r="D30" s="161" t="str">
        <f t="shared" ca="1" si="1"/>
        <v/>
      </c>
      <c r="E30" s="9"/>
      <c r="F30" s="291" t="str">
        <f ca="1">IFERROR(ROUNDUP(IF(C30="FORFAIT QUINCAILLERIE",$J$18,VLOOKUP($C30,INDIRECT(CONCATENATE("MATRICE_",$A30)),4,FALSE)),0),"")</f>
        <v/>
      </c>
      <c r="G30" s="292" t="str">
        <f t="shared" ca="1" si="2"/>
        <v/>
      </c>
      <c r="H30" s="159" t="str">
        <f t="shared" ca="1" si="6"/>
        <v/>
      </c>
      <c r="J30" s="168" t="str">
        <f t="shared" si="3"/>
        <v/>
      </c>
    </row>
    <row r="31" spans="1:10">
      <c r="B31" s="457" t="s">
        <v>25</v>
      </c>
      <c r="C31" s="458"/>
      <c r="D31" s="161" t="str">
        <f t="shared" ca="1" si="1"/>
        <v/>
      </c>
      <c r="E31" s="9"/>
      <c r="F31" s="291" t="str">
        <f ca="1">IFERROR(ROUNDUP(IF(#REF!="FORFAIT QUINCAILLERIE",$J$18,VLOOKUP(#REF!,INDIRECT(CONCATENATE("MATRICE_",$A31)),4,FALSE)),0),"")</f>
        <v/>
      </c>
      <c r="G31" s="292" t="str">
        <f t="shared" ca="1" si="2"/>
        <v/>
      </c>
      <c r="H31" s="159" t="str">
        <f ca="1">IFERROR(VLOOKUP(#REF!,INDIRECT(CONCATENATE("MATRICE_",$A31)),2,FALSE),"")</f>
        <v/>
      </c>
      <c r="J31" s="168" t="str">
        <f t="shared" si="3"/>
        <v/>
      </c>
    </row>
    <row r="32" spans="1:10">
      <c r="A32" s="1" t="s">
        <v>134</v>
      </c>
      <c r="B32" s="51" t="str">
        <f t="shared" ca="1" si="4"/>
        <v/>
      </c>
      <c r="C32" s="11"/>
      <c r="D32" s="161" t="str">
        <f t="shared" ca="1" si="1"/>
        <v/>
      </c>
      <c r="E32" s="9"/>
      <c r="F32" s="291" t="str">
        <f t="shared" ref="F32:F33" ca="1" si="7">IFERROR(ROUNDUP(IF(C32="FORFAIT QUINCAILLERIE",$J$18,VLOOKUP($C32,INDIRECT(CONCATENATE("MATRICE_",$A32)),4,FALSE)),0),"")</f>
        <v/>
      </c>
      <c r="G32" s="292" t="str">
        <f t="shared" ca="1" si="2"/>
        <v/>
      </c>
      <c r="H32" s="159" t="str">
        <f t="shared" ca="1" si="6"/>
        <v/>
      </c>
      <c r="I32">
        <f>SUM(I24:I31)</f>
        <v>104.54299999999999</v>
      </c>
      <c r="J32" s="168" t="str">
        <f t="shared" ca="1" si="3"/>
        <v/>
      </c>
    </row>
    <row r="33" spans="1:10">
      <c r="A33" s="1" t="s">
        <v>134</v>
      </c>
      <c r="B33" s="51" t="str">
        <f t="shared" ca="1" si="4"/>
        <v/>
      </c>
      <c r="C33" s="11" t="s">
        <v>527</v>
      </c>
      <c r="D33" s="161" t="str">
        <f t="shared" ca="1" si="1"/>
        <v>u</v>
      </c>
      <c r="E33" s="9">
        <v>6</v>
      </c>
      <c r="F33" s="291">
        <f t="shared" ca="1" si="7"/>
        <v>15</v>
      </c>
      <c r="G33" s="292">
        <f t="shared" ca="1" si="2"/>
        <v>90</v>
      </c>
      <c r="H33" s="159" t="str">
        <f ca="1">IFERROR(VLOOKUP($C31,INDIRECT(CONCATENATE("MATRICE_",$A33)),2,FALSE),"")</f>
        <v/>
      </c>
      <c r="I33">
        <f>(11*2.8*2.4)*0.85</f>
        <v>62.831999999999987</v>
      </c>
      <c r="J33" s="168">
        <f t="shared" ca="1" si="3"/>
        <v>90</v>
      </c>
    </row>
    <row r="34" spans="1:10" ht="15" customHeight="1">
      <c r="A34" s="1" t="s">
        <v>224</v>
      </c>
      <c r="B34" s="51" t="str">
        <f t="shared" ca="1" si="4"/>
        <v/>
      </c>
      <c r="C34" s="11" t="s">
        <v>258</v>
      </c>
      <c r="D34" s="161" t="str">
        <f t="shared" ca="1" si="1"/>
        <v>ft</v>
      </c>
      <c r="E34" s="9">
        <v>1</v>
      </c>
      <c r="F34" s="10">
        <f t="shared" ca="1" si="5"/>
        <v>598</v>
      </c>
      <c r="G34" s="163">
        <f ca="1">IFERROR(F34*E34,"")</f>
        <v>598</v>
      </c>
      <c r="H34" s="159">
        <f t="shared" ca="1" si="6"/>
        <v>0</v>
      </c>
      <c r="I34">
        <f>I32/I33</f>
        <v>1.6638496307613957</v>
      </c>
      <c r="J34" s="168" t="str">
        <f t="shared" si="3"/>
        <v/>
      </c>
    </row>
    <row r="35" spans="1:10">
      <c r="B35" s="51" t="str">
        <f t="shared" ca="1" si="4"/>
        <v/>
      </c>
      <c r="C35" s="11"/>
      <c r="D35" s="161" t="str">
        <f t="shared" ca="1" si="1"/>
        <v/>
      </c>
      <c r="E35" s="9"/>
      <c r="F35" s="10" t="str">
        <f t="shared" ca="1" si="5"/>
        <v/>
      </c>
      <c r="G35" s="163" t="str">
        <f t="shared" ref="G35:G41" ca="1" si="8">IFERROR(F35*E35,"")</f>
        <v/>
      </c>
      <c r="H35" s="159" t="str">
        <f t="shared" ca="1" si="6"/>
        <v/>
      </c>
      <c r="J35" s="168" t="str">
        <f t="shared" si="3"/>
        <v/>
      </c>
    </row>
    <row r="36" spans="1:10">
      <c r="B36" s="51"/>
      <c r="C36" s="173"/>
      <c r="D36" s="161" t="str">
        <f t="shared" ca="1" si="1"/>
        <v/>
      </c>
      <c r="E36" s="9"/>
      <c r="F36" s="10" t="str">
        <f t="shared" ca="1" si="5"/>
        <v/>
      </c>
      <c r="G36" s="163" t="str">
        <f t="shared" ca="1" si="8"/>
        <v/>
      </c>
      <c r="H36" s="159"/>
      <c r="J36" s="168"/>
    </row>
    <row r="37" spans="1:10">
      <c r="B37" s="51"/>
      <c r="C37" s="11"/>
      <c r="D37" s="161" t="str">
        <f t="shared" ca="1" si="1"/>
        <v/>
      </c>
      <c r="E37" s="9"/>
      <c r="F37" s="10" t="str">
        <f t="shared" ca="1" si="5"/>
        <v/>
      </c>
      <c r="G37" s="163" t="str">
        <f t="shared" ca="1" si="8"/>
        <v/>
      </c>
      <c r="H37" s="159"/>
      <c r="J37" s="168"/>
    </row>
    <row r="38" spans="1:10">
      <c r="A38" s="1" t="s">
        <v>224</v>
      </c>
      <c r="B38" s="51" t="str">
        <f t="shared" ca="1" si="4"/>
        <v/>
      </c>
      <c r="C38" s="173" t="s">
        <v>226</v>
      </c>
      <c r="D38" s="161" t="str">
        <f t="shared" ca="1" si="1"/>
        <v>ft</v>
      </c>
      <c r="E38" s="9">
        <v>2</v>
      </c>
      <c r="F38" s="10">
        <f t="shared" ca="1" si="5"/>
        <v>3850</v>
      </c>
      <c r="G38" s="163">
        <f t="shared" ca="1" si="8"/>
        <v>7700</v>
      </c>
      <c r="H38" s="159">
        <f t="shared" ca="1" si="6"/>
        <v>0</v>
      </c>
      <c r="J38" s="168" t="str">
        <f t="shared" si="3"/>
        <v/>
      </c>
    </row>
    <row r="39" spans="1:10">
      <c r="A39" s="181"/>
      <c r="B39" s="51"/>
      <c r="C39" s="305"/>
      <c r="D39" s="161" t="str">
        <f t="shared" ca="1" si="1"/>
        <v/>
      </c>
      <c r="E39" s="9"/>
      <c r="F39" s="10" t="str">
        <f t="shared" ca="1" si="5"/>
        <v/>
      </c>
      <c r="G39" s="163" t="str">
        <f t="shared" ca="1" si="8"/>
        <v/>
      </c>
      <c r="J39" s="168" t="str">
        <f t="shared" si="3"/>
        <v/>
      </c>
    </row>
    <row r="40" spans="1:10" ht="14.4" customHeight="1">
      <c r="A40" s="181"/>
      <c r="B40" s="51"/>
      <c r="C40" s="11"/>
      <c r="D40" s="161" t="str">
        <f t="shared" ca="1" si="1"/>
        <v/>
      </c>
      <c r="E40" s="9"/>
      <c r="F40" s="10" t="str">
        <f t="shared" ca="1" si="5"/>
        <v/>
      </c>
      <c r="G40" s="163" t="str">
        <f t="shared" ca="1" si="8"/>
        <v/>
      </c>
      <c r="J40" s="168" t="str">
        <f t="shared" si="3"/>
        <v/>
      </c>
    </row>
    <row r="41" spans="1:10">
      <c r="A41" s="181"/>
      <c r="B41" s="51"/>
      <c r="C41" s="173" t="s">
        <v>530</v>
      </c>
      <c r="D41" s="161" t="str">
        <f t="shared" ca="1" si="1"/>
        <v/>
      </c>
      <c r="E41" s="9"/>
      <c r="F41" s="10" t="str">
        <f t="shared" ca="1" si="5"/>
        <v/>
      </c>
      <c r="G41" s="163" t="str">
        <f t="shared" ca="1" si="8"/>
        <v/>
      </c>
      <c r="J41" s="168" t="str">
        <f t="shared" si="3"/>
        <v/>
      </c>
    </row>
    <row r="42" spans="1:10">
      <c r="B42" s="83"/>
      <c r="C42" s="182" t="s">
        <v>273</v>
      </c>
      <c r="D42" s="85"/>
      <c r="E42" s="85"/>
      <c r="F42" s="85"/>
      <c r="G42" s="162"/>
      <c r="H42" s="159"/>
      <c r="J42" s="167" t="str">
        <f t="shared" si="3"/>
        <v/>
      </c>
    </row>
    <row r="43" spans="1:10">
      <c r="B43" s="83"/>
      <c r="C43" s="182" t="s">
        <v>515</v>
      </c>
      <c r="D43" s="85"/>
      <c r="E43" s="85"/>
      <c r="F43" s="85"/>
      <c r="G43" s="162"/>
      <c r="H43" s="159"/>
      <c r="J43" s="167" t="str">
        <f t="shared" si="3"/>
        <v/>
      </c>
    </row>
    <row r="44" spans="1:10">
      <c r="B44" s="83"/>
      <c r="C44" s="182" t="s">
        <v>274</v>
      </c>
      <c r="D44" s="85"/>
      <c r="E44" s="85"/>
      <c r="F44" s="85"/>
      <c r="G44" s="162"/>
      <c r="H44" s="159"/>
      <c r="J44" s="167" t="str">
        <f t="shared" si="3"/>
        <v/>
      </c>
    </row>
    <row r="45" spans="1:10">
      <c r="B45" s="83"/>
      <c r="C45" s="182" t="s">
        <v>526</v>
      </c>
      <c r="D45" s="306"/>
      <c r="E45" s="306"/>
      <c r="F45" s="306"/>
      <c r="G45" s="252"/>
      <c r="H45" s="250"/>
    </row>
    <row r="46" spans="1:10" ht="18.75" customHeight="1">
      <c r="B46" s="12"/>
      <c r="C46" s="456" t="s">
        <v>30</v>
      </c>
      <c r="D46" s="456"/>
      <c r="E46" s="13"/>
      <c r="F46" s="14"/>
      <c r="G46" s="164">
        <f ca="1">SUM(G22:G41)</f>
        <v>16832</v>
      </c>
      <c r="H46" s="29">
        <f ca="1">G46-G38</f>
        <v>9132</v>
      </c>
    </row>
    <row r="47" spans="1:10" ht="18">
      <c r="B47" s="15"/>
      <c r="C47" s="16">
        <v>0</v>
      </c>
      <c r="D47" s="17"/>
      <c r="E47" s="18"/>
      <c r="F47" s="19"/>
      <c r="G47" s="20">
        <f ca="1">G46*C47/100</f>
        <v>0</v>
      </c>
      <c r="H47" s="307">
        <f ca="1">G38/H46</f>
        <v>0.84318878668418751</v>
      </c>
    </row>
    <row r="48" spans="1:10" ht="18">
      <c r="B48" s="21"/>
      <c r="C48" s="22" t="s">
        <v>31</v>
      </c>
      <c r="D48" s="22"/>
      <c r="E48" s="23"/>
      <c r="F48" s="24"/>
      <c r="G48" s="25">
        <f ca="1">G47+G46</f>
        <v>16832</v>
      </c>
    </row>
    <row r="49" spans="2:10" ht="18">
      <c r="B49" s="15"/>
      <c r="C49" s="180" t="s">
        <v>517</v>
      </c>
      <c r="D49" s="443" t="s">
        <v>517</v>
      </c>
      <c r="E49" s="444"/>
      <c r="F49" s="444"/>
      <c r="G49" s="445"/>
      <c r="J49" s="133"/>
    </row>
    <row r="50" spans="2:10" ht="15.6">
      <c r="B50" s="27"/>
      <c r="C50" s="1" t="s">
        <v>32</v>
      </c>
      <c r="D50" s="446" t="str">
        <f>B10</f>
        <v xml:space="preserve"> </v>
      </c>
      <c r="E50" s="446"/>
      <c r="F50" s="446"/>
      <c r="G50" s="447"/>
      <c r="J50" s="133"/>
    </row>
    <row r="51" spans="2:10">
      <c r="B51" s="27"/>
      <c r="C51" s="4" t="s">
        <v>33</v>
      </c>
      <c r="D51" s="4" t="s">
        <v>34</v>
      </c>
      <c r="E51" s="5"/>
      <c r="F51" s="5"/>
      <c r="G51" s="26"/>
      <c r="J51" s="133"/>
    </row>
    <row r="52" spans="2:10">
      <c r="B52" s="27"/>
      <c r="C52" s="27"/>
      <c r="D52" s="27"/>
      <c r="E52" s="1"/>
      <c r="F52" s="1"/>
      <c r="G52" s="28"/>
      <c r="J52" s="133"/>
    </row>
    <row r="53" spans="2:10">
      <c r="B53" s="27"/>
      <c r="C53" s="27"/>
      <c r="D53" s="27"/>
      <c r="E53" s="1"/>
      <c r="F53" s="1"/>
      <c r="G53" s="28"/>
      <c r="J53" s="133"/>
    </row>
    <row r="54" spans="2:10">
      <c r="B54" s="27"/>
      <c r="C54" s="27"/>
      <c r="D54" s="27"/>
      <c r="E54" s="1"/>
      <c r="F54" s="1"/>
      <c r="G54" s="28"/>
    </row>
    <row r="55" spans="2:10">
      <c r="B55" s="27"/>
      <c r="C55" s="6"/>
      <c r="D55" s="6"/>
      <c r="E55" s="7"/>
      <c r="F55" s="7"/>
      <c r="G55" s="8"/>
    </row>
    <row r="56" spans="2:10">
      <c r="B56" s="27"/>
      <c r="D56" s="1"/>
      <c r="E56" s="1"/>
      <c r="F56" s="1"/>
      <c r="G56" s="28"/>
    </row>
    <row r="57" spans="2:10">
      <c r="B57" s="27"/>
      <c r="C57" s="1" t="s">
        <v>268</v>
      </c>
      <c r="D57" s="1"/>
      <c r="E57" s="1"/>
      <c r="F57" s="1"/>
      <c r="G57" s="28"/>
      <c r="J57" s="133"/>
    </row>
    <row r="58" spans="2:10">
      <c r="B58" s="27"/>
      <c r="C58" s="4" t="s">
        <v>33</v>
      </c>
      <c r="D58" s="4" t="s">
        <v>34</v>
      </c>
      <c r="E58" s="5"/>
      <c r="F58" s="5"/>
      <c r="G58" s="26"/>
      <c r="J58" s="133"/>
    </row>
    <row r="59" spans="2:10">
      <c r="B59" s="27"/>
      <c r="C59" s="27"/>
      <c r="D59" s="27"/>
      <c r="E59" s="1"/>
      <c r="F59" s="1"/>
      <c r="G59" s="28"/>
      <c r="J59" s="133"/>
    </row>
    <row r="60" spans="2:10">
      <c r="B60" s="27"/>
      <c r="C60" s="27"/>
      <c r="D60" s="27"/>
      <c r="E60" s="1"/>
      <c r="F60" s="1"/>
      <c r="G60" s="28"/>
      <c r="J60" s="133"/>
    </row>
    <row r="61" spans="2:10">
      <c r="B61" s="27"/>
      <c r="C61" s="27"/>
      <c r="D61" s="27"/>
      <c r="E61" s="1"/>
      <c r="F61" s="1"/>
      <c r="G61" s="28"/>
    </row>
    <row r="62" spans="2:10">
      <c r="B62" s="27"/>
      <c r="C62" s="6"/>
      <c r="D62" s="6"/>
      <c r="E62" s="7"/>
      <c r="F62" s="7"/>
      <c r="G62" s="8"/>
    </row>
    <row r="63" spans="2:10">
      <c r="B63" s="6"/>
      <c r="C63" s="7"/>
      <c r="D63" s="7"/>
      <c r="E63" s="7"/>
      <c r="F63" s="7"/>
      <c r="G63" s="8"/>
    </row>
  </sheetData>
  <sheetProtection formatColumns="0" insertRows="0" deleteRows="0"/>
  <protectedRanges>
    <protectedRange sqref="A39:A41" name="Plage2"/>
    <protectedRange sqref="B10:C15" name="Plage1_1"/>
  </protectedRanges>
  <mergeCells count="27">
    <mergeCell ref="B1:G1"/>
    <mergeCell ref="A2:A16"/>
    <mergeCell ref="B8:C8"/>
    <mergeCell ref="E8:F8"/>
    <mergeCell ref="D9:G9"/>
    <mergeCell ref="B10:C10"/>
    <mergeCell ref="D10:G10"/>
    <mergeCell ref="B11:C11"/>
    <mergeCell ref="D11:G11"/>
    <mergeCell ref="B12:C12"/>
    <mergeCell ref="B13:C15"/>
    <mergeCell ref="D13:G13"/>
    <mergeCell ref="D14:G14"/>
    <mergeCell ref="B16:G16"/>
    <mergeCell ref="A17:A18"/>
    <mergeCell ref="B17:B18"/>
    <mergeCell ref="C17:C18"/>
    <mergeCell ref="D17:D18"/>
    <mergeCell ref="E17:E18"/>
    <mergeCell ref="F17:F18"/>
    <mergeCell ref="D50:G50"/>
    <mergeCell ref="G17:G18"/>
    <mergeCell ref="B22:C22"/>
    <mergeCell ref="B23:C23"/>
    <mergeCell ref="B31:C31"/>
    <mergeCell ref="C46:D46"/>
    <mergeCell ref="D49:G49"/>
  </mergeCells>
  <dataValidations count="2">
    <dataValidation type="list" allowBlank="1" showInputMessage="1" showErrorMessage="1" sqref="A19:A47" xr:uid="{E9B181F3-DE1A-431D-BB73-FA19A7848802}">
      <formula1>PRESTATION</formula1>
    </dataValidation>
    <dataValidation type="list" allowBlank="1" showInputMessage="1" showErrorMessage="1" sqref="C24:C41" xr:uid="{F4892802-C0F7-4A8A-8DE5-06D038B6E931}">
      <formula1>INDIRECT(A24)</formula1>
    </dataValidation>
  </dataValidations>
  <pageMargins left="0.23622047244094491" right="0.23622047244094491" top="0.74803149606299213" bottom="0.74803149606299213" header="0.31496062992125984" footer="0.31496062992125984"/>
  <pageSetup paperSize="9" scale="76" fitToHeight="0" orientation="portrait" r:id="rId1"/>
  <headerFooter>
    <oddFooter>&amp;L&amp;"Century Gothic,Normal"&amp;K00-049&amp;P / &amp;N&amp;C&amp;"Century Gothic,Normal"&amp;K00-048S.C LAROX WOOD HOUSE SRL - Botosani - Romania - N° Intracom : RO 34 11 41 07
contact@loftwood.fr - www.loftwood.fr - 05 61 35 20 34&amp;R&amp;"Century Gothic,Normal"&amp;K00-049&amp;D</oddFooter>
  </headerFooter>
  <drawing r:id="rId2"/>
  <legacyDrawing r:id="rId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5EDFF6-6ED1-4612-AD9D-5A50C8EE1CCA}">
  <sheetPr>
    <tabColor theme="7"/>
    <pageSetUpPr fitToPage="1"/>
  </sheetPr>
  <dimension ref="A1:V141"/>
  <sheetViews>
    <sheetView showGridLines="0" view="pageBreakPreview" topLeftCell="A21" zoomScaleNormal="100" zoomScaleSheetLayoutView="100" workbookViewId="0">
      <selection activeCell="G49" sqref="G49"/>
    </sheetView>
  </sheetViews>
  <sheetFormatPr defaultColWidth="9.109375" defaultRowHeight="14.4"/>
  <cols>
    <col min="1" max="1" width="13.88671875" style="1" bestFit="1" customWidth="1"/>
    <col min="2" max="2" width="9.88671875" bestFit="1" customWidth="1"/>
    <col min="3" max="3" width="74.33203125" style="1" customWidth="1"/>
    <col min="4" max="4" width="7.88671875" customWidth="1"/>
    <col min="5" max="5" width="7" customWidth="1"/>
    <col min="6" max="6" width="12.5546875" bestFit="1" customWidth="1"/>
    <col min="7" max="7" width="14.88671875" bestFit="1" customWidth="1"/>
    <col min="9" max="9" width="15.109375" bestFit="1" customWidth="1"/>
    <col min="10" max="10" width="14.44140625" bestFit="1" customWidth="1"/>
    <col min="11" max="11" width="3" bestFit="1" customWidth="1"/>
    <col min="12" max="12" width="4" bestFit="1" customWidth="1"/>
    <col min="13" max="13" width="8.5546875" customWidth="1"/>
    <col min="14" max="14" width="37.5546875" customWidth="1"/>
    <col min="15" max="15" width="24" bestFit="1" customWidth="1"/>
    <col min="18" max="19" width="13" bestFit="1" customWidth="1"/>
    <col min="20" max="20" width="10.5546875" customWidth="1"/>
    <col min="21" max="21" width="12" customWidth="1"/>
    <col min="22" max="22" width="14.109375" bestFit="1" customWidth="1"/>
  </cols>
  <sheetData>
    <row r="1" spans="1:7" ht="37.65" customHeight="1">
      <c r="B1" s="472" t="str">
        <f ca="1">CONCATENATE("Devis quantitatif et estimatif n°",B10," de référence: ",B12,"  -  édition du : ",TEXT(E8,"jj-mm-aaaa"),"  -  opération : ",B11)</f>
        <v xml:space="preserve">Devis quantitatif et estimatif n°  de référence:    -  édition du : jj-12-marți  -  opération :  </v>
      </c>
      <c r="C1" s="472"/>
      <c r="D1" s="472"/>
      <c r="E1" s="472"/>
      <c r="F1" s="472"/>
      <c r="G1" s="472"/>
    </row>
    <row r="2" spans="1:7" ht="18.75" customHeight="1">
      <c r="A2" s="423"/>
      <c r="B2" s="1"/>
      <c r="D2" s="1"/>
      <c r="E2" s="1"/>
      <c r="F2" s="1"/>
      <c r="G2" s="1"/>
    </row>
    <row r="3" spans="1:7">
      <c r="A3" s="423"/>
      <c r="B3" s="1"/>
      <c r="D3" s="1"/>
      <c r="E3" s="1"/>
      <c r="F3" s="1"/>
      <c r="G3" s="1"/>
    </row>
    <row r="4" spans="1:7">
      <c r="A4" s="423"/>
      <c r="B4" s="1"/>
      <c r="D4" s="1"/>
      <c r="E4" s="1"/>
      <c r="F4" s="1"/>
      <c r="G4" s="1"/>
    </row>
    <row r="5" spans="1:7" ht="15.75" customHeight="1">
      <c r="A5" s="423"/>
      <c r="B5" s="1"/>
      <c r="D5" s="1"/>
      <c r="E5" s="1"/>
      <c r="F5" s="1"/>
      <c r="G5" s="1"/>
    </row>
    <row r="6" spans="1:7" ht="15.75" customHeight="1">
      <c r="A6" s="423"/>
      <c r="B6" s="1"/>
      <c r="D6" s="1"/>
      <c r="E6" s="1"/>
      <c r="F6" s="1"/>
      <c r="G6" s="1"/>
    </row>
    <row r="7" spans="1:7">
      <c r="A7" s="423"/>
      <c r="B7" s="1"/>
      <c r="D7" s="1"/>
      <c r="E7" s="1"/>
      <c r="F7" s="1"/>
      <c r="G7" s="1"/>
    </row>
    <row r="8" spans="1:7" ht="21">
      <c r="A8" s="423"/>
      <c r="B8" s="473" t="s">
        <v>11</v>
      </c>
      <c r="C8" s="474"/>
      <c r="D8" s="244" t="s">
        <v>12</v>
      </c>
      <c r="E8" s="475">
        <f ca="1">TODAY()</f>
        <v>45993</v>
      </c>
      <c r="F8" s="475"/>
      <c r="G8" s="245"/>
    </row>
    <row r="9" spans="1:7" ht="15.6">
      <c r="A9" s="423"/>
      <c r="B9" s="246"/>
      <c r="C9" s="247"/>
      <c r="D9" s="476"/>
      <c r="E9" s="477"/>
      <c r="F9" s="477"/>
      <c r="G9" s="478"/>
    </row>
    <row r="10" spans="1:7" ht="15.6">
      <c r="A10" s="423"/>
      <c r="B10" s="427" t="s">
        <v>266</v>
      </c>
      <c r="C10" s="428"/>
      <c r="D10" s="429" t="s">
        <v>275</v>
      </c>
      <c r="E10" s="430"/>
      <c r="F10" s="430"/>
      <c r="G10" s="431"/>
    </row>
    <row r="11" spans="1:7" ht="15.6">
      <c r="A11" s="423"/>
      <c r="B11" s="432" t="s">
        <v>266</v>
      </c>
      <c r="C11" s="433"/>
      <c r="D11" s="434" t="s">
        <v>266</v>
      </c>
      <c r="E11" s="435"/>
      <c r="F11" s="435"/>
      <c r="G11" s="436"/>
    </row>
    <row r="12" spans="1:7" ht="15.6">
      <c r="A12" s="423"/>
      <c r="B12" s="419" t="s">
        <v>266</v>
      </c>
      <c r="C12" s="420"/>
      <c r="D12" s="434" t="s">
        <v>266</v>
      </c>
      <c r="E12" s="435"/>
      <c r="F12" s="435"/>
      <c r="G12" s="436"/>
    </row>
    <row r="13" spans="1:7" ht="15" customHeight="1">
      <c r="A13" s="423"/>
      <c r="B13" s="437" t="s">
        <v>266</v>
      </c>
      <c r="C13" s="438"/>
      <c r="D13" s="434" t="s">
        <v>266</v>
      </c>
      <c r="E13" s="435"/>
      <c r="F13" s="435"/>
      <c r="G13" s="436"/>
    </row>
    <row r="14" spans="1:7" ht="15" customHeight="1">
      <c r="A14" s="423"/>
      <c r="B14" s="437"/>
      <c r="C14" s="438"/>
      <c r="D14" s="434" t="s">
        <v>266</v>
      </c>
      <c r="E14" s="448"/>
      <c r="F14" s="448"/>
      <c r="G14" s="449"/>
    </row>
    <row r="15" spans="1:7" ht="14.4" customHeight="1">
      <c r="A15" s="423"/>
      <c r="B15" s="467"/>
      <c r="C15" s="468"/>
      <c r="D15" s="6"/>
      <c r="E15" s="7"/>
      <c r="F15" s="7"/>
      <c r="G15" s="8"/>
    </row>
    <row r="16" spans="1:7">
      <c r="A16" s="423"/>
      <c r="B16" s="480" t="s">
        <v>15</v>
      </c>
      <c r="C16" s="481"/>
      <c r="D16" s="481"/>
      <c r="E16" s="481"/>
      <c r="F16" s="481"/>
      <c r="G16" s="482"/>
    </row>
    <row r="17" spans="1:13">
      <c r="A17" s="271"/>
      <c r="B17" s="248"/>
      <c r="C17" s="248"/>
      <c r="D17" s="248"/>
      <c r="E17" s="248"/>
      <c r="F17" s="248"/>
      <c r="G17" s="248"/>
    </row>
    <row r="18" spans="1:13">
      <c r="B18" s="220"/>
      <c r="C18" s="249"/>
      <c r="D18" s="249"/>
      <c r="E18" s="249"/>
      <c r="F18" s="249"/>
      <c r="G18" s="272"/>
      <c r="H18" s="159" t="str">
        <f t="shared" ref="H18:H122" ca="1" si="0">IFERROR(VLOOKUP($C18,INDIRECT(CONCATENATE("MATRICE_",$A18)),2,FALSE),"")</f>
        <v/>
      </c>
      <c r="I18" s="250"/>
      <c r="J18" s="250"/>
      <c r="K18" s="250"/>
      <c r="L18" s="250"/>
      <c r="M18" s="250"/>
    </row>
    <row r="19" spans="1:13">
      <c r="B19" s="225"/>
      <c r="C19" s="479" t="s">
        <v>356</v>
      </c>
      <c r="D19" s="479"/>
      <c r="E19" s="479"/>
      <c r="F19" s="479"/>
      <c r="G19" s="84"/>
      <c r="H19" s="159"/>
      <c r="I19" s="250"/>
      <c r="J19" s="250"/>
      <c r="K19" s="250"/>
      <c r="L19" s="250"/>
      <c r="M19" s="250"/>
    </row>
    <row r="20" spans="1:13">
      <c r="B20" s="251"/>
      <c r="C20" s="483" t="s">
        <v>357</v>
      </c>
      <c r="D20" s="483"/>
      <c r="E20" s="483"/>
      <c r="F20" s="483"/>
      <c r="G20" s="252"/>
      <c r="H20" s="159"/>
      <c r="I20" s="250"/>
      <c r="J20" s="250"/>
      <c r="K20" s="250"/>
      <c r="L20" s="250"/>
      <c r="M20" s="250"/>
    </row>
    <row r="21" spans="1:13">
      <c r="B21" s="83"/>
      <c r="C21" s="483"/>
      <c r="D21" s="483"/>
      <c r="E21" s="483"/>
      <c r="F21" s="483"/>
      <c r="G21" s="252"/>
      <c r="H21" s="159"/>
      <c r="I21" s="250"/>
      <c r="J21" s="250"/>
      <c r="K21" s="250"/>
      <c r="L21" s="250"/>
      <c r="M21" s="250"/>
    </row>
    <row r="22" spans="1:13">
      <c r="B22" s="226"/>
      <c r="C22" s="479" t="s">
        <v>354</v>
      </c>
      <c r="D22" s="479"/>
      <c r="E22" s="479"/>
      <c r="F22" s="479"/>
      <c r="G22" s="252"/>
      <c r="H22" s="159"/>
      <c r="I22" s="250"/>
      <c r="J22" s="250"/>
      <c r="K22" s="250"/>
      <c r="L22" s="250"/>
      <c r="M22" s="250"/>
    </row>
    <row r="23" spans="1:13" ht="14.4" customHeight="1">
      <c r="B23" s="251"/>
      <c r="C23" s="483" t="s">
        <v>361</v>
      </c>
      <c r="D23" s="483"/>
      <c r="E23" s="483"/>
      <c r="F23" s="483"/>
      <c r="G23" s="252"/>
      <c r="H23" s="159"/>
      <c r="I23" s="250"/>
      <c r="J23" s="250"/>
      <c r="K23" s="250"/>
      <c r="L23" s="250"/>
      <c r="M23" s="250"/>
    </row>
    <row r="24" spans="1:13" ht="14.4" customHeight="1">
      <c r="B24" s="251"/>
      <c r="C24" s="483"/>
      <c r="D24" s="483"/>
      <c r="E24" s="483"/>
      <c r="F24" s="483"/>
      <c r="G24" s="252"/>
      <c r="H24" s="159"/>
      <c r="I24" s="250"/>
      <c r="J24" s="250"/>
      <c r="K24" s="250"/>
      <c r="L24" s="250"/>
      <c r="M24" s="250"/>
    </row>
    <row r="25" spans="1:13">
      <c r="B25" s="83"/>
      <c r="C25" s="483"/>
      <c r="D25" s="483"/>
      <c r="E25" s="483"/>
      <c r="F25" s="483"/>
      <c r="G25" s="252"/>
      <c r="H25" s="159"/>
      <c r="I25" s="250"/>
      <c r="J25" s="250"/>
      <c r="K25" s="250"/>
      <c r="L25" s="250"/>
      <c r="M25" s="250"/>
    </row>
    <row r="26" spans="1:13">
      <c r="B26" s="225"/>
      <c r="C26" s="479" t="s">
        <v>355</v>
      </c>
      <c r="D26" s="479"/>
      <c r="E26" s="479"/>
      <c r="F26" s="479"/>
      <c r="G26" s="252"/>
      <c r="H26" s="159"/>
      <c r="I26" s="250"/>
      <c r="J26" s="250"/>
      <c r="K26" s="250"/>
      <c r="L26" s="250"/>
      <c r="M26" s="250"/>
    </row>
    <row r="27" spans="1:13">
      <c r="B27" s="251"/>
      <c r="C27" s="483" t="s">
        <v>358</v>
      </c>
      <c r="D27" s="483"/>
      <c r="E27" s="483"/>
      <c r="F27" s="483"/>
      <c r="G27" s="252"/>
      <c r="H27" s="159"/>
      <c r="I27" s="250"/>
      <c r="J27" s="250"/>
      <c r="K27" s="250"/>
      <c r="L27" s="250"/>
      <c r="M27" s="250"/>
    </row>
    <row r="28" spans="1:13">
      <c r="B28" s="251"/>
      <c r="C28" s="483" t="s">
        <v>362</v>
      </c>
      <c r="D28" s="483"/>
      <c r="E28" s="483"/>
      <c r="F28" s="483"/>
      <c r="G28" s="252"/>
      <c r="H28" s="159"/>
      <c r="I28" s="250"/>
      <c r="J28" s="250"/>
      <c r="K28" s="250"/>
      <c r="L28" s="250"/>
      <c r="M28" s="250"/>
    </row>
    <row r="29" spans="1:13">
      <c r="B29" s="251"/>
      <c r="C29" s="483" t="s">
        <v>359</v>
      </c>
      <c r="D29" s="483"/>
      <c r="E29" s="483"/>
      <c r="F29" s="483"/>
      <c r="G29" s="252"/>
      <c r="H29" s="159"/>
      <c r="I29" s="250"/>
      <c r="J29" s="250"/>
      <c r="K29" s="250"/>
      <c r="L29" s="250"/>
      <c r="M29" s="250"/>
    </row>
    <row r="30" spans="1:13">
      <c r="B30" s="223"/>
      <c r="C30" s="483" t="s">
        <v>388</v>
      </c>
      <c r="D30" s="483"/>
      <c r="E30" s="483"/>
      <c r="F30" s="483"/>
      <c r="G30" s="252"/>
      <c r="H30" s="159"/>
      <c r="I30" s="250"/>
      <c r="J30" s="250"/>
      <c r="K30" s="250"/>
      <c r="L30" s="250"/>
      <c r="M30" s="250"/>
    </row>
    <row r="31" spans="1:13">
      <c r="B31" s="223"/>
      <c r="C31" s="483"/>
      <c r="D31" s="483"/>
      <c r="E31" s="483"/>
      <c r="F31" s="483"/>
      <c r="G31" s="252"/>
      <c r="H31" s="159"/>
      <c r="I31" s="250"/>
      <c r="J31" s="250"/>
      <c r="K31" s="250"/>
      <c r="L31" s="250"/>
      <c r="M31" s="250"/>
    </row>
    <row r="32" spans="1:13">
      <c r="B32" s="223"/>
      <c r="C32" s="484"/>
      <c r="D32" s="484"/>
      <c r="E32" s="484"/>
      <c r="F32" s="484"/>
      <c r="G32" s="252"/>
      <c r="H32" s="159"/>
      <c r="I32" s="250"/>
      <c r="J32" s="250"/>
      <c r="K32" s="250"/>
      <c r="L32" s="250"/>
      <c r="M32" s="250"/>
    </row>
    <row r="33" spans="1:13">
      <c r="B33" s="223"/>
      <c r="C33" s="483"/>
      <c r="D33" s="483"/>
      <c r="E33" s="483"/>
      <c r="F33" s="483"/>
      <c r="G33" s="252"/>
      <c r="H33" s="159"/>
      <c r="I33" s="250"/>
      <c r="J33" s="250"/>
      <c r="K33" s="250"/>
      <c r="L33" s="250"/>
      <c r="M33" s="250"/>
    </row>
    <row r="34" spans="1:13">
      <c r="B34" s="223"/>
      <c r="C34" s="483"/>
      <c r="D34" s="483"/>
      <c r="E34" s="483"/>
      <c r="F34" s="483"/>
      <c r="G34" s="252"/>
      <c r="H34" s="159"/>
      <c r="I34" s="250"/>
      <c r="J34" s="250"/>
      <c r="K34" s="250"/>
      <c r="L34" s="250"/>
      <c r="M34" s="250"/>
    </row>
    <row r="35" spans="1:13">
      <c r="B35" s="223"/>
      <c r="C35" s="485" t="s">
        <v>363</v>
      </c>
      <c r="D35" s="485"/>
      <c r="E35" s="485"/>
      <c r="F35" s="485"/>
      <c r="G35" s="252"/>
      <c r="H35" s="159"/>
      <c r="I35" s="250"/>
      <c r="J35" s="250"/>
      <c r="K35" s="250"/>
      <c r="L35" s="250"/>
      <c r="M35" s="250"/>
    </row>
    <row r="36" spans="1:13">
      <c r="B36" s="223"/>
      <c r="C36" s="483" t="s">
        <v>372</v>
      </c>
      <c r="D36" s="483"/>
      <c r="E36" s="483"/>
      <c r="F36" s="483"/>
      <c r="G36" s="252"/>
      <c r="H36" s="159"/>
      <c r="I36" s="250"/>
      <c r="J36" s="250"/>
      <c r="K36" s="250"/>
      <c r="L36" s="250"/>
      <c r="M36" s="250"/>
    </row>
    <row r="37" spans="1:13">
      <c r="B37" s="223"/>
      <c r="C37" s="483" t="s">
        <v>364</v>
      </c>
      <c r="D37" s="483"/>
      <c r="E37" s="483"/>
      <c r="F37" s="483"/>
      <c r="G37" s="252"/>
      <c r="H37" s="159"/>
      <c r="I37" s="250"/>
      <c r="J37" s="250"/>
      <c r="K37" s="250"/>
      <c r="L37" s="250"/>
      <c r="M37" s="250"/>
    </row>
    <row r="38" spans="1:13" ht="14.4" customHeight="1">
      <c r="B38" s="223"/>
      <c r="C38" s="483" t="s">
        <v>365</v>
      </c>
      <c r="D38" s="483"/>
      <c r="E38" s="483"/>
      <c r="F38" s="483"/>
      <c r="G38" s="252"/>
      <c r="H38" s="159"/>
      <c r="I38" s="250"/>
      <c r="J38" s="250"/>
      <c r="K38" s="250"/>
      <c r="L38" s="250"/>
      <c r="M38" s="250"/>
    </row>
    <row r="39" spans="1:13">
      <c r="B39" s="223"/>
      <c r="C39" s="483" t="s">
        <v>373</v>
      </c>
      <c r="D39" s="483"/>
      <c r="E39" s="483"/>
      <c r="F39" s="483"/>
      <c r="G39" s="252"/>
      <c r="H39" s="159"/>
      <c r="I39" s="250"/>
      <c r="J39" s="250"/>
      <c r="K39" s="250"/>
      <c r="L39" s="250"/>
      <c r="M39" s="250"/>
    </row>
    <row r="40" spans="1:13">
      <c r="A40" s="423" t="s">
        <v>245</v>
      </c>
      <c r="B40" s="223"/>
      <c r="C40" s="483" t="s">
        <v>366</v>
      </c>
      <c r="D40" s="483"/>
      <c r="E40" s="483"/>
      <c r="F40" s="483"/>
      <c r="G40" s="252"/>
      <c r="H40" s="159"/>
      <c r="I40" s="250"/>
      <c r="J40" s="250"/>
      <c r="K40" s="250"/>
      <c r="L40" s="250"/>
      <c r="M40" s="250"/>
    </row>
    <row r="41" spans="1:13">
      <c r="A41" s="423"/>
      <c r="B41" s="223"/>
      <c r="C41" s="483" t="s">
        <v>380</v>
      </c>
      <c r="D41" s="483"/>
      <c r="E41" s="483"/>
      <c r="F41" s="483"/>
      <c r="G41" s="252"/>
      <c r="H41" s="159"/>
      <c r="I41" s="250"/>
      <c r="J41" s="250"/>
      <c r="K41" s="250"/>
      <c r="L41" s="250"/>
      <c r="M41" s="250"/>
    </row>
    <row r="42" spans="1:13">
      <c r="A42" s="423"/>
      <c r="B42" s="223"/>
      <c r="C42" s="483" t="s">
        <v>374</v>
      </c>
      <c r="D42" s="483"/>
      <c r="E42" s="483"/>
      <c r="F42" s="483"/>
      <c r="G42" s="252"/>
      <c r="H42" s="159"/>
      <c r="I42" s="250"/>
      <c r="J42" s="250"/>
      <c r="K42" s="250"/>
      <c r="L42" s="250"/>
      <c r="M42" s="250"/>
    </row>
    <row r="43" spans="1:13">
      <c r="A43" s="423"/>
      <c r="B43" s="223"/>
      <c r="C43" s="483"/>
      <c r="D43" s="483"/>
      <c r="E43" s="483"/>
      <c r="F43" s="483"/>
      <c r="G43" s="252"/>
      <c r="H43" s="159"/>
      <c r="I43" s="250"/>
      <c r="J43" s="250"/>
      <c r="K43" s="250"/>
      <c r="L43" s="250"/>
      <c r="M43" s="250"/>
    </row>
    <row r="44" spans="1:13">
      <c r="A44" s="423"/>
      <c r="B44" s="223"/>
      <c r="C44" s="483"/>
      <c r="D44" s="483"/>
      <c r="E44" s="483"/>
      <c r="F44" s="483"/>
      <c r="G44" s="252"/>
      <c r="H44" s="159"/>
      <c r="I44" s="250"/>
      <c r="J44" s="250"/>
      <c r="K44" s="250"/>
      <c r="L44" s="250"/>
      <c r="M44" s="250"/>
    </row>
    <row r="45" spans="1:13">
      <c r="A45" s="423"/>
      <c r="B45" s="223"/>
      <c r="C45" s="483"/>
      <c r="D45" s="483"/>
      <c r="E45" s="483"/>
      <c r="F45" s="483"/>
      <c r="G45" s="252"/>
      <c r="H45" s="159"/>
      <c r="I45" s="250"/>
      <c r="J45" s="250"/>
      <c r="K45" s="250"/>
      <c r="L45" s="250"/>
      <c r="M45" s="250"/>
    </row>
    <row r="46" spans="1:13">
      <c r="A46" s="423"/>
      <c r="B46" s="223"/>
      <c r="C46" s="485" t="s">
        <v>367</v>
      </c>
      <c r="D46" s="485"/>
      <c r="E46" s="485"/>
      <c r="F46" s="485"/>
      <c r="G46" s="252"/>
      <c r="H46" s="159"/>
      <c r="I46" s="250"/>
      <c r="J46" s="250"/>
      <c r="K46" s="250"/>
      <c r="L46" s="250"/>
      <c r="M46" s="250"/>
    </row>
    <row r="47" spans="1:13">
      <c r="A47" s="423"/>
      <c r="B47" s="223"/>
      <c r="C47" s="483" t="s">
        <v>368</v>
      </c>
      <c r="D47" s="483"/>
      <c r="E47" s="483"/>
      <c r="F47" s="483"/>
      <c r="G47" s="252"/>
      <c r="H47" s="159"/>
      <c r="I47" s="250"/>
      <c r="J47" s="250"/>
      <c r="K47" s="250"/>
      <c r="L47" s="250"/>
      <c r="M47" s="250"/>
    </row>
    <row r="48" spans="1:13">
      <c r="A48" s="423"/>
      <c r="B48" s="223"/>
      <c r="C48" s="483" t="s">
        <v>369</v>
      </c>
      <c r="D48" s="483"/>
      <c r="E48" s="483"/>
      <c r="F48" s="483"/>
      <c r="G48" s="252"/>
      <c r="H48" s="159"/>
      <c r="I48" s="250"/>
      <c r="J48" s="250"/>
      <c r="K48" s="250"/>
      <c r="L48" s="250"/>
      <c r="M48" s="250"/>
    </row>
    <row r="49" spans="1:13">
      <c r="A49" s="423"/>
      <c r="B49" s="223"/>
      <c r="C49" s="483" t="s">
        <v>381</v>
      </c>
      <c r="D49" s="483"/>
      <c r="E49" s="483"/>
      <c r="F49" s="483"/>
      <c r="G49" s="252"/>
      <c r="H49" s="159"/>
      <c r="I49" s="250"/>
      <c r="J49" s="250"/>
      <c r="K49" s="250"/>
      <c r="L49" s="250"/>
      <c r="M49" s="250"/>
    </row>
    <row r="50" spans="1:13">
      <c r="A50" s="423"/>
      <c r="B50" s="223"/>
      <c r="C50" s="483" t="s">
        <v>383</v>
      </c>
      <c r="D50" s="483"/>
      <c r="E50" s="483"/>
      <c r="F50" s="483"/>
      <c r="G50" s="252"/>
      <c r="H50" s="159"/>
      <c r="I50" s="250"/>
      <c r="J50" s="250"/>
      <c r="K50" s="250"/>
      <c r="L50" s="250"/>
      <c r="M50" s="250"/>
    </row>
    <row r="51" spans="1:13">
      <c r="A51" s="423"/>
      <c r="B51" s="223"/>
      <c r="C51" s="483"/>
      <c r="D51" s="483"/>
      <c r="E51" s="483"/>
      <c r="F51" s="483"/>
      <c r="G51" s="252"/>
      <c r="H51" s="159"/>
      <c r="I51" s="250"/>
      <c r="J51" s="250"/>
      <c r="K51" s="250"/>
      <c r="L51" s="250"/>
      <c r="M51" s="250"/>
    </row>
    <row r="52" spans="1:13">
      <c r="A52" s="423"/>
      <c r="B52" s="223"/>
      <c r="C52" s="483" t="s">
        <v>375</v>
      </c>
      <c r="D52" s="483"/>
      <c r="E52" s="483"/>
      <c r="F52" s="483"/>
      <c r="G52" s="252"/>
      <c r="H52" s="159"/>
      <c r="I52" s="250"/>
      <c r="J52" s="250"/>
      <c r="K52" s="250"/>
      <c r="L52" s="250"/>
      <c r="M52" s="250"/>
    </row>
    <row r="53" spans="1:13">
      <c r="A53" s="423"/>
      <c r="B53" s="223"/>
      <c r="C53" s="483"/>
      <c r="D53" s="483"/>
      <c r="E53" s="483"/>
      <c r="F53" s="483"/>
      <c r="G53" s="252"/>
      <c r="H53" s="159"/>
      <c r="I53" s="250"/>
      <c r="J53" s="250"/>
      <c r="K53" s="250"/>
      <c r="L53" s="250"/>
      <c r="M53" s="250"/>
    </row>
    <row r="54" spans="1:13">
      <c r="A54" s="423"/>
      <c r="B54" s="223"/>
      <c r="C54" s="483"/>
      <c r="D54" s="483"/>
      <c r="E54" s="483"/>
      <c r="F54" s="483"/>
      <c r="G54" s="252"/>
      <c r="H54" s="159"/>
      <c r="I54" s="250"/>
      <c r="J54" s="250"/>
      <c r="K54" s="250"/>
      <c r="L54" s="250"/>
      <c r="M54" s="250"/>
    </row>
    <row r="55" spans="1:13">
      <c r="A55" s="423"/>
      <c r="B55" s="223"/>
      <c r="C55" s="483"/>
      <c r="D55" s="483"/>
      <c r="E55" s="483"/>
      <c r="F55" s="483"/>
      <c r="G55" s="252"/>
      <c r="H55" s="159"/>
      <c r="I55" s="250"/>
      <c r="J55" s="250"/>
      <c r="K55" s="250"/>
      <c r="L55" s="250"/>
      <c r="M55" s="250"/>
    </row>
    <row r="56" spans="1:13">
      <c r="A56" s="423"/>
      <c r="B56" s="223"/>
      <c r="C56" s="483"/>
      <c r="D56" s="483"/>
      <c r="E56" s="483"/>
      <c r="F56" s="483"/>
      <c r="G56" s="252"/>
      <c r="H56" s="159"/>
      <c r="I56" s="250"/>
      <c r="J56" s="250"/>
      <c r="K56" s="250"/>
      <c r="L56" s="250"/>
      <c r="M56" s="250"/>
    </row>
    <row r="57" spans="1:13">
      <c r="A57" s="423"/>
      <c r="B57" s="223"/>
      <c r="C57" s="483"/>
      <c r="D57" s="483"/>
      <c r="E57" s="483"/>
      <c r="F57" s="483"/>
      <c r="G57" s="252"/>
      <c r="H57" s="159"/>
      <c r="I57" s="250"/>
      <c r="J57" s="250"/>
      <c r="K57" s="250"/>
      <c r="L57" s="250"/>
      <c r="M57" s="250"/>
    </row>
    <row r="58" spans="1:13">
      <c r="A58" s="423"/>
      <c r="B58" s="223"/>
      <c r="C58" s="483"/>
      <c r="D58" s="483"/>
      <c r="E58" s="483"/>
      <c r="F58" s="483"/>
      <c r="G58" s="252"/>
      <c r="H58" s="159"/>
      <c r="I58" s="250"/>
      <c r="J58" s="250"/>
      <c r="K58" s="250"/>
      <c r="L58" s="250"/>
      <c r="M58" s="250"/>
    </row>
    <row r="59" spans="1:13">
      <c r="A59" s="423"/>
      <c r="B59" s="223"/>
      <c r="C59" s="483"/>
      <c r="D59" s="483"/>
      <c r="E59" s="483"/>
      <c r="F59" s="483"/>
      <c r="G59" s="252"/>
      <c r="H59" s="159"/>
      <c r="I59" s="250"/>
      <c r="J59" s="250"/>
      <c r="K59" s="250"/>
      <c r="L59" s="250"/>
      <c r="M59" s="250"/>
    </row>
    <row r="60" spans="1:13">
      <c r="A60" s="423"/>
      <c r="B60" s="223"/>
      <c r="C60" s="483"/>
      <c r="D60" s="483"/>
      <c r="E60" s="483"/>
      <c r="F60" s="483"/>
      <c r="G60" s="252"/>
      <c r="H60" s="159"/>
      <c r="I60" s="250"/>
      <c r="J60" s="250"/>
      <c r="K60" s="250"/>
      <c r="L60" s="250"/>
      <c r="M60" s="250"/>
    </row>
    <row r="61" spans="1:13">
      <c r="A61" s="423"/>
      <c r="B61" s="223"/>
      <c r="C61" s="483"/>
      <c r="D61" s="483"/>
      <c r="E61" s="483"/>
      <c r="F61" s="483"/>
      <c r="G61" s="252"/>
      <c r="H61" s="159"/>
      <c r="I61" s="250"/>
      <c r="J61" s="250"/>
      <c r="K61" s="250"/>
      <c r="L61" s="250"/>
      <c r="M61" s="250"/>
    </row>
    <row r="62" spans="1:13">
      <c r="A62" s="423"/>
      <c r="B62" s="224"/>
      <c r="C62" s="219"/>
      <c r="D62" s="253"/>
      <c r="E62" s="253"/>
      <c r="F62" s="253"/>
      <c r="G62" s="254"/>
      <c r="H62" s="159"/>
      <c r="I62" s="250"/>
      <c r="J62" s="250"/>
      <c r="K62" s="250"/>
      <c r="L62" s="250"/>
      <c r="M62" s="250"/>
    </row>
    <row r="63" spans="1:13" ht="15" customHeight="1">
      <c r="A63" s="486" t="s">
        <v>244</v>
      </c>
      <c r="B63" s="486" t="s">
        <v>176</v>
      </c>
      <c r="C63" s="487" t="s">
        <v>16</v>
      </c>
      <c r="D63" s="488" t="s">
        <v>17</v>
      </c>
      <c r="E63" s="488" t="s">
        <v>18</v>
      </c>
      <c r="F63" s="488" t="s">
        <v>19</v>
      </c>
      <c r="G63" s="488" t="s">
        <v>20</v>
      </c>
    </row>
    <row r="64" spans="1:13">
      <c r="A64" s="440"/>
      <c r="B64" s="422"/>
      <c r="C64" s="442"/>
      <c r="D64" s="422"/>
      <c r="E64" s="422"/>
      <c r="F64" s="422"/>
      <c r="G64" s="422"/>
    </row>
    <row r="65" spans="1:22" ht="15" thickBot="1">
      <c r="B65" s="220"/>
      <c r="C65" s="272"/>
      <c r="D65" s="273"/>
      <c r="E65" s="273"/>
      <c r="F65" s="273"/>
      <c r="G65" s="221"/>
      <c r="H65" s="159" t="str">
        <f t="shared" ca="1" si="0"/>
        <v/>
      </c>
      <c r="I65" s="205">
        <v>0</v>
      </c>
      <c r="J65" s="250"/>
      <c r="K65" s="250"/>
      <c r="L65" s="250"/>
      <c r="M65" s="250"/>
      <c r="O65" s="170">
        <v>0.1</v>
      </c>
      <c r="R65" s="270" t="s">
        <v>389</v>
      </c>
      <c r="S65" s="270" t="s">
        <v>29</v>
      </c>
      <c r="T65" s="270" t="s">
        <v>370</v>
      </c>
      <c r="U65" s="270" t="s">
        <v>386</v>
      </c>
      <c r="V65" s="270" t="s">
        <v>371</v>
      </c>
    </row>
    <row r="66" spans="1:22" ht="15" customHeight="1" thickBot="1">
      <c r="B66" s="255" t="s">
        <v>392</v>
      </c>
      <c r="C66" s="256"/>
      <c r="D66" s="161" t="str">
        <f t="shared" ref="D66:D75" ca="1" si="1">IFERROR(VLOOKUP($C66,INDIRECT(CONCATENATE("MATRICE_",$A66)),3,FALSE),"")</f>
        <v/>
      </c>
      <c r="E66" s="9"/>
      <c r="F66" s="10"/>
      <c r="G66" s="163"/>
      <c r="H66" s="159" t="str">
        <f t="shared" ca="1" si="0"/>
        <v/>
      </c>
      <c r="I66" s="269" t="s">
        <v>376</v>
      </c>
      <c r="J66" s="257" t="s">
        <v>339</v>
      </c>
      <c r="K66" s="269" t="s">
        <v>114</v>
      </c>
      <c r="L66" s="269" t="s">
        <v>390</v>
      </c>
      <c r="M66" s="269" t="s">
        <v>391</v>
      </c>
      <c r="O66" s="169">
        <f ca="1">SUM(O67:O123)*O65</f>
        <v>0</v>
      </c>
      <c r="R66" s="132">
        <f ca="1">SUM(G67:G75,G81:G90,G96:G97)</f>
        <v>0</v>
      </c>
      <c r="S66" s="132" t="str">
        <f ca="1">G108</f>
        <v/>
      </c>
      <c r="T66" s="132"/>
      <c r="U66" s="132" t="str">
        <f ca="1">G112</f>
        <v/>
      </c>
      <c r="V66" s="132">
        <f ca="1">SUM(G76,G91,G98)</f>
        <v>0</v>
      </c>
    </row>
    <row r="67" spans="1:22">
      <c r="A67" s="1" t="s">
        <v>35</v>
      </c>
      <c r="B67" s="51"/>
      <c r="C67" s="173"/>
      <c r="D67" s="161" t="str">
        <f t="shared" ca="1" si="1"/>
        <v/>
      </c>
      <c r="E67" s="9"/>
      <c r="F67" s="10" t="str">
        <f ca="1">IFERROR(ROUNDUP((I67+J67)/E67,0),"")</f>
        <v/>
      </c>
      <c r="G67" s="163" t="str">
        <f t="shared" ref="G67:G119" ca="1" si="2">IFERROR(F67*E67,"")</f>
        <v/>
      </c>
      <c r="H67" s="159" t="str">
        <f t="shared" ca="1" si="0"/>
        <v/>
      </c>
      <c r="I67" s="208" t="str">
        <f ca="1">IFERROR(J67*((1/(1-$I$65))-1),"")</f>
        <v/>
      </c>
      <c r="J67" s="209" t="str">
        <f t="shared" ref="J67:J122" ca="1" si="3">IFERROR(E67*ROUNDUP(IF(C67="FORFAIT QUINCAILLERIE",$O$66,VLOOKUP($C67,INDIRECT(CONCATENATE("MATRICE_",$A67)),4,FALSE)),0),"")</f>
        <v/>
      </c>
      <c r="K67" s="161"/>
      <c r="L67" s="9"/>
      <c r="M67" s="277"/>
      <c r="N67" s="278"/>
      <c r="O67" s="168" t="str">
        <f t="shared" ref="O67:O123" ca="1" si="4">IF(OR(A67="COMPOSITION",A67="ARTICLE"),G67,"")</f>
        <v/>
      </c>
      <c r="R67" s="470"/>
      <c r="S67" s="471"/>
      <c r="T67" s="132"/>
      <c r="U67" s="470"/>
      <c r="V67" s="471"/>
    </row>
    <row r="68" spans="1:22">
      <c r="B68" s="51"/>
      <c r="C68" s="173"/>
      <c r="D68" s="161" t="str">
        <f t="shared" ca="1" si="1"/>
        <v/>
      </c>
      <c r="E68" s="9"/>
      <c r="F68" s="10" t="str">
        <f t="shared" ref="F68:F119" ca="1" si="5">IFERROR(ROUNDUP((I68+J68)/E68,0),"")</f>
        <v/>
      </c>
      <c r="G68" s="163" t="str">
        <f t="shared" ca="1" si="2"/>
        <v/>
      </c>
      <c r="H68" s="159" t="str">
        <f t="shared" ca="1" si="0"/>
        <v/>
      </c>
      <c r="I68" s="209" t="str">
        <f t="shared" ref="I68:I122" ca="1" si="6">IFERROR(J68*((1/(1-$I$65))-1),"")</f>
        <v/>
      </c>
      <c r="J68" s="209" t="str">
        <f t="shared" ca="1" si="3"/>
        <v/>
      </c>
      <c r="K68" s="161"/>
      <c r="L68" s="9"/>
      <c r="M68" s="9"/>
      <c r="N68" s="61"/>
      <c r="O68" s="168" t="str">
        <f t="shared" si="4"/>
        <v/>
      </c>
    </row>
    <row r="69" spans="1:22">
      <c r="B69" s="51"/>
      <c r="C69" s="173"/>
      <c r="D69" s="161" t="str">
        <f t="shared" ca="1" si="1"/>
        <v/>
      </c>
      <c r="E69" s="9"/>
      <c r="F69" s="10" t="str">
        <f t="shared" ca="1" si="5"/>
        <v/>
      </c>
      <c r="G69" s="163" t="str">
        <f t="shared" ca="1" si="2"/>
        <v/>
      </c>
      <c r="H69" s="159" t="str">
        <f t="shared" ca="1" si="0"/>
        <v/>
      </c>
      <c r="I69" s="209" t="str">
        <f t="shared" ca="1" si="6"/>
        <v/>
      </c>
      <c r="J69" s="209" t="str">
        <f t="shared" ca="1" si="3"/>
        <v/>
      </c>
      <c r="K69" s="161"/>
      <c r="L69" s="9"/>
      <c r="M69" s="9"/>
      <c r="N69" s="278"/>
      <c r="O69" s="168" t="str">
        <f t="shared" si="4"/>
        <v/>
      </c>
    </row>
    <row r="70" spans="1:22">
      <c r="B70" s="51"/>
      <c r="C70" s="173"/>
      <c r="D70" s="161" t="str">
        <f t="shared" ca="1" si="1"/>
        <v/>
      </c>
      <c r="E70" s="9"/>
      <c r="F70" s="10" t="str">
        <f t="shared" ca="1" si="5"/>
        <v/>
      </c>
      <c r="G70" s="163" t="str">
        <f t="shared" ca="1" si="2"/>
        <v/>
      </c>
      <c r="H70" s="159" t="str">
        <f t="shared" ca="1" si="0"/>
        <v/>
      </c>
      <c r="I70" s="209" t="str">
        <f t="shared" ca="1" si="6"/>
        <v/>
      </c>
      <c r="J70" s="209" t="str">
        <f t="shared" ca="1" si="3"/>
        <v/>
      </c>
      <c r="K70" s="161"/>
      <c r="L70" s="9"/>
      <c r="M70" s="9"/>
      <c r="N70" s="61"/>
      <c r="O70" s="168"/>
    </row>
    <row r="71" spans="1:22">
      <c r="B71" s="51"/>
      <c r="C71" s="173"/>
      <c r="D71" s="161" t="str">
        <f t="shared" ca="1" si="1"/>
        <v/>
      </c>
      <c r="E71" s="9"/>
      <c r="F71" s="10" t="str">
        <f t="shared" ref="F71" ca="1" si="7">IFERROR(ROUNDUP((I71+J71)/E71,0),"")</f>
        <v/>
      </c>
      <c r="G71" s="163" t="str">
        <f t="shared" ref="G71" ca="1" si="8">IFERROR(F71*E71,"")</f>
        <v/>
      </c>
      <c r="H71" s="159" t="str">
        <f t="shared" ca="1" si="0"/>
        <v/>
      </c>
      <c r="I71" s="209" t="str">
        <f t="shared" ref="I71" ca="1" si="9">IFERROR(J71*((1/(1-$I$65))-1),"")</f>
        <v/>
      </c>
      <c r="J71" s="209" t="str">
        <f t="shared" ca="1" si="3"/>
        <v/>
      </c>
      <c r="K71" s="161"/>
      <c r="L71" s="9"/>
      <c r="M71" s="9"/>
      <c r="O71" s="168"/>
    </row>
    <row r="72" spans="1:22">
      <c r="B72" s="51"/>
      <c r="C72" s="173"/>
      <c r="D72" s="161" t="str">
        <f t="shared" ca="1" si="1"/>
        <v/>
      </c>
      <c r="E72" s="9"/>
      <c r="F72" s="10" t="str">
        <f t="shared" ref="F72:F77" ca="1" si="10">IFERROR(ROUNDUP((I72+J72)/E72,0),"")</f>
        <v/>
      </c>
      <c r="G72" s="163" t="str">
        <f t="shared" ref="G72:G77" ca="1" si="11">IFERROR(F72*E72,"")</f>
        <v/>
      </c>
      <c r="H72" s="159" t="str">
        <f t="shared" ca="1" si="0"/>
        <v/>
      </c>
      <c r="I72" s="209" t="str">
        <f t="shared" ref="I72:I77" ca="1" si="12">IFERROR(J72*((1/(1-$I$65))-1),"")</f>
        <v/>
      </c>
      <c r="J72" s="209" t="str">
        <f t="shared" ca="1" si="3"/>
        <v/>
      </c>
      <c r="K72" s="161"/>
      <c r="L72" s="9"/>
      <c r="M72" s="9"/>
      <c r="O72" s="168"/>
    </row>
    <row r="73" spans="1:22">
      <c r="B73" s="51"/>
      <c r="C73" s="173"/>
      <c r="D73" s="161" t="str">
        <f t="shared" ca="1" si="1"/>
        <v/>
      </c>
      <c r="E73" s="9"/>
      <c r="F73" s="10" t="str">
        <f t="shared" ca="1" si="10"/>
        <v/>
      </c>
      <c r="G73" s="163" t="str">
        <f t="shared" ca="1" si="11"/>
        <v/>
      </c>
      <c r="H73" s="159" t="str">
        <f t="shared" ca="1" si="0"/>
        <v/>
      </c>
      <c r="I73" s="209" t="str">
        <f t="shared" ca="1" si="12"/>
        <v/>
      </c>
      <c r="J73" s="209" t="str">
        <f t="shared" ca="1" si="3"/>
        <v/>
      </c>
      <c r="K73" s="161"/>
      <c r="L73" s="9"/>
      <c r="M73" s="9"/>
      <c r="O73" s="168"/>
    </row>
    <row r="74" spans="1:22">
      <c r="B74" s="51"/>
      <c r="C74" s="173"/>
      <c r="D74" s="161" t="str">
        <f t="shared" ca="1" si="1"/>
        <v/>
      </c>
      <c r="E74" s="9"/>
      <c r="F74" s="10" t="str">
        <f t="shared" ref="F74:F76" ca="1" si="13">IFERROR(ROUNDUP((I74+J74)/E74,0),"")</f>
        <v/>
      </c>
      <c r="G74" s="163" t="str">
        <f t="shared" ref="G74:G76" ca="1" si="14">IFERROR(F74*E74,"")</f>
        <v/>
      </c>
      <c r="H74" s="159" t="str">
        <f t="shared" ca="1" si="0"/>
        <v/>
      </c>
      <c r="I74" s="209" t="str">
        <f t="shared" ref="I74:I76" ca="1" si="15">IFERROR(J74*((1/(1-$I$65))-1),"")</f>
        <v/>
      </c>
      <c r="J74" s="209" t="str">
        <f t="shared" ca="1" si="3"/>
        <v/>
      </c>
      <c r="K74" s="161"/>
      <c r="L74" s="9"/>
      <c r="M74" s="9"/>
      <c r="O74" s="168"/>
    </row>
    <row r="75" spans="1:22">
      <c r="B75" s="51"/>
      <c r="C75" s="173"/>
      <c r="D75" s="161" t="str">
        <f t="shared" ca="1" si="1"/>
        <v/>
      </c>
      <c r="E75" s="9"/>
      <c r="F75" s="10" t="str">
        <f t="shared" ref="F75" ca="1" si="16">IFERROR(ROUNDUP((I75+J75)/E75,0),"")</f>
        <v/>
      </c>
      <c r="G75" s="163" t="str">
        <f t="shared" ref="G75" ca="1" si="17">IFERROR(F75*E75,"")</f>
        <v/>
      </c>
      <c r="H75" s="159" t="str">
        <f t="shared" ca="1" si="0"/>
        <v/>
      </c>
      <c r="I75" s="209" t="str">
        <f t="shared" ref="I75" ca="1" si="18">IFERROR(J75*((1/(1-$I$65))-1),"")</f>
        <v/>
      </c>
      <c r="J75" s="209" t="str">
        <f t="shared" ca="1" si="3"/>
        <v/>
      </c>
      <c r="K75" s="161"/>
      <c r="L75" s="9"/>
      <c r="M75" s="9"/>
      <c r="O75" s="168"/>
    </row>
    <row r="76" spans="1:22">
      <c r="B76" s="51"/>
      <c r="C76" s="173"/>
      <c r="D76" s="161" t="str">
        <f t="shared" ref="D76:D122" ca="1" si="19">IFERROR(VLOOKUP($C76,INDIRECT(CONCATENATE("MATRICE_",$A76)),3,FALSE),"")</f>
        <v/>
      </c>
      <c r="E76" s="9"/>
      <c r="F76" s="10" t="str">
        <f t="shared" ca="1" si="13"/>
        <v/>
      </c>
      <c r="G76" s="163" t="str">
        <f t="shared" ca="1" si="14"/>
        <v/>
      </c>
      <c r="H76" s="159" t="str">
        <f t="shared" ca="1" si="0"/>
        <v/>
      </c>
      <c r="I76" s="209" t="str">
        <f t="shared" ca="1" si="15"/>
        <v/>
      </c>
      <c r="J76" s="209" t="str">
        <f t="shared" ca="1" si="3"/>
        <v/>
      </c>
      <c r="K76" s="161"/>
      <c r="L76" s="9"/>
      <c r="M76" s="9"/>
      <c r="O76" s="168"/>
    </row>
    <row r="77" spans="1:22">
      <c r="B77" s="51"/>
      <c r="C77" s="173"/>
      <c r="D77" s="161" t="str">
        <f t="shared" ca="1" si="19"/>
        <v/>
      </c>
      <c r="E77" s="9"/>
      <c r="F77" s="10" t="str">
        <f t="shared" ca="1" si="10"/>
        <v/>
      </c>
      <c r="G77" s="163" t="str">
        <f t="shared" ca="1" si="11"/>
        <v/>
      </c>
      <c r="H77" s="159" t="str">
        <f t="shared" ca="1" si="0"/>
        <v/>
      </c>
      <c r="I77" s="209" t="str">
        <f t="shared" ca="1" si="12"/>
        <v/>
      </c>
      <c r="J77" s="209" t="str">
        <f t="shared" ref="J77:J112" ca="1" si="20">IFERROR(E77*ROUNDUP(IF(C77="FORFAIT QUINCAILLERIE",$O$66,VLOOKUP($C77,INDIRECT(CONCATENATE("MATRICE_",$A77)),4,FALSE)),0),"")</f>
        <v/>
      </c>
      <c r="K77" s="161"/>
      <c r="L77" s="9"/>
      <c r="M77" s="9"/>
      <c r="O77" s="168"/>
    </row>
    <row r="78" spans="1:22" ht="18">
      <c r="B78" s="51"/>
      <c r="C78" s="279" t="str">
        <f>CONCATENATE("Total ",B66," :")</f>
        <v>Total Mur à ossature bois (vide pour plein) :</v>
      </c>
      <c r="D78" s="493">
        <f ca="1">SUM(G67:G77)</f>
        <v>0</v>
      </c>
      <c r="E78" s="494"/>
      <c r="F78" s="494"/>
      <c r="G78" s="495"/>
      <c r="H78" s="159"/>
      <c r="I78" s="209" t="str">
        <f t="shared" ca="1" si="6"/>
        <v/>
      </c>
      <c r="J78" s="209" t="str">
        <f t="shared" ca="1" si="3"/>
        <v/>
      </c>
      <c r="K78" s="161"/>
      <c r="L78" s="9"/>
      <c r="M78" s="9"/>
      <c r="O78" s="168" t="str">
        <f t="shared" si="4"/>
        <v/>
      </c>
    </row>
    <row r="79" spans="1:22">
      <c r="B79" s="51"/>
      <c r="C79" s="173"/>
      <c r="D79" s="161" t="str">
        <f t="shared" ca="1" si="19"/>
        <v/>
      </c>
      <c r="E79" s="9"/>
      <c r="F79" s="10" t="str">
        <f t="shared" ref="F79" ca="1" si="21">IFERROR(ROUNDUP((I79+J79)/E79,0),"")</f>
        <v/>
      </c>
      <c r="G79" s="163" t="str">
        <f t="shared" ref="G79" ca="1" si="22">IFERROR(F79*E79,"")</f>
        <v/>
      </c>
      <c r="H79" s="159" t="str">
        <f t="shared" ca="1" si="0"/>
        <v/>
      </c>
      <c r="I79" s="209" t="str">
        <f t="shared" ca="1" si="6"/>
        <v/>
      </c>
      <c r="J79" s="209" t="str">
        <f t="shared" ref="J79" ca="1" si="23">IFERROR(E79*ROUNDUP(IF(C79="FORFAIT QUINCAILLERIE",$O$66,VLOOKUP($C79,INDIRECT(CONCATENATE("MATRICE_",$A79)),4,FALSE)),0),"")</f>
        <v/>
      </c>
      <c r="K79" s="161"/>
      <c r="L79" s="9"/>
      <c r="M79" s="9"/>
      <c r="O79" s="168"/>
    </row>
    <row r="80" spans="1:22">
      <c r="B80" s="255" t="s">
        <v>393</v>
      </c>
      <c r="C80" s="173"/>
      <c r="D80" s="161" t="str">
        <f t="shared" ca="1" si="19"/>
        <v/>
      </c>
      <c r="E80" s="9"/>
      <c r="F80" s="10" t="str">
        <f t="shared" ca="1" si="5"/>
        <v/>
      </c>
      <c r="G80" s="163" t="str">
        <f t="shared" ca="1" si="2"/>
        <v/>
      </c>
      <c r="H80" s="159" t="str">
        <f t="shared" ca="1" si="0"/>
        <v/>
      </c>
      <c r="I80" s="209" t="str">
        <f t="shared" ca="1" si="6"/>
        <v/>
      </c>
      <c r="J80" s="209" t="str">
        <f t="shared" ca="1" si="3"/>
        <v/>
      </c>
      <c r="K80" s="161"/>
      <c r="L80" s="9"/>
      <c r="M80" s="9"/>
      <c r="O80" s="168" t="str">
        <f t="shared" si="4"/>
        <v/>
      </c>
    </row>
    <row r="81" spans="2:15">
      <c r="B81" s="51"/>
      <c r="C81" s="173"/>
      <c r="D81" s="161" t="str">
        <f t="shared" ca="1" si="19"/>
        <v/>
      </c>
      <c r="E81" s="9"/>
      <c r="F81" s="10" t="str">
        <f t="shared" ca="1" si="5"/>
        <v/>
      </c>
      <c r="G81" s="163" t="str">
        <f t="shared" ca="1" si="2"/>
        <v/>
      </c>
      <c r="H81" s="159" t="str">
        <f t="shared" ca="1" si="0"/>
        <v/>
      </c>
      <c r="I81" s="209" t="str">
        <f t="shared" ca="1" si="6"/>
        <v/>
      </c>
      <c r="J81" s="209" t="str">
        <f t="shared" ca="1" si="3"/>
        <v/>
      </c>
      <c r="K81" s="161"/>
      <c r="L81" s="9"/>
      <c r="M81" s="9"/>
      <c r="O81" s="168" t="str">
        <f t="shared" si="4"/>
        <v/>
      </c>
    </row>
    <row r="82" spans="2:15">
      <c r="B82" s="51"/>
      <c r="C82" s="173"/>
      <c r="D82" s="161" t="str">
        <f t="shared" ca="1" si="19"/>
        <v/>
      </c>
      <c r="E82" s="9"/>
      <c r="F82" s="10" t="str">
        <f t="shared" ca="1" si="5"/>
        <v/>
      </c>
      <c r="G82" s="163" t="str">
        <f t="shared" ca="1" si="2"/>
        <v/>
      </c>
      <c r="H82" s="159" t="str">
        <f t="shared" ca="1" si="0"/>
        <v/>
      </c>
      <c r="I82" s="209" t="str">
        <f ca="1">IFERROR(J82*((1/(1-$I$65))-1),"")</f>
        <v/>
      </c>
      <c r="J82" s="209" t="str">
        <f t="shared" ca="1" si="3"/>
        <v/>
      </c>
      <c r="K82" s="161"/>
      <c r="L82" s="9"/>
      <c r="M82" s="9"/>
      <c r="N82" s="278"/>
      <c r="O82" s="168" t="str">
        <f t="shared" si="4"/>
        <v/>
      </c>
    </row>
    <row r="83" spans="2:15">
      <c r="B83" s="51"/>
      <c r="C83" s="173"/>
      <c r="D83" s="161" t="str">
        <f t="shared" ca="1" si="19"/>
        <v/>
      </c>
      <c r="E83" s="9"/>
      <c r="F83" s="10" t="str">
        <f t="shared" ca="1" si="5"/>
        <v/>
      </c>
      <c r="G83" s="163" t="str">
        <f t="shared" ca="1" si="2"/>
        <v/>
      </c>
      <c r="H83" s="159" t="str">
        <f t="shared" ca="1" si="0"/>
        <v/>
      </c>
      <c r="I83" s="209" t="str">
        <f t="shared" ca="1" si="6"/>
        <v/>
      </c>
      <c r="J83" s="209" t="str">
        <f t="shared" ca="1" si="3"/>
        <v/>
      </c>
      <c r="K83" s="161"/>
      <c r="L83" s="9"/>
      <c r="M83" s="9"/>
      <c r="N83" s="61"/>
      <c r="O83" s="168" t="str">
        <f t="shared" si="4"/>
        <v/>
      </c>
    </row>
    <row r="84" spans="2:15">
      <c r="B84" s="255"/>
      <c r="C84" s="173"/>
      <c r="D84" s="161" t="str">
        <f t="shared" ca="1" si="19"/>
        <v/>
      </c>
      <c r="E84" s="9"/>
      <c r="F84" s="10" t="str">
        <f t="shared" ca="1" si="5"/>
        <v/>
      </c>
      <c r="G84" s="163" t="str">
        <f t="shared" ca="1" si="2"/>
        <v/>
      </c>
      <c r="H84" s="159" t="str">
        <f t="shared" ca="1" si="0"/>
        <v/>
      </c>
      <c r="I84" s="209" t="str">
        <f t="shared" ca="1" si="6"/>
        <v/>
      </c>
      <c r="J84" s="209" t="str">
        <f t="shared" ca="1" si="3"/>
        <v/>
      </c>
      <c r="K84" s="161"/>
      <c r="L84" s="9"/>
      <c r="M84" s="9"/>
      <c r="N84" s="278"/>
      <c r="O84" s="168" t="str">
        <f t="shared" si="4"/>
        <v/>
      </c>
    </row>
    <row r="85" spans="2:15">
      <c r="B85" s="51"/>
      <c r="C85" s="173"/>
      <c r="D85" s="161" t="str">
        <f t="shared" ca="1" si="19"/>
        <v/>
      </c>
      <c r="E85" s="9"/>
      <c r="F85" s="10" t="str">
        <f t="shared" ca="1" si="5"/>
        <v/>
      </c>
      <c r="G85" s="163" t="str">
        <f t="shared" ca="1" si="2"/>
        <v/>
      </c>
      <c r="H85" s="159" t="str">
        <f t="shared" ca="1" si="0"/>
        <v/>
      </c>
      <c r="I85" s="209" t="str">
        <f t="shared" ca="1" si="6"/>
        <v/>
      </c>
      <c r="J85" s="209" t="str">
        <f t="shared" ca="1" si="3"/>
        <v/>
      </c>
      <c r="K85" s="161"/>
      <c r="L85" s="9"/>
      <c r="M85" s="9"/>
      <c r="N85" s="61"/>
      <c r="O85" s="168" t="str">
        <f t="shared" si="4"/>
        <v/>
      </c>
    </row>
    <row r="86" spans="2:15" ht="15" customHeight="1">
      <c r="B86" s="51"/>
      <c r="C86" s="173"/>
      <c r="D86" s="161" t="str">
        <f t="shared" ca="1" si="19"/>
        <v/>
      </c>
      <c r="E86" s="9"/>
      <c r="F86" s="10" t="str">
        <f t="shared" ca="1" si="5"/>
        <v/>
      </c>
      <c r="G86" s="163" t="str">
        <f t="shared" ca="1" si="2"/>
        <v/>
      </c>
      <c r="H86" s="159" t="str">
        <f t="shared" ca="1" si="0"/>
        <v/>
      </c>
      <c r="I86" s="209" t="str">
        <f t="shared" ca="1" si="6"/>
        <v/>
      </c>
      <c r="J86" s="209" t="str">
        <f t="shared" ca="1" si="3"/>
        <v/>
      </c>
      <c r="K86" s="161"/>
      <c r="L86" s="9"/>
      <c r="M86" s="9"/>
      <c r="O86" s="168" t="str">
        <f t="shared" si="4"/>
        <v/>
      </c>
    </row>
    <row r="87" spans="2:15" ht="15" customHeight="1">
      <c r="B87" s="255"/>
      <c r="C87" s="173"/>
      <c r="D87" s="161" t="str">
        <f t="shared" ca="1" si="19"/>
        <v/>
      </c>
      <c r="E87" s="9"/>
      <c r="F87" s="10" t="str">
        <f t="shared" ca="1" si="5"/>
        <v/>
      </c>
      <c r="G87" s="163" t="str">
        <f t="shared" ca="1" si="2"/>
        <v/>
      </c>
      <c r="H87" s="159" t="str">
        <f t="shared" ca="1" si="0"/>
        <v/>
      </c>
      <c r="I87" s="209" t="str">
        <f t="shared" ca="1" si="6"/>
        <v/>
      </c>
      <c r="J87" s="209" t="str">
        <f t="shared" ca="1" si="3"/>
        <v/>
      </c>
      <c r="K87" s="161"/>
      <c r="L87" s="9"/>
      <c r="M87" s="9"/>
      <c r="O87" s="168" t="str">
        <f t="shared" si="4"/>
        <v/>
      </c>
    </row>
    <row r="88" spans="2:15">
      <c r="B88" s="51"/>
      <c r="C88" s="173"/>
      <c r="D88" s="161" t="str">
        <f t="shared" ca="1" si="19"/>
        <v/>
      </c>
      <c r="E88" s="9"/>
      <c r="F88" s="10" t="str">
        <f t="shared" ca="1" si="5"/>
        <v/>
      </c>
      <c r="G88" s="163" t="str">
        <f t="shared" ca="1" si="2"/>
        <v/>
      </c>
      <c r="H88" s="159" t="str">
        <f t="shared" ca="1" si="0"/>
        <v/>
      </c>
      <c r="I88" s="209" t="str">
        <f t="shared" ca="1" si="6"/>
        <v/>
      </c>
      <c r="J88" s="209" t="str">
        <f t="shared" ca="1" si="3"/>
        <v/>
      </c>
      <c r="K88" s="161"/>
      <c r="L88" s="9"/>
      <c r="M88" s="9"/>
      <c r="O88" s="168" t="str">
        <f t="shared" si="4"/>
        <v/>
      </c>
    </row>
    <row r="89" spans="2:15">
      <c r="B89" s="51"/>
      <c r="C89" s="173"/>
      <c r="D89" s="161" t="str">
        <f t="shared" ca="1" si="19"/>
        <v/>
      </c>
      <c r="E89" s="9"/>
      <c r="F89" s="10" t="str">
        <f t="shared" ca="1" si="5"/>
        <v/>
      </c>
      <c r="G89" s="163" t="str">
        <f t="shared" ca="1" si="2"/>
        <v/>
      </c>
      <c r="H89" s="159" t="str">
        <f t="shared" ca="1" si="0"/>
        <v/>
      </c>
      <c r="I89" s="209" t="str">
        <f t="shared" ca="1" si="6"/>
        <v/>
      </c>
      <c r="J89" s="209" t="str">
        <f t="shared" ca="1" si="20"/>
        <v/>
      </c>
      <c r="K89" s="161"/>
      <c r="L89" s="9"/>
      <c r="M89" s="9"/>
      <c r="O89" s="168"/>
    </row>
    <row r="90" spans="2:15">
      <c r="B90" s="51"/>
      <c r="C90" s="173"/>
      <c r="D90" s="161" t="str">
        <f t="shared" ca="1" si="19"/>
        <v/>
      </c>
      <c r="E90" s="9"/>
      <c r="F90" s="10" t="str">
        <f t="shared" ca="1" si="5"/>
        <v/>
      </c>
      <c r="G90" s="163" t="str">
        <f t="shared" ca="1" si="2"/>
        <v/>
      </c>
      <c r="H90" s="159" t="str">
        <f t="shared" ca="1" si="0"/>
        <v/>
      </c>
      <c r="I90" s="209" t="str">
        <f t="shared" ca="1" si="6"/>
        <v/>
      </c>
      <c r="J90" s="209" t="str">
        <f t="shared" ca="1" si="3"/>
        <v/>
      </c>
      <c r="K90" s="161"/>
      <c r="L90" s="9"/>
      <c r="M90" s="9"/>
      <c r="O90" s="168"/>
    </row>
    <row r="91" spans="2:15">
      <c r="B91" s="51"/>
      <c r="C91" s="173"/>
      <c r="D91" s="161" t="str">
        <f t="shared" ca="1" si="19"/>
        <v/>
      </c>
      <c r="E91" s="9"/>
      <c r="F91" s="10" t="str">
        <f t="shared" ca="1" si="5"/>
        <v/>
      </c>
      <c r="G91" s="163" t="str">
        <f t="shared" ca="1" si="2"/>
        <v/>
      </c>
      <c r="H91" s="159" t="str">
        <f t="shared" ca="1" si="0"/>
        <v/>
      </c>
      <c r="I91" s="209" t="str">
        <f t="shared" ca="1" si="6"/>
        <v/>
      </c>
      <c r="J91" s="209" t="str">
        <f t="shared" ca="1" si="3"/>
        <v/>
      </c>
      <c r="K91" s="161"/>
      <c r="L91" s="9"/>
      <c r="M91" s="9"/>
      <c r="O91" s="168"/>
    </row>
    <row r="92" spans="2:15">
      <c r="B92" s="51"/>
      <c r="C92" s="173"/>
      <c r="D92" s="161" t="str">
        <f t="shared" ca="1" si="19"/>
        <v/>
      </c>
      <c r="E92" s="9"/>
      <c r="F92" s="10" t="str">
        <f t="shared" ca="1" si="5"/>
        <v/>
      </c>
      <c r="G92" s="163" t="str">
        <f t="shared" ca="1" si="2"/>
        <v/>
      </c>
      <c r="H92" s="159" t="str">
        <f t="shared" ca="1" si="0"/>
        <v/>
      </c>
      <c r="I92" s="209" t="str">
        <f t="shared" ca="1" si="6"/>
        <v/>
      </c>
      <c r="J92" s="209" t="str">
        <f t="shared" ca="1" si="3"/>
        <v/>
      </c>
      <c r="K92" s="161"/>
      <c r="L92" s="9"/>
      <c r="M92" s="9"/>
      <c r="O92" s="168" t="str">
        <f t="shared" si="4"/>
        <v/>
      </c>
    </row>
    <row r="93" spans="2:15" ht="18">
      <c r="B93" s="51"/>
      <c r="C93" s="279" t="str">
        <f>CONCATENATE("Total ",B80," :")</f>
        <v>Total Plancher ossature bois :</v>
      </c>
      <c r="D93" s="493">
        <f ca="1">SUM(G81:G92)</f>
        <v>0</v>
      </c>
      <c r="E93" s="494"/>
      <c r="F93" s="494"/>
      <c r="G93" s="495"/>
      <c r="H93" s="159" t="str">
        <f t="shared" ca="1" si="0"/>
        <v/>
      </c>
      <c r="I93" s="209" t="str">
        <f t="shared" ca="1" si="6"/>
        <v/>
      </c>
      <c r="J93" s="209" t="str">
        <f t="shared" ca="1" si="3"/>
        <v/>
      </c>
      <c r="K93" s="161"/>
      <c r="L93" s="9"/>
      <c r="M93" s="9"/>
      <c r="O93" s="168" t="str">
        <f t="shared" si="4"/>
        <v/>
      </c>
    </row>
    <row r="94" spans="2:15">
      <c r="B94" s="51"/>
      <c r="C94" s="173"/>
      <c r="D94" s="161" t="str">
        <f t="shared" ca="1" si="19"/>
        <v/>
      </c>
      <c r="E94" s="9"/>
      <c r="F94" s="10" t="str">
        <f t="shared" ref="F94" ca="1" si="24">IFERROR(ROUNDUP((I94+J94)/E94,0),"")</f>
        <v/>
      </c>
      <c r="G94" s="163" t="str">
        <f t="shared" ref="G94" ca="1" si="25">IFERROR(F94*E94,"")</f>
        <v/>
      </c>
      <c r="H94" s="159" t="str">
        <f t="shared" ca="1" si="0"/>
        <v/>
      </c>
      <c r="I94" s="209" t="str">
        <f t="shared" ref="I94" ca="1" si="26">IFERROR(J94*((1/(1-$I$65))-1),"")</f>
        <v/>
      </c>
      <c r="J94" s="209" t="str">
        <f t="shared" ref="J94" ca="1" si="27">IFERROR(E94*ROUNDUP(IF(C94="FORFAIT QUINCAILLERIE",$O$66,VLOOKUP($C94,INDIRECT(CONCATENATE("MATRICE_",$A94)),4,FALSE)),0),"")</f>
        <v/>
      </c>
      <c r="K94" s="161"/>
      <c r="L94" s="9"/>
      <c r="M94" s="9"/>
      <c r="O94" s="168"/>
    </row>
    <row r="95" spans="2:15">
      <c r="B95" s="255" t="s">
        <v>382</v>
      </c>
      <c r="C95" s="173"/>
      <c r="D95" s="161" t="str">
        <f t="shared" ca="1" si="19"/>
        <v/>
      </c>
      <c r="E95" s="9"/>
      <c r="F95" s="10" t="str">
        <f t="shared" ca="1" si="5"/>
        <v/>
      </c>
      <c r="G95" s="163" t="str">
        <f t="shared" ca="1" si="2"/>
        <v/>
      </c>
      <c r="H95" s="159" t="str">
        <f t="shared" ca="1" si="0"/>
        <v/>
      </c>
      <c r="I95" s="209" t="str">
        <f t="shared" ca="1" si="6"/>
        <v/>
      </c>
      <c r="J95" s="209" t="str">
        <f t="shared" ca="1" si="3"/>
        <v/>
      </c>
      <c r="K95" s="161"/>
      <c r="L95" s="9"/>
      <c r="M95" s="9"/>
      <c r="O95" s="168" t="str">
        <f t="shared" si="4"/>
        <v/>
      </c>
    </row>
    <row r="96" spans="2:15">
      <c r="B96" s="51"/>
      <c r="C96" s="173"/>
      <c r="D96" s="161" t="str">
        <f t="shared" ca="1" si="19"/>
        <v/>
      </c>
      <c r="E96" s="9"/>
      <c r="F96" s="10" t="str">
        <f t="shared" ref="F96:F99" ca="1" si="28">IFERROR(ROUNDUP((I96+J96)/E96,0),"")</f>
        <v/>
      </c>
      <c r="G96" s="163" t="str">
        <f t="shared" ref="G96:G99" ca="1" si="29">IFERROR(F96*E96,"")</f>
        <v/>
      </c>
      <c r="H96" s="159" t="str">
        <f t="shared" ca="1" si="0"/>
        <v/>
      </c>
      <c r="I96" s="209" t="str">
        <f t="shared" ref="I96" ca="1" si="30">IFERROR(J96*((1/(1-$I$65))-1),"")</f>
        <v/>
      </c>
      <c r="J96" s="209" t="str">
        <f t="shared" ca="1" si="3"/>
        <v/>
      </c>
      <c r="K96" s="161"/>
      <c r="L96" s="9"/>
      <c r="M96" s="9"/>
      <c r="O96" s="168" t="str">
        <f t="shared" ref="O96:O99" si="31">IF(OR(A96="COMPOSITION",A96="ARTICLE"),G96,"")</f>
        <v/>
      </c>
    </row>
    <row r="97" spans="2:15">
      <c r="B97" s="51"/>
      <c r="C97" s="173"/>
      <c r="D97" s="161" t="str">
        <f t="shared" ca="1" si="19"/>
        <v/>
      </c>
      <c r="E97" s="9"/>
      <c r="F97" s="10" t="str">
        <f t="shared" ca="1" si="28"/>
        <v/>
      </c>
      <c r="G97" s="163" t="str">
        <f t="shared" ca="1" si="29"/>
        <v/>
      </c>
      <c r="H97" s="159" t="str">
        <f ca="1">IFERROR(VLOOKUP(#REF!,INDIRECT(CONCATENATE("MATRICE_",$A97)),2,FALSE),"")</f>
        <v/>
      </c>
      <c r="I97" s="209" t="str">
        <f ca="1">IFERROR(J97*((1/(1-$I$65))-1),"")</f>
        <v/>
      </c>
      <c r="J97" s="209" t="str">
        <f t="shared" ca="1" si="3"/>
        <v/>
      </c>
      <c r="K97" s="161"/>
      <c r="L97" s="9"/>
      <c r="M97" s="9"/>
      <c r="N97" s="278"/>
      <c r="O97" s="168" t="str">
        <f t="shared" si="31"/>
        <v/>
      </c>
    </row>
    <row r="98" spans="2:15">
      <c r="B98" s="51"/>
      <c r="C98" s="173"/>
      <c r="D98" s="161" t="str">
        <f t="shared" ca="1" si="19"/>
        <v/>
      </c>
      <c r="E98" s="9"/>
      <c r="F98" s="10" t="str">
        <f t="shared" ca="1" si="28"/>
        <v/>
      </c>
      <c r="G98" s="163" t="str">
        <f t="shared" ca="1" si="29"/>
        <v/>
      </c>
      <c r="H98" s="159" t="str">
        <f t="shared" ca="1" si="0"/>
        <v/>
      </c>
      <c r="I98" s="209" t="str">
        <f t="shared" ref="I98" ca="1" si="32">IFERROR(J98*((1/(1-$I$65))-1),"")</f>
        <v/>
      </c>
      <c r="J98" s="209" t="str">
        <f t="shared" ca="1" si="3"/>
        <v/>
      </c>
      <c r="K98" s="161"/>
      <c r="L98" s="9"/>
      <c r="M98" s="9"/>
      <c r="O98" s="168"/>
    </row>
    <row r="99" spans="2:15">
      <c r="B99" s="51"/>
      <c r="C99" s="173"/>
      <c r="D99" s="161" t="str">
        <f t="shared" ca="1" si="19"/>
        <v/>
      </c>
      <c r="E99" s="9"/>
      <c r="F99" s="10" t="str">
        <f t="shared" ca="1" si="28"/>
        <v/>
      </c>
      <c r="G99" s="163" t="str">
        <f t="shared" ca="1" si="29"/>
        <v/>
      </c>
      <c r="H99" s="159" t="str">
        <f ca="1">IFERROR(VLOOKUP($C97,INDIRECT(CONCATENATE("MATRICE_",$A99)),2,FALSE),"")</f>
        <v/>
      </c>
      <c r="I99" s="209" t="str">
        <f ca="1">IFERROR(J99*((1/(1-$I$65))-1),"")</f>
        <v/>
      </c>
      <c r="J99" s="209" t="str">
        <f t="shared" ca="1" si="3"/>
        <v/>
      </c>
      <c r="K99" s="161"/>
      <c r="L99" s="9"/>
      <c r="M99" s="9"/>
      <c r="N99" s="61"/>
      <c r="O99" s="168" t="str">
        <f t="shared" si="31"/>
        <v/>
      </c>
    </row>
    <row r="100" spans="2:15">
      <c r="B100" s="51"/>
      <c r="C100" s="173"/>
      <c r="D100" s="161" t="str">
        <f t="shared" ca="1" si="19"/>
        <v/>
      </c>
      <c r="E100" s="9"/>
      <c r="F100" s="10" t="str">
        <f t="shared" ref="F100:F102" ca="1" si="33">IFERROR(ROUNDUP((I100+J100)/E100,0),"")</f>
        <v/>
      </c>
      <c r="G100" s="163" t="str">
        <f t="shared" ref="G100:G102" ca="1" si="34">IFERROR(F100*E100,"")</f>
        <v/>
      </c>
      <c r="H100" s="159" t="str">
        <f t="shared" ca="1" si="0"/>
        <v/>
      </c>
      <c r="I100" s="209" t="str">
        <f t="shared" ref="I100" ca="1" si="35">IFERROR(J100*((1/(1-$I$65))-1),"")</f>
        <v/>
      </c>
      <c r="J100" s="209" t="str">
        <f t="shared" ca="1" si="3"/>
        <v/>
      </c>
      <c r="K100" s="161"/>
      <c r="L100" s="9"/>
      <c r="M100" s="9"/>
      <c r="O100" s="168" t="str">
        <f t="shared" ref="O100" si="36">IF(OR(A100="COMPOSITION",A100="ARTICLE"),G100,"")</f>
        <v/>
      </c>
    </row>
    <row r="101" spans="2:15">
      <c r="B101" s="51"/>
      <c r="C101" s="173"/>
      <c r="D101" s="161" t="str">
        <f t="shared" ca="1" si="19"/>
        <v/>
      </c>
      <c r="E101" s="9"/>
      <c r="F101" s="10" t="str">
        <f t="shared" ca="1" si="33"/>
        <v/>
      </c>
      <c r="G101" s="163" t="str">
        <f t="shared" ca="1" si="34"/>
        <v/>
      </c>
      <c r="H101" s="159" t="str">
        <f t="shared" ca="1" si="0"/>
        <v/>
      </c>
      <c r="I101" s="209" t="str">
        <f ca="1">IFERROR(J101*((1/(1-$I$65))-1),"")</f>
        <v/>
      </c>
      <c r="J101" s="209" t="str">
        <f t="shared" ca="1" si="20"/>
        <v/>
      </c>
      <c r="K101" s="161"/>
      <c r="L101" s="9"/>
      <c r="M101" s="9"/>
      <c r="O101" s="168" t="str">
        <f t="shared" si="4"/>
        <v/>
      </c>
    </row>
    <row r="102" spans="2:15">
      <c r="B102" s="51"/>
      <c r="C102" s="173"/>
      <c r="D102" s="161" t="str">
        <f t="shared" ca="1" si="19"/>
        <v/>
      </c>
      <c r="E102" s="9"/>
      <c r="F102" s="10" t="str">
        <f t="shared" ca="1" si="33"/>
        <v/>
      </c>
      <c r="G102" s="163" t="str">
        <f t="shared" ca="1" si="34"/>
        <v/>
      </c>
      <c r="H102" s="159" t="str">
        <f t="shared" ca="1" si="0"/>
        <v/>
      </c>
      <c r="I102" s="209" t="str">
        <f t="shared" ca="1" si="6"/>
        <v/>
      </c>
      <c r="J102" s="209" t="str">
        <f t="shared" ca="1" si="3"/>
        <v/>
      </c>
      <c r="K102" s="161"/>
      <c r="L102" s="9"/>
      <c r="M102" s="9"/>
      <c r="O102" s="168" t="str">
        <f t="shared" si="4"/>
        <v/>
      </c>
    </row>
    <row r="103" spans="2:15">
      <c r="B103" s="51"/>
      <c r="C103" s="173"/>
      <c r="D103" s="161" t="str">
        <f t="shared" ca="1" si="19"/>
        <v/>
      </c>
      <c r="E103" s="9"/>
      <c r="F103" s="10"/>
      <c r="G103" s="163"/>
      <c r="H103" s="159"/>
      <c r="I103" s="209" t="str">
        <f t="shared" ca="1" si="6"/>
        <v/>
      </c>
      <c r="J103" s="209" t="str">
        <f t="shared" ca="1" si="3"/>
        <v/>
      </c>
      <c r="K103" s="161"/>
      <c r="L103" s="9"/>
      <c r="M103" s="9"/>
      <c r="O103" s="168"/>
    </row>
    <row r="104" spans="2:15">
      <c r="B104" s="51"/>
      <c r="C104" s="173"/>
      <c r="D104" s="161" t="str">
        <f t="shared" ca="1" si="19"/>
        <v/>
      </c>
      <c r="E104" s="9"/>
      <c r="F104" s="10" t="str">
        <f t="shared" ca="1" si="5"/>
        <v/>
      </c>
      <c r="G104" s="163" t="str">
        <f t="shared" ca="1" si="2"/>
        <v/>
      </c>
      <c r="H104" s="159" t="str">
        <f t="shared" ca="1" si="0"/>
        <v/>
      </c>
      <c r="I104" s="209" t="str">
        <f t="shared" ca="1" si="6"/>
        <v/>
      </c>
      <c r="J104" s="209" t="str">
        <f t="shared" ca="1" si="3"/>
        <v/>
      </c>
      <c r="K104" s="161"/>
      <c r="L104" s="9"/>
      <c r="M104" s="9"/>
      <c r="O104" s="168" t="str">
        <f t="shared" si="4"/>
        <v/>
      </c>
    </row>
    <row r="105" spans="2:15" ht="18">
      <c r="B105" s="51"/>
      <c r="C105" s="279" t="str">
        <f>CONCATENATE("Total ",B95," :")</f>
        <v>Total Toiture :</v>
      </c>
      <c r="D105" s="493">
        <f ca="1">SUM(G94:G104)</f>
        <v>0</v>
      </c>
      <c r="E105" s="494"/>
      <c r="F105" s="494"/>
      <c r="G105" s="495"/>
      <c r="H105" s="159" t="str">
        <f t="shared" ca="1" si="0"/>
        <v/>
      </c>
      <c r="I105" s="209" t="str">
        <f t="shared" ca="1" si="6"/>
        <v/>
      </c>
      <c r="J105" s="209" t="str">
        <f t="shared" ca="1" si="3"/>
        <v/>
      </c>
      <c r="K105" s="161"/>
      <c r="L105" s="9"/>
      <c r="M105" s="9"/>
      <c r="O105" s="168" t="str">
        <f t="shared" si="4"/>
        <v/>
      </c>
    </row>
    <row r="106" spans="2:15" ht="15" customHeight="1">
      <c r="B106" s="255"/>
      <c r="C106" s="173"/>
      <c r="D106" s="161" t="str">
        <f t="shared" ca="1" si="19"/>
        <v/>
      </c>
      <c r="E106" s="9"/>
      <c r="F106" s="10" t="str">
        <f t="shared" ca="1" si="5"/>
        <v/>
      </c>
      <c r="G106" s="163" t="str">
        <f t="shared" ca="1" si="2"/>
        <v/>
      </c>
      <c r="H106" s="159" t="str">
        <f t="shared" ca="1" si="0"/>
        <v/>
      </c>
      <c r="I106" s="209" t="str">
        <f t="shared" ca="1" si="6"/>
        <v/>
      </c>
      <c r="J106" s="209" t="str">
        <f t="shared" ca="1" si="3"/>
        <v/>
      </c>
      <c r="K106" s="161"/>
      <c r="L106" s="9"/>
      <c r="M106" s="9"/>
      <c r="O106" s="168" t="str">
        <f t="shared" si="4"/>
        <v/>
      </c>
    </row>
    <row r="107" spans="2:15">
      <c r="B107" s="255" t="s">
        <v>394</v>
      </c>
      <c r="C107" s="173"/>
      <c r="D107" s="161" t="str">
        <f t="shared" ca="1" si="19"/>
        <v/>
      </c>
      <c r="E107" s="9"/>
      <c r="F107" s="10" t="str">
        <f t="shared" ref="F107:F109" ca="1" si="37">IFERROR(ROUNDUP((I107+J107)/E107,0),"")</f>
        <v/>
      </c>
      <c r="G107" s="163" t="str">
        <f t="shared" ref="G107:G109" ca="1" si="38">IFERROR(F107*E107,"")</f>
        <v/>
      </c>
      <c r="H107" s="159" t="str">
        <f t="shared" ca="1" si="0"/>
        <v/>
      </c>
      <c r="I107" s="209" t="str">
        <f t="shared" ca="1" si="6"/>
        <v/>
      </c>
      <c r="J107" s="209" t="str">
        <f t="shared" ca="1" si="3"/>
        <v/>
      </c>
      <c r="K107" s="161"/>
      <c r="L107" s="9"/>
      <c r="M107" s="9"/>
      <c r="O107" s="168" t="str">
        <f t="shared" ref="O107" si="39">IF(OR(A107="COMPOSITION",A107="ARTICLE"),G107,"")</f>
        <v/>
      </c>
    </row>
    <row r="108" spans="2:15">
      <c r="B108" s="51"/>
      <c r="C108" s="173"/>
      <c r="D108" s="161" t="str">
        <f t="shared" ca="1" si="19"/>
        <v/>
      </c>
      <c r="E108" s="9"/>
      <c r="F108" s="10" t="str">
        <f t="shared" ca="1" si="37"/>
        <v/>
      </c>
      <c r="G108" s="163" t="str">
        <f t="shared" ca="1" si="38"/>
        <v/>
      </c>
      <c r="H108" s="159" t="str">
        <f ca="1">IFERROR(VLOOKUP($C108,INDIRECT(CONCATENATE("MATRICE_",$A108)),2,FALSE),"")</f>
        <v/>
      </c>
      <c r="I108" s="209" t="str">
        <f t="shared" ca="1" si="6"/>
        <v/>
      </c>
      <c r="J108" s="209" t="str">
        <f t="shared" ca="1" si="3"/>
        <v/>
      </c>
      <c r="K108" s="161"/>
      <c r="L108" s="9"/>
      <c r="M108" s="9"/>
      <c r="O108" s="168" t="str">
        <f>IF(OR(A108="COMPOSITION",A108="ARTICLE"),G108,"")</f>
        <v/>
      </c>
    </row>
    <row r="109" spans="2:15">
      <c r="B109" s="51"/>
      <c r="C109" s="173"/>
      <c r="D109" s="161" t="str">
        <f t="shared" ca="1" si="19"/>
        <v/>
      </c>
      <c r="E109" s="9"/>
      <c r="F109" s="10" t="str">
        <f t="shared" ca="1" si="37"/>
        <v/>
      </c>
      <c r="G109" s="163" t="str">
        <f t="shared" ca="1" si="38"/>
        <v/>
      </c>
      <c r="H109" s="159" t="str">
        <f ca="1">IFERROR(VLOOKUP($C109,INDIRECT(CONCATENATE("MATRICE_",$A109)),2,FALSE),"")</f>
        <v/>
      </c>
      <c r="I109" s="209" t="str">
        <f t="shared" ca="1" si="6"/>
        <v/>
      </c>
      <c r="J109" s="209" t="str">
        <f t="shared" ca="1" si="3"/>
        <v/>
      </c>
      <c r="K109" s="161"/>
      <c r="L109" s="9"/>
      <c r="M109" s="9"/>
      <c r="O109" s="168" t="str">
        <f>IF(OR(A109="COMPOSITION",A109="ARTICLE"),G109,"")</f>
        <v/>
      </c>
    </row>
    <row r="110" spans="2:15">
      <c r="B110" s="51"/>
      <c r="C110" s="173"/>
      <c r="D110" s="161" t="str">
        <f t="shared" ca="1" si="19"/>
        <v/>
      </c>
      <c r="E110" s="9"/>
      <c r="F110" s="10" t="str">
        <f ca="1">IFERROR(ROUNDUP((I110+J110)/E110,0),"")</f>
        <v/>
      </c>
      <c r="G110" s="163" t="str">
        <f ca="1">IFERROR(F110*E110,"")</f>
        <v/>
      </c>
      <c r="H110" s="159" t="str">
        <f ca="1">IFERROR(VLOOKUP($C110,INDIRECT(CONCATENATE("MATRICE_",$A110)),2,FALSE),"")</f>
        <v/>
      </c>
      <c r="I110" s="209" t="str">
        <f t="shared" ca="1" si="6"/>
        <v/>
      </c>
      <c r="J110" s="209" t="str">
        <f t="shared" ca="1" si="3"/>
        <v/>
      </c>
      <c r="K110" s="161"/>
      <c r="L110" s="9"/>
      <c r="M110" s="9"/>
      <c r="O110" s="168" t="str">
        <f>IF(OR(A110="COMPOSITION",A110="ARTICLE"),G110,"")</f>
        <v/>
      </c>
    </row>
    <row r="111" spans="2:15">
      <c r="B111" s="51"/>
      <c r="C111" s="173"/>
      <c r="D111" s="161" t="str">
        <f t="shared" ca="1" si="19"/>
        <v/>
      </c>
      <c r="E111" s="9"/>
      <c r="F111" s="10" t="str">
        <f ca="1">IFERROR(ROUNDUP((I111+J111)/E111,0),"")</f>
        <v/>
      </c>
      <c r="G111" s="163" t="str">
        <f ca="1">IFERROR(F111*E111,"")</f>
        <v/>
      </c>
      <c r="H111" s="159" t="str">
        <f ca="1">IFERROR(VLOOKUP($C111,INDIRECT(CONCATENATE("MATRICE_",$A111)),2,FALSE),"")</f>
        <v/>
      </c>
      <c r="I111" s="209" t="str">
        <f t="shared" ca="1" si="6"/>
        <v/>
      </c>
      <c r="J111" s="209" t="str">
        <f t="shared" ca="1" si="3"/>
        <v/>
      </c>
      <c r="K111" s="161"/>
      <c r="L111" s="9"/>
      <c r="M111" s="9"/>
      <c r="O111" s="168" t="str">
        <f>IF(OR(A111="COMPOSITION",A111="ARTICLE"),G111,"")</f>
        <v/>
      </c>
    </row>
    <row r="112" spans="2:15">
      <c r="B112" s="51"/>
      <c r="C112" s="173"/>
      <c r="D112" s="161" t="str">
        <f t="shared" ca="1" si="19"/>
        <v/>
      </c>
      <c r="E112" s="9"/>
      <c r="F112" s="10" t="str">
        <f t="shared" ref="F112:F114" ca="1" si="40">IFERROR(ROUNDUP((I112+J112)/E112,0),"")</f>
        <v/>
      </c>
      <c r="G112" s="163" t="str">
        <f t="shared" ref="G112:G114" ca="1" si="41">IFERROR(F112*E112,"")</f>
        <v/>
      </c>
      <c r="H112" s="159" t="str">
        <f t="shared" ca="1" si="0"/>
        <v/>
      </c>
      <c r="I112" s="209" t="str">
        <f t="shared" ca="1" si="6"/>
        <v/>
      </c>
      <c r="J112" s="209" t="str">
        <f t="shared" ca="1" si="20"/>
        <v/>
      </c>
      <c r="K112" s="161"/>
      <c r="L112" s="9"/>
      <c r="M112" s="9"/>
      <c r="O112" s="168" t="str">
        <f t="shared" ref="O112:O114" si="42">IF(OR(A112="COMPOSITION",A112="ARTICLE"),G112,"")</f>
        <v/>
      </c>
    </row>
    <row r="113" spans="2:15">
      <c r="B113" s="51"/>
      <c r="C113" s="173"/>
      <c r="D113" s="161" t="str">
        <f t="shared" ca="1" si="19"/>
        <v/>
      </c>
      <c r="E113" s="9"/>
      <c r="F113" s="10" t="str">
        <f t="shared" ca="1" si="40"/>
        <v/>
      </c>
      <c r="G113" s="163" t="str">
        <f t="shared" ca="1" si="41"/>
        <v/>
      </c>
      <c r="H113" s="159" t="str">
        <f t="shared" ca="1" si="0"/>
        <v/>
      </c>
      <c r="I113" s="209" t="str">
        <f t="shared" ca="1" si="6"/>
        <v/>
      </c>
      <c r="J113" s="209" t="str">
        <f t="shared" ca="1" si="3"/>
        <v/>
      </c>
      <c r="K113" s="161"/>
      <c r="L113" s="9"/>
      <c r="M113" s="9"/>
      <c r="O113" s="168" t="str">
        <f t="shared" si="42"/>
        <v/>
      </c>
    </row>
    <row r="114" spans="2:15">
      <c r="B114" s="51"/>
      <c r="C114" s="173"/>
      <c r="D114" s="161" t="str">
        <f t="shared" ca="1" si="19"/>
        <v/>
      </c>
      <c r="E114" s="9"/>
      <c r="F114" s="10" t="str">
        <f t="shared" ca="1" si="40"/>
        <v/>
      </c>
      <c r="G114" s="163" t="str">
        <f t="shared" ca="1" si="41"/>
        <v/>
      </c>
      <c r="H114" s="159" t="str">
        <f t="shared" ca="1" si="0"/>
        <v/>
      </c>
      <c r="I114" s="209" t="str">
        <f t="shared" ca="1" si="6"/>
        <v/>
      </c>
      <c r="J114" s="209" t="str">
        <f t="shared" ca="1" si="3"/>
        <v/>
      </c>
      <c r="K114" s="161"/>
      <c r="L114" s="9"/>
      <c r="M114" s="9"/>
      <c r="O114" s="168" t="str">
        <f t="shared" si="42"/>
        <v/>
      </c>
    </row>
    <row r="115" spans="2:15">
      <c r="B115" s="51"/>
      <c r="C115" s="173"/>
      <c r="D115" s="161" t="str">
        <f ca="1">IFERROR(VLOOKUP($C115,INDIRECT(CONCATENATE("MATRICE_",$A115)),3,FALSE),"")</f>
        <v/>
      </c>
      <c r="E115" s="9"/>
      <c r="F115" s="10" t="str">
        <f ca="1">IFERROR(ROUNDUP((I115+J115)/E115,0),"")</f>
        <v/>
      </c>
      <c r="G115" s="163" t="str">
        <f ca="1">IFERROR(F115*E115,"")</f>
        <v/>
      </c>
      <c r="H115" s="159" t="str">
        <f ca="1">IFERROR(VLOOKUP($C115,INDIRECT(CONCATENATE("MATRICE_",$A115)),2,FALSE),"")</f>
        <v/>
      </c>
      <c r="I115" s="209" t="str">
        <f t="shared" ca="1" si="6"/>
        <v/>
      </c>
      <c r="J115" s="209" t="str">
        <f t="shared" ca="1" si="3"/>
        <v/>
      </c>
      <c r="K115" s="161"/>
      <c r="L115" s="9"/>
      <c r="M115" s="9"/>
      <c r="O115" s="168" t="str">
        <f>IF(OR(A115="COMPOSITION",A115="ARTICLE"),G115,"")</f>
        <v/>
      </c>
    </row>
    <row r="116" spans="2:15" ht="15" customHeight="1">
      <c r="B116" s="51"/>
      <c r="C116" s="279" t="str">
        <f>CONCATENATE("Total ",B107," :")</f>
        <v>Total Généralités :</v>
      </c>
      <c r="D116" s="493">
        <f ca="1">SUM(G106:G115)</f>
        <v>0</v>
      </c>
      <c r="E116" s="494"/>
      <c r="F116" s="494"/>
      <c r="G116" s="495"/>
      <c r="H116" s="159" t="str">
        <f t="shared" ca="1" si="0"/>
        <v/>
      </c>
      <c r="I116" s="209" t="str">
        <f t="shared" ca="1" si="6"/>
        <v/>
      </c>
      <c r="J116" s="209" t="str">
        <f t="shared" ca="1" si="3"/>
        <v/>
      </c>
      <c r="K116" s="161"/>
      <c r="L116" s="9"/>
      <c r="M116" s="9"/>
      <c r="O116" s="168" t="str">
        <f t="shared" ref="O116:O118" si="43">IF(OR(A116="COMPOSITION",A116="ARTICLE"),G116,"")</f>
        <v/>
      </c>
    </row>
    <row r="117" spans="2:15">
      <c r="B117" s="51"/>
      <c r="C117" s="173"/>
      <c r="D117" s="161" t="str">
        <f t="shared" ca="1" si="19"/>
        <v/>
      </c>
      <c r="E117" s="9"/>
      <c r="F117" s="10" t="str">
        <f t="shared" ref="F117:F118" ca="1" si="44">IFERROR(ROUNDUP((I117+J117)/E117,0),"")</f>
        <v/>
      </c>
      <c r="G117" s="163" t="str">
        <f t="shared" ref="G117:G118" ca="1" si="45">IFERROR(F117*E117,"")</f>
        <v/>
      </c>
      <c r="H117" s="159" t="str">
        <f t="shared" ca="1" si="0"/>
        <v/>
      </c>
      <c r="I117" s="209" t="str">
        <f t="shared" ca="1" si="6"/>
        <v/>
      </c>
      <c r="J117" s="209" t="str">
        <f t="shared" ca="1" si="3"/>
        <v/>
      </c>
      <c r="K117" s="161"/>
      <c r="L117" s="9"/>
      <c r="M117" s="9"/>
      <c r="O117" s="168" t="str">
        <f t="shared" si="43"/>
        <v/>
      </c>
    </row>
    <row r="118" spans="2:15">
      <c r="B118" s="51"/>
      <c r="C118" s="173"/>
      <c r="D118" s="161" t="str">
        <f t="shared" ca="1" si="19"/>
        <v/>
      </c>
      <c r="E118" s="9"/>
      <c r="F118" s="10" t="str">
        <f t="shared" ca="1" si="44"/>
        <v/>
      </c>
      <c r="G118" s="163" t="str">
        <f t="shared" ca="1" si="45"/>
        <v/>
      </c>
      <c r="H118" s="159" t="str">
        <f t="shared" ca="1" si="0"/>
        <v/>
      </c>
      <c r="I118" s="209" t="str">
        <f t="shared" ca="1" si="6"/>
        <v/>
      </c>
      <c r="J118" s="209" t="str">
        <f t="shared" ca="1" si="3"/>
        <v/>
      </c>
      <c r="K118" s="161"/>
      <c r="L118" s="9"/>
      <c r="M118" s="9"/>
      <c r="O118" s="168" t="str">
        <f t="shared" si="43"/>
        <v/>
      </c>
    </row>
    <row r="119" spans="2:15" ht="15" customHeight="1">
      <c r="B119" s="255"/>
      <c r="C119" s="173"/>
      <c r="D119" s="161" t="str">
        <f t="shared" ca="1" si="19"/>
        <v/>
      </c>
      <c r="E119" s="9"/>
      <c r="F119" s="10" t="str">
        <f t="shared" ca="1" si="5"/>
        <v/>
      </c>
      <c r="G119" s="163" t="str">
        <f t="shared" ca="1" si="2"/>
        <v/>
      </c>
      <c r="H119" s="159" t="str">
        <f t="shared" ca="1" si="0"/>
        <v/>
      </c>
      <c r="I119" s="209" t="str">
        <f t="shared" ca="1" si="6"/>
        <v/>
      </c>
      <c r="J119" s="209" t="str">
        <f t="shared" ca="1" si="3"/>
        <v/>
      </c>
      <c r="K119" s="161"/>
      <c r="L119" s="9"/>
      <c r="M119" s="9"/>
      <c r="O119" s="168" t="str">
        <f t="shared" si="4"/>
        <v/>
      </c>
    </row>
    <row r="120" spans="2:15">
      <c r="B120" s="51"/>
      <c r="C120" s="173"/>
      <c r="D120" s="161" t="str">
        <f ca="1">IFERROR(VLOOKUP($C120,INDIRECT(CONCATENATE("MATRICE_",$A120)),3,FALSE),"")</f>
        <v/>
      </c>
      <c r="E120" s="9"/>
      <c r="F120" s="10" t="str">
        <f ca="1">IFERROR(ROUNDUP((I120+J120)/E120,0),"")</f>
        <v/>
      </c>
      <c r="G120" s="163" t="str">
        <f ca="1">IFERROR(F120*E120,"")</f>
        <v/>
      </c>
      <c r="H120" s="159"/>
      <c r="I120" s="209" t="str">
        <f t="shared" ca="1" si="6"/>
        <v/>
      </c>
      <c r="J120" s="209" t="str">
        <f t="shared" ca="1" si="3"/>
        <v/>
      </c>
      <c r="K120" s="161"/>
      <c r="L120" s="9"/>
      <c r="M120" s="9"/>
      <c r="O120" s="168" t="str">
        <f>IF(OR(A120="COMPOSITION",A120="ARTICLE"),G120,"")</f>
        <v/>
      </c>
    </row>
    <row r="121" spans="2:15">
      <c r="B121" s="51"/>
      <c r="C121" s="173"/>
      <c r="D121" s="161" t="str">
        <f ca="1">IFERROR(VLOOKUP($C121,INDIRECT(CONCATENATE("MATRICE_",$A121)),3,FALSE),"")</f>
        <v/>
      </c>
      <c r="E121" s="9"/>
      <c r="F121" s="10" t="str">
        <f ca="1">IFERROR(ROUNDUP((I121+J121)/E121,0),"")</f>
        <v/>
      </c>
      <c r="G121" s="163" t="str">
        <f ca="1">IFERROR(F121*E121,"")</f>
        <v/>
      </c>
      <c r="H121" s="159" t="str">
        <f ca="1">IFERROR(VLOOKUP($C121,INDIRECT(CONCATENATE("MATRICE_",$A121)),2,FALSE),"")</f>
        <v/>
      </c>
      <c r="I121" s="209" t="str">
        <f t="shared" ca="1" si="6"/>
        <v/>
      </c>
      <c r="J121" s="209" t="str">
        <f t="shared" ca="1" si="3"/>
        <v/>
      </c>
      <c r="K121" s="161"/>
      <c r="L121" s="9"/>
      <c r="M121" s="9"/>
      <c r="O121" s="168" t="str">
        <f>IF(OR(A121="COMPOSITION",A121="ARTICLE"),G121,"")</f>
        <v/>
      </c>
    </row>
    <row r="122" spans="2:15">
      <c r="B122" s="51"/>
      <c r="C122" s="173"/>
      <c r="D122" s="161" t="str">
        <f t="shared" ca="1" si="19"/>
        <v/>
      </c>
      <c r="E122" s="9"/>
      <c r="F122" s="10" t="str">
        <f t="shared" ref="F122" ca="1" si="46">IFERROR(ROUNDUP((I122+J122)/E122,0),"")</f>
        <v/>
      </c>
      <c r="G122" s="163" t="str">
        <f t="shared" ref="G122" ca="1" si="47">IFERROR(F122*E122,"")</f>
        <v/>
      </c>
      <c r="H122" s="159" t="str">
        <f t="shared" ca="1" si="0"/>
        <v/>
      </c>
      <c r="I122" s="209" t="str">
        <f t="shared" ca="1" si="6"/>
        <v/>
      </c>
      <c r="J122" s="209" t="str">
        <f t="shared" ca="1" si="3"/>
        <v/>
      </c>
      <c r="K122" s="161"/>
      <c r="L122" s="9"/>
      <c r="M122" s="9"/>
      <c r="O122" s="168" t="str">
        <f t="shared" ref="O122" si="48">IF(OR(A122="COMPOSITION",A122="ARTICLE"),G122,"")</f>
        <v/>
      </c>
    </row>
    <row r="123" spans="2:15">
      <c r="B123" s="153"/>
      <c r="C123" s="160"/>
      <c r="D123" s="155"/>
      <c r="E123" s="156"/>
      <c r="F123" s="157"/>
      <c r="G123" s="158"/>
      <c r="I123" s="210" t="str">
        <f ca="1">IFERROR($I$65*J123,"")</f>
        <v/>
      </c>
      <c r="J123" s="210" t="str">
        <f t="shared" ref="J123" ca="1" si="49">IFERROR(E123*ROUNDUP(IF(C123="FORFAIT QUINCAILLERIE",$O$66,VLOOKUP($C123,INDIRECT(CONCATENATE("MATRICE_",$A123)),4,FALSE)),0),"")</f>
        <v/>
      </c>
      <c r="K123" s="161"/>
      <c r="L123" s="9"/>
      <c r="M123" s="9"/>
      <c r="O123" s="218" t="str">
        <f t="shared" si="4"/>
        <v/>
      </c>
    </row>
    <row r="124" spans="2:15" ht="18.75" customHeight="1">
      <c r="B124" s="258"/>
      <c r="C124" s="489" t="s">
        <v>30</v>
      </c>
      <c r="D124" s="489"/>
      <c r="E124" s="259"/>
      <c r="F124" s="260"/>
      <c r="G124" s="261">
        <f ca="1">SUM(G65:G122)</f>
        <v>0</v>
      </c>
      <c r="I124" s="37" t="s">
        <v>340</v>
      </c>
      <c r="J124" s="37" t="s">
        <v>341</v>
      </c>
    </row>
    <row r="125" spans="2:15" ht="18">
      <c r="B125" s="15"/>
      <c r="C125" s="16">
        <v>20</v>
      </c>
      <c r="D125" s="17"/>
      <c r="E125" s="18"/>
      <c r="F125" s="19"/>
      <c r="G125" s="20">
        <f ca="1">G124*C125/100</f>
        <v>0</v>
      </c>
      <c r="I125" s="206">
        <f ca="1">SUM(I67:I123)</f>
        <v>0</v>
      </c>
      <c r="J125" s="206">
        <f ca="1">SUM(J67:J123)</f>
        <v>0</v>
      </c>
      <c r="K125" s="274"/>
      <c r="L125" s="274"/>
      <c r="M125" s="274"/>
    </row>
    <row r="126" spans="2:15" ht="18">
      <c r="B126" s="262"/>
      <c r="C126" s="263" t="s">
        <v>31</v>
      </c>
      <c r="D126" s="263"/>
      <c r="E126" s="264"/>
      <c r="F126" s="265"/>
      <c r="G126" s="266">
        <f ca="1">G125+G124</f>
        <v>0</v>
      </c>
      <c r="I126" s="267" t="str">
        <f ca="1">IFERROR(I125/G124,"")</f>
        <v/>
      </c>
      <c r="J126" s="201" t="s">
        <v>377</v>
      </c>
    </row>
    <row r="127" spans="2:15" ht="32.4" customHeight="1">
      <c r="B127" s="15"/>
      <c r="C127" s="180" t="str">
        <f>'MODELE SCGB'!$B$12</f>
        <v xml:space="preserve"> </v>
      </c>
      <c r="D127" s="490" t="str">
        <f>'MODELE SCGB'!$B$11</f>
        <v xml:space="preserve"> </v>
      </c>
      <c r="E127" s="491"/>
      <c r="F127" s="491"/>
      <c r="G127" s="492"/>
      <c r="O127" s="133"/>
    </row>
    <row r="128" spans="2:15" ht="15.6">
      <c r="B128" s="27"/>
      <c r="C128" s="1" t="s">
        <v>276</v>
      </c>
      <c r="D128" s="446" t="str">
        <f>B10</f>
        <v xml:space="preserve"> </v>
      </c>
      <c r="E128" s="446"/>
      <c r="F128" s="446"/>
      <c r="G128" s="447"/>
      <c r="I128" s="37" t="s">
        <v>343</v>
      </c>
      <c r="J128" s="207">
        <v>0</v>
      </c>
      <c r="K128" s="275"/>
      <c r="L128" s="275"/>
      <c r="M128" s="275"/>
      <c r="O128" s="133"/>
    </row>
    <row r="129" spans="2:15">
      <c r="B129" s="27"/>
      <c r="C129" s="246" t="s">
        <v>33</v>
      </c>
      <c r="D129" s="246" t="s">
        <v>34</v>
      </c>
      <c r="E129" s="247"/>
      <c r="F129" s="247"/>
      <c r="G129" s="268"/>
      <c r="I129" s="37" t="s">
        <v>342</v>
      </c>
      <c r="J129" s="211" t="str">
        <f ca="1">IFERROR(G124/J128,"")</f>
        <v/>
      </c>
      <c r="K129" s="276"/>
      <c r="L129" s="276"/>
      <c r="M129" s="276"/>
      <c r="O129" s="133"/>
    </row>
    <row r="130" spans="2:15">
      <c r="B130" s="27"/>
      <c r="C130" s="27"/>
      <c r="D130" s="27"/>
      <c r="E130" s="1"/>
      <c r="F130" s="1"/>
      <c r="G130" s="28"/>
      <c r="O130" s="133"/>
    </row>
    <row r="131" spans="2:15">
      <c r="B131" s="27"/>
      <c r="C131" s="27"/>
      <c r="D131" s="27"/>
      <c r="E131" s="1"/>
      <c r="F131" s="1"/>
      <c r="G131" s="28"/>
      <c r="O131" s="133"/>
    </row>
    <row r="132" spans="2:15">
      <c r="B132" s="27"/>
      <c r="C132" s="27"/>
      <c r="D132" s="27"/>
      <c r="E132" s="1"/>
      <c r="F132" s="1"/>
      <c r="G132" s="28"/>
    </row>
    <row r="133" spans="2:15">
      <c r="B133" s="27"/>
      <c r="C133" s="6"/>
      <c r="D133" s="6"/>
      <c r="E133" s="7"/>
      <c r="F133" s="7"/>
      <c r="G133" s="8"/>
    </row>
    <row r="134" spans="2:15">
      <c r="B134" s="27"/>
      <c r="D134" s="1"/>
      <c r="E134" s="1"/>
      <c r="F134" s="1"/>
      <c r="G134" s="28"/>
    </row>
    <row r="135" spans="2:15">
      <c r="B135" s="27"/>
      <c r="C135" s="1" t="s">
        <v>268</v>
      </c>
      <c r="D135" s="1"/>
      <c r="E135" s="1"/>
      <c r="F135" s="1"/>
      <c r="G135" s="28"/>
      <c r="O135" s="133"/>
    </row>
    <row r="136" spans="2:15">
      <c r="B136" s="27"/>
      <c r="C136" s="246" t="s">
        <v>33</v>
      </c>
      <c r="D136" s="246" t="s">
        <v>34</v>
      </c>
      <c r="E136" s="247"/>
      <c r="F136" s="247"/>
      <c r="G136" s="268"/>
      <c r="O136" s="133"/>
    </row>
    <row r="137" spans="2:15">
      <c r="B137" s="27"/>
      <c r="C137" s="27"/>
      <c r="D137" s="27"/>
      <c r="E137" s="1"/>
      <c r="F137" s="1"/>
      <c r="G137" s="28"/>
      <c r="O137" s="133"/>
    </row>
    <row r="138" spans="2:15">
      <c r="B138" s="27"/>
      <c r="C138" s="27"/>
      <c r="D138" s="27"/>
      <c r="E138" s="1"/>
      <c r="F138" s="1"/>
      <c r="G138" s="28"/>
      <c r="O138" s="133"/>
    </row>
    <row r="139" spans="2:15">
      <c r="B139" s="27"/>
      <c r="C139" s="27"/>
      <c r="D139" s="27"/>
      <c r="E139" s="1"/>
      <c r="F139" s="1"/>
      <c r="G139" s="28"/>
    </row>
    <row r="140" spans="2:15">
      <c r="B140" s="27"/>
      <c r="C140" s="6"/>
      <c r="D140" s="6"/>
      <c r="E140" s="7"/>
      <c r="F140" s="7"/>
      <c r="G140" s="8"/>
    </row>
    <row r="141" spans="2:15">
      <c r="B141" s="6"/>
      <c r="C141" s="7"/>
      <c r="D141" s="7"/>
      <c r="E141" s="7"/>
      <c r="F141" s="7"/>
      <c r="G141" s="8"/>
    </row>
  </sheetData>
  <sheetProtection formatColumns="0" insertRows="0" deleteRows="0"/>
  <protectedRanges>
    <protectedRange sqref="B10:C15" name="Plage1_1"/>
  </protectedRanges>
  <mergeCells count="73">
    <mergeCell ref="G63:G64"/>
    <mergeCell ref="C124:D124"/>
    <mergeCell ref="D127:G127"/>
    <mergeCell ref="D128:G128"/>
    <mergeCell ref="C61:F61"/>
    <mergeCell ref="F63:F64"/>
    <mergeCell ref="D78:G78"/>
    <mergeCell ref="D93:G93"/>
    <mergeCell ref="D116:G116"/>
    <mergeCell ref="D105:G105"/>
    <mergeCell ref="C59:F59"/>
    <mergeCell ref="A63:A64"/>
    <mergeCell ref="B63:B64"/>
    <mergeCell ref="C63:C64"/>
    <mergeCell ref="D63:D64"/>
    <mergeCell ref="E63:E64"/>
    <mergeCell ref="C54:F54"/>
    <mergeCell ref="C55:F55"/>
    <mergeCell ref="C56:F56"/>
    <mergeCell ref="C57:F57"/>
    <mergeCell ref="C58:F58"/>
    <mergeCell ref="C39:F39"/>
    <mergeCell ref="A40:A62"/>
    <mergeCell ref="C40:F40"/>
    <mergeCell ref="C41:F41"/>
    <mergeCell ref="C42:F42"/>
    <mergeCell ref="C43:F43"/>
    <mergeCell ref="C44:F44"/>
    <mergeCell ref="C45:F45"/>
    <mergeCell ref="C46:F46"/>
    <mergeCell ref="C47:F47"/>
    <mergeCell ref="C60:F60"/>
    <mergeCell ref="C48:F48"/>
    <mergeCell ref="C49:F49"/>
    <mergeCell ref="C50:F51"/>
    <mergeCell ref="C52:F52"/>
    <mergeCell ref="C53:F53"/>
    <mergeCell ref="C22:F22"/>
    <mergeCell ref="C23:F24"/>
    <mergeCell ref="C25:F25"/>
    <mergeCell ref="C38:F38"/>
    <mergeCell ref="C27:F27"/>
    <mergeCell ref="C28:F28"/>
    <mergeCell ref="C29:F29"/>
    <mergeCell ref="C30:F30"/>
    <mergeCell ref="C31:F31"/>
    <mergeCell ref="C32:F32"/>
    <mergeCell ref="C33:F33"/>
    <mergeCell ref="C34:F34"/>
    <mergeCell ref="C35:F35"/>
    <mergeCell ref="C36:F36"/>
    <mergeCell ref="C37:F37"/>
    <mergeCell ref="D14:G14"/>
    <mergeCell ref="B16:G16"/>
    <mergeCell ref="C19:F19"/>
    <mergeCell ref="C20:F20"/>
    <mergeCell ref="C21:F21"/>
    <mergeCell ref="R67:S67"/>
    <mergeCell ref="U67:V67"/>
    <mergeCell ref="B1:G1"/>
    <mergeCell ref="A2:A16"/>
    <mergeCell ref="B8:C8"/>
    <mergeCell ref="E8:F8"/>
    <mergeCell ref="D9:G9"/>
    <mergeCell ref="B10:C10"/>
    <mergeCell ref="D10:G10"/>
    <mergeCell ref="B11:C11"/>
    <mergeCell ref="D11:G11"/>
    <mergeCell ref="B12:C12"/>
    <mergeCell ref="C26:F26"/>
    <mergeCell ref="D12:G12"/>
    <mergeCell ref="B13:C15"/>
    <mergeCell ref="D13:G13"/>
  </mergeCells>
  <dataValidations count="2">
    <dataValidation type="list" allowBlank="1" showInputMessage="1" showErrorMessage="1" sqref="A18:A39 A63:A125" xr:uid="{583CCB24-01B7-485C-A7BE-1B9F4D6797AF}">
      <formula1>PRESTATION</formula1>
    </dataValidation>
    <dataValidation type="list" allowBlank="1" showInputMessage="1" showErrorMessage="1" sqref="C68:C122 C67" xr:uid="{BA0E0ED1-380B-46C1-ADB3-E3EF34C92CDF}">
      <formula1>INDIRECT(A67)</formula1>
    </dataValidation>
  </dataValidations>
  <pageMargins left="0.23622047244094491" right="0.23622047244094491" top="0.74803149606299213" bottom="0.74803149606299213" header="0.31496062992125984" footer="0.31496062992125984"/>
  <pageSetup paperSize="9" scale="77" fitToHeight="0" orientation="portrait" r:id="rId1"/>
  <headerFooter>
    <oddFooter>&amp;L&amp;"Century Gothic,Normal"&amp;K00-048&amp;P / &amp;N&amp;C&amp;"Century Gothic,Normal"&amp;K00-047SCGB - 20 rue Notival 31150 GAGNAC-SUR-GARONNE - SIREN : 819192162
contact@loftwood.fr - www.loftwood.fr - 05 61 35 20 34&amp;R&amp;"Century Gothic,Normal"&amp;K00-048&amp;D</oddFooter>
  </headerFooter>
  <rowBreaks count="2" manualBreakCount="2">
    <brk id="62" max="16383" man="1"/>
    <brk id="123" max="16383" man="1"/>
  </rowBreaks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E7FD54-1922-44C7-BDC6-99C74D4B668D}">
  <sheetPr>
    <tabColor theme="7"/>
    <pageSetUpPr fitToPage="1"/>
  </sheetPr>
  <dimension ref="A1:G73"/>
  <sheetViews>
    <sheetView showGridLines="0" view="pageBreakPreview" topLeftCell="A32" zoomScale="115" zoomScaleNormal="100" zoomScaleSheetLayoutView="115" workbookViewId="0">
      <selection activeCell="A32" sqref="A1:XFD1048576"/>
    </sheetView>
  </sheetViews>
  <sheetFormatPr defaultColWidth="9.109375" defaultRowHeight="14.4"/>
  <cols>
    <col min="1" max="1" width="13.88671875" style="1" bestFit="1" customWidth="1"/>
    <col min="2" max="2" width="12.5546875" bestFit="1" customWidth="1"/>
    <col min="3" max="3" width="98.33203125" style="1" customWidth="1"/>
    <col min="4" max="4" width="7.88671875" customWidth="1"/>
    <col min="5" max="5" width="7" customWidth="1"/>
    <col min="6" max="6" width="12.5546875" bestFit="1" customWidth="1"/>
    <col min="7" max="7" width="14.88671875" bestFit="1" customWidth="1"/>
  </cols>
  <sheetData>
    <row r="1" spans="1:7" ht="37.65" customHeight="1">
      <c r="B1" s="418" t="s">
        <v>473</v>
      </c>
      <c r="C1" s="418"/>
      <c r="D1" s="418"/>
      <c r="E1" s="418"/>
      <c r="F1" s="418"/>
      <c r="G1" s="418"/>
    </row>
    <row r="2" spans="1:7" ht="18.75" customHeight="1">
      <c r="A2" s="423"/>
      <c r="B2" s="1"/>
      <c r="D2" s="1"/>
      <c r="E2" s="1"/>
      <c r="F2" s="1"/>
      <c r="G2" s="1"/>
    </row>
    <row r="3" spans="1:7">
      <c r="A3" s="423"/>
      <c r="B3" s="1"/>
      <c r="D3" s="1"/>
      <c r="E3" s="1"/>
      <c r="F3" s="1"/>
      <c r="G3" s="1"/>
    </row>
    <row r="4" spans="1:7">
      <c r="A4" s="423"/>
      <c r="B4" s="1"/>
      <c r="D4" s="1"/>
      <c r="E4" s="1"/>
      <c r="F4" s="1"/>
      <c r="G4" s="1"/>
    </row>
    <row r="5" spans="1:7" ht="15.75" customHeight="1">
      <c r="A5" s="423"/>
      <c r="B5" s="1"/>
      <c r="D5" s="1"/>
      <c r="E5" s="1"/>
      <c r="F5" s="1"/>
      <c r="G5" s="1"/>
    </row>
    <row r="6" spans="1:7" ht="15.75" customHeight="1">
      <c r="A6" s="423"/>
      <c r="B6" s="1"/>
      <c r="D6" s="1"/>
      <c r="E6" s="1"/>
      <c r="F6" s="1"/>
      <c r="G6" s="1"/>
    </row>
    <row r="7" spans="1:7">
      <c r="A7" s="423"/>
      <c r="B7" s="1"/>
      <c r="D7" s="1"/>
      <c r="E7" s="1"/>
      <c r="F7" s="1"/>
      <c r="G7" s="1"/>
    </row>
    <row r="8" spans="1:7" ht="21">
      <c r="A8" s="423"/>
      <c r="B8" s="473" t="s">
        <v>11</v>
      </c>
      <c r="C8" s="474"/>
      <c r="D8" s="244" t="s">
        <v>12</v>
      </c>
      <c r="E8" s="475" t="s">
        <v>474</v>
      </c>
      <c r="F8" s="475"/>
      <c r="G8" s="245"/>
    </row>
    <row r="9" spans="1:7" ht="15.6">
      <c r="A9" s="423"/>
      <c r="B9" s="246"/>
      <c r="C9" s="247"/>
      <c r="D9" s="476"/>
      <c r="E9" s="477"/>
      <c r="F9" s="477"/>
      <c r="G9" s="478"/>
    </row>
    <row r="10" spans="1:7" ht="15.6">
      <c r="A10" s="423"/>
      <c r="B10" s="427" t="s">
        <v>475</v>
      </c>
      <c r="C10" s="428"/>
      <c r="D10" s="429" t="s">
        <v>13</v>
      </c>
      <c r="E10" s="430"/>
      <c r="F10" s="430"/>
      <c r="G10" s="431"/>
    </row>
    <row r="11" spans="1:7" ht="15.6">
      <c r="A11" s="423"/>
      <c r="B11" s="432" t="s">
        <v>476</v>
      </c>
      <c r="C11" s="433"/>
      <c r="D11" s="434" t="s">
        <v>14</v>
      </c>
      <c r="E11" s="435"/>
      <c r="F11" s="435"/>
      <c r="G11" s="436"/>
    </row>
    <row r="12" spans="1:7" ht="15.6">
      <c r="A12" s="423"/>
      <c r="B12" s="419" t="s">
        <v>477</v>
      </c>
      <c r="C12" s="466"/>
      <c r="D12" s="174"/>
      <c r="E12" s="175"/>
      <c r="F12" s="175">
        <v>31150</v>
      </c>
      <c r="G12" s="176"/>
    </row>
    <row r="13" spans="1:7" ht="15" customHeight="1">
      <c r="A13" s="423"/>
      <c r="B13" s="437"/>
      <c r="C13" s="438"/>
      <c r="D13" s="469" t="s">
        <v>267</v>
      </c>
      <c r="E13" s="448"/>
      <c r="F13" s="448"/>
      <c r="G13" s="449"/>
    </row>
    <row r="14" spans="1:7" ht="15" customHeight="1">
      <c r="A14" s="423"/>
      <c r="B14" s="437"/>
      <c r="C14" s="438"/>
      <c r="D14" s="469"/>
      <c r="E14" s="448"/>
      <c r="F14" s="448"/>
      <c r="G14" s="449"/>
    </row>
    <row r="15" spans="1:7" ht="14.4" customHeight="1">
      <c r="A15" s="423"/>
      <c r="B15" s="467"/>
      <c r="C15" s="468"/>
      <c r="D15" s="6"/>
      <c r="E15" s="7"/>
      <c r="F15" s="7"/>
      <c r="G15" s="8"/>
    </row>
    <row r="16" spans="1:7">
      <c r="A16" s="423"/>
      <c r="B16" s="480" t="s">
        <v>15</v>
      </c>
      <c r="C16" s="481"/>
      <c r="D16" s="481"/>
      <c r="E16" s="481"/>
      <c r="F16" s="481"/>
      <c r="G16" s="482"/>
    </row>
    <row r="17" spans="1:7" ht="15" customHeight="1">
      <c r="A17" s="486"/>
      <c r="B17" s="486" t="s">
        <v>176</v>
      </c>
      <c r="C17" s="487" t="s">
        <v>16</v>
      </c>
      <c r="D17" s="488" t="s">
        <v>17</v>
      </c>
      <c r="E17" s="488" t="s">
        <v>18</v>
      </c>
      <c r="F17" s="488" t="s">
        <v>19</v>
      </c>
      <c r="G17" s="488" t="s">
        <v>20</v>
      </c>
    </row>
    <row r="18" spans="1:7">
      <c r="A18" s="440"/>
      <c r="B18" s="422"/>
      <c r="C18" s="442"/>
      <c r="D18" s="422"/>
      <c r="E18" s="422"/>
      <c r="F18" s="422"/>
      <c r="G18" s="422"/>
    </row>
    <row r="19" spans="1:7">
      <c r="B19" s="220"/>
      <c r="C19" s="272"/>
      <c r="D19" s="273"/>
      <c r="E19" s="273"/>
      <c r="F19" s="273"/>
      <c r="G19" s="273"/>
    </row>
    <row r="20" spans="1:7">
      <c r="B20" s="83"/>
      <c r="C20" s="496" t="s">
        <v>187</v>
      </c>
      <c r="D20" s="496"/>
      <c r="E20" s="496"/>
      <c r="F20" s="496"/>
      <c r="G20" s="497"/>
    </row>
    <row r="21" spans="1:7">
      <c r="B21" s="83"/>
      <c r="D21" s="85"/>
      <c r="E21" s="85"/>
      <c r="F21" s="85"/>
      <c r="G21" s="162"/>
    </row>
    <row r="22" spans="1:7" ht="15" customHeight="1">
      <c r="B22" s="293"/>
      <c r="C22" s="256"/>
      <c r="D22" s="10"/>
      <c r="E22" s="9"/>
      <c r="F22" s="10"/>
      <c r="G22" s="163"/>
    </row>
    <row r="23" spans="1:7">
      <c r="B23" s="293"/>
      <c r="C23" s="256"/>
      <c r="D23" s="161"/>
      <c r="E23" s="9"/>
      <c r="F23" s="10"/>
      <c r="G23" s="163"/>
    </row>
    <row r="24" spans="1:7" ht="46.8" customHeight="1">
      <c r="B24" s="293"/>
      <c r="C24" s="294" t="s">
        <v>478</v>
      </c>
      <c r="D24" s="161" t="s">
        <v>127</v>
      </c>
      <c r="E24" s="9">
        <v>1</v>
      </c>
      <c r="F24" s="10">
        <v>9825</v>
      </c>
      <c r="G24" s="163">
        <v>9825</v>
      </c>
    </row>
    <row r="25" spans="1:7">
      <c r="B25" s="293"/>
      <c r="C25" s="1" t="s">
        <v>479</v>
      </c>
      <c r="D25" s="161"/>
      <c r="E25" s="9"/>
      <c r="F25" s="10"/>
      <c r="G25" s="163"/>
    </row>
    <row r="26" spans="1:7">
      <c r="B26" s="293"/>
      <c r="C26" s="295" t="s">
        <v>480</v>
      </c>
      <c r="D26" s="161"/>
      <c r="E26" s="9"/>
      <c r="F26" s="10"/>
      <c r="G26" s="163"/>
    </row>
    <row r="27" spans="1:7">
      <c r="B27" s="293"/>
      <c r="C27" s="296" t="s">
        <v>481</v>
      </c>
      <c r="D27" s="161"/>
      <c r="E27" s="9"/>
      <c r="F27" s="10"/>
      <c r="G27" s="163"/>
    </row>
    <row r="28" spans="1:7">
      <c r="B28" s="293"/>
      <c r="C28" s="296" t="s">
        <v>482</v>
      </c>
      <c r="D28" s="161"/>
      <c r="E28" s="9"/>
      <c r="F28" s="10"/>
      <c r="G28" s="163"/>
    </row>
    <row r="29" spans="1:7">
      <c r="B29" s="293"/>
      <c r="C29" s="296" t="s">
        <v>483</v>
      </c>
      <c r="D29" s="161"/>
      <c r="E29" s="9"/>
      <c r="F29" s="10"/>
      <c r="G29" s="163"/>
    </row>
    <row r="30" spans="1:7">
      <c r="B30" s="51"/>
      <c r="C30" s="297" t="s">
        <v>484</v>
      </c>
      <c r="D30" s="161"/>
      <c r="E30" s="9"/>
      <c r="F30" s="10"/>
      <c r="G30" s="163"/>
    </row>
    <row r="31" spans="1:7">
      <c r="B31" s="51"/>
      <c r="C31" s="173"/>
      <c r="D31" s="161"/>
      <c r="E31" s="9"/>
      <c r="F31" s="10"/>
      <c r="G31" s="163"/>
    </row>
    <row r="32" spans="1:7">
      <c r="B32" s="293"/>
      <c r="C32" s="19" t="s">
        <v>485</v>
      </c>
      <c r="D32" s="161"/>
      <c r="E32" s="9"/>
      <c r="F32" s="10"/>
      <c r="G32" s="163"/>
    </row>
    <row r="33" spans="2:7" ht="15" customHeight="1">
      <c r="B33" s="51"/>
      <c r="C33" s="1" t="s">
        <v>486</v>
      </c>
      <c r="D33" s="161"/>
      <c r="E33" s="9"/>
      <c r="F33" s="10"/>
      <c r="G33" s="163"/>
    </row>
    <row r="34" spans="2:7">
      <c r="B34" s="51"/>
      <c r="C34" s="1" t="s">
        <v>487</v>
      </c>
      <c r="D34" s="161"/>
      <c r="E34" s="9"/>
      <c r="F34" s="10"/>
      <c r="G34" s="163"/>
    </row>
    <row r="35" spans="2:7">
      <c r="B35" s="51"/>
      <c r="C35" s="1" t="s">
        <v>488</v>
      </c>
      <c r="D35" s="161"/>
      <c r="E35" s="9"/>
      <c r="F35" s="10"/>
      <c r="G35" s="163"/>
    </row>
    <row r="36" spans="2:7">
      <c r="B36" s="293"/>
      <c r="C36" s="1" t="s">
        <v>489</v>
      </c>
      <c r="D36" s="161"/>
      <c r="E36" s="9"/>
      <c r="F36" s="10"/>
      <c r="G36" s="163"/>
    </row>
    <row r="37" spans="2:7">
      <c r="B37" s="51"/>
      <c r="C37" s="1" t="s">
        <v>490</v>
      </c>
      <c r="D37" s="161"/>
      <c r="E37" s="9"/>
      <c r="F37" s="10"/>
      <c r="G37" s="163"/>
    </row>
    <row r="38" spans="2:7">
      <c r="B38" s="51"/>
      <c r="C38" s="1" t="s">
        <v>491</v>
      </c>
      <c r="D38" s="161"/>
      <c r="E38" s="9"/>
      <c r="F38" s="10"/>
      <c r="G38" s="163"/>
    </row>
    <row r="39" spans="2:7">
      <c r="B39" s="51"/>
      <c r="C39" s="1" t="s">
        <v>492</v>
      </c>
      <c r="D39" s="161"/>
      <c r="E39" s="9"/>
      <c r="F39" s="10"/>
      <c r="G39" s="163"/>
    </row>
    <row r="40" spans="2:7">
      <c r="B40" s="293"/>
      <c r="C40" s="1" t="s">
        <v>493</v>
      </c>
      <c r="D40" s="161"/>
      <c r="E40" s="9"/>
      <c r="F40" s="10"/>
      <c r="G40" s="163"/>
    </row>
    <row r="41" spans="2:7">
      <c r="B41" s="51"/>
      <c r="C41" s="1" t="s">
        <v>494</v>
      </c>
      <c r="D41" s="161"/>
      <c r="E41" s="9"/>
      <c r="F41" s="10"/>
      <c r="G41" s="163"/>
    </row>
    <row r="42" spans="2:7" ht="15" customHeight="1">
      <c r="B42" s="51"/>
      <c r="C42" s="1" t="s">
        <v>495</v>
      </c>
      <c r="D42" s="161"/>
      <c r="E42" s="9"/>
      <c r="F42" s="10"/>
      <c r="G42" s="163"/>
    </row>
    <row r="43" spans="2:7" ht="15" customHeight="1">
      <c r="B43" s="51"/>
      <c r="C43" s="173"/>
      <c r="D43" s="161"/>
      <c r="E43" s="9"/>
      <c r="F43" s="10"/>
      <c r="G43" s="163"/>
    </row>
    <row r="44" spans="2:7">
      <c r="B44" s="293"/>
      <c r="C44" s="256"/>
      <c r="D44" s="161"/>
      <c r="E44" s="9"/>
      <c r="F44" s="10"/>
      <c r="G44" s="163"/>
    </row>
    <row r="45" spans="2:7" ht="14.4" customHeight="1">
      <c r="B45" s="51"/>
      <c r="C45" s="498" t="s">
        <v>496</v>
      </c>
      <c r="D45" s="161"/>
      <c r="E45" s="9"/>
      <c r="F45" s="10"/>
      <c r="G45" s="163"/>
    </row>
    <row r="46" spans="2:7">
      <c r="B46" s="51"/>
      <c r="C46" s="498"/>
      <c r="D46" s="161"/>
      <c r="E46" s="9"/>
      <c r="F46" s="10"/>
      <c r="G46" s="163"/>
    </row>
    <row r="47" spans="2:7" ht="15" customHeight="1">
      <c r="B47" s="51"/>
      <c r="C47" s="498"/>
      <c r="D47" s="161"/>
      <c r="E47" s="9"/>
      <c r="F47" s="10"/>
      <c r="G47" s="163"/>
    </row>
    <row r="48" spans="2:7" ht="15" customHeight="1">
      <c r="B48" s="51"/>
      <c r="C48" s="173"/>
      <c r="D48" s="161"/>
      <c r="E48" s="9"/>
      <c r="F48" s="10"/>
      <c r="G48" s="163"/>
    </row>
    <row r="49" spans="1:7">
      <c r="B49" s="51"/>
      <c r="C49" s="11"/>
      <c r="D49" s="161"/>
      <c r="E49" s="9"/>
      <c r="F49" s="10"/>
      <c r="G49" s="163"/>
    </row>
    <row r="50" spans="1:7">
      <c r="B50" s="51"/>
      <c r="C50" s="11"/>
      <c r="D50" s="161"/>
      <c r="E50" s="9"/>
      <c r="F50" s="10"/>
      <c r="G50" s="163"/>
    </row>
    <row r="51" spans="1:7">
      <c r="B51" s="51"/>
      <c r="C51" s="11"/>
      <c r="D51" s="161"/>
      <c r="E51" s="9"/>
      <c r="F51" s="10"/>
      <c r="G51" s="163"/>
    </row>
    <row r="52" spans="1:7">
      <c r="A52" s="181"/>
      <c r="B52" s="51"/>
      <c r="C52" s="182"/>
      <c r="D52" s="161" t="s">
        <v>414</v>
      </c>
      <c r="E52" s="9"/>
      <c r="F52" s="10" t="s">
        <v>414</v>
      </c>
      <c r="G52" s="298"/>
    </row>
    <row r="53" spans="1:7" ht="15.6">
      <c r="A53" s="181"/>
      <c r="B53" s="51"/>
      <c r="C53" s="299" t="s">
        <v>497</v>
      </c>
      <c r="D53" s="161" t="s">
        <v>414</v>
      </c>
      <c r="E53" s="9"/>
      <c r="F53" s="10" t="s">
        <v>414</v>
      </c>
      <c r="G53" s="298"/>
    </row>
    <row r="54" spans="1:7" ht="15.6">
      <c r="A54" s="181"/>
      <c r="B54" s="51"/>
      <c r="C54" s="299" t="s">
        <v>498</v>
      </c>
      <c r="D54" s="161" t="s">
        <v>414</v>
      </c>
      <c r="E54" s="9"/>
      <c r="F54" s="10" t="s">
        <v>414</v>
      </c>
      <c r="G54" s="298"/>
    </row>
    <row r="55" spans="1:7">
      <c r="B55" s="153"/>
      <c r="C55" s="160"/>
      <c r="D55" s="155"/>
      <c r="E55" s="156"/>
      <c r="F55" s="157"/>
      <c r="G55" s="158"/>
    </row>
    <row r="56" spans="1:7" ht="18">
      <c r="B56" s="258"/>
      <c r="C56" s="263" t="s">
        <v>499</v>
      </c>
      <c r="D56" s="263"/>
      <c r="E56" s="259"/>
      <c r="F56" s="260"/>
      <c r="G56" s="261">
        <v>9825</v>
      </c>
    </row>
    <row r="57" spans="1:7" ht="18.75" customHeight="1">
      <c r="B57" s="15"/>
      <c r="C57" s="16">
        <v>0</v>
      </c>
      <c r="D57" s="17"/>
      <c r="E57" s="18"/>
      <c r="F57" s="19"/>
      <c r="G57" s="20">
        <v>0</v>
      </c>
    </row>
    <row r="58" spans="1:7" ht="18">
      <c r="B58" s="262"/>
      <c r="C58" s="263" t="s">
        <v>31</v>
      </c>
      <c r="D58" s="263"/>
      <c r="E58" s="264"/>
      <c r="F58" s="265"/>
      <c r="G58" s="266">
        <v>9825</v>
      </c>
    </row>
    <row r="59" spans="1:7" ht="18">
      <c r="B59" s="15"/>
      <c r="C59" s="180" t="s">
        <v>477</v>
      </c>
      <c r="D59" s="490" t="s">
        <v>476</v>
      </c>
      <c r="E59" s="491"/>
      <c r="F59" s="491"/>
      <c r="G59" s="492"/>
    </row>
    <row r="60" spans="1:7" ht="18" customHeight="1">
      <c r="B60" s="27"/>
      <c r="D60" s="446" t="s">
        <v>475</v>
      </c>
      <c r="E60" s="446"/>
      <c r="F60" s="446"/>
      <c r="G60" s="447"/>
    </row>
    <row r="61" spans="1:7">
      <c r="B61" s="27"/>
      <c r="C61" s="19" t="s">
        <v>32</v>
      </c>
      <c r="D61" s="19" t="s">
        <v>268</v>
      </c>
      <c r="E61" s="19"/>
      <c r="F61" s="19"/>
      <c r="G61" s="1"/>
    </row>
    <row r="62" spans="1:7">
      <c r="B62" s="27"/>
      <c r="C62" s="300" t="s">
        <v>500</v>
      </c>
      <c r="D62" s="246" t="s">
        <v>500</v>
      </c>
      <c r="E62" s="247"/>
      <c r="F62" s="247"/>
      <c r="G62" s="268"/>
    </row>
    <row r="63" spans="1:7">
      <c r="B63" s="27"/>
      <c r="C63" s="161"/>
      <c r="D63" s="27"/>
      <c r="E63" s="1"/>
      <c r="F63" s="1"/>
      <c r="G63" s="28"/>
    </row>
    <row r="64" spans="1:7">
      <c r="B64" s="27"/>
      <c r="C64" s="161"/>
      <c r="D64" s="27"/>
      <c r="E64" s="1"/>
      <c r="F64" s="1"/>
      <c r="G64" s="28"/>
    </row>
    <row r="65" spans="2:7">
      <c r="B65" s="27"/>
      <c r="C65" s="161"/>
      <c r="D65" s="27"/>
      <c r="E65" s="1"/>
      <c r="F65" s="1"/>
      <c r="G65" s="28"/>
    </row>
    <row r="66" spans="2:7">
      <c r="B66" s="27"/>
      <c r="C66" s="161"/>
      <c r="D66" s="27"/>
      <c r="E66" s="1"/>
      <c r="F66" s="1"/>
      <c r="G66" s="28"/>
    </row>
    <row r="67" spans="2:7">
      <c r="B67" s="27"/>
      <c r="C67" s="161"/>
      <c r="D67" s="27"/>
      <c r="E67" s="1"/>
      <c r="F67" s="1"/>
      <c r="G67" s="28"/>
    </row>
    <row r="68" spans="2:7">
      <c r="B68" s="27"/>
      <c r="C68" s="161"/>
      <c r="D68" s="27"/>
      <c r="E68" s="1"/>
      <c r="F68" s="1"/>
      <c r="G68" s="28"/>
    </row>
    <row r="69" spans="2:7">
      <c r="B69" s="27"/>
      <c r="C69" s="161"/>
      <c r="D69" s="27"/>
      <c r="E69" s="1"/>
      <c r="F69" s="1"/>
      <c r="G69" s="28"/>
    </row>
    <row r="70" spans="2:7">
      <c r="B70" s="27"/>
      <c r="C70" s="161"/>
      <c r="D70" s="27"/>
      <c r="E70" s="1"/>
      <c r="F70" s="1"/>
      <c r="G70" s="28"/>
    </row>
    <row r="71" spans="2:7">
      <c r="B71" s="27"/>
      <c r="C71" s="161"/>
      <c r="D71" s="27"/>
      <c r="E71" s="1"/>
      <c r="F71" s="1"/>
      <c r="G71" s="28"/>
    </row>
    <row r="72" spans="2:7">
      <c r="B72" s="27"/>
      <c r="C72" s="301"/>
      <c r="D72" s="6"/>
      <c r="E72" s="7"/>
      <c r="F72" s="7"/>
      <c r="G72" s="8"/>
    </row>
    <row r="73" spans="2:7">
      <c r="B73" s="6"/>
      <c r="C73" s="7"/>
      <c r="D73" s="7"/>
      <c r="E73" s="7"/>
      <c r="F73" s="7"/>
      <c r="G73" s="8"/>
    </row>
  </sheetData>
  <sheetProtection formatColumns="0" insertRows="0" deleteRows="0"/>
  <protectedRanges>
    <protectedRange sqref="A52:A54" name="Plage2_1"/>
    <protectedRange sqref="E52:E54" name="Plage4"/>
    <protectedRange sqref="B10:C15" name="Plage1_1_1"/>
  </protectedRanges>
  <mergeCells count="25">
    <mergeCell ref="B1:G1"/>
    <mergeCell ref="A2:A16"/>
    <mergeCell ref="B8:C8"/>
    <mergeCell ref="E8:F8"/>
    <mergeCell ref="D9:G9"/>
    <mergeCell ref="B10:C10"/>
    <mergeCell ref="D10:G10"/>
    <mergeCell ref="B11:C11"/>
    <mergeCell ref="D11:G11"/>
    <mergeCell ref="B12:C12"/>
    <mergeCell ref="B13:C15"/>
    <mergeCell ref="D13:G13"/>
    <mergeCell ref="D14:G14"/>
    <mergeCell ref="B16:G16"/>
    <mergeCell ref="A17:A18"/>
    <mergeCell ref="B17:B18"/>
    <mergeCell ref="C17:C18"/>
    <mergeCell ref="D17:D18"/>
    <mergeCell ref="E17:E18"/>
    <mergeCell ref="F17:F18"/>
    <mergeCell ref="D60:G60"/>
    <mergeCell ref="C20:G20"/>
    <mergeCell ref="C45:C47"/>
    <mergeCell ref="D59:G59"/>
    <mergeCell ref="G17:G18"/>
  </mergeCells>
  <dataValidations count="2">
    <dataValidation type="list" allowBlank="1" showInputMessage="1" showErrorMessage="1" sqref="A19:A57" xr:uid="{B6D05B1F-FE32-46C8-984C-44F2CBA887E0}">
      <formula1>PRESTATION</formula1>
    </dataValidation>
    <dataValidation type="list" allowBlank="1" showInputMessage="1" showErrorMessage="1" sqref="C43 C49:C51 C31" xr:uid="{BD03C6DC-743E-42FD-8D9B-A6EA3DDA536B}">
      <formula1>INDIRECT(A31)</formula1>
    </dataValidation>
  </dataValidations>
  <pageMargins left="0.23622047244094491" right="0.23622047244094491" top="0.74803149606299213" bottom="0.74803149606299213" header="0.31496062992125984" footer="0.31496062992125984"/>
  <pageSetup paperSize="9" scale="65" fitToHeight="0" orientation="portrait" r:id="rId1"/>
  <headerFooter>
    <oddFooter>&amp;L&amp;"Century Gothic,Normal"&amp;K00-049&amp;P / &amp;N&amp;C&amp;"Century Gothic,Normal"&amp;K00-048S.C LAROX WOOD HOUSE SRL - Botosani - Romania - N° Intracom : RO 34 11 41 07
contact@loftwood.fr - www.loftwood.fr - 05 61 35 20 34&amp;R&amp;"Century Gothic,Normal"&amp;K00-049&amp;D</oddFooter>
  </headerFooter>
  <rowBreaks count="1" manualBreakCount="1">
    <brk id="56" max="16383" man="1"/>
  </rowBreaks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D5EB45-06A9-4FC7-A412-763BAD42CD51}">
  <dimension ref="A1:M10"/>
  <sheetViews>
    <sheetView workbookViewId="0">
      <selection activeCell="F16" sqref="F16"/>
    </sheetView>
  </sheetViews>
  <sheetFormatPr defaultRowHeight="14.4"/>
  <cols>
    <col min="1" max="1" width="23.6640625" bestFit="1" customWidth="1"/>
    <col min="2" max="2" width="88.77734375" bestFit="1" customWidth="1"/>
    <col min="3" max="3" width="3.5546875" bestFit="1" customWidth="1"/>
    <col min="4" max="4" width="4" bestFit="1" customWidth="1"/>
    <col min="5" max="7" width="5" bestFit="1" customWidth="1"/>
    <col min="8" max="8" width="4" bestFit="1" customWidth="1"/>
    <col min="9" max="10" width="5" bestFit="1" customWidth="1"/>
    <col min="11" max="13" width="4" bestFit="1" customWidth="1"/>
  </cols>
  <sheetData>
    <row r="1" spans="1:13" ht="58.8">
      <c r="D1" s="367" t="s">
        <v>567</v>
      </c>
      <c r="E1" s="367" t="s">
        <v>568</v>
      </c>
      <c r="F1" s="367" t="s">
        <v>569</v>
      </c>
      <c r="G1" s="367" t="s">
        <v>570</v>
      </c>
      <c r="H1" s="367" t="s">
        <v>571</v>
      </c>
      <c r="I1" s="367" t="s">
        <v>2</v>
      </c>
      <c r="J1" s="367" t="s">
        <v>572</v>
      </c>
      <c r="K1" s="367" t="s">
        <v>257</v>
      </c>
      <c r="L1" s="367" t="s">
        <v>573</v>
      </c>
      <c r="M1" s="367" t="s">
        <v>574</v>
      </c>
    </row>
    <row r="2" spans="1:13">
      <c r="A2" s="37" t="s">
        <v>443</v>
      </c>
      <c r="B2" s="326" t="s">
        <v>547</v>
      </c>
      <c r="C2" s="37" t="s">
        <v>21</v>
      </c>
      <c r="D2" s="37">
        <v>415</v>
      </c>
      <c r="E2" s="37">
        <f>D2</f>
        <v>415</v>
      </c>
      <c r="F2" s="37">
        <f>D2</f>
        <v>415</v>
      </c>
      <c r="G2" s="37">
        <f>D2</f>
        <v>415</v>
      </c>
      <c r="H2" s="37"/>
      <c r="I2" s="37">
        <f>D2</f>
        <v>415</v>
      </c>
      <c r="J2" s="37">
        <f>D2</f>
        <v>415</v>
      </c>
      <c r="K2" s="37"/>
      <c r="L2" s="37"/>
      <c r="M2" s="37"/>
    </row>
    <row r="3" spans="1:13">
      <c r="A3" s="37" t="s">
        <v>534</v>
      </c>
      <c r="B3" s="326" t="s">
        <v>548</v>
      </c>
      <c r="C3" s="37" t="s">
        <v>21</v>
      </c>
      <c r="D3" s="37">
        <v>40</v>
      </c>
      <c r="E3" s="37"/>
      <c r="F3" s="37"/>
      <c r="G3" s="37"/>
      <c r="H3" s="37">
        <f>D3</f>
        <v>40</v>
      </c>
      <c r="I3" s="37">
        <f>D3</f>
        <v>40</v>
      </c>
      <c r="J3" s="37">
        <f>D3</f>
        <v>40</v>
      </c>
      <c r="K3" s="37"/>
      <c r="L3" s="37"/>
      <c r="M3" s="37"/>
    </row>
    <row r="4" spans="1:13">
      <c r="A4" s="37" t="s">
        <v>414</v>
      </c>
      <c r="B4" s="326" t="s">
        <v>542</v>
      </c>
      <c r="C4" s="37" t="s">
        <v>23</v>
      </c>
      <c r="D4" s="37">
        <v>120</v>
      </c>
      <c r="E4" s="37"/>
      <c r="F4" s="37"/>
      <c r="G4" s="37"/>
      <c r="H4" s="37"/>
      <c r="I4" s="37"/>
      <c r="J4" s="37"/>
      <c r="K4" s="37"/>
      <c r="L4" s="37">
        <f>D4</f>
        <v>120</v>
      </c>
      <c r="M4" s="37"/>
    </row>
    <row r="5" spans="1:13">
      <c r="A5" s="37"/>
      <c r="B5" s="326" t="s">
        <v>553</v>
      </c>
      <c r="C5" s="37" t="s">
        <v>23</v>
      </c>
      <c r="D5" s="37">
        <v>183</v>
      </c>
      <c r="E5" s="37"/>
      <c r="F5" s="37"/>
      <c r="G5" s="37"/>
      <c r="H5" s="37"/>
      <c r="I5" s="37"/>
      <c r="J5" s="37"/>
      <c r="K5" s="37"/>
      <c r="L5" s="37"/>
      <c r="M5" s="37">
        <f>D5</f>
        <v>183</v>
      </c>
    </row>
    <row r="6" spans="1:13">
      <c r="A6" s="37" t="s">
        <v>545</v>
      </c>
      <c r="B6" s="326" t="s">
        <v>558</v>
      </c>
      <c r="C6" s="37" t="s">
        <v>21</v>
      </c>
      <c r="D6" s="37">
        <v>287</v>
      </c>
      <c r="E6" s="37"/>
      <c r="F6" s="37"/>
      <c r="G6" s="37"/>
      <c r="H6" s="37">
        <f>D6</f>
        <v>287</v>
      </c>
      <c r="I6" s="37"/>
      <c r="J6" s="37"/>
      <c r="K6" s="37">
        <f>D6</f>
        <v>287</v>
      </c>
      <c r="L6" s="37"/>
      <c r="M6" s="37"/>
    </row>
    <row r="7" spans="1:13">
      <c r="A7" s="37" t="s">
        <v>555</v>
      </c>
      <c r="B7" s="326" t="s">
        <v>559</v>
      </c>
      <c r="C7" s="37" t="s">
        <v>21</v>
      </c>
      <c r="D7" s="37">
        <v>227</v>
      </c>
      <c r="E7" s="37"/>
      <c r="F7" s="37"/>
      <c r="G7" s="37"/>
      <c r="H7" s="37">
        <f>D7</f>
        <v>227</v>
      </c>
      <c r="I7" s="37"/>
      <c r="J7" s="37"/>
      <c r="K7" s="37">
        <f>D7</f>
        <v>227</v>
      </c>
      <c r="L7" s="37"/>
      <c r="M7" s="37"/>
    </row>
    <row r="8" spans="1:13">
      <c r="A8" s="37" t="s">
        <v>546</v>
      </c>
      <c r="B8" s="326" t="s">
        <v>523</v>
      </c>
      <c r="C8" s="37" t="s">
        <v>21</v>
      </c>
      <c r="D8" s="37">
        <v>133</v>
      </c>
      <c r="E8" s="37"/>
      <c r="F8" s="37">
        <f>D8</f>
        <v>133</v>
      </c>
      <c r="G8" s="37"/>
      <c r="H8" s="37"/>
      <c r="I8" s="37"/>
      <c r="J8" s="37"/>
      <c r="K8" s="37"/>
      <c r="L8" s="37"/>
      <c r="M8" s="37"/>
    </row>
    <row r="9" spans="1:13">
      <c r="A9" s="37" t="s">
        <v>414</v>
      </c>
      <c r="B9" s="326" t="s">
        <v>542</v>
      </c>
      <c r="C9" s="37" t="s">
        <v>23</v>
      </c>
      <c r="D9" s="37">
        <v>187</v>
      </c>
      <c r="E9" s="37"/>
      <c r="F9" s="37"/>
      <c r="G9" s="37"/>
      <c r="H9" s="37"/>
      <c r="I9" s="37"/>
      <c r="J9" s="37"/>
      <c r="K9" s="37"/>
      <c r="L9" s="37">
        <f>D9</f>
        <v>187</v>
      </c>
      <c r="M9" s="37"/>
    </row>
    <row r="10" spans="1:13">
      <c r="C10" s="499" t="s">
        <v>567</v>
      </c>
      <c r="D10" s="499"/>
      <c r="E10" s="129">
        <f>SUM(E2:E9)</f>
        <v>415</v>
      </c>
      <c r="F10" s="129">
        <f t="shared" ref="F10:M10" si="0">SUM(F2:F9)</f>
        <v>548</v>
      </c>
      <c r="G10" s="129">
        <f t="shared" si="0"/>
        <v>415</v>
      </c>
      <c r="H10" s="129">
        <f t="shared" si="0"/>
        <v>554</v>
      </c>
      <c r="I10" s="129">
        <f t="shared" si="0"/>
        <v>455</v>
      </c>
      <c r="J10" s="129">
        <f t="shared" si="0"/>
        <v>455</v>
      </c>
      <c r="K10" s="129">
        <f t="shared" si="0"/>
        <v>514</v>
      </c>
      <c r="L10" s="129">
        <f t="shared" si="0"/>
        <v>307</v>
      </c>
      <c r="M10" s="129">
        <f t="shared" si="0"/>
        <v>183</v>
      </c>
    </row>
  </sheetData>
  <mergeCells count="1">
    <mergeCell ref="C10:D10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4BADA0-4700-4C00-BB92-643783F1864E}">
  <dimension ref="A2:O25"/>
  <sheetViews>
    <sheetView workbookViewId="0">
      <selection activeCell="F4" sqref="F4:I4"/>
    </sheetView>
  </sheetViews>
  <sheetFormatPr defaultRowHeight="14.4"/>
  <cols>
    <col min="1" max="1" width="20.88671875" bestFit="1" customWidth="1"/>
    <col min="2" max="2" width="5" bestFit="1" customWidth="1"/>
    <col min="3" max="4" width="12" bestFit="1" customWidth="1"/>
    <col min="6" max="6" width="20.88671875" bestFit="1" customWidth="1"/>
    <col min="8" max="9" width="12" bestFit="1" customWidth="1"/>
    <col min="12" max="12" width="12" bestFit="1" customWidth="1"/>
  </cols>
  <sheetData>
    <row r="2" spans="1:15">
      <c r="F2" s="416" t="s">
        <v>564</v>
      </c>
      <c r="G2" s="416"/>
      <c r="H2" s="416"/>
      <c r="I2" s="416"/>
    </row>
    <row r="3" spans="1:15">
      <c r="A3" t="s">
        <v>562</v>
      </c>
      <c r="B3" t="s">
        <v>560</v>
      </c>
      <c r="C3" t="s">
        <v>116</v>
      </c>
      <c r="D3" t="s">
        <v>561</v>
      </c>
      <c r="F3" s="37" t="s">
        <v>562</v>
      </c>
      <c r="G3" s="37" t="s">
        <v>560</v>
      </c>
      <c r="H3" s="37" t="s">
        <v>116</v>
      </c>
      <c r="I3" s="37" t="s">
        <v>561</v>
      </c>
      <c r="J3" s="369" t="s">
        <v>575</v>
      </c>
      <c r="K3" s="373" t="s">
        <v>576</v>
      </c>
      <c r="L3" s="167" t="s">
        <v>580</v>
      </c>
      <c r="M3" t="s">
        <v>577</v>
      </c>
      <c r="N3" t="s">
        <v>578</v>
      </c>
      <c r="O3" t="s">
        <v>579</v>
      </c>
    </row>
    <row r="4" spans="1:15">
      <c r="A4" s="350" t="s">
        <v>90</v>
      </c>
      <c r="B4" s="350">
        <v>554</v>
      </c>
      <c r="C4" s="350">
        <v>17.124140000000001</v>
      </c>
      <c r="D4" s="350">
        <v>9850.7939381443321</v>
      </c>
      <c r="F4" s="37" t="s">
        <v>90</v>
      </c>
      <c r="G4" s="37">
        <v>554</v>
      </c>
      <c r="H4" s="37">
        <v>17.124140000000001</v>
      </c>
      <c r="I4" s="368">
        <v>9850.7939381443321</v>
      </c>
      <c r="J4" s="270"/>
      <c r="K4" s="29">
        <f>H4-J4</f>
        <v>17.124140000000001</v>
      </c>
      <c r="L4" s="29">
        <f>I4/H4*K4</f>
        <v>9850.7939381443321</v>
      </c>
      <c r="M4" s="29">
        <f>J4*I4/H4</f>
        <v>0</v>
      </c>
      <c r="N4" s="29">
        <f>I4/H4</f>
        <v>575.25773195876297</v>
      </c>
      <c r="O4" s="29">
        <f>N4*4.95</f>
        <v>2847.5257731958768</v>
      </c>
    </row>
    <row r="5" spans="1:15">
      <c r="A5" s="350" t="s">
        <v>84</v>
      </c>
      <c r="B5" s="350">
        <v>554</v>
      </c>
      <c r="C5" s="350">
        <v>11634</v>
      </c>
      <c r="D5" s="350">
        <v>455.76494845360833</v>
      </c>
      <c r="F5" s="37" t="s">
        <v>84</v>
      </c>
      <c r="G5" s="37">
        <v>554</v>
      </c>
      <c r="H5" s="37">
        <f>C5+C8</f>
        <v>31910</v>
      </c>
      <c r="I5" s="37">
        <f>D5+D8</f>
        <v>1250.0824742268044</v>
      </c>
      <c r="J5" s="270"/>
      <c r="K5" s="29">
        <f t="shared" ref="K5:K13" si="0">H5-J5</f>
        <v>31910</v>
      </c>
      <c r="L5" s="29">
        <f t="shared" ref="L5:L13" si="1">I5/H5*K5</f>
        <v>1250.0824742268044</v>
      </c>
      <c r="M5" s="29">
        <f t="shared" ref="M5:M13" si="2">J5*I5/H5</f>
        <v>0</v>
      </c>
      <c r="N5" s="29">
        <f t="shared" ref="N5:N13" si="3">I5/H5</f>
        <v>3.9175257731958769E-2</v>
      </c>
      <c r="O5" s="29">
        <f t="shared" ref="O5:O13" si="4">N5*4.95</f>
        <v>0.1939175257731959</v>
      </c>
    </row>
    <row r="6" spans="1:15">
      <c r="A6" s="350" t="s">
        <v>263</v>
      </c>
      <c r="B6" s="350">
        <v>554</v>
      </c>
      <c r="C6" s="350">
        <v>16.83147288</v>
      </c>
      <c r="D6" s="350">
        <v>123.1300325324536</v>
      </c>
      <c r="F6" s="37" t="s">
        <v>263</v>
      </c>
      <c r="G6" s="37">
        <v>554</v>
      </c>
      <c r="H6" s="37">
        <f>C6+C9+C21</f>
        <v>44.05573553130435</v>
      </c>
      <c r="I6" s="37">
        <f>D6+D9+D21</f>
        <v>322.28814363931508</v>
      </c>
      <c r="J6" s="270"/>
      <c r="K6" s="29">
        <f t="shared" si="0"/>
        <v>44.05573553130435</v>
      </c>
      <c r="L6" s="29">
        <f t="shared" si="1"/>
        <v>322.28814363931508</v>
      </c>
      <c r="M6" s="29">
        <f t="shared" si="2"/>
        <v>0</v>
      </c>
      <c r="N6" s="29">
        <f t="shared" si="3"/>
        <v>7.3154639175257721</v>
      </c>
      <c r="O6" s="29">
        <f t="shared" si="4"/>
        <v>36.21154639175257</v>
      </c>
    </row>
    <row r="7" spans="1:15">
      <c r="A7" s="350" t="s">
        <v>93</v>
      </c>
      <c r="B7" s="350">
        <v>548</v>
      </c>
      <c r="C7" s="350">
        <v>26.338865507246382</v>
      </c>
      <c r="D7" s="350">
        <v>15151.636034065446</v>
      </c>
      <c r="F7" s="37" t="s">
        <v>93</v>
      </c>
      <c r="G7" s="37">
        <v>548</v>
      </c>
      <c r="H7" s="37">
        <f>C7+C20+C22</f>
        <v>29.977115507246385</v>
      </c>
      <c r="I7" s="37">
        <f>D7+D20+D22</f>
        <v>17244.567477364417</v>
      </c>
      <c r="J7" s="270"/>
      <c r="K7" s="29">
        <f t="shared" si="0"/>
        <v>29.977115507246385</v>
      </c>
      <c r="L7" s="29">
        <f>I7/H7*K7</f>
        <v>17244.567477364417</v>
      </c>
      <c r="M7" s="29">
        <f t="shared" si="2"/>
        <v>0</v>
      </c>
      <c r="N7" s="29">
        <f t="shared" si="3"/>
        <v>575.25773195876297</v>
      </c>
      <c r="O7" s="29">
        <f t="shared" si="4"/>
        <v>2847.5257731958768</v>
      </c>
    </row>
    <row r="8" spans="1:15">
      <c r="A8" s="350" t="s">
        <v>84</v>
      </c>
      <c r="B8" s="350">
        <v>548</v>
      </c>
      <c r="C8" s="350">
        <v>20276</v>
      </c>
      <c r="D8" s="350">
        <v>794.31752577319605</v>
      </c>
      <c r="F8" s="37" t="s">
        <v>563</v>
      </c>
      <c r="G8" s="37">
        <v>415</v>
      </c>
      <c r="H8" s="37">
        <v>425.37499999999994</v>
      </c>
      <c r="I8" s="37">
        <f>D10+D11</f>
        <v>4369.5221649484529</v>
      </c>
      <c r="J8" s="270"/>
      <c r="K8" s="29">
        <f t="shared" si="0"/>
        <v>425.37499999999994</v>
      </c>
      <c r="L8" s="29">
        <f t="shared" si="1"/>
        <v>4369.5221649484529</v>
      </c>
      <c r="M8" s="29">
        <f t="shared" si="2"/>
        <v>0</v>
      </c>
      <c r="N8" s="29">
        <f t="shared" si="3"/>
        <v>10.272164948453607</v>
      </c>
      <c r="O8" s="29">
        <f t="shared" si="4"/>
        <v>50.847216494845355</v>
      </c>
    </row>
    <row r="9" spans="1:15">
      <c r="A9" s="350" t="s">
        <v>263</v>
      </c>
      <c r="B9" s="350">
        <v>548</v>
      </c>
      <c r="C9" s="350">
        <v>25.888710351304351</v>
      </c>
      <c r="D9" s="350">
        <v>189.38792644624294</v>
      </c>
      <c r="F9" s="37" t="s">
        <v>99</v>
      </c>
      <c r="G9" s="37">
        <v>455</v>
      </c>
      <c r="H9" s="37">
        <v>513.01249999999993</v>
      </c>
      <c r="I9" s="368">
        <v>2241.3886340206186</v>
      </c>
      <c r="J9" s="270"/>
      <c r="K9" s="29">
        <f t="shared" si="0"/>
        <v>513.01249999999993</v>
      </c>
      <c r="L9" s="29">
        <f t="shared" si="1"/>
        <v>2241.3886340206186</v>
      </c>
      <c r="M9" s="29">
        <f t="shared" si="2"/>
        <v>0</v>
      </c>
      <c r="N9" s="29">
        <f t="shared" si="3"/>
        <v>4.3690721649484541</v>
      </c>
      <c r="O9" s="29">
        <f t="shared" si="4"/>
        <v>21.62690721649485</v>
      </c>
    </row>
    <row r="10" spans="1:15">
      <c r="A10" s="350" t="s">
        <v>109</v>
      </c>
      <c r="B10" s="350">
        <v>415</v>
      </c>
      <c r="C10" s="350">
        <v>425.37499999999994</v>
      </c>
      <c r="D10" s="350">
        <v>2914.476546391752</v>
      </c>
      <c r="F10" s="37" t="s">
        <v>83</v>
      </c>
      <c r="G10" s="37">
        <v>455</v>
      </c>
      <c r="H10" s="37">
        <v>7507.5</v>
      </c>
      <c r="I10" s="368">
        <v>1145.4742268041239</v>
      </c>
      <c r="J10" s="270"/>
      <c r="K10" s="29">
        <f t="shared" si="0"/>
        <v>7507.5</v>
      </c>
      <c r="L10" s="29">
        <f t="shared" si="1"/>
        <v>1145.4742268041239</v>
      </c>
      <c r="M10" s="29">
        <f t="shared" si="2"/>
        <v>0</v>
      </c>
      <c r="N10" s="29">
        <f t="shared" si="3"/>
        <v>0.15257731958762888</v>
      </c>
      <c r="O10" s="29">
        <f t="shared" si="4"/>
        <v>0.755257731958763</v>
      </c>
    </row>
    <row r="11" spans="1:15">
      <c r="A11" s="350" t="s">
        <v>110</v>
      </c>
      <c r="B11" s="350">
        <v>415</v>
      </c>
      <c r="C11" s="350">
        <v>425.37499999999994</v>
      </c>
      <c r="D11" s="350">
        <v>1455.0456185567009</v>
      </c>
      <c r="F11" s="37" t="s">
        <v>400</v>
      </c>
      <c r="G11" s="37">
        <v>415</v>
      </c>
      <c r="H11" s="37">
        <v>477.24999999999994</v>
      </c>
      <c r="I11" s="368">
        <v>339.15910652920962</v>
      </c>
      <c r="J11" s="270"/>
      <c r="K11" s="29">
        <f t="shared" si="0"/>
        <v>477.24999999999994</v>
      </c>
      <c r="L11" s="29">
        <f t="shared" si="1"/>
        <v>339.15910652920962</v>
      </c>
      <c r="M11" s="29">
        <f t="shared" si="2"/>
        <v>0</v>
      </c>
      <c r="N11" s="29">
        <f t="shared" si="3"/>
        <v>0.71065292096219945</v>
      </c>
      <c r="O11" s="29">
        <f t="shared" si="4"/>
        <v>3.5177319587628872</v>
      </c>
    </row>
    <row r="12" spans="1:15">
      <c r="A12" s="350" t="s">
        <v>99</v>
      </c>
      <c r="B12" s="350">
        <v>455</v>
      </c>
      <c r="C12" s="350">
        <v>513.01249999999993</v>
      </c>
      <c r="D12" s="350">
        <v>2241.3886340206186</v>
      </c>
      <c r="F12" s="37" t="s">
        <v>85</v>
      </c>
      <c r="G12" s="37">
        <v>415</v>
      </c>
      <c r="H12" s="37">
        <f>C15+C19</f>
        <v>1038.7125000000001</v>
      </c>
      <c r="I12" s="37">
        <f>D15+D19</f>
        <v>492.58530927835051</v>
      </c>
      <c r="J12" s="270"/>
      <c r="K12" s="29">
        <f t="shared" si="0"/>
        <v>1038.7125000000001</v>
      </c>
      <c r="L12" s="29">
        <f t="shared" si="1"/>
        <v>492.58530927835051</v>
      </c>
      <c r="M12" s="29">
        <f t="shared" si="2"/>
        <v>0</v>
      </c>
      <c r="N12" s="29">
        <f t="shared" si="3"/>
        <v>0.47422680412371127</v>
      </c>
      <c r="O12" s="29">
        <f t="shared" si="4"/>
        <v>2.3474226804123708</v>
      </c>
    </row>
    <row r="13" spans="1:15">
      <c r="A13" s="350" t="s">
        <v>83</v>
      </c>
      <c r="B13" s="350">
        <v>455</v>
      </c>
      <c r="C13" s="350">
        <v>7507.5</v>
      </c>
      <c r="D13" s="350">
        <v>1145.4742268041239</v>
      </c>
      <c r="F13" s="37" t="s">
        <v>81</v>
      </c>
      <c r="G13" s="37">
        <v>415</v>
      </c>
      <c r="H13" s="37">
        <f>C16+C18</f>
        <v>10851.5</v>
      </c>
      <c r="I13" s="37">
        <f>D16+D18</f>
        <v>156.61958762886601</v>
      </c>
      <c r="J13" s="270"/>
      <c r="K13" s="29">
        <f t="shared" si="0"/>
        <v>10851.5</v>
      </c>
      <c r="L13" s="29">
        <f t="shared" si="1"/>
        <v>156.61958762886601</v>
      </c>
      <c r="M13" s="29">
        <f t="shared" si="2"/>
        <v>0</v>
      </c>
      <c r="N13" s="29">
        <f t="shared" si="3"/>
        <v>1.4432989690721652E-2</v>
      </c>
      <c r="O13" s="29">
        <f t="shared" si="4"/>
        <v>7.1443298969072186E-2</v>
      </c>
    </row>
    <row r="14" spans="1:15">
      <c r="A14" s="350" t="s">
        <v>400</v>
      </c>
      <c r="B14" s="350">
        <v>415</v>
      </c>
      <c r="C14" s="350">
        <v>477.24999999999994</v>
      </c>
      <c r="D14" s="350">
        <v>339.15910652920962</v>
      </c>
      <c r="F14" s="37" t="s">
        <v>399</v>
      </c>
      <c r="G14" s="37">
        <v>455</v>
      </c>
      <c r="H14" s="37">
        <v>477.75</v>
      </c>
      <c r="I14" s="368">
        <v>197.01030927835052</v>
      </c>
      <c r="J14" s="37"/>
      <c r="K14" s="29">
        <f t="shared" ref="K14:K16" si="5">H14-J14</f>
        <v>477.75</v>
      </c>
      <c r="L14" s="29">
        <f t="shared" ref="L14:L16" si="6">I14/H14*K14</f>
        <v>197.01030927835052</v>
      </c>
      <c r="M14" s="29">
        <f t="shared" ref="M14:M16" si="7">J14*I14/H14</f>
        <v>0</v>
      </c>
      <c r="N14" s="29">
        <f t="shared" ref="N14:N16" si="8">I14/H14</f>
        <v>0.41237113402061859</v>
      </c>
      <c r="O14" s="29">
        <f t="shared" ref="O14:O16" si="9">N14*4.95</f>
        <v>2.0412371134020622</v>
      </c>
    </row>
    <row r="15" spans="1:15">
      <c r="A15" s="350" t="s">
        <v>85</v>
      </c>
      <c r="B15" s="350">
        <v>415</v>
      </c>
      <c r="C15" s="350">
        <v>871.5</v>
      </c>
      <c r="D15" s="350">
        <v>413.28865979381442</v>
      </c>
      <c r="F15" s="37" t="s">
        <v>557</v>
      </c>
      <c r="G15" s="37">
        <v>514</v>
      </c>
      <c r="H15" s="37">
        <v>591.09999999999991</v>
      </c>
      <c r="I15" s="37">
        <v>8775.0927835051534</v>
      </c>
      <c r="J15" s="37"/>
      <c r="K15" s="29">
        <f t="shared" si="5"/>
        <v>591.09999999999991</v>
      </c>
      <c r="L15" s="29">
        <f t="shared" si="6"/>
        <v>8775.0927835051534</v>
      </c>
      <c r="M15" s="29">
        <f t="shared" si="7"/>
        <v>0</v>
      </c>
      <c r="N15" s="29">
        <f t="shared" si="8"/>
        <v>14.845360824742269</v>
      </c>
      <c r="O15" s="29">
        <f t="shared" si="9"/>
        <v>73.484536082474236</v>
      </c>
    </row>
    <row r="16" spans="1:15">
      <c r="A16" s="350" t="s">
        <v>81</v>
      </c>
      <c r="B16" s="350">
        <v>415</v>
      </c>
      <c r="C16" s="350">
        <v>6847.5</v>
      </c>
      <c r="D16" s="350">
        <v>98.829896907216508</v>
      </c>
      <c r="F16" s="37" t="s">
        <v>324</v>
      </c>
      <c r="G16" s="37">
        <v>514</v>
      </c>
      <c r="H16" s="37">
        <v>10794</v>
      </c>
      <c r="I16" s="37">
        <v>233.68453608247421</v>
      </c>
      <c r="J16" s="37"/>
      <c r="K16" s="29">
        <f t="shared" si="5"/>
        <v>10794</v>
      </c>
      <c r="L16" s="29">
        <f t="shared" si="6"/>
        <v>233.68453608247421</v>
      </c>
      <c r="M16" s="29">
        <f t="shared" si="7"/>
        <v>0</v>
      </c>
      <c r="N16" s="29">
        <f t="shared" si="8"/>
        <v>2.1649484536082474E-2</v>
      </c>
      <c r="O16" s="29">
        <f t="shared" si="9"/>
        <v>0.10716494845360824</v>
      </c>
    </row>
    <row r="17" spans="1:12">
      <c r="A17" s="350" t="s">
        <v>399</v>
      </c>
      <c r="B17" s="350">
        <v>455</v>
      </c>
      <c r="C17" s="350">
        <v>477.75</v>
      </c>
      <c r="D17" s="350">
        <v>197.01030927835052</v>
      </c>
      <c r="F17" s="37"/>
      <c r="G17" s="37"/>
      <c r="H17" s="37"/>
      <c r="I17" s="368">
        <f>SUM(I4:I16)</f>
        <v>46618.268691450474</v>
      </c>
      <c r="J17" s="37"/>
      <c r="L17" s="29">
        <f>SUM(L4:L16)</f>
        <v>46618.268691450474</v>
      </c>
    </row>
    <row r="18" spans="1:12">
      <c r="A18" s="350" t="s">
        <v>81</v>
      </c>
      <c r="B18" s="350">
        <v>455</v>
      </c>
      <c r="C18" s="350">
        <v>4004.0000000000005</v>
      </c>
      <c r="D18" s="350">
        <v>57.789690721649499</v>
      </c>
    </row>
    <row r="19" spans="1:12">
      <c r="A19" s="350" t="s">
        <v>85</v>
      </c>
      <c r="B19" s="350">
        <v>455</v>
      </c>
      <c r="C19" s="350">
        <v>167.21250000000001</v>
      </c>
      <c r="D19" s="350">
        <v>79.296649484536076</v>
      </c>
    </row>
    <row r="20" spans="1:12">
      <c r="A20" s="350" t="s">
        <v>93</v>
      </c>
      <c r="B20" s="350">
        <v>183</v>
      </c>
      <c r="C20" s="350">
        <v>1.3587750000000001</v>
      </c>
      <c r="D20" s="350">
        <v>781.64582474226825</v>
      </c>
    </row>
    <row r="21" spans="1:12">
      <c r="A21" s="350" t="s">
        <v>263</v>
      </c>
      <c r="B21" s="350">
        <v>183</v>
      </c>
      <c r="C21" s="350">
        <v>1.3355523000000002</v>
      </c>
      <c r="D21" s="350">
        <v>9.7701846606185576</v>
      </c>
    </row>
    <row r="22" spans="1:12">
      <c r="A22" s="350" t="s">
        <v>94</v>
      </c>
      <c r="B22" s="350">
        <v>307</v>
      </c>
      <c r="C22" s="350">
        <v>2.2794750000000001</v>
      </c>
      <c r="D22" s="350">
        <v>1311.2856185567014</v>
      </c>
    </row>
    <row r="23" spans="1:12">
      <c r="A23" s="350" t="s">
        <v>557</v>
      </c>
      <c r="B23" s="350">
        <v>514</v>
      </c>
      <c r="C23" s="350">
        <v>591.09999999999991</v>
      </c>
      <c r="D23" s="350">
        <v>8775.0927835051534</v>
      </c>
    </row>
    <row r="24" spans="1:12">
      <c r="A24" s="350" t="s">
        <v>324</v>
      </c>
      <c r="B24" s="350">
        <v>514</v>
      </c>
      <c r="C24" s="350">
        <v>10794</v>
      </c>
      <c r="D24" s="350">
        <v>233.68453608247421</v>
      </c>
    </row>
    <row r="25" spans="1:12">
      <c r="D25">
        <f>SUM(D4:D24)</f>
        <v>46618.268691450467</v>
      </c>
    </row>
  </sheetData>
  <protectedRanges>
    <protectedRange sqref="A3" name="MATRICE ART_5"/>
    <protectedRange sqref="F3" name="MATRICE ART_6"/>
  </protectedRanges>
  <autoFilter ref="A3:D25" xr:uid="{F14BADA0-4700-4C00-BB92-643783F1864E}"/>
  <mergeCells count="1">
    <mergeCell ref="F2:I2"/>
  </mergeCells>
  <conditionalFormatting sqref="A3">
    <cfRule type="containsBlanks" dxfId="9" priority="2">
      <formula>LEN(TRIM(A3))=0</formula>
    </cfRule>
  </conditionalFormatting>
  <conditionalFormatting sqref="F3">
    <cfRule type="containsBlanks" dxfId="8" priority="1">
      <formula>LEN(TRIM(F3))=0</formula>
    </cfRule>
  </conditionalFormatting>
  <dataValidations count="1">
    <dataValidation type="list" allowBlank="1" showInputMessage="1" showErrorMessage="1" sqref="A3 F3" xr:uid="{DDF3D71B-7149-4293-8459-EC546273D504}">
      <formula1>MATERIAUX</formula1>
    </dataValidation>
  </dataValidation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EB4814-B9D7-4174-9132-6B9252A92009}">
  <dimension ref="A1:P25"/>
  <sheetViews>
    <sheetView workbookViewId="0">
      <selection activeCell="F2" sqref="F2:I3"/>
    </sheetView>
  </sheetViews>
  <sheetFormatPr defaultRowHeight="14.4"/>
  <cols>
    <col min="1" max="1" width="20.88671875" bestFit="1" customWidth="1"/>
    <col min="6" max="6" width="20.88671875" bestFit="1" customWidth="1"/>
    <col min="10" max="12" width="3.77734375" customWidth="1"/>
    <col min="13" max="13" width="20.88671875" bestFit="1" customWidth="1"/>
  </cols>
  <sheetData>
    <row r="1" spans="1:16" ht="16.2" thickBot="1">
      <c r="M1" s="504" t="s">
        <v>566</v>
      </c>
      <c r="N1" s="505"/>
      <c r="O1" s="505"/>
      <c r="P1" s="506"/>
    </row>
    <row r="2" spans="1:16" ht="15" thickBot="1">
      <c r="F2" s="500" t="s">
        <v>564</v>
      </c>
      <c r="G2" s="500"/>
      <c r="H2" s="500"/>
      <c r="I2" s="500"/>
      <c r="J2" s="130"/>
      <c r="K2" s="130"/>
      <c r="L2" s="130"/>
      <c r="M2" s="501" t="s">
        <v>565</v>
      </c>
      <c r="N2" s="502"/>
      <c r="O2" s="502"/>
      <c r="P2" s="503"/>
    </row>
    <row r="3" spans="1:16">
      <c r="A3" t="s">
        <v>562</v>
      </c>
      <c r="B3" t="s">
        <v>560</v>
      </c>
      <c r="C3" t="s">
        <v>116</v>
      </c>
      <c r="D3" t="s">
        <v>561</v>
      </c>
      <c r="F3" t="s">
        <v>562</v>
      </c>
      <c r="G3" t="s">
        <v>560</v>
      </c>
      <c r="H3" t="s">
        <v>116</v>
      </c>
      <c r="I3" t="s">
        <v>561</v>
      </c>
      <c r="M3" s="360" t="s">
        <v>562</v>
      </c>
      <c r="N3" s="129" t="s">
        <v>560</v>
      </c>
      <c r="O3" s="129" t="s">
        <v>116</v>
      </c>
      <c r="P3" s="361" t="s">
        <v>561</v>
      </c>
    </row>
    <row r="4" spans="1:16">
      <c r="A4" s="357" t="s">
        <v>110</v>
      </c>
      <c r="B4" s="358">
        <v>1473</v>
      </c>
      <c r="C4" s="358">
        <v>1509.8249999999998</v>
      </c>
      <c r="D4" s="358">
        <v>5164.535412371134</v>
      </c>
      <c r="F4" s="42" t="s">
        <v>400</v>
      </c>
      <c r="G4" s="29">
        <v>1473</v>
      </c>
      <c r="H4" s="29">
        <v>1693.9499999999998</v>
      </c>
      <c r="I4" s="29">
        <v>1203.8105154639175</v>
      </c>
      <c r="M4" s="362" t="s">
        <v>400</v>
      </c>
      <c r="N4" s="359">
        <f t="shared" ref="N4:N16" si="0">G4/2</f>
        <v>736.5</v>
      </c>
      <c r="O4" s="359">
        <f t="shared" ref="O4:O16" si="1">H4/2</f>
        <v>846.97499999999991</v>
      </c>
      <c r="P4" s="363">
        <f t="shared" ref="P4:P16" si="2">I4/2</f>
        <v>601.90525773195873</v>
      </c>
    </row>
    <row r="5" spans="1:16">
      <c r="A5" s="357" t="s">
        <v>263</v>
      </c>
      <c r="B5" s="358">
        <v>725</v>
      </c>
      <c r="C5" s="358">
        <v>22.026747</v>
      </c>
      <c r="D5" s="358">
        <v>161.13587289896907</v>
      </c>
      <c r="F5" s="42" t="s">
        <v>263</v>
      </c>
      <c r="G5" s="29">
        <v>2888</v>
      </c>
      <c r="H5" s="29">
        <v>103.36075973739131</v>
      </c>
      <c r="I5" s="29">
        <v>756.13190834693683</v>
      </c>
      <c r="M5" s="362" t="s">
        <v>263</v>
      </c>
      <c r="N5" s="359">
        <f t="shared" si="0"/>
        <v>1444</v>
      </c>
      <c r="O5" s="359">
        <f t="shared" si="1"/>
        <v>51.680379868695653</v>
      </c>
      <c r="P5" s="363">
        <f t="shared" si="2"/>
        <v>378.06595417346841</v>
      </c>
    </row>
    <row r="6" spans="1:16">
      <c r="A6" s="357" t="s">
        <v>83</v>
      </c>
      <c r="B6" s="358">
        <v>1550</v>
      </c>
      <c r="C6" s="358">
        <v>25575</v>
      </c>
      <c r="D6" s="358">
        <v>3902.1649484536088</v>
      </c>
      <c r="F6" s="42" t="s">
        <v>81</v>
      </c>
      <c r="G6" s="29">
        <v>3023</v>
      </c>
      <c r="H6" s="29">
        <v>37944.5</v>
      </c>
      <c r="I6" s="29">
        <v>547.65257731958775</v>
      </c>
      <c r="M6" s="362" t="s">
        <v>81</v>
      </c>
      <c r="N6" s="359">
        <f t="shared" si="0"/>
        <v>1511.5</v>
      </c>
      <c r="O6" s="359">
        <f t="shared" si="1"/>
        <v>18972.25</v>
      </c>
      <c r="P6" s="363">
        <f t="shared" si="2"/>
        <v>273.82628865979387</v>
      </c>
    </row>
    <row r="7" spans="1:16">
      <c r="A7" s="357" t="s">
        <v>109</v>
      </c>
      <c r="B7" s="358">
        <v>1473</v>
      </c>
      <c r="C7" s="358">
        <v>1509.8249999999998</v>
      </c>
      <c r="D7" s="358">
        <v>10344.636030927833</v>
      </c>
      <c r="F7" s="42" t="s">
        <v>83</v>
      </c>
      <c r="G7" s="29">
        <v>1550</v>
      </c>
      <c r="H7" s="29">
        <v>25575</v>
      </c>
      <c r="I7" s="29">
        <v>3902.1649484536088</v>
      </c>
      <c r="M7" s="362" t="s">
        <v>83</v>
      </c>
      <c r="N7" s="359">
        <f t="shared" si="0"/>
        <v>775</v>
      </c>
      <c r="O7" s="359">
        <f t="shared" si="1"/>
        <v>12787.5</v>
      </c>
      <c r="P7" s="363">
        <f t="shared" si="2"/>
        <v>1951.0824742268044</v>
      </c>
    </row>
    <row r="8" spans="1:16">
      <c r="A8" s="357" t="s">
        <v>84</v>
      </c>
      <c r="B8" s="358">
        <v>725</v>
      </c>
      <c r="C8" s="358">
        <v>15225</v>
      </c>
      <c r="D8" s="358">
        <v>596.44329896907232</v>
      </c>
      <c r="F8" s="42" t="s">
        <v>84</v>
      </c>
      <c r="G8" s="29">
        <v>2366</v>
      </c>
      <c r="H8" s="29">
        <v>75942</v>
      </c>
      <c r="I8" s="29">
        <v>2975.0474226804126</v>
      </c>
      <c r="M8" s="362" t="s">
        <v>84</v>
      </c>
      <c r="N8" s="359">
        <f t="shared" si="0"/>
        <v>1183</v>
      </c>
      <c r="O8" s="359">
        <f t="shared" si="1"/>
        <v>37971</v>
      </c>
      <c r="P8" s="363">
        <f t="shared" si="2"/>
        <v>1487.5237113402063</v>
      </c>
    </row>
    <row r="9" spans="1:16">
      <c r="A9" s="357" t="s">
        <v>99</v>
      </c>
      <c r="B9" s="358">
        <v>1550</v>
      </c>
      <c r="C9" s="358">
        <v>1747.625</v>
      </c>
      <c r="D9" s="358">
        <v>6940.0530927835061</v>
      </c>
      <c r="F9" s="42" t="s">
        <v>85</v>
      </c>
      <c r="G9" s="29">
        <v>3023</v>
      </c>
      <c r="H9" s="29">
        <v>3662.9250000000002</v>
      </c>
      <c r="I9" s="29">
        <v>1737.0572164948453</v>
      </c>
      <c r="M9" s="362" t="s">
        <v>85</v>
      </c>
      <c r="N9" s="359">
        <f t="shared" si="0"/>
        <v>1511.5</v>
      </c>
      <c r="O9" s="359">
        <f t="shared" si="1"/>
        <v>1831.4625000000001</v>
      </c>
      <c r="P9" s="363">
        <f t="shared" si="2"/>
        <v>868.52860824742265</v>
      </c>
    </row>
    <row r="10" spans="1:16">
      <c r="A10" s="357" t="s">
        <v>85</v>
      </c>
      <c r="B10" s="358">
        <v>1473</v>
      </c>
      <c r="C10" s="358">
        <v>3093.3</v>
      </c>
      <c r="D10" s="358">
        <v>1466.9257731958762</v>
      </c>
      <c r="F10" s="42" t="s">
        <v>557</v>
      </c>
      <c r="G10" s="29">
        <v>648</v>
      </c>
      <c r="H10" s="29">
        <v>745.19999999999993</v>
      </c>
      <c r="I10" s="29">
        <v>11062.762886597937</v>
      </c>
      <c r="M10" s="362" t="s">
        <v>557</v>
      </c>
      <c r="N10" s="359">
        <f t="shared" si="0"/>
        <v>324</v>
      </c>
      <c r="O10" s="359">
        <f t="shared" si="1"/>
        <v>372.59999999999997</v>
      </c>
      <c r="P10" s="363">
        <f t="shared" si="2"/>
        <v>5531.3814432989684</v>
      </c>
    </row>
    <row r="11" spans="1:16">
      <c r="A11" s="357" t="s">
        <v>90</v>
      </c>
      <c r="B11" s="358">
        <v>725</v>
      </c>
      <c r="C11" s="358">
        <v>22.409749999999999</v>
      </c>
      <c r="D11" s="358">
        <v>10627.304123711339</v>
      </c>
      <c r="F11" t="s">
        <v>90</v>
      </c>
      <c r="G11" s="29">
        <v>725</v>
      </c>
      <c r="H11" s="29">
        <v>22.409749999999999</v>
      </c>
      <c r="I11" s="29">
        <v>10627.304123711339</v>
      </c>
      <c r="M11" s="360" t="s">
        <v>90</v>
      </c>
      <c r="N11" s="359">
        <f t="shared" si="0"/>
        <v>362.5</v>
      </c>
      <c r="O11" s="359">
        <f t="shared" si="1"/>
        <v>11.204874999999999</v>
      </c>
      <c r="P11" s="363">
        <f t="shared" si="2"/>
        <v>5313.6520618556697</v>
      </c>
    </row>
    <row r="12" spans="1:16">
      <c r="A12" s="357" t="s">
        <v>93</v>
      </c>
      <c r="B12" s="358">
        <v>1641</v>
      </c>
      <c r="C12" s="358">
        <v>78.872405652173924</v>
      </c>
      <c r="D12" s="358">
        <v>37403.408865979385</v>
      </c>
      <c r="F12" t="s">
        <v>93</v>
      </c>
      <c r="G12" s="29">
        <v>2832</v>
      </c>
      <c r="H12" s="29">
        <v>87.715580652173927</v>
      </c>
      <c r="I12" s="29">
        <v>42045.47018247423</v>
      </c>
      <c r="M12" s="360" t="s">
        <v>93</v>
      </c>
      <c r="N12" s="359">
        <f t="shared" si="0"/>
        <v>1416</v>
      </c>
      <c r="O12" s="359">
        <f t="shared" si="1"/>
        <v>43.857790326086963</v>
      </c>
      <c r="P12" s="363">
        <f t="shared" si="2"/>
        <v>21022.735091237115</v>
      </c>
    </row>
    <row r="13" spans="1:16">
      <c r="A13" s="357" t="s">
        <v>263</v>
      </c>
      <c r="B13" s="358">
        <v>1641</v>
      </c>
      <c r="C13" s="358">
        <v>77.524404537391305</v>
      </c>
      <c r="D13" s="358">
        <v>567.12698412095745</v>
      </c>
      <c r="F13" s="42" t="s">
        <v>99</v>
      </c>
      <c r="G13" s="29">
        <v>1550</v>
      </c>
      <c r="H13" s="29">
        <v>1747.625</v>
      </c>
      <c r="I13" s="29">
        <v>6940.0530927835061</v>
      </c>
      <c r="M13" s="362" t="s">
        <v>99</v>
      </c>
      <c r="N13" s="359">
        <f t="shared" si="0"/>
        <v>775</v>
      </c>
      <c r="O13" s="359">
        <f t="shared" si="1"/>
        <v>873.8125</v>
      </c>
      <c r="P13" s="363">
        <f t="shared" si="2"/>
        <v>3470.0265463917531</v>
      </c>
    </row>
    <row r="14" spans="1:16">
      <c r="A14" s="357" t="s">
        <v>400</v>
      </c>
      <c r="B14" s="358">
        <v>1473</v>
      </c>
      <c r="C14" s="358">
        <v>1693.9499999999998</v>
      </c>
      <c r="D14" s="358">
        <v>1203.8105154639175</v>
      </c>
      <c r="F14" s="42" t="s">
        <v>399</v>
      </c>
      <c r="G14" s="29">
        <v>1550</v>
      </c>
      <c r="H14" s="29">
        <v>1627.5</v>
      </c>
      <c r="I14" s="29">
        <v>671.13402061855675</v>
      </c>
      <c r="M14" s="362" t="s">
        <v>399</v>
      </c>
      <c r="N14" s="359">
        <f t="shared" si="0"/>
        <v>775</v>
      </c>
      <c r="O14" s="359">
        <f t="shared" si="1"/>
        <v>813.75</v>
      </c>
      <c r="P14" s="363">
        <f t="shared" si="2"/>
        <v>335.56701030927837</v>
      </c>
    </row>
    <row r="15" spans="1:16">
      <c r="A15" s="357" t="s">
        <v>81</v>
      </c>
      <c r="B15" s="358">
        <v>1473</v>
      </c>
      <c r="C15" s="358">
        <v>24304.5</v>
      </c>
      <c r="D15" s="358">
        <v>350.78659793814438</v>
      </c>
      <c r="F15" s="42" t="s">
        <v>324</v>
      </c>
      <c r="G15" s="29">
        <v>648</v>
      </c>
      <c r="H15" s="29">
        <v>13608</v>
      </c>
      <c r="I15" s="29">
        <v>294.6061855670103</v>
      </c>
      <c r="M15" s="362" t="s">
        <v>324</v>
      </c>
      <c r="N15" s="359">
        <f t="shared" si="0"/>
        <v>324</v>
      </c>
      <c r="O15" s="359">
        <f t="shared" si="1"/>
        <v>6804</v>
      </c>
      <c r="P15" s="363">
        <f t="shared" si="2"/>
        <v>147.30309278350515</v>
      </c>
    </row>
    <row r="16" spans="1:16">
      <c r="A16" s="357" t="s">
        <v>84</v>
      </c>
      <c r="B16" s="358">
        <v>1641</v>
      </c>
      <c r="C16" s="358">
        <v>60717</v>
      </c>
      <c r="D16" s="358">
        <v>2378.6041237113404</v>
      </c>
      <c r="F16" t="s">
        <v>563</v>
      </c>
      <c r="G16" s="29">
        <v>1473</v>
      </c>
      <c r="H16" s="29">
        <v>1509.8249999999998</v>
      </c>
      <c r="I16" s="29">
        <v>15509.171443298968</v>
      </c>
      <c r="M16" s="360" t="s">
        <v>563</v>
      </c>
      <c r="N16" s="359">
        <f t="shared" si="0"/>
        <v>736.5</v>
      </c>
      <c r="O16" s="359">
        <f t="shared" si="1"/>
        <v>754.91249999999991</v>
      </c>
      <c r="P16" s="363">
        <f t="shared" si="2"/>
        <v>7754.5857216494842</v>
      </c>
    </row>
    <row r="17" spans="1:16" ht="15" thickBot="1">
      <c r="A17" s="357" t="s">
        <v>399</v>
      </c>
      <c r="B17" s="358">
        <v>1550</v>
      </c>
      <c r="C17" s="358">
        <v>1627.5</v>
      </c>
      <c r="D17" s="358">
        <v>671.13402061855675</v>
      </c>
      <c r="G17" s="29"/>
      <c r="H17" s="29"/>
      <c r="I17" s="29">
        <v>98272.366523810852</v>
      </c>
      <c r="M17" s="364"/>
      <c r="N17" s="365"/>
      <c r="O17" s="365"/>
      <c r="P17" s="366">
        <f>SUM(P4:P16)</f>
        <v>49136.183261905426</v>
      </c>
    </row>
    <row r="18" spans="1:16">
      <c r="A18" s="357" t="s">
        <v>81</v>
      </c>
      <c r="B18" s="358">
        <v>1550</v>
      </c>
      <c r="C18" s="358">
        <v>13640.000000000002</v>
      </c>
      <c r="D18" s="358">
        <v>196.86597938144337</v>
      </c>
      <c r="G18" s="29"/>
      <c r="H18" s="29"/>
      <c r="I18" s="29"/>
    </row>
    <row r="19" spans="1:16">
      <c r="A19" s="357" t="s">
        <v>85</v>
      </c>
      <c r="B19" s="358">
        <v>1550</v>
      </c>
      <c r="C19" s="358">
        <v>569.625</v>
      </c>
      <c r="D19" s="358">
        <v>270.13144329896909</v>
      </c>
    </row>
    <row r="20" spans="1:16">
      <c r="A20" s="357" t="s">
        <v>93</v>
      </c>
      <c r="B20" s="358">
        <v>522</v>
      </c>
      <c r="C20" s="358">
        <v>3.8758500000000002</v>
      </c>
      <c r="D20" s="358">
        <v>1838.0319587628867</v>
      </c>
    </row>
    <row r="21" spans="1:16">
      <c r="A21" s="357" t="s">
        <v>263</v>
      </c>
      <c r="B21" s="358">
        <v>522</v>
      </c>
      <c r="C21" s="358">
        <v>3.8096082000000004</v>
      </c>
      <c r="D21" s="358">
        <v>27.869051327010311</v>
      </c>
    </row>
    <row r="22" spans="1:16">
      <c r="A22" s="357" t="s">
        <v>94</v>
      </c>
      <c r="B22" s="358">
        <v>669</v>
      </c>
      <c r="C22" s="358">
        <v>4.9673249999999998</v>
      </c>
      <c r="D22" s="358">
        <v>2804.029357731959</v>
      </c>
    </row>
    <row r="23" spans="1:16">
      <c r="A23" s="357" t="s">
        <v>557</v>
      </c>
      <c r="B23" s="358">
        <v>648</v>
      </c>
      <c r="C23" s="358">
        <v>745.19999999999993</v>
      </c>
      <c r="D23" s="358">
        <v>11062.762886597937</v>
      </c>
    </row>
    <row r="24" spans="1:16">
      <c r="A24" s="357" t="s">
        <v>324</v>
      </c>
      <c r="B24" s="358">
        <v>648</v>
      </c>
      <c r="C24" s="358">
        <v>13608</v>
      </c>
      <c r="D24" s="358">
        <v>294.6061855670103</v>
      </c>
    </row>
    <row r="25" spans="1:16">
      <c r="B25" s="29"/>
      <c r="C25" s="29"/>
      <c r="D25" s="29">
        <f>SUM(D5:D24)</f>
        <v>93107.831111439737</v>
      </c>
    </row>
  </sheetData>
  <protectedRanges>
    <protectedRange sqref="A5" name="MATRICE ART"/>
    <protectedRange sqref="A6 F6 M6" name="MATRICE ART_1"/>
    <protectedRange sqref="A7 F7 M7" name="MATRICE ART_6_3"/>
    <protectedRange sqref="A8" name="MATRICE ART_2"/>
    <protectedRange sqref="A9" name="MATRICE ART_3"/>
    <protectedRange sqref="A10" name="MATRICE ART_6_3_1"/>
    <protectedRange sqref="A11:A12" name="MATRICE ART_4"/>
    <protectedRange sqref="A3 F10:F11 A13 M10:M11" name="MATRICE ART_5"/>
    <protectedRange sqref="A14:A16 F3 F12:F13 M3 M12:M13" name="MATRICE ART_6"/>
    <protectedRange sqref="A17:A19 F14 M14" name="MATRICE ART_7"/>
    <protectedRange sqref="A21" name="MATRICE ART_6_3_2"/>
    <protectedRange sqref="A20" name="MATRICE ART_2_1"/>
    <protectedRange sqref="A22" name="MATRICE ART_2_2"/>
    <protectedRange sqref="A23:A24 F15:F16 M15:M16" name="MATRICE ART_8"/>
  </protectedRanges>
  <sortState xmlns:xlrd2="http://schemas.microsoft.com/office/spreadsheetml/2017/richdata2" ref="A4:I25">
    <sortCondition ref="F4:F25"/>
  </sortState>
  <mergeCells count="3">
    <mergeCell ref="F2:I2"/>
    <mergeCell ref="M2:P2"/>
    <mergeCell ref="M1:P1"/>
  </mergeCells>
  <conditionalFormatting sqref="A3">
    <cfRule type="containsBlanks" dxfId="7" priority="28">
      <formula>LEN(TRIM(A3))=0</formula>
    </cfRule>
  </conditionalFormatting>
  <conditionalFormatting sqref="A5:A24">
    <cfRule type="containsBlanks" dxfId="6" priority="21">
      <formula>LEN(TRIM(A5))=0</formula>
    </cfRule>
  </conditionalFormatting>
  <conditionalFormatting sqref="F3">
    <cfRule type="containsBlanks" dxfId="5" priority="15">
      <formula>LEN(TRIM(F3))=0</formula>
    </cfRule>
  </conditionalFormatting>
  <conditionalFormatting sqref="F6:F7">
    <cfRule type="containsBlanks" dxfId="4" priority="16">
      <formula>LEN(TRIM(F6))=0</formula>
    </cfRule>
  </conditionalFormatting>
  <conditionalFormatting sqref="F10:F16">
    <cfRule type="containsBlanks" dxfId="3" priority="11">
      <formula>LEN(TRIM(F10))=0</formula>
    </cfRule>
  </conditionalFormatting>
  <conditionalFormatting sqref="M3">
    <cfRule type="containsBlanks" dxfId="2" priority="5">
      <formula>LEN(TRIM(M3))=0</formula>
    </cfRule>
  </conditionalFormatting>
  <conditionalFormatting sqref="M6:M7">
    <cfRule type="containsBlanks" dxfId="1" priority="6">
      <formula>LEN(TRIM(M6))=0</formula>
    </cfRule>
  </conditionalFormatting>
  <conditionalFormatting sqref="M10:M16">
    <cfRule type="containsBlanks" dxfId="0" priority="1">
      <formula>LEN(TRIM(M10))=0</formula>
    </cfRule>
  </conditionalFormatting>
  <dataValidations count="1">
    <dataValidation type="list" allowBlank="1" showInputMessage="1" showErrorMessage="1" sqref="A5:A6 A8:A9 A22:A24 F6 F3 F10:F16 A3 A11:A20 M6 M3 M10:M16" xr:uid="{B2E59ED2-5298-4398-BD5B-1E57ACC720D7}">
      <formula1>MATERIAUX</formula1>
    </dataValidation>
  </dataValidations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339E44-F1EF-4F25-9606-CFD2006EF57C}">
  <dimension ref="B2:C12"/>
  <sheetViews>
    <sheetView workbookViewId="0">
      <selection activeCell="C15" sqref="C15"/>
    </sheetView>
  </sheetViews>
  <sheetFormatPr defaultRowHeight="14.4"/>
  <cols>
    <col min="2" max="2" width="26.88671875" style="370" bestFit="1" customWidth="1"/>
    <col min="3" max="3" width="10" bestFit="1" customWidth="1"/>
  </cols>
  <sheetData>
    <row r="2" spans="2:3">
      <c r="B2" s="370" t="s">
        <v>589</v>
      </c>
      <c r="C2" s="29">
        <v>210131.94</v>
      </c>
    </row>
    <row r="3" spans="2:3">
      <c r="B3" s="370" t="s">
        <v>581</v>
      </c>
      <c r="C3" s="29">
        <v>28000</v>
      </c>
    </row>
    <row r="4" spans="2:3">
      <c r="B4" s="370" t="s">
        <v>582</v>
      </c>
      <c r="C4" s="29">
        <v>20000</v>
      </c>
    </row>
    <row r="5" spans="2:3">
      <c r="B5" s="370" t="s">
        <v>583</v>
      </c>
      <c r="C5" s="29">
        <v>56800</v>
      </c>
    </row>
    <row r="6" spans="2:3">
      <c r="B6" s="370" t="s">
        <v>584</v>
      </c>
      <c r="C6" s="29"/>
    </row>
    <row r="7" spans="2:3">
      <c r="B7" s="370" t="s">
        <v>585</v>
      </c>
      <c r="C7" s="29"/>
    </row>
    <row r="8" spans="2:3">
      <c r="B8" s="370" t="s">
        <v>586</v>
      </c>
      <c r="C8" s="29">
        <v>12119.38</v>
      </c>
    </row>
    <row r="9" spans="2:3">
      <c r="B9" s="370" t="s">
        <v>587</v>
      </c>
      <c r="C9" s="29">
        <v>12414.08</v>
      </c>
    </row>
    <row r="10" spans="2:3">
      <c r="B10" s="370" t="s">
        <v>588</v>
      </c>
      <c r="C10" s="29">
        <v>7370.48</v>
      </c>
    </row>
    <row r="11" spans="2:3">
      <c r="B11" s="370" t="s">
        <v>567</v>
      </c>
      <c r="C11" s="29">
        <f>SUM(C3:C10)</f>
        <v>136703.94</v>
      </c>
    </row>
    <row r="12" spans="2:3">
      <c r="B12" s="370" t="s">
        <v>590</v>
      </c>
      <c r="C12" s="29">
        <f>C2-C11</f>
        <v>73428</v>
      </c>
    </row>
  </sheetData>
  <phoneticPr fontId="1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Foi de lucru</vt:lpstr>
      </vt:variant>
      <vt:variant>
        <vt:i4>19</vt:i4>
      </vt:variant>
      <vt:variant>
        <vt:lpstr>Zone denumite</vt:lpstr>
      </vt:variant>
      <vt:variant>
        <vt:i4>14</vt:i4>
      </vt:variant>
    </vt:vector>
  </HeadingPairs>
  <TitlesOfParts>
    <vt:vector size="33" baseType="lpstr">
      <vt:lpstr>GESTION</vt:lpstr>
      <vt:lpstr>SERVICE</vt:lpstr>
      <vt:lpstr>COMPOSITION</vt:lpstr>
      <vt:lpstr>MATRICE COMPO</vt:lpstr>
      <vt:lpstr>Matrice Combo - date</vt:lpstr>
      <vt:lpstr>ARTICLE</vt:lpstr>
      <vt:lpstr>MATRICE ARTICLE</vt:lpstr>
      <vt:lpstr>MATERIAUX</vt:lpstr>
      <vt:lpstr>MAIN D OEUVRE</vt:lpstr>
      <vt:lpstr>MODELE LAROX</vt:lpstr>
      <vt:lpstr>MODELE TD DOXAR</vt:lpstr>
      <vt:lpstr>LAROX pe grupe</vt:lpstr>
      <vt:lpstr>MODELE LAROX bardaj</vt:lpstr>
      <vt:lpstr>MODELE SCGB</vt:lpstr>
      <vt:lpstr>Manopera</vt:lpstr>
      <vt:lpstr>Materiale complet</vt:lpstr>
      <vt:lpstr>Materiale final</vt:lpstr>
      <vt:lpstr>Materiale initial</vt:lpstr>
      <vt:lpstr>Calcule</vt:lpstr>
      <vt:lpstr>COMPO</vt:lpstr>
      <vt:lpstr>COMPOSITIONS</vt:lpstr>
      <vt:lpstr>MATRICE_ARTICLE</vt:lpstr>
      <vt:lpstr>MATRICE_COMPOSITION</vt:lpstr>
      <vt:lpstr>MATRICE_MATERIAUX</vt:lpstr>
      <vt:lpstr>MATRICE_SERVICE</vt:lpstr>
      <vt:lpstr>PAVAWALL_40_mm___OSB_8___STRUCT_150_mm___IZOLATIE_LEMN_150_mm___FOLIE___OSB_15</vt:lpstr>
      <vt:lpstr>PRESTATION</vt:lpstr>
      <vt:lpstr>'LAROX pe grupe'!Zona_de_imprimat</vt:lpstr>
      <vt:lpstr>Manopera!Zona_de_imprimat</vt:lpstr>
      <vt:lpstr>'MODELE LAROX'!Zona_de_imprimat</vt:lpstr>
      <vt:lpstr>'MODELE LAROX bardaj'!Zona_de_imprimat</vt:lpstr>
      <vt:lpstr>'MODELE SCGB'!Zona_de_imprimat</vt:lpstr>
      <vt:lpstr>'MODELE TD DOXAR'!Zona_de_imprimat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loftwood</dc:creator>
  <cp:lastModifiedBy>Mihoreanu Cristian</cp:lastModifiedBy>
  <cp:lastPrinted>2025-11-26T02:26:14Z</cp:lastPrinted>
  <dcterms:created xsi:type="dcterms:W3CDTF">2015-06-05T18:19:34Z</dcterms:created>
  <dcterms:modified xsi:type="dcterms:W3CDTF">2025-12-02T03:18:46Z</dcterms:modified>
</cp:coreProperties>
</file>